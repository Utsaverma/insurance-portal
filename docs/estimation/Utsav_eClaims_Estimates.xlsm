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1265" documentId="13_ncr:1_{9C200901-B545-4AB7-8A31-1AFA4242EC78}" xr6:coauthVersionLast="47" xr6:coauthVersionMax="47" xr10:uidLastSave="{C808A52F-1108-4800-A037-0203D3A94172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Estimation!$722:$722</definedName>
    <definedName name="AS_DEV_EFFORT">Estimation!$P$612</definedName>
    <definedName name="AS_DURATION_EFFORT">Estimation!$P$613</definedName>
    <definedName name="AS_MANUAL_DURATION_EFFORT">Estimation!$U$614</definedName>
    <definedName name="AUTOMATED_END_DATE">Estimation!$P$588</definedName>
    <definedName name="BUFFER_TYPES_LIST">Lists!$B$45:$B$48</definedName>
    <definedName name="BUFFERS_BY_TYPE">Estimation!$N$647:$O$649</definedName>
    <definedName name="CHOSEN_CURRENCY">Estimation!$O$606</definedName>
    <definedName name="CLIENT_NAME">Estimation!$O$599</definedName>
    <definedName name="COMPACT_WBS">Estimation!$L$10:$T$506</definedName>
    <definedName name="COPY_TYPE">Estimation!$R$9</definedName>
    <definedName name="CURRENCIES_LIST">Lists!$B$27:$B$29</definedName>
    <definedName name="CUSTOM_PERCENT">Estimation!$T$5</definedName>
    <definedName name="DESIGN_COST">Estimation!$W$574</definedName>
    <definedName name="DESIGN_EFFORT">Estimation!$O$574</definedName>
    <definedName name="DESIGN_RANGE">Estimation!$L$64:$AC$93</definedName>
    <definedName name="DESIGN_TA_COUNT">Estimation!$R$584</definedName>
    <definedName name="DESIGN_TA_PERCENT">Estimation!$R$574</definedName>
    <definedName name="DEV_COST">Estimation!$W$575</definedName>
    <definedName name="DEV_DEV_COUNT">Estimation!$T$585</definedName>
    <definedName name="DEV_DEV_PERCENT">Estimation!$T$575</definedName>
    <definedName name="DEV_EFFORT">Estimation!$O$575</definedName>
    <definedName name="DEV_RANGE">Estimation!$L$94:$AC$432</definedName>
    <definedName name="DURATION">Estimation!$P$589</definedName>
    <definedName name="EXTRA_FOR_H">Estimation!$O$634</definedName>
    <definedName name="EXTRAS_ARRAY">Estimation!$N$639:$O$644</definedName>
    <definedName name="EXTRAS_LIST">Estimation!$N$639:$N$644</definedName>
    <definedName name="FBS">Estimation!$L$508</definedName>
    <definedName name="FBS_FORMAT">Estimation!$S$513</definedName>
    <definedName name="FBS_INSERT_AT">Estimation!$M$562:$P$562</definedName>
    <definedName name="FBS_LINK">Estimation!$T$513</definedName>
    <definedName name="FBS_RANGE">Estimation!$M$514:$P$563</definedName>
    <definedName name="FULL_WBS">Estimation!$L$10:$AC$506</definedName>
    <definedName name="INCLUDE_OPTIONALS_LIST">Lists!$B$58:$B$59</definedName>
    <definedName name="IS_KEY_OPP">Estimation!$O$604</definedName>
    <definedName name="LESS_FOR_L">Estimation!$O$635</definedName>
    <definedName name="MANUAL_DURATION">Estimation!$P$590</definedName>
    <definedName name="MANUAL_END_DATE">Schedule!$L$1</definedName>
    <definedName name="MAX_EFFORT_PERCENT">Estimation!$P$609</definedName>
    <definedName name="MIN_EFFORT_PERCENT">Estimation!$O$609</definedName>
    <definedName name="MODULE_RANGE">Estimation!$726:$726</definedName>
    <definedName name="NOT_IN_COMPACT">Estimation!$O:$W</definedName>
    <definedName name="OTHER_COST">Estimation!$W$578</definedName>
    <definedName name="OTHER_EFFORT">Estimation!$O$578</definedName>
    <definedName name="OTHER_TL_COUNT">Estimation!$S$588</definedName>
    <definedName name="OTHER_TL_PERCENT">Estimation!$S$578</definedName>
    <definedName name="OTHERS_RANGE">Estimation!$L$499:$AC$505</definedName>
    <definedName name="PLATFORM">Estimation!$O$601</definedName>
    <definedName name="PLATFORMS_LIST">Lists!$B$38:$B$42</definedName>
    <definedName name="_xlnm.Print_Area" localSheetId="1">Estimation!$A$1:$AC$595</definedName>
    <definedName name="PROJECT_NAME">Estimation!$O$600</definedName>
    <definedName name="PROJECT_TYPE">Estimation!$O$602</definedName>
    <definedName name="PROJECT_TYPES_LIST">Lists!$B$32:$B$35</definedName>
    <definedName name="QA_COST">Estimation!$W$576</definedName>
    <definedName name="QA_EFFORT">Estimation!$O$576</definedName>
    <definedName name="QA_RANGE">Estimation!$L$433:$AC$470</definedName>
    <definedName name="REGIONS_LIST">Lists!$B$19:$B$24</definedName>
    <definedName name="REQ_BA_COUNT">Estimation!$Q$583</definedName>
    <definedName name="REQ_BA_PERCENT">Estimation!$Q$573</definedName>
    <definedName name="REQ_COST">Estimation!$W$573</definedName>
    <definedName name="REQ_EFFORT">Estimation!$O$573</definedName>
    <definedName name="REQ_RANGE">Estimation!$L$12:$AC$63</definedName>
    <definedName name="RFP_NAME">Estimation!$O$603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Estimation!$P$639:$P$640</definedName>
    <definedName name="SECTION_RANGE">Estimation!$718:$724</definedName>
    <definedName name="START_DATE">Estimation!$O$583</definedName>
    <definedName name="TASK_RANGE">Estimation!$720:$723</definedName>
    <definedName name="TEMPLATE_NAME">Estimation!$G$3</definedName>
    <definedName name="TEMPLATE_SECTION">Estimation!$717:$727</definedName>
    <definedName name="TEMPLATE_VER">Estimation!$K$3</definedName>
    <definedName name="TESTING_QA_COUNT">Estimation!$U$586</definedName>
    <definedName name="TESTING_QA_PERCENT">Estimation!$U$576</definedName>
    <definedName name="TOTAL_COST">Estimation!$W$579</definedName>
    <definedName name="TOTAL_EFFORT">Estimation!$O$579</definedName>
    <definedName name="Total_FRs">Estimation!$Q$23</definedName>
    <definedName name="Total_Screens">Estimation!$P$61</definedName>
    <definedName name="Total_Test_Cases">Estimation!$P$445</definedName>
    <definedName name="Total_Use_Cases">Estimation!$P$43</definedName>
    <definedName name="TOTAL_WEEKS">Estimation!$P$579</definedName>
    <definedName name="UAT_COST">Estimation!$W$577</definedName>
    <definedName name="UAT_DEV_COUNT">Estimation!$T$587</definedName>
    <definedName name="UAT_DEV_PERCENT">Estimation!$T$577</definedName>
    <definedName name="UAT_EFFORT">Estimation!$O$577</definedName>
    <definedName name="UAT_RANGE">Estimation!$L$471:$AC$498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22" i="2" l="1"/>
  <c r="AA122" i="2" s="1"/>
  <c r="S122" i="2" s="1"/>
  <c r="AD122" i="2" s="1"/>
  <c r="Y123" i="2"/>
  <c r="AA123" i="2" s="1"/>
  <c r="S123" i="2" s="1"/>
  <c r="AD123" i="2" s="1"/>
  <c r="Y124" i="2"/>
  <c r="AA124" i="2" s="1"/>
  <c r="S124" i="2" s="1"/>
  <c r="AD124" i="2" s="1"/>
  <c r="Y149" i="2"/>
  <c r="AA149" i="2" s="1"/>
  <c r="S149" i="2" s="1"/>
  <c r="AD149" i="2" s="1"/>
  <c r="Y163" i="2"/>
  <c r="AA163" i="2" s="1"/>
  <c r="S163" i="2" s="1"/>
  <c r="AD163" i="2" s="1"/>
  <c r="Y164" i="2"/>
  <c r="AA164" i="2" s="1"/>
  <c r="S164" i="2" s="1"/>
  <c r="AD164" i="2" s="1"/>
  <c r="Y165" i="2"/>
  <c r="AA165" i="2" s="1"/>
  <c r="S165" i="2" s="1"/>
  <c r="AD165" i="2" s="1"/>
  <c r="Y166" i="2"/>
  <c r="AA166" i="2" s="1"/>
  <c r="S166" i="2" s="1"/>
  <c r="AD166" i="2" s="1"/>
  <c r="Y162" i="2"/>
  <c r="AA162" i="2" s="1"/>
  <c r="S162" i="2" s="1"/>
  <c r="AD160" i="2"/>
  <c r="Y211" i="2"/>
  <c r="AA211" i="2" s="1"/>
  <c r="S211" i="2" s="1"/>
  <c r="AD211" i="2" s="1"/>
  <c r="Y212" i="2"/>
  <c r="AA212" i="2" s="1"/>
  <c r="S212" i="2" s="1"/>
  <c r="AD212" i="2" s="1"/>
  <c r="Y213" i="2"/>
  <c r="AA213" i="2" s="1"/>
  <c r="S213" i="2" s="1"/>
  <c r="AD213" i="2" s="1"/>
  <c r="Y214" i="2"/>
  <c r="AA214" i="2" s="1"/>
  <c r="S214" i="2" s="1"/>
  <c r="AD214" i="2" s="1"/>
  <c r="Y215" i="2"/>
  <c r="AA215" i="2" s="1"/>
  <c r="S215" i="2" s="1"/>
  <c r="AD215" i="2" s="1"/>
  <c r="Y210" i="2"/>
  <c r="AA210" i="2" s="1"/>
  <c r="S210" i="2" s="1"/>
  <c r="AD208" i="2"/>
  <c r="Y255" i="2"/>
  <c r="AA255" i="2" s="1"/>
  <c r="S255" i="2" s="1"/>
  <c r="AD255" i="2" s="1"/>
  <c r="Y256" i="2"/>
  <c r="AA256" i="2" s="1"/>
  <c r="S256" i="2" s="1"/>
  <c r="AD256" i="2" s="1"/>
  <c r="Y257" i="2"/>
  <c r="AA257" i="2" s="1"/>
  <c r="S257" i="2" s="1"/>
  <c r="AD257" i="2" s="1"/>
  <c r="Y247" i="2"/>
  <c r="AA247" i="2" s="1"/>
  <c r="S247" i="2" s="1"/>
  <c r="AD247" i="2" s="1"/>
  <c r="Y248" i="2"/>
  <c r="AA248" i="2" s="1"/>
  <c r="S248" i="2" s="1"/>
  <c r="AD248" i="2" s="1"/>
  <c r="Y249" i="2"/>
  <c r="AA249" i="2" s="1"/>
  <c r="S249" i="2" s="1"/>
  <c r="AD249" i="2" s="1"/>
  <c r="Y250" i="2"/>
  <c r="AA250" i="2" s="1"/>
  <c r="S250" i="2" s="1"/>
  <c r="AD250" i="2" s="1"/>
  <c r="Y246" i="2"/>
  <c r="AA246" i="2" s="1"/>
  <c r="S246" i="2" s="1"/>
  <c r="AD244" i="2"/>
  <c r="Y254" i="2"/>
  <c r="AA254" i="2" s="1"/>
  <c r="S254" i="2" s="1"/>
  <c r="AD252" i="2"/>
  <c r="Y267" i="2"/>
  <c r="AA267" i="2" s="1"/>
  <c r="S267" i="2" s="1"/>
  <c r="AD267" i="2" s="1"/>
  <c r="Y268" i="2"/>
  <c r="AA268" i="2" s="1"/>
  <c r="S268" i="2" s="1"/>
  <c r="AD268" i="2" s="1"/>
  <c r="Y269" i="2"/>
  <c r="AA269" i="2" s="1"/>
  <c r="S269" i="2" s="1"/>
  <c r="AD269" i="2" s="1"/>
  <c r="Y286" i="2"/>
  <c r="AA286" i="2" s="1"/>
  <c r="S286" i="2" s="1"/>
  <c r="AD286" i="2" s="1"/>
  <c r="Y287" i="2"/>
  <c r="AA287" i="2" s="1"/>
  <c r="S287" i="2" s="1"/>
  <c r="AD287" i="2" s="1"/>
  <c r="Y288" i="2"/>
  <c r="AA288" i="2" s="1"/>
  <c r="S288" i="2" s="1"/>
  <c r="AD288" i="2" s="1"/>
  <c r="Y297" i="2"/>
  <c r="AA297" i="2" s="1"/>
  <c r="S297" i="2" s="1"/>
  <c r="AD297" i="2" s="1"/>
  <c r="Y298" i="2"/>
  <c r="AA298" i="2" s="1"/>
  <c r="S298" i="2" s="1"/>
  <c r="AD298" i="2" s="1"/>
  <c r="Y299" i="2"/>
  <c r="AA299" i="2" s="1"/>
  <c r="S299" i="2" s="1"/>
  <c r="AD299" i="2" s="1"/>
  <c r="Y300" i="2"/>
  <c r="AA300" i="2" s="1"/>
  <c r="S300" i="2" s="1"/>
  <c r="AD300" i="2" s="1"/>
  <c r="Y316" i="2"/>
  <c r="AA316" i="2" s="1"/>
  <c r="S316" i="2" s="1"/>
  <c r="AD316" i="2" s="1"/>
  <c r="Y337" i="2"/>
  <c r="AA337" i="2" s="1"/>
  <c r="S337" i="2" s="1"/>
  <c r="Y382" i="2"/>
  <c r="AA382" i="2" s="1"/>
  <c r="S382" i="2" s="1"/>
  <c r="AD382" i="2" s="1"/>
  <c r="Y403" i="2"/>
  <c r="AA403" i="2" s="1"/>
  <c r="S403" i="2" s="1"/>
  <c r="AD403" i="2" s="1"/>
  <c r="Y404" i="2"/>
  <c r="AA404" i="2" s="1"/>
  <c r="S404" i="2" s="1"/>
  <c r="AD404" i="2" s="1"/>
  <c r="Y405" i="2"/>
  <c r="AA405" i="2" s="1"/>
  <c r="S405" i="2" s="1"/>
  <c r="AD405" i="2" s="1"/>
  <c r="Y468" i="2"/>
  <c r="AA468" i="2" s="1"/>
  <c r="S468" i="2" s="1"/>
  <c r="AD468" i="2" s="1"/>
  <c r="Y154" i="2"/>
  <c r="AA154" i="2" s="1"/>
  <c r="S154" i="2" s="1"/>
  <c r="AD154" i="2" s="1"/>
  <c r="Y155" i="2"/>
  <c r="AA155" i="2" s="1"/>
  <c r="S155" i="2" s="1"/>
  <c r="AD155" i="2" s="1"/>
  <c r="Y156" i="2"/>
  <c r="AA156" i="2" s="1"/>
  <c r="S156" i="2" s="1"/>
  <c r="AD156" i="2" s="1"/>
  <c r="Y157" i="2"/>
  <c r="AA157" i="2" s="1"/>
  <c r="S157" i="2" s="1"/>
  <c r="AD157" i="2" s="1"/>
  <c r="Y158" i="2"/>
  <c r="AA158" i="2" s="1"/>
  <c r="S158" i="2" s="1"/>
  <c r="AD158" i="2" s="1"/>
  <c r="Y153" i="2"/>
  <c r="AA153" i="2" s="1"/>
  <c r="S153" i="2" s="1"/>
  <c r="AD151" i="2"/>
  <c r="Y467" i="2"/>
  <c r="AA467" i="2" s="1"/>
  <c r="S467" i="2" s="1"/>
  <c r="AD467" i="2" s="1"/>
  <c r="Y487" i="2"/>
  <c r="AA487" i="2" s="1"/>
  <c r="S487" i="2" s="1"/>
  <c r="AD487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26" i="2"/>
  <c r="Y722" i="2"/>
  <c r="AA722" i="2" s="1"/>
  <c r="S722" i="2" s="1"/>
  <c r="AD720" i="2"/>
  <c r="AD718" i="2"/>
  <c r="N649" i="2"/>
  <c r="N648" i="2"/>
  <c r="N647" i="2"/>
  <c r="AB596" i="2"/>
  <c r="N588" i="2"/>
  <c r="B11" i="5" s="1"/>
  <c r="M588" i="2"/>
  <c r="N587" i="2"/>
  <c r="B10" i="5" s="1"/>
  <c r="M587" i="2"/>
  <c r="N586" i="2"/>
  <c r="B9" i="5" s="1"/>
  <c r="M586" i="2"/>
  <c r="N585" i="2"/>
  <c r="B8" i="5" s="1"/>
  <c r="M585" i="2"/>
  <c r="N584" i="2"/>
  <c r="B7" i="5" s="1"/>
  <c r="M584" i="2"/>
  <c r="N583" i="2"/>
  <c r="B6" i="5" s="1"/>
  <c r="M583" i="2"/>
  <c r="N578" i="2"/>
  <c r="M578" i="2"/>
  <c r="B578" i="2"/>
  <c r="N577" i="2"/>
  <c r="M577" i="2"/>
  <c r="B577" i="2"/>
  <c r="N576" i="2"/>
  <c r="M576" i="2"/>
  <c r="B576" i="2"/>
  <c r="N575" i="2"/>
  <c r="M575" i="2"/>
  <c r="B575" i="2"/>
  <c r="N574" i="2"/>
  <c r="M574" i="2"/>
  <c r="B574" i="2"/>
  <c r="N573" i="2"/>
  <c r="M573" i="2"/>
  <c r="B573" i="2"/>
  <c r="W571" i="2"/>
  <c r="V571" i="2"/>
  <c r="U571" i="2"/>
  <c r="T571" i="2"/>
  <c r="S571" i="2"/>
  <c r="R571" i="2"/>
  <c r="Q571" i="2"/>
  <c r="P513" i="2"/>
  <c r="AD501" i="2"/>
  <c r="Y496" i="2"/>
  <c r="AA496" i="2" s="1"/>
  <c r="S496" i="2" s="1"/>
  <c r="AD496" i="2" s="1"/>
  <c r="Y495" i="2"/>
  <c r="AA495" i="2" s="1"/>
  <c r="S495" i="2" s="1"/>
  <c r="Y494" i="2"/>
  <c r="AA494" i="2" s="1"/>
  <c r="S494" i="2" s="1"/>
  <c r="AD494" i="2" s="1"/>
  <c r="Y493" i="2"/>
  <c r="AA493" i="2" s="1"/>
  <c r="S493" i="2" s="1"/>
  <c r="AD493" i="2" s="1"/>
  <c r="AD491" i="2"/>
  <c r="Y489" i="2"/>
  <c r="AA489" i="2" s="1"/>
  <c r="S489" i="2" s="1"/>
  <c r="AD489" i="2" s="1"/>
  <c r="Y488" i="2"/>
  <c r="AA488" i="2" s="1"/>
  <c r="S488" i="2" s="1"/>
  <c r="Y486" i="2"/>
  <c r="AA486" i="2" s="1"/>
  <c r="S486" i="2" s="1"/>
  <c r="AD486" i="2" s="1"/>
  <c r="AD484" i="2"/>
  <c r="Y482" i="2"/>
  <c r="AA482" i="2" s="1"/>
  <c r="S482" i="2" s="1"/>
  <c r="AD482" i="2" s="1"/>
  <c r="Y481" i="2"/>
  <c r="AA481" i="2" s="1"/>
  <c r="S481" i="2" s="1"/>
  <c r="AD481" i="2" s="1"/>
  <c r="Y480" i="2"/>
  <c r="AA480" i="2" s="1"/>
  <c r="S480" i="2" s="1"/>
  <c r="AD478" i="2"/>
  <c r="Y476" i="2"/>
  <c r="AA476" i="2" s="1"/>
  <c r="S476" i="2" s="1"/>
  <c r="AD476" i="2" s="1"/>
  <c r="Y475" i="2"/>
  <c r="AA475" i="2" s="1"/>
  <c r="S475" i="2" s="1"/>
  <c r="AD473" i="2"/>
  <c r="Y466" i="2"/>
  <c r="AA466" i="2" s="1"/>
  <c r="S466" i="2" s="1"/>
  <c r="AD466" i="2" s="1"/>
  <c r="Y465" i="2"/>
  <c r="AA465" i="2" s="1"/>
  <c r="S465" i="2" s="1"/>
  <c r="AD465" i="2" s="1"/>
  <c r="Q464" i="2"/>
  <c r="Y464" i="2" s="1"/>
  <c r="AA464" i="2" s="1"/>
  <c r="S464" i="2" s="1"/>
  <c r="AD464" i="2" s="1"/>
  <c r="Q463" i="2"/>
  <c r="Y463" i="2" s="1"/>
  <c r="AA463" i="2" s="1"/>
  <c r="S463" i="2" s="1"/>
  <c r="AD461" i="2"/>
  <c r="Y459" i="2"/>
  <c r="AA459" i="2" s="1"/>
  <c r="S459" i="2" s="1"/>
  <c r="AD459" i="2" s="1"/>
  <c r="Y456" i="2"/>
  <c r="AA456" i="2" s="1"/>
  <c r="S456" i="2" s="1"/>
  <c r="AD454" i="2"/>
  <c r="Y451" i="2"/>
  <c r="AA451" i="2" s="1"/>
  <c r="S451" i="2" s="1"/>
  <c r="AD449" i="2"/>
  <c r="Y447" i="2"/>
  <c r="AA447" i="2" s="1"/>
  <c r="S447" i="2" s="1"/>
  <c r="AD447" i="2" s="1"/>
  <c r="AD446" i="2"/>
  <c r="S446" i="2"/>
  <c r="Y444" i="2"/>
  <c r="AA444" i="2" s="1"/>
  <c r="S444" i="2" s="1"/>
  <c r="AD442" i="2"/>
  <c r="AD441" i="2"/>
  <c r="Y438" i="2"/>
  <c r="AA438" i="2" s="1"/>
  <c r="S438" i="2" s="1"/>
  <c r="AD436" i="2"/>
  <c r="AD435" i="2"/>
  <c r="Y430" i="2"/>
  <c r="AA430" i="2" s="1"/>
  <c r="S430" i="2" s="1"/>
  <c r="AD430" i="2" s="1"/>
  <c r="Y429" i="2"/>
  <c r="AA429" i="2" s="1"/>
  <c r="S429" i="2" s="1"/>
  <c r="Y428" i="2"/>
  <c r="AA428" i="2" s="1"/>
  <c r="S428" i="2" s="1"/>
  <c r="AD428" i="2" s="1"/>
  <c r="AD426" i="2"/>
  <c r="AD425" i="2"/>
  <c r="Y423" i="2"/>
  <c r="AA423" i="2" s="1"/>
  <c r="S423" i="2" s="1"/>
  <c r="AD423" i="2" s="1"/>
  <c r="Y422" i="2"/>
  <c r="AA422" i="2" s="1"/>
  <c r="S422" i="2" s="1"/>
  <c r="AD422" i="2" s="1"/>
  <c r="Y421" i="2"/>
  <c r="AA421" i="2" s="1"/>
  <c r="S421" i="2" s="1"/>
  <c r="AD421" i="2" s="1"/>
  <c r="Y420" i="2"/>
  <c r="AA420" i="2" s="1"/>
  <c r="S420" i="2" s="1"/>
  <c r="AD420" i="2" s="1"/>
  <c r="Y419" i="2"/>
  <c r="AA419" i="2" s="1"/>
  <c r="S419" i="2" s="1"/>
  <c r="AD419" i="2" s="1"/>
  <c r="Y418" i="2"/>
  <c r="AA418" i="2" s="1"/>
  <c r="S418" i="2" s="1"/>
  <c r="AD418" i="2" s="1"/>
  <c r="Y417" i="2"/>
  <c r="AA417" i="2" s="1"/>
  <c r="S417" i="2" s="1"/>
  <c r="AD415" i="2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10" i="2" s="1"/>
  <c r="Y409" i="2"/>
  <c r="AA409" i="2" s="1"/>
  <c r="S409" i="2" s="1"/>
  <c r="AD407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5" i="2"/>
  <c r="Y393" i="2"/>
  <c r="AA393" i="2" s="1"/>
  <c r="S393" i="2" s="1"/>
  <c r="AD393" i="2" s="1"/>
  <c r="Y392" i="2"/>
  <c r="AA392" i="2" s="1"/>
  <c r="S392" i="2" s="1"/>
  <c r="AD392" i="2" s="1"/>
  <c r="Y391" i="2"/>
  <c r="AA391" i="2" s="1"/>
  <c r="S391" i="2" s="1"/>
  <c r="AD391" i="2" s="1"/>
  <c r="Y390" i="2"/>
  <c r="AA390" i="2" s="1"/>
  <c r="S390" i="2" s="1"/>
  <c r="AD390" i="2" s="1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4" i="2"/>
  <c r="Y381" i="2"/>
  <c r="AA381" i="2" s="1"/>
  <c r="S381" i="2" s="1"/>
  <c r="AD381" i="2" s="1"/>
  <c r="Y380" i="2"/>
  <c r="AA380" i="2" s="1"/>
  <c r="S380" i="2" s="1"/>
  <c r="AD380" i="2" s="1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3" i="2" s="1"/>
  <c r="Y372" i="2"/>
  <c r="AA372" i="2" s="1"/>
  <c r="S372" i="2" s="1"/>
  <c r="AD370" i="2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5" i="2" s="1"/>
  <c r="Y364" i="2"/>
  <c r="AA364" i="2" s="1"/>
  <c r="S364" i="2" s="1"/>
  <c r="AD364" i="2" s="1"/>
  <c r="Y363" i="2"/>
  <c r="AA363" i="2" s="1"/>
  <c r="S363" i="2" s="1"/>
  <c r="AD363" i="2" s="1"/>
  <c r="Y362" i="2"/>
  <c r="AA362" i="2" s="1"/>
  <c r="S362" i="2" s="1"/>
  <c r="AD360" i="2"/>
  <c r="Y358" i="2"/>
  <c r="AA358" i="2" s="1"/>
  <c r="S358" i="2" s="1"/>
  <c r="AD358" i="2" s="1"/>
  <c r="Y357" i="2"/>
  <c r="AA357" i="2" s="1"/>
  <c r="S357" i="2" s="1"/>
  <c r="AD357" i="2" s="1"/>
  <c r="Y356" i="2"/>
  <c r="AA356" i="2" s="1"/>
  <c r="S356" i="2" s="1"/>
  <c r="AD356" i="2" s="1"/>
  <c r="Y355" i="2"/>
  <c r="AA355" i="2" s="1"/>
  <c r="S355" i="2" s="1"/>
  <c r="AD355" i="2" s="1"/>
  <c r="Y354" i="2"/>
  <c r="AA354" i="2" s="1"/>
  <c r="S354" i="2" s="1"/>
  <c r="AD354" i="2" s="1"/>
  <c r="Y353" i="2"/>
  <c r="AA353" i="2" s="1"/>
  <c r="S353" i="2" s="1"/>
  <c r="AD353" i="2" s="1"/>
  <c r="Y352" i="2"/>
  <c r="AA352" i="2" s="1"/>
  <c r="S352" i="2" s="1"/>
  <c r="AD350" i="2"/>
  <c r="AD349" i="2"/>
  <c r="Y347" i="2"/>
  <c r="AA347" i="2" s="1"/>
  <c r="S347" i="2" s="1"/>
  <c r="AD347" i="2" s="1"/>
  <c r="Y346" i="2"/>
  <c r="AA346" i="2" s="1"/>
  <c r="S346" i="2" s="1"/>
  <c r="AD344" i="2"/>
  <c r="Y342" i="2"/>
  <c r="AA342" i="2" s="1"/>
  <c r="S342" i="2" s="1"/>
  <c r="AD342" i="2" s="1"/>
  <c r="Y341" i="2"/>
  <c r="AA341" i="2" s="1"/>
  <c r="S341" i="2" s="1"/>
  <c r="AD341" i="2" s="1"/>
  <c r="AD339" i="2"/>
  <c r="Y336" i="2"/>
  <c r="AA336" i="2" s="1"/>
  <c r="S336" i="2" s="1"/>
  <c r="AD336" i="2" s="1"/>
  <c r="Y335" i="2"/>
  <c r="AA335" i="2" s="1"/>
  <c r="S335" i="2" s="1"/>
  <c r="AD333" i="2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AD327" i="2"/>
  <c r="Y325" i="2"/>
  <c r="AA325" i="2" s="1"/>
  <c r="S325" i="2" s="1"/>
  <c r="AD325" i="2" s="1"/>
  <c r="Y324" i="2"/>
  <c r="AA324" i="2" s="1"/>
  <c r="S324" i="2" s="1"/>
  <c r="AD324" i="2" s="1"/>
  <c r="Y323" i="2"/>
  <c r="AA323" i="2" s="1"/>
  <c r="S323" i="2" s="1"/>
  <c r="AD323" i="2" s="1"/>
  <c r="Y322" i="2"/>
  <c r="AA322" i="2" s="1"/>
  <c r="S322" i="2" s="1"/>
  <c r="Y321" i="2"/>
  <c r="AA321" i="2" s="1"/>
  <c r="S321" i="2" s="1"/>
  <c r="AD321" i="2" s="1"/>
  <c r="AD319" i="2"/>
  <c r="AD318" i="2"/>
  <c r="Y315" i="2"/>
  <c r="AA315" i="2" s="1"/>
  <c r="S315" i="2" s="1"/>
  <c r="AD315" i="2" s="1"/>
  <c r="Y314" i="2"/>
  <c r="AA314" i="2" s="1"/>
  <c r="S314" i="2" s="1"/>
  <c r="Y313" i="2"/>
  <c r="AA313" i="2" s="1"/>
  <c r="S313" i="2" s="1"/>
  <c r="AD313" i="2" s="1"/>
  <c r="AD311" i="2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3" i="2"/>
  <c r="AD302" i="2"/>
  <c r="Y296" i="2"/>
  <c r="AA296" i="2" s="1"/>
  <c r="S296" i="2" s="1"/>
  <c r="AD296" i="2" s="1"/>
  <c r="Y295" i="2"/>
  <c r="AA295" i="2" s="1"/>
  <c r="S295" i="2" s="1"/>
  <c r="AD295" i="2" s="1"/>
  <c r="Y294" i="2"/>
  <c r="AA294" i="2" s="1"/>
  <c r="S294" i="2" s="1"/>
  <c r="AD294" i="2" s="1"/>
  <c r="Y293" i="2"/>
  <c r="AA293" i="2" s="1"/>
  <c r="S293" i="2" s="1"/>
  <c r="AD293" i="2" s="1"/>
  <c r="Y292" i="2"/>
  <c r="AA292" i="2" s="1"/>
  <c r="S292" i="2" s="1"/>
  <c r="AD290" i="2"/>
  <c r="Y285" i="2"/>
  <c r="AA285" i="2" s="1"/>
  <c r="S285" i="2" s="1"/>
  <c r="AD285" i="2" s="1"/>
  <c r="Y284" i="2"/>
  <c r="AA284" i="2" s="1"/>
  <c r="S284" i="2" s="1"/>
  <c r="AD284" i="2" s="1"/>
  <c r="Y283" i="2"/>
  <c r="AA283" i="2" s="1"/>
  <c r="S283" i="2" s="1"/>
  <c r="AD283" i="2" s="1"/>
  <c r="Y282" i="2"/>
  <c r="AA282" i="2" s="1"/>
  <c r="S282" i="2" s="1"/>
  <c r="AD282" i="2" s="1"/>
  <c r="Y281" i="2"/>
  <c r="AA281" i="2" s="1"/>
  <c r="S281" i="2" s="1"/>
  <c r="AD279" i="2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AD275" i="2" s="1"/>
  <c r="Y274" i="2"/>
  <c r="AA274" i="2" s="1"/>
  <c r="S274" i="2" s="1"/>
  <c r="AD274" i="2" s="1"/>
  <c r="Y273" i="2"/>
  <c r="AA273" i="2" s="1"/>
  <c r="S273" i="2" s="1"/>
  <c r="AD273" i="2" s="1"/>
  <c r="AD271" i="2"/>
  <c r="Y266" i="2"/>
  <c r="AA266" i="2" s="1"/>
  <c r="S266" i="2" s="1"/>
  <c r="AD266" i="2" s="1"/>
  <c r="Y265" i="2"/>
  <c r="AA265" i="2" s="1"/>
  <c r="S265" i="2" s="1"/>
  <c r="Y264" i="2"/>
  <c r="AA264" i="2" s="1"/>
  <c r="S264" i="2" s="1"/>
  <c r="AD264" i="2" s="1"/>
  <c r="Y263" i="2"/>
  <c r="AA263" i="2" s="1"/>
  <c r="S263" i="2" s="1"/>
  <c r="AD263" i="2" s="1"/>
  <c r="Y262" i="2"/>
  <c r="AA262" i="2" s="1"/>
  <c r="S262" i="2" s="1"/>
  <c r="AD260" i="2"/>
  <c r="AD259" i="2"/>
  <c r="Y242" i="2"/>
  <c r="AA242" i="2" s="1"/>
  <c r="S242" i="2" s="1"/>
  <c r="Y241" i="2"/>
  <c r="AA241" i="2" s="1"/>
  <c r="S241" i="2" s="1"/>
  <c r="AD241" i="2" s="1"/>
  <c r="Y240" i="2"/>
  <c r="AA240" i="2" s="1"/>
  <c r="S240" i="2" s="1"/>
  <c r="AD240" i="2" s="1"/>
  <c r="Y239" i="2"/>
  <c r="AA239" i="2" s="1"/>
  <c r="S239" i="2" s="1"/>
  <c r="AD239" i="2" s="1"/>
  <c r="Y238" i="2"/>
  <c r="AA238" i="2" s="1"/>
  <c r="S238" i="2" s="1"/>
  <c r="AD238" i="2" s="1"/>
  <c r="AD236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Y229" i="2"/>
  <c r="AA229" i="2" s="1"/>
  <c r="S229" i="2" s="1"/>
  <c r="AD229" i="2" s="1"/>
  <c r="AD227" i="2"/>
  <c r="Y225" i="2"/>
  <c r="AA225" i="2" s="1"/>
  <c r="S225" i="2" s="1"/>
  <c r="AD225" i="2" s="1"/>
  <c r="Y224" i="2"/>
  <c r="AA224" i="2" s="1"/>
  <c r="S224" i="2" s="1"/>
  <c r="AD224" i="2" s="1"/>
  <c r="Y223" i="2"/>
  <c r="AA223" i="2" s="1"/>
  <c r="S223" i="2" s="1"/>
  <c r="AD223" i="2" s="1"/>
  <c r="Y222" i="2"/>
  <c r="AA222" i="2" s="1"/>
  <c r="S222" i="2" s="1"/>
  <c r="AD222" i="2" s="1"/>
  <c r="Y221" i="2"/>
  <c r="AA221" i="2" s="1"/>
  <c r="S221" i="2" s="1"/>
  <c r="AD221" i="2" s="1"/>
  <c r="Y220" i="2"/>
  <c r="AA220" i="2" s="1"/>
  <c r="S220" i="2" s="1"/>
  <c r="AD218" i="2"/>
  <c r="AD217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0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3" i="2"/>
  <c r="Y191" i="2"/>
  <c r="AA191" i="2" s="1"/>
  <c r="S191" i="2" s="1"/>
  <c r="AD191" i="2" s="1"/>
  <c r="Y190" i="2"/>
  <c r="AA190" i="2" s="1"/>
  <c r="S190" i="2" s="1"/>
  <c r="AD190" i="2" s="1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5" i="2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AD177" i="2"/>
  <c r="Y175" i="2"/>
  <c r="AA175" i="2" s="1"/>
  <c r="S175" i="2" s="1"/>
  <c r="AD175" i="2" s="1"/>
  <c r="Y174" i="2"/>
  <c r="AA174" i="2" s="1"/>
  <c r="S174" i="2" s="1"/>
  <c r="AD174" i="2" s="1"/>
  <c r="Y173" i="2"/>
  <c r="AA173" i="2" s="1"/>
  <c r="S173" i="2" s="1"/>
  <c r="AD173" i="2" s="1"/>
  <c r="Y172" i="2"/>
  <c r="AA172" i="2" s="1"/>
  <c r="S172" i="2" s="1"/>
  <c r="AD172" i="2" s="1"/>
  <c r="Y171" i="2"/>
  <c r="AA171" i="2" s="1"/>
  <c r="S171" i="2" s="1"/>
  <c r="AD169" i="2"/>
  <c r="AD168" i="2"/>
  <c r="Y148" i="2"/>
  <c r="AA148" i="2" s="1"/>
  <c r="S148" i="2" s="1"/>
  <c r="AD148" i="2" s="1"/>
  <c r="Y147" i="2"/>
  <c r="AA147" i="2" s="1"/>
  <c r="S147" i="2" s="1"/>
  <c r="AD147" i="2" s="1"/>
  <c r="Y146" i="2"/>
  <c r="AA146" i="2" s="1"/>
  <c r="S146" i="2" s="1"/>
  <c r="AD146" i="2" s="1"/>
  <c r="Y145" i="2"/>
  <c r="AA145" i="2" s="1"/>
  <c r="S145" i="2" s="1"/>
  <c r="AD145" i="2" s="1"/>
  <c r="Y144" i="2"/>
  <c r="AA144" i="2" s="1"/>
  <c r="S144" i="2" s="1"/>
  <c r="AD144" i="2" s="1"/>
  <c r="AD142" i="2"/>
  <c r="Y140" i="2"/>
  <c r="AA140" i="2" s="1"/>
  <c r="S140" i="2" s="1"/>
  <c r="AD140" i="2" s="1"/>
  <c r="Y139" i="2"/>
  <c r="AA139" i="2" s="1"/>
  <c r="S139" i="2" s="1"/>
  <c r="AD139" i="2" s="1"/>
  <c r="Y138" i="2"/>
  <c r="AA138" i="2" s="1"/>
  <c r="S138" i="2" s="1"/>
  <c r="AD138" i="2" s="1"/>
  <c r="Y137" i="2"/>
  <c r="AA137" i="2" s="1"/>
  <c r="S137" i="2" s="1"/>
  <c r="AD137" i="2" s="1"/>
  <c r="Y136" i="2"/>
  <c r="AA136" i="2" s="1"/>
  <c r="S136" i="2" s="1"/>
  <c r="AD134" i="2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Y129" i="2"/>
  <c r="AA129" i="2" s="1"/>
  <c r="S129" i="2" s="1"/>
  <c r="AD129" i="2" s="1"/>
  <c r="Y128" i="2"/>
  <c r="AA128" i="2" s="1"/>
  <c r="S128" i="2" s="1"/>
  <c r="AD128" i="2" s="1"/>
  <c r="AD126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26" i="2"/>
  <c r="L14" i="2"/>
  <c r="AD162" i="2" l="1"/>
  <c r="T160" i="2"/>
  <c r="AD210" i="2"/>
  <c r="T208" i="2"/>
  <c r="AD246" i="2"/>
  <c r="T244" i="2"/>
  <c r="AD254" i="2"/>
  <c r="T252" i="2"/>
  <c r="AD337" i="2"/>
  <c r="T333" i="2"/>
  <c r="T33" i="2"/>
  <c r="T260" i="2"/>
  <c r="AD265" i="2"/>
  <c r="Y43" i="2"/>
  <c r="AA43" i="2" s="1"/>
  <c r="S43" i="2" s="1"/>
  <c r="Q60" i="2"/>
  <c r="Y60" i="2" s="1"/>
  <c r="AA60" i="2" s="1"/>
  <c r="S60" i="2" s="1"/>
  <c r="AD153" i="2"/>
  <c r="T151" i="2"/>
  <c r="B571" i="2"/>
  <c r="T590" i="2"/>
  <c r="P590" i="2"/>
  <c r="AD386" i="2"/>
  <c r="T384" i="2"/>
  <c r="L15" i="2"/>
  <c r="T82" i="2"/>
  <c r="AD84" i="2"/>
  <c r="AD105" i="2"/>
  <c r="T103" i="2"/>
  <c r="T20" i="2"/>
  <c r="AD22" i="2"/>
  <c r="T66" i="2"/>
  <c r="AD68" i="2"/>
  <c r="T169" i="2"/>
  <c r="AD171" i="2"/>
  <c r="AD242" i="2"/>
  <c r="T236" i="2"/>
  <c r="S217" i="2" s="1"/>
  <c r="AD314" i="2"/>
  <c r="T311" i="2"/>
  <c r="S302" i="2" s="1"/>
  <c r="AD73" i="2"/>
  <c r="T71" i="2"/>
  <c r="T96" i="2"/>
  <c r="AD98" i="2"/>
  <c r="AD195" i="2"/>
  <c r="T193" i="2"/>
  <c r="T350" i="2"/>
  <c r="AD352" i="2"/>
  <c r="AD115" i="2"/>
  <c r="T113" i="2"/>
  <c r="AD77" i="2"/>
  <c r="T134" i="2"/>
  <c r="AD136" i="2"/>
  <c r="AD16" i="2"/>
  <c r="T14" i="2"/>
  <c r="T47" i="2"/>
  <c r="AD49" i="2"/>
  <c r="T370" i="2"/>
  <c r="AD372" i="2"/>
  <c r="T227" i="2"/>
  <c r="AD230" i="2"/>
  <c r="T279" i="2"/>
  <c r="AD281" i="2"/>
  <c r="AD28" i="2"/>
  <c r="T303" i="2"/>
  <c r="AD305" i="2"/>
  <c r="T319" i="2"/>
  <c r="AD202" i="2"/>
  <c r="T200" i="2"/>
  <c r="S168" i="2" s="1"/>
  <c r="AD292" i="2"/>
  <c r="T290" i="2"/>
  <c r="S259" i="2" s="1"/>
  <c r="T360" i="2"/>
  <c r="AD362" i="2"/>
  <c r="T126" i="2"/>
  <c r="AD322" i="2"/>
  <c r="T327" i="2"/>
  <c r="AD335" i="2"/>
  <c r="AD346" i="2"/>
  <c r="T344" i="2"/>
  <c r="S318" i="2" s="1"/>
  <c r="T407" i="2"/>
  <c r="AD409" i="2"/>
  <c r="AD417" i="2"/>
  <c r="T415" i="2"/>
  <c r="S349" i="2" s="1"/>
  <c r="AD429" i="2"/>
  <c r="T426" i="2"/>
  <c r="S425" i="2" s="1"/>
  <c r="AD58" i="2"/>
  <c r="AD451" i="2"/>
  <c r="T339" i="2"/>
  <c r="Q445" i="2"/>
  <c r="P445" i="2"/>
  <c r="Q446" i="2"/>
  <c r="P446" i="2"/>
  <c r="Q439" i="2"/>
  <c r="Y439" i="2" s="1"/>
  <c r="AA439" i="2" s="1"/>
  <c r="S439" i="2" s="1"/>
  <c r="AD439" i="2" s="1"/>
  <c r="Q78" i="2"/>
  <c r="Y78" i="2" s="1"/>
  <c r="AA78" i="2" s="1"/>
  <c r="S78" i="2" s="1"/>
  <c r="AD78" i="2" s="1"/>
  <c r="AD456" i="2"/>
  <c r="AD35" i="2"/>
  <c r="AD262" i="2"/>
  <c r="AD438" i="2"/>
  <c r="T473" i="2"/>
  <c r="AD475" i="2"/>
  <c r="AD495" i="2"/>
  <c r="T491" i="2"/>
  <c r="T177" i="2"/>
  <c r="Q30" i="2"/>
  <c r="Y30" i="2" s="1"/>
  <c r="AA30" i="2" s="1"/>
  <c r="S30" i="2" s="1"/>
  <c r="AD30" i="2" s="1"/>
  <c r="T271" i="2"/>
  <c r="AD397" i="2"/>
  <c r="T395" i="2"/>
  <c r="T461" i="2"/>
  <c r="AD463" i="2"/>
  <c r="AD488" i="2"/>
  <c r="T484" i="2"/>
  <c r="T185" i="2"/>
  <c r="T218" i="2"/>
  <c r="AD722" i="2"/>
  <c r="T720" i="2"/>
  <c r="S718" i="2" s="1"/>
  <c r="T142" i="2"/>
  <c r="S102" i="2" s="1"/>
  <c r="AD187" i="2"/>
  <c r="AD220" i="2"/>
  <c r="AD444" i="2"/>
  <c r="AD480" i="2"/>
  <c r="T478" i="2"/>
  <c r="L20" i="2"/>
  <c r="C27" i="5" l="1"/>
  <c r="AD43" i="2"/>
  <c r="T41" i="2"/>
  <c r="AD60" i="2"/>
  <c r="T56" i="2"/>
  <c r="L21" i="2"/>
  <c r="Y445" i="2"/>
  <c r="AA445" i="2" s="1"/>
  <c r="S445" i="2" s="1"/>
  <c r="Q458" i="2"/>
  <c r="Y458" i="2" s="1"/>
  <c r="AA458" i="2" s="1"/>
  <c r="S458" i="2" s="1"/>
  <c r="AD458" i="2" s="1"/>
  <c r="Q457" i="2"/>
  <c r="Y457" i="2" s="1"/>
  <c r="AA457" i="2" s="1"/>
  <c r="S457" i="2" s="1"/>
  <c r="Q452" i="2"/>
  <c r="Y452" i="2" s="1"/>
  <c r="AA452" i="2" s="1"/>
  <c r="S452" i="2" s="1"/>
  <c r="S471" i="2"/>
  <c r="O577" i="2" s="1"/>
  <c r="C26" i="5"/>
  <c r="T436" i="2"/>
  <c r="S435" i="2" s="1"/>
  <c r="T26" i="2"/>
  <c r="S94" i="2"/>
  <c r="O575" i="2" s="1"/>
  <c r="T75" i="2"/>
  <c r="S64" i="2" s="1"/>
  <c r="O574" i="2" s="1"/>
  <c r="Y446" i="2"/>
  <c r="AA446" i="2" s="1"/>
  <c r="M16" i="2"/>
  <c r="M17" i="2" s="1"/>
  <c r="M18" i="2" s="1"/>
  <c r="L26" i="2"/>
  <c r="S12" i="2" l="1"/>
  <c r="O573" i="2" s="1"/>
  <c r="L27" i="2"/>
  <c r="P574" i="2"/>
  <c r="W574" i="2"/>
  <c r="W577" i="2"/>
  <c r="P577" i="2"/>
  <c r="AD445" i="2"/>
  <c r="T442" i="2"/>
  <c r="AD452" i="2"/>
  <c r="T449" i="2"/>
  <c r="AD457" i="2"/>
  <c r="T454" i="2"/>
  <c r="S441" i="2" s="1"/>
  <c r="W575" i="2"/>
  <c r="G24" i="5" s="1"/>
  <c r="P575" i="2"/>
  <c r="C24" i="5"/>
  <c r="M22" i="2"/>
  <c r="M23" i="2" s="1"/>
  <c r="M24" i="2" s="1"/>
  <c r="L33" i="2"/>
  <c r="C23" i="5" l="1"/>
  <c r="W573" i="2"/>
  <c r="G23" i="5" s="1"/>
  <c r="P573" i="2"/>
  <c r="P583" i="2" s="1"/>
  <c r="O584" i="2" s="1"/>
  <c r="S433" i="2"/>
  <c r="O576" i="2" s="1"/>
  <c r="L34" i="2"/>
  <c r="M28" i="2"/>
  <c r="M29" i="2" s="1"/>
  <c r="M30" i="2" s="1"/>
  <c r="M31" i="2" s="1"/>
  <c r="G26" i="5"/>
  <c r="G27" i="5"/>
  <c r="L41" i="2"/>
  <c r="P576" i="2" l="1"/>
  <c r="C25" i="5"/>
  <c r="W576" i="2"/>
  <c r="G25" i="5" s="1"/>
  <c r="X503" i="2"/>
  <c r="Y503" i="2" s="1"/>
  <c r="AA503" i="2" s="1"/>
  <c r="S503" i="2" s="1"/>
  <c r="L42" i="2"/>
  <c r="P584" i="2"/>
  <c r="O585" i="2" s="1"/>
  <c r="M35" i="2"/>
  <c r="M36" i="2" s="1"/>
  <c r="M37" i="2" s="1"/>
  <c r="M38" i="2" s="1"/>
  <c r="M39" i="2" s="1"/>
  <c r="L47" i="2"/>
  <c r="AD503" i="2" l="1"/>
  <c r="T3" i="2" s="1"/>
  <c r="T501" i="2"/>
  <c r="S499" i="2" s="1"/>
  <c r="O578" i="2" s="1"/>
  <c r="L48" i="2"/>
  <c r="P585" i="2"/>
  <c r="O586" i="2" s="1"/>
  <c r="M43" i="2"/>
  <c r="M44" i="2" s="1"/>
  <c r="M45" i="2" s="1"/>
  <c r="L56" i="2"/>
  <c r="L66" i="2" s="1"/>
  <c r="P578" i="2" l="1"/>
  <c r="P579" i="2" s="1"/>
  <c r="C28" i="5"/>
  <c r="C29" i="5" s="1"/>
  <c r="M28" i="5" s="1"/>
  <c r="O579" i="2"/>
  <c r="W578" i="2"/>
  <c r="L67" i="2"/>
  <c r="L57" i="2"/>
  <c r="M58" i="2" s="1"/>
  <c r="M59" i="2" s="1"/>
  <c r="M60" i="2" s="1"/>
  <c r="M61" i="2" s="1"/>
  <c r="P586" i="2"/>
  <c r="O587" i="2" s="1"/>
  <c r="M49" i="2"/>
  <c r="M50" i="2" s="1"/>
  <c r="M51" i="2" s="1"/>
  <c r="M52" i="2" s="1"/>
  <c r="M53" i="2" s="1"/>
  <c r="M54" i="2" s="1"/>
  <c r="L71" i="2"/>
  <c r="O564" i="2" l="1"/>
  <c r="G20" i="5"/>
  <c r="S506" i="2"/>
  <c r="N608" i="2"/>
  <c r="W579" i="2"/>
  <c r="B34" i="5" s="1"/>
  <c r="G28" i="5"/>
  <c r="G29" i="5" s="1"/>
  <c r="L72" i="2"/>
  <c r="M27" i="5"/>
  <c r="M26" i="5"/>
  <c r="M24" i="5"/>
  <c r="M23" i="5"/>
  <c r="M25" i="5"/>
  <c r="M68" i="2"/>
  <c r="M69" i="2" s="1"/>
  <c r="P587" i="2"/>
  <c r="O588" i="2" s="1"/>
  <c r="P588" i="2" s="1"/>
  <c r="L75" i="2"/>
  <c r="L96" i="2"/>
  <c r="Q29" i="5" l="1"/>
  <c r="N5" i="2"/>
  <c r="P564" i="2"/>
  <c r="L97" i="2"/>
  <c r="M98" i="2" s="1"/>
  <c r="M99" i="2" s="1"/>
  <c r="M100" i="2" s="1"/>
  <c r="L76" i="2"/>
  <c r="T589" i="2"/>
  <c r="P589" i="2"/>
  <c r="N6" i="2" s="1"/>
  <c r="M29" i="5"/>
  <c r="M73" i="2"/>
  <c r="L82" i="2"/>
  <c r="L103" i="2" l="1"/>
  <c r="L104" i="2" s="1"/>
  <c r="L113" i="2" s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4" i="2" l="1"/>
  <c r="M105" i="2"/>
  <c r="M106" i="2" s="1"/>
  <c r="M107" i="2" s="1"/>
  <c r="M108" i="2" s="1"/>
  <c r="M109" i="2" s="1"/>
  <c r="M110" i="2" s="1"/>
  <c r="M111" i="2" s="1"/>
  <c r="L126" i="2"/>
  <c r="L127" i="2" l="1"/>
  <c r="M115" i="2"/>
  <c r="M116" i="2" s="1"/>
  <c r="M117" i="2" s="1"/>
  <c r="M118" i="2" s="1"/>
  <c r="M119" i="2" s="1"/>
  <c r="M120" i="2" s="1"/>
  <c r="M121" i="2" s="1"/>
  <c r="M122" i="2" s="1"/>
  <c r="M123" i="2" s="1"/>
  <c r="M124" i="2" s="1"/>
  <c r="L134" i="2"/>
  <c r="L135" i="2" l="1"/>
  <c r="M128" i="2"/>
  <c r="M129" i="2" s="1"/>
  <c r="M130" i="2" s="1"/>
  <c r="M131" i="2" s="1"/>
  <c r="M132" i="2" s="1"/>
  <c r="L142" i="2"/>
  <c r="L143" i="2" l="1"/>
  <c r="L151" i="2" s="1"/>
  <c r="M136" i="2"/>
  <c r="M137" i="2" s="1"/>
  <c r="M138" i="2" s="1"/>
  <c r="M139" i="2" s="1"/>
  <c r="M140" i="2" s="1"/>
  <c r="L152" i="2" l="1"/>
  <c r="M144" i="2"/>
  <c r="M145" i="2" s="1"/>
  <c r="M146" i="2" s="1"/>
  <c r="M147" i="2" s="1"/>
  <c r="M148" i="2" s="1"/>
  <c r="M149" i="2" s="1"/>
  <c r="M153" i="2" l="1"/>
  <c r="M154" i="2" s="1"/>
  <c r="M155" i="2" s="1"/>
  <c r="M156" i="2" s="1"/>
  <c r="M157" i="2" s="1"/>
  <c r="M158" i="2" s="1"/>
  <c r="L160" i="2"/>
  <c r="L169" i="2" l="1"/>
  <c r="L170" i="2" s="1"/>
  <c r="L161" i="2"/>
  <c r="M162" i="2" s="1"/>
  <c r="M163" i="2" s="1"/>
  <c r="M164" i="2" s="1"/>
  <c r="M165" i="2" s="1"/>
  <c r="M166" i="2" s="1"/>
  <c r="L177" i="2" l="1"/>
  <c r="M171" i="2"/>
  <c r="M172" i="2" s="1"/>
  <c r="M173" i="2" s="1"/>
  <c r="M174" i="2" s="1"/>
  <c r="M175" i="2" s="1"/>
  <c r="L178" i="2" l="1"/>
  <c r="M179" i="2" s="1"/>
  <c r="M180" i="2" s="1"/>
  <c r="M181" i="2" s="1"/>
  <c r="M182" i="2" s="1"/>
  <c r="M183" i="2" s="1"/>
  <c r="L185" i="2"/>
  <c r="L186" i="2" s="1"/>
  <c r="M187" i="2" l="1"/>
  <c r="M188" i="2" s="1"/>
  <c r="M189" i="2" s="1"/>
  <c r="M190" i="2" s="1"/>
  <c r="M191" i="2" s="1"/>
  <c r="L193" i="2"/>
  <c r="L200" i="2" l="1"/>
  <c r="L201" i="2" s="1"/>
  <c r="L194" i="2"/>
  <c r="M195" i="2" s="1"/>
  <c r="M196" i="2" s="1"/>
  <c r="M197" i="2" s="1"/>
  <c r="M198" i="2" s="1"/>
  <c r="M202" i="2" l="1"/>
  <c r="M203" i="2" s="1"/>
  <c r="M204" i="2" s="1"/>
  <c r="M205" i="2" s="1"/>
  <c r="M206" i="2" s="1"/>
  <c r="L208" i="2"/>
  <c r="L209" i="2" l="1"/>
  <c r="M210" i="2" s="1"/>
  <c r="M211" i="2" s="1"/>
  <c r="M212" i="2" s="1"/>
  <c r="M213" i="2" s="1"/>
  <c r="M214" i="2" s="1"/>
  <c r="M215" i="2" s="1"/>
  <c r="L218" i="2"/>
  <c r="L219" i="2" s="1"/>
  <c r="M220" i="2" l="1"/>
  <c r="M221" i="2" s="1"/>
  <c r="M222" i="2" s="1"/>
  <c r="M223" i="2" s="1"/>
  <c r="M224" i="2" s="1"/>
  <c r="M225" i="2" s="1"/>
  <c r="L227" i="2"/>
  <c r="L228" i="2" l="1"/>
  <c r="L236" i="2" l="1"/>
  <c r="M229" i="2"/>
  <c r="M230" i="2" s="1"/>
  <c r="M231" i="2" s="1"/>
  <c r="M232" i="2" s="1"/>
  <c r="M233" i="2" s="1"/>
  <c r="M234" i="2" s="1"/>
  <c r="L237" i="2" l="1"/>
  <c r="M238" i="2" l="1"/>
  <c r="M239" i="2" s="1"/>
  <c r="M240" i="2" s="1"/>
  <c r="M241" i="2" s="1"/>
  <c r="M242" i="2" s="1"/>
  <c r="L244" i="2"/>
  <c r="L252" i="2" l="1"/>
  <c r="L245" i="2"/>
  <c r="M246" i="2" s="1"/>
  <c r="M247" i="2" s="1"/>
  <c r="M248" i="2" s="1"/>
  <c r="M249" i="2" s="1"/>
  <c r="M250" i="2" s="1"/>
  <c r="L260" i="2" l="1"/>
  <c r="L253" i="2"/>
  <c r="M254" i="2" s="1"/>
  <c r="M255" i="2" s="1"/>
  <c r="M256" i="2" s="1"/>
  <c r="M257" i="2" s="1"/>
  <c r="L271" i="2" l="1"/>
  <c r="L261" i="2"/>
  <c r="M262" i="2" s="1"/>
  <c r="M263" i="2" s="1"/>
  <c r="M264" i="2" s="1"/>
  <c r="M265" i="2" s="1"/>
  <c r="M266" i="2" s="1"/>
  <c r="M267" i="2" s="1"/>
  <c r="M268" i="2" s="1"/>
  <c r="M269" i="2" s="1"/>
  <c r="L279" i="2" l="1"/>
  <c r="L272" i="2"/>
  <c r="M273" i="2" s="1"/>
  <c r="M274" i="2" s="1"/>
  <c r="M275" i="2" s="1"/>
  <c r="M276" i="2" s="1"/>
  <c r="M277" i="2" s="1"/>
  <c r="L290" i="2" l="1"/>
  <c r="L280" i="2"/>
  <c r="M281" i="2" s="1"/>
  <c r="M282" i="2" s="1"/>
  <c r="M283" i="2" s="1"/>
  <c r="M284" i="2" s="1"/>
  <c r="M285" i="2" s="1"/>
  <c r="M286" i="2" s="1"/>
  <c r="M287" i="2" s="1"/>
  <c r="M288" i="2" s="1"/>
  <c r="L303" i="2" l="1"/>
  <c r="L291" i="2"/>
  <c r="M292" i="2" s="1"/>
  <c r="M293" i="2" s="1"/>
  <c r="M294" i="2" s="1"/>
  <c r="M295" i="2" s="1"/>
  <c r="M296" i="2" s="1"/>
  <c r="M297" i="2" s="1"/>
  <c r="M298" i="2" s="1"/>
  <c r="M299" i="2" s="1"/>
  <c r="M300" i="2" s="1"/>
  <c r="L311" i="2" l="1"/>
  <c r="L304" i="2"/>
  <c r="L312" i="2" l="1"/>
  <c r="M313" i="2" s="1"/>
  <c r="M314" i="2" s="1"/>
  <c r="M315" i="2" s="1"/>
  <c r="M316" i="2" s="1"/>
  <c r="L319" i="2"/>
  <c r="M305" i="2"/>
  <c r="M306" i="2" s="1"/>
  <c r="M307" i="2" s="1"/>
  <c r="M308" i="2" s="1"/>
  <c r="M309" i="2" s="1"/>
  <c r="L320" i="2" l="1"/>
  <c r="M321" i="2" s="1"/>
  <c r="M322" i="2" s="1"/>
  <c r="M323" i="2" s="1"/>
  <c r="M324" i="2" s="1"/>
  <c r="M325" i="2" s="1"/>
  <c r="L327" i="2"/>
  <c r="L328" i="2" l="1"/>
  <c r="L333" i="2" l="1"/>
  <c r="M329" i="2"/>
  <c r="M330" i="2" s="1"/>
  <c r="M331" i="2" s="1"/>
  <c r="L339" i="2" l="1"/>
  <c r="L334" i="2"/>
  <c r="M335" i="2" s="1"/>
  <c r="M336" i="2" s="1"/>
  <c r="M337" i="2" s="1"/>
  <c r="L340" i="2" l="1"/>
  <c r="M341" i="2" s="1"/>
  <c r="M342" i="2" s="1"/>
  <c r="L344" i="2"/>
  <c r="L350" i="2" l="1"/>
  <c r="L345" i="2"/>
  <c r="M346" i="2" s="1"/>
  <c r="M347" i="2" s="1"/>
  <c r="L360" i="2" l="1"/>
  <c r="L351" i="2"/>
  <c r="L361" i="2" l="1"/>
  <c r="M362" i="2" s="1"/>
  <c r="M363" i="2" s="1"/>
  <c r="M364" i="2" s="1"/>
  <c r="M365" i="2" s="1"/>
  <c r="M366" i="2" s="1"/>
  <c r="M367" i="2" s="1"/>
  <c r="M368" i="2" s="1"/>
  <c r="L370" i="2"/>
  <c r="M352" i="2"/>
  <c r="M353" i="2" s="1"/>
  <c r="M354" i="2" s="1"/>
  <c r="M355" i="2" s="1"/>
  <c r="M356" i="2" s="1"/>
  <c r="M357" i="2" s="1"/>
  <c r="M358" i="2" s="1"/>
  <c r="L384" i="2" l="1"/>
  <c r="L371" i="2"/>
  <c r="M372" i="2" s="1"/>
  <c r="M373" i="2" s="1"/>
  <c r="M374" i="2" s="1"/>
  <c r="M375" i="2" s="1"/>
  <c r="M376" i="2" s="1"/>
  <c r="M377" i="2" s="1"/>
  <c r="M378" i="2" s="1"/>
  <c r="M379" i="2" s="1"/>
  <c r="M380" i="2" s="1"/>
  <c r="M381" i="2" s="1"/>
  <c r="M382" i="2" s="1"/>
  <c r="L720" i="2"/>
  <c r="L721" i="2" s="1"/>
  <c r="M722" i="2" s="1"/>
  <c r="L395" i="2" l="1"/>
  <c r="L385" i="2"/>
  <c r="M386" i="2" s="1"/>
  <c r="M387" i="2" s="1"/>
  <c r="M388" i="2" s="1"/>
  <c r="M389" i="2" s="1"/>
  <c r="M390" i="2" s="1"/>
  <c r="M391" i="2" s="1"/>
  <c r="M392" i="2" s="1"/>
  <c r="M393" i="2" s="1"/>
  <c r="L396" i="2" l="1"/>
  <c r="L407" i="2" l="1"/>
  <c r="M397" i="2"/>
  <c r="M398" i="2" s="1"/>
  <c r="M399" i="2" s="1"/>
  <c r="M400" i="2" s="1"/>
  <c r="M401" i="2" s="1"/>
  <c r="M402" i="2" s="1"/>
  <c r="M403" i="2" s="1"/>
  <c r="M404" i="2" s="1"/>
  <c r="M405" i="2" s="1"/>
  <c r="L415" i="2" l="1"/>
  <c r="L408" i="2"/>
  <c r="M409" i="2" s="1"/>
  <c r="M410" i="2" s="1"/>
  <c r="M411" i="2" s="1"/>
  <c r="M412" i="2" s="1"/>
  <c r="M413" i="2" s="1"/>
  <c r="L416" i="2" l="1"/>
  <c r="L426" i="2" l="1"/>
  <c r="M417" i="2"/>
  <c r="M418" i="2" s="1"/>
  <c r="M419" i="2" s="1"/>
  <c r="M420" i="2" s="1"/>
  <c r="M421" i="2" s="1"/>
  <c r="M422" i="2" s="1"/>
  <c r="M423" i="2" s="1"/>
  <c r="L436" i="2" l="1"/>
  <c r="L437" i="2" s="1"/>
  <c r="L427" i="2"/>
  <c r="M428" i="2" l="1"/>
  <c r="M429" i="2" s="1"/>
  <c r="M430" i="2" s="1"/>
  <c r="M438" i="2"/>
  <c r="M439" i="2" s="1"/>
  <c r="L442" i="2"/>
  <c r="L443" i="2" l="1"/>
  <c r="L449" i="2" l="1"/>
  <c r="M444" i="2"/>
  <c r="M445" i="2" s="1"/>
  <c r="M446" i="2" s="1"/>
  <c r="M447" i="2" s="1"/>
  <c r="L454" i="2" l="1"/>
  <c r="L450" i="2"/>
  <c r="M451" i="2" s="1"/>
  <c r="M452" i="2" s="1"/>
  <c r="L455" i="2" l="1"/>
  <c r="L461" i="2" l="1"/>
  <c r="M456" i="2"/>
  <c r="M457" i="2" s="1"/>
  <c r="M458" i="2" s="1"/>
  <c r="M459" i="2" s="1"/>
  <c r="L473" i="2" l="1"/>
  <c r="L462" i="2"/>
  <c r="L478" i="2" l="1"/>
  <c r="L474" i="2"/>
  <c r="M475" i="2" s="1"/>
  <c r="M476" i="2" s="1"/>
  <c r="M463" i="2"/>
  <c r="M464" i="2" s="1"/>
  <c r="M465" i="2" s="1"/>
  <c r="M466" i="2" s="1"/>
  <c r="M467" i="2" s="1"/>
  <c r="M468" i="2" s="1"/>
  <c r="L484" i="2" l="1"/>
  <c r="L479" i="2"/>
  <c r="M480" i="2" s="1"/>
  <c r="M481" i="2" s="1"/>
  <c r="M482" i="2" s="1"/>
  <c r="L491" i="2" l="1"/>
  <c r="L485" i="2"/>
  <c r="M486" i="2" s="1"/>
  <c r="M487" i="2" s="1"/>
  <c r="M488" i="2" s="1"/>
  <c r="M489" i="2" s="1"/>
  <c r="L492" i="2" l="1"/>
  <c r="M493" i="2" s="1"/>
  <c r="M494" i="2" s="1"/>
  <c r="M495" i="2" s="1"/>
  <c r="M496" i="2" s="1"/>
  <c r="L501" i="2"/>
  <c r="L502" i="2" s="1"/>
  <c r="M503" i="2" s="1"/>
</calcChain>
</file>

<file path=xl/sharedStrings.xml><?xml version="1.0" encoding="utf-8"?>
<sst xmlns="http://schemas.openxmlformats.org/spreadsheetml/2006/main" count="3448" uniqueCount="1288">
  <si>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</si>
  <si>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</si>
  <si>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</si>
  <si>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</si>
  <si>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</si>
  <si>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</si>
  <si>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</si>
  <si>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</si>
  <si>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</si>
  <si>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</si>
  <si>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</si>
  <si>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</si>
  <si>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</si>
  <si>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</si>
  <si>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</si>
  <si>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</si>
  <si>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</si>
  <si>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</si>
  <si>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</si>
  <si>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</si>
  <si>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</si>
  <si>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</si>
  <si>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</si>
  <si>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</si>
  <si>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</si>
  <si>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</si>
  <si>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</si>
  <si>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</si>
  <si>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</si>
  <si>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</si>
  <si>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</si>
  <si>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</si>
  <si>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</si>
  <si>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</si>
  <si>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</si>
  <si>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</si>
  <si>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</si>
  <si>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</si>
  <si>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</si>
  <si>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</si>
  <si>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</si>
  <si>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</si>
  <si>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</si>
  <si>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</si>
  <si>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</si>
  <si>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</si>
  <si>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</si>
  <si>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</si>
  <si>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</si>
  <si>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</si>
  <si>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</si>
  <si>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</si>
  <si>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</si>
  <si>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</si>
  <si>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</si>
  <si>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</si>
  <si>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</si>
  <si>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</si>
  <si>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</si>
  <si>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</si>
  <si>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</si>
  <si>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</si>
  <si>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</si>
  <si>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</si>
  <si>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</si>
  <si>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</si>
  <si>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</si>
  <si>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</si>
  <si>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</si>
  <si>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</si>
  <si>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</si>
  <si>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</si>
  <si>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</si>
  <si>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</si>
  <si>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</si>
  <si>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</si>
  <si>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</si>
  <si>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</si>
  <si>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</si>
  <si>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</si>
  <si>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</si>
  <si>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</si>
  <si>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</si>
  <si>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</si>
  <si>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</si>
  <si>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</si>
  <si>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</si>
  <si>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</si>
  <si>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</si>
  <si>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</si>
  <si>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</si>
  <si>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</si>
  <si>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</si>
  <si>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</si>
  <si>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</si>
  <si>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</si>
  <si>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</si>
  <si>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</si>
  <si>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</si>
  <si>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</si>
  <si>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</si>
  <si>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</si>
  <si>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</si>
  <si>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</si>
  <si>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</si>
  <si>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</si>
  <si>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</si>
  <si>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</si>
  <si>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</si>
  <si>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</si>
  <si>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</si>
  <si>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</si>
  <si>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</si>
  <si>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</si>
  <si>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</si>
  <si>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</si>
  <si>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</si>
  <si>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</si>
  <si>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</si>
  <si>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</si>
  <si>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</si>
  <si>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</si>
  <si>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</si>
  <si>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</si>
  <si>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</si>
  <si>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</si>
  <si>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</si>
  <si>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</si>
  <si>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</si>
  <si>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</si>
  <si>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</si>
  <si>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</si>
  <si>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</si>
  <si>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</si>
  <si>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</si>
  <si>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</si>
  <si>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</si>
  <si>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</si>
  <si>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</si>
  <si>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</si>
  <si>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</si>
  <si>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</si>
  <si>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</si>
  <si>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</si>
  <si>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</si>
  <si>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</si>
  <si>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</si>
  <si>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</si>
  <si>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</si>
  <si>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</si>
  <si>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</si>
  <si>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</si>
  <si>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</si>
  <si>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</si>
  <si>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</si>
  <si>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</si>
  <si>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</si>
  <si>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</si>
  <si>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</si>
  <si>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</si>
  <si>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</si>
  <si>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</si>
  <si>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</si>
  <si>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</si>
  <si>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</si>
  <si>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</si>
  <si>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</si>
  <si>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</si>
  <si>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</si>
  <si>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</si>
  <si>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</si>
  <si>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</si>
  <si>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</si>
  <si>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</si>
  <si>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</si>
  <si>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</si>
  <si>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</si>
  <si>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</si>
  <si>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</si>
  <si>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</si>
  <si>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</si>
  <si>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</si>
  <si>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</si>
  <si>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</si>
  <si>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</si>
  <si>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</si>
  <si>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</si>
  <si>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</si>
  <si>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</si>
  <si>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</si>
  <si>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</si>
  <si>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</si>
  <si>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</si>
  <si>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</si>
  <si>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</si>
  <si>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</si>
  <si>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</si>
  <si>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</si>
  <si>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</si>
  <si>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</si>
  <si>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</si>
  <si>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</si>
  <si>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</si>
  <si>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</si>
  <si>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</si>
  <si>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</si>
  <si>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</si>
  <si>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</si>
  <si>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</si>
  <si>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</si>
  <si>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</si>
  <si>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</si>
  <si>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</si>
  <si>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</si>
  <si>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</si>
  <si>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</si>
  <si>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</si>
  <si>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</si>
  <si>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</si>
  <si>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</si>
  <si>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</si>
  <si>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</si>
  <si>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</si>
  <si>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</si>
  <si>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</si>
  <si>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</si>
  <si>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</si>
  <si>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</si>
  <si>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</si>
  <si>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</si>
  <si>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</si>
  <si>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</si>
  <si>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</si>
  <si>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</si>
  <si>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</si>
  <si>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</si>
  <si>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</si>
  <si>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</si>
  <si>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</si>
  <si>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</si>
  <si>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</si>
  <si>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</si>
  <si>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</si>
  <si>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</si>
  <si>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</si>
  <si>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</si>
  <si>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</si>
  <si>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</si>
  <si>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</si>
  <si>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</si>
  <si>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</si>
  <si>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</si>
  <si>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</si>
  <si>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</si>
  <si>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</si>
  <si>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</si>
  <si>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</si>
  <si>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</si>
  <si>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</si>
  <si>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</si>
  <si>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</si>
  <si>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</si>
  <si>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</si>
  <si>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</si>
  <si>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</si>
  <si>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</si>
  <si>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</si>
  <si>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</si>
  <si>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</si>
  <si>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</si>
  <si>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</si>
  <si>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</si>
  <si>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</si>
  <si>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</si>
  <si>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</si>
  <si>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</si>
  <si>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</si>
  <si>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</si>
  <si>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</si>
  <si>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</si>
  <si>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</si>
  <si>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</si>
  <si>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</si>
  <si>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</si>
  <si>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</si>
  <si>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</si>
  <si>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</si>
  <si>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</si>
  <si>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</si>
  <si>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</si>
  <si>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</si>
  <si>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</si>
  <si>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</si>
  <si>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</si>
  <si>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</si>
  <si>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</si>
  <si>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</si>
  <si>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</si>
  <si>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</si>
  <si>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</si>
  <si>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</si>
  <si>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</si>
  <si>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</si>
  <si>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</si>
  <si>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</si>
  <si>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</si>
  <si>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</si>
  <si>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</si>
  <si>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</si>
  <si>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</si>
  <si>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</si>
  <si>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</si>
  <si>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</si>
  <si>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</si>
  <si>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</si>
  <si>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</si>
  <si>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</si>
  <si>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</si>
  <si>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</si>
  <si>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</si>
  <si>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</si>
  <si>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</si>
  <si>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</si>
  <si>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</si>
  <si>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</si>
  <si>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</si>
  <si>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</si>
  <si>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</si>
  <si>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</si>
  <si>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</si>
  <si>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</si>
  <si>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</si>
  <si>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</si>
  <si>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</si>
  <si>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</si>
  <si>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</si>
  <si>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</si>
  <si>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</si>
  <si>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</si>
  <si>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</si>
  <si>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</si>
  <si>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</si>
  <si>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</si>
  <si>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</si>
  <si>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</si>
  <si>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</si>
  <si>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</si>
  <si>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</si>
  <si>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</si>
  <si>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</si>
  <si>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</si>
  <si>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</si>
  <si>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</si>
  <si>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</si>
  <si>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</si>
  <si>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</si>
  <si>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</si>
  <si>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</si>
  <si>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</si>
  <si>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</si>
  <si>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</si>
  <si>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</si>
  <si>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</si>
  <si>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</si>
  <si>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</si>
  <si>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</si>
  <si>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</si>
  <si>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</si>
  <si>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</si>
  <si>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</si>
  <si>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</si>
  <si>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</si>
  <si>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</si>
  <si>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</si>
  <si>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</si>
  <si>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</si>
  <si>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</si>
  <si>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</si>
  <si>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</si>
  <si>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</si>
  <si>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</si>
  <si>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</si>
  <si>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</si>
  <si>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</si>
  <si>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</si>
  <si>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</si>
  <si>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</si>
  <si>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</si>
  <si>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</si>
  <si>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</si>
  <si>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</si>
  <si>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</si>
  <si>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</si>
  <si>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</si>
  <si>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</si>
  <si>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</si>
  <si>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</si>
  <si>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</si>
  <si>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</si>
  <si>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</si>
  <si>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</si>
  <si>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</si>
  <si>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</si>
  <si>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</si>
  <si>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</si>
  <si>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</si>
  <si>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</si>
  <si>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</si>
  <si>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</si>
  <si>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</si>
  <si>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</si>
  <si>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</si>
  <si>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</si>
  <si>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</si>
  <si>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</si>
  <si>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</si>
  <si>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</si>
  <si>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</si>
  <si>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</si>
  <si>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</si>
  <si>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</si>
  <si>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</si>
  <si>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</si>
  <si>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</si>
  <si>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</si>
  <si>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</si>
  <si>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</si>
  <si>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</si>
  <si>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</si>
  <si>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</si>
  <si>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</si>
  <si>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</si>
  <si>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</si>
  <si>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</si>
  <si>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</si>
  <si>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</si>
  <si>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</si>
  <si>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</si>
  <si>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</si>
  <si>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</si>
  <si>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</si>
  <si>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</si>
  <si>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</si>
  <si>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</si>
  <si>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</si>
  <si>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</si>
  <si>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</si>
  <si>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</si>
  <si>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</si>
  <si>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</si>
  <si>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</si>
  <si>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</si>
  <si>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</si>
  <si>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</si>
  <si>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</si>
  <si>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</si>
  <si>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</si>
  <si>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</si>
  <si>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</si>
  <si>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</si>
  <si>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</si>
  <si>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</si>
  <si>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</si>
  <si>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</si>
  <si>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</si>
  <si>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</si>
  <si>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</si>
  <si>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</si>
  <si>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</si>
  <si>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</si>
  <si>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</si>
  <si>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</si>
  <si>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</si>
  <si>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</si>
  <si>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</si>
  <si>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</si>
  <si>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</si>
  <si>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</si>
  <si>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</si>
  <si>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</si>
  <si>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</si>
  <si>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</si>
  <si>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</si>
  <si>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</si>
  <si>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</si>
  <si>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</si>
  <si>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</si>
  <si>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</si>
  <si>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</si>
  <si>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</si>
  <si>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</si>
  <si>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</si>
  <si>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</si>
  <si>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</si>
  <si>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</si>
  <si>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</si>
  <si>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</si>
  <si>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</si>
  <si>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</si>
  <si>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</si>
  <si>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</si>
  <si>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</si>
  <si>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</si>
  <si>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</si>
  <si>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</si>
  <si>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</si>
  <si>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</si>
  <si>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</si>
  <si>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</si>
  <si>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</si>
  <si>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</si>
  <si>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</si>
  <si>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</si>
  <si>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</si>
  <si>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</si>
  <si>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</si>
  <si>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</si>
  <si>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</si>
  <si>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</si>
  <si>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</si>
  <si>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</si>
  <si>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</si>
  <si>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</si>
  <si>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</si>
  <si>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</si>
  <si>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</si>
  <si>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</si>
  <si>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</si>
  <si>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</si>
  <si>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</si>
  <si>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</si>
  <si>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</si>
  <si>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</si>
  <si>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</si>
  <si>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</si>
  <si>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</si>
  <si>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</si>
  <si>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</si>
  <si>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</si>
  <si>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</si>
  <si>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</si>
  <si>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</si>
  <si>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</si>
  <si>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</si>
  <si>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</si>
  <si>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</si>
  <si>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</si>
  <si>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</si>
  <si>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</si>
  <si>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</si>
  <si>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</si>
  <si>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</si>
  <si>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</si>
  <si>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</si>
  <si>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</si>
  <si>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</si>
  <si>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</si>
  <si>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</si>
  <si>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</si>
  <si>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</si>
  <si>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</si>
  <si>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</si>
  <si>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</si>
  <si>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</si>
  <si>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</si>
  <si>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</si>
  <si>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</si>
  <si>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</si>
  <si>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</si>
  <si>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</si>
  <si>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</si>
  <si>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</si>
  <si>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</si>
  <si>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</si>
  <si>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</si>
  <si>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</si>
  <si>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</si>
  <si>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</si>
  <si>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</si>
  <si>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</si>
  <si>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</si>
  <si>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</si>
  <si>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</si>
  <si>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</si>
  <si>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</si>
  <si>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</si>
  <si>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</si>
  <si>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</si>
  <si>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</si>
  <si>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</si>
  <si>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</si>
  <si>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</si>
  <si>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</si>
  <si>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</si>
  <si>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</si>
  <si>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</si>
  <si>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</si>
  <si>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</si>
  <si>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</si>
  <si>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</si>
  <si>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</si>
  <si>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</si>
  <si>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</si>
  <si>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</si>
  <si>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</si>
  <si>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</si>
  <si>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</si>
  <si>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</si>
  <si>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</si>
  <si>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</si>
  <si>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</si>
  <si>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</si>
  <si>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</si>
  <si>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</si>
  <si>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</si>
  <si>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</si>
  <si>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</si>
  <si>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</si>
  <si>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</si>
  <si>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</si>
  <si>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</si>
  <si>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</si>
  <si>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</si>
  <si>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</si>
  <si>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</si>
  <si>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</si>
  <si>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</si>
  <si>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</si>
  <si>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</si>
  <si>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</si>
  <si>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</si>
  <si>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</si>
  <si>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</si>
  <si>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</si>
  <si>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</si>
  <si>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</si>
  <si>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</si>
  <si>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</si>
  <si>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</si>
  <si>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</si>
  <si>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</si>
  <si>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</si>
  <si>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</si>
  <si>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</si>
  <si>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</si>
  <si>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</si>
  <si>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</si>
  <si>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</si>
  <si>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</si>
  <si>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</si>
  <si>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</si>
  <si>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</si>
  <si>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</si>
  <si>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</si>
  <si>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</si>
  <si>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</si>
  <si>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</si>
  <si>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</si>
  <si>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</si>
  <si>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</si>
  <si>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</si>
  <si>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</si>
  <si>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</si>
  <si>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</si>
  <si>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</si>
  <si>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</si>
  <si>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</si>
  <si>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</si>
  <si>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</si>
  <si>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</si>
  <si>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</si>
  <si>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</si>
  <si>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</si>
  <si>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</si>
  <si>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</si>
  <si>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</si>
  <si>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</si>
  <si>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</si>
  <si>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</si>
  <si>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</si>
  <si>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</si>
  <si>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</si>
  <si>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</si>
  <si>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</si>
  <si>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</si>
  <si>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</si>
  <si>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</si>
  <si>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</si>
  <si>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</si>
  <si>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</si>
  <si>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</si>
  <si>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</si>
  <si>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</si>
  <si>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</si>
  <si>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</si>
  <si>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</si>
  <si>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</si>
  <si>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</si>
  <si>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</si>
  <si>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</si>
  <si>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</si>
  <si>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</si>
  <si>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</si>
  <si>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</si>
  <si>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</si>
  <si>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</si>
  <si>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</si>
  <si>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</si>
  <si>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</si>
  <si>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</si>
  <si>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</si>
  <si>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</si>
  <si>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</si>
  <si>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</si>
  <si>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</si>
  <si>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</si>
  <si>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</si>
  <si>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</si>
  <si>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</si>
  <si>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</si>
  <si>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</si>
  <si>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</si>
  <si>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</si>
  <si>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</si>
  <si>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</si>
  <si>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</si>
  <si>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</si>
  <si>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</si>
  <si>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</si>
  <si>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</si>
  <si>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</si>
  <si>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</si>
  <si>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</si>
  <si>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</si>
  <si>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</si>
  <si>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</si>
  <si>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</si>
  <si>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</si>
  <si>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</si>
  <si>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</si>
  <si>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</si>
  <si>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</si>
  <si>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</si>
  <si>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</si>
  <si>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</si>
  <si>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</si>
  <si>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</si>
  <si>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</si>
  <si>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</si>
  <si>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</si>
  <si>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</si>
  <si>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</si>
  <si>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</si>
  <si>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</si>
  <si>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</si>
  <si>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</si>
  <si>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</si>
  <si>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</si>
  <si>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</si>
  <si>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</si>
  <si>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</si>
  <si>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</si>
  <si>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</si>
  <si>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</si>
  <si>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</si>
  <si>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</si>
  <si>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</si>
  <si>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</si>
  <si>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</si>
  <si>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</si>
  <si>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</si>
  <si>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</si>
  <si>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</si>
  <si>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</si>
  <si>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</si>
  <si>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</si>
  <si>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</si>
  <si>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</si>
  <si>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</si>
  <si>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</si>
  <si>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</si>
  <si>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</si>
  <si>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</si>
  <si>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</si>
  <si>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</si>
  <si>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</si>
  <si>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</si>
  <si>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</si>
  <si>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</si>
  <si>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</si>
  <si>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</si>
  <si>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</si>
  <si>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</si>
  <si>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</si>
  <si>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</si>
  <si>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</si>
  <si>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</si>
  <si>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</si>
  <si>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</si>
  <si>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</si>
  <si>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</si>
  <si>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</si>
  <si>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</si>
  <si>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</si>
  <si>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</si>
  <si>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</si>
  <si>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</si>
  <si>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</si>
  <si>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</si>
  <si>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</si>
  <si>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</si>
  <si>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</si>
  <si>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</si>
  <si>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</si>
  <si>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</si>
  <si>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</si>
  <si>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</si>
  <si>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</si>
  <si>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</si>
  <si>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</si>
  <si>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</si>
  <si>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</si>
  <si>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</si>
  <si>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</si>
  <si>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</si>
  <si>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</si>
  <si>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</si>
  <si>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</si>
  <si>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</si>
  <si>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</si>
  <si>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</si>
  <si>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</si>
  <si>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</si>
  <si>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</si>
  <si>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</si>
  <si>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</si>
  <si>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</si>
  <si>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</si>
  <si>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</si>
  <si>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</si>
  <si>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</si>
  <si>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</si>
  <si>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</si>
  <si>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</si>
  <si>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</si>
  <si>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</si>
  <si>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</si>
  <si>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</si>
  <si>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</si>
  <si>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</si>
  <si>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</si>
  <si>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</si>
  <si>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</si>
  <si>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</si>
  <si>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</si>
  <si>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</si>
  <si>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</si>
  <si>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</si>
  <si>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</si>
  <si>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</si>
  <si>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</si>
  <si>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</si>
  <si>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</si>
  <si>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</si>
  <si>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</si>
  <si>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</si>
  <si>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</si>
  <si>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</si>
  <si>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</si>
  <si>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</si>
  <si>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</si>
  <si>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</si>
  <si>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</si>
  <si>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</si>
  <si>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</si>
  <si>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</si>
  <si>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</si>
  <si>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</si>
  <si>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</si>
  <si>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</si>
  <si>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</si>
  <si>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</si>
  <si>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</si>
  <si>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</si>
  <si>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</si>
  <si>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</si>
  <si>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</si>
  <si>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</si>
  <si>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</si>
  <si>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</si>
  <si>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</si>
  <si>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</si>
  <si>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</si>
  <si>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</si>
  <si>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</si>
  <si>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</si>
  <si>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</si>
  <si>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</si>
  <si>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</si>
  <si>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</si>
  <si>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</si>
  <si>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</si>
  <si>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</si>
  <si>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</si>
  <si>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</si>
  <si>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</si>
  <si>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</si>
  <si>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</si>
  <si>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</si>
  <si>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</si>
  <si>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</si>
  <si>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</si>
  <si>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</si>
  <si>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</si>
  <si>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</si>
  <si>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</si>
  <si>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</si>
  <si>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</si>
  <si>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</si>
  <si>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</si>
  <si>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</si>
  <si>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</si>
  <si>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</si>
  <si>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</si>
  <si>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</si>
  <si>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</si>
  <si>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</si>
  <si>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</si>
  <si>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</si>
  <si>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</si>
  <si>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</si>
  <si>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</si>
  <si>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</si>
  <si>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</si>
  <si>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</si>
  <si>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</si>
  <si>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</si>
  <si>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</si>
  <si>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</si>
  <si>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</si>
  <si>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</si>
  <si>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</si>
  <si>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</si>
  <si>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</si>
  <si>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</si>
  <si>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</si>
  <si>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</si>
  <si>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</si>
  <si>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</si>
  <si>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</si>
  <si>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</si>
  <si>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</si>
  <si>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</si>
  <si>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</si>
  <si>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</si>
  <si>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</si>
  <si>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</si>
  <si>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</si>
  <si>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</si>
  <si>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</si>
  <si>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</si>
  <si>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</si>
  <si>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</si>
  <si>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</si>
  <si>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</si>
  <si>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</si>
  <si>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</si>
  <si>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</si>
  <si>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</si>
  <si>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</si>
  <si>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</si>
  <si>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</si>
  <si>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</si>
  <si>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</si>
  <si>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</si>
  <si>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</si>
  <si>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</si>
  <si>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</si>
  <si>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</si>
  <si>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</si>
  <si>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</si>
  <si>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</si>
  <si>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</si>
  <si>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</si>
  <si>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</si>
  <si>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</si>
  <si>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</si>
  <si>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</si>
  <si>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</si>
  <si>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</si>
  <si>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</si>
  <si>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</si>
  <si>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</si>
  <si>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</si>
  <si>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</si>
  <si>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</si>
  <si>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</si>
  <si>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</si>
  <si>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</si>
  <si>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</si>
  <si>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</si>
  <si>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</si>
  <si>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</si>
  <si>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</si>
  <si>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</si>
  <si>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</si>
  <si>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</si>
  <si>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</si>
  <si>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</si>
  <si>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</si>
  <si>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</si>
  <si>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</si>
  <si>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</si>
  <si>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</si>
  <si>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</si>
  <si>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</si>
  <si>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</si>
  <si>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</si>
  <si>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</si>
  <si>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</si>
  <si>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</si>
  <si>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</si>
  <si>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</si>
  <si>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</si>
  <si>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</si>
  <si>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</si>
  <si>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</si>
  <si>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</si>
  <si>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</si>
  <si>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</si>
  <si>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</si>
  <si>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</si>
  <si>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</si>
  <si>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</si>
  <si>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</si>
  <si>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</si>
  <si>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</si>
  <si>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</si>
  <si>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</si>
  <si>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</si>
  <si>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</si>
  <si>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</si>
  <si>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</si>
  <si>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</si>
  <si>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</si>
  <si>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</si>
  <si>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</si>
  <si>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</si>
  <si>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</si>
  <si>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</si>
  <si>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</si>
  <si>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</si>
  <si>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</si>
  <si>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</si>
  <si>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</si>
  <si>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</si>
  <si>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</si>
  <si>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</si>
  <si>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</si>
  <si>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</si>
  <si>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</si>
  <si>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</si>
  <si>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</si>
  <si>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</si>
  <si>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</si>
  <si>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</si>
  <si>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</si>
  <si>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</si>
  <si>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</si>
  <si>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</si>
  <si>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</si>
  <si>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</si>
  <si>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</si>
  <si>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</si>
  <si>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</si>
  <si>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</si>
  <si>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</si>
  <si>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</si>
  <si>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</si>
  <si>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</si>
  <si>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</si>
  <si>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</si>
  <si>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</si>
  <si>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</si>
  <si>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</si>
  <si>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</si>
  <si>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</si>
  <si>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</si>
  <si>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</si>
  <si>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</si>
  <si>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</si>
  <si>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</si>
  <si>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</si>
  <si>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</si>
  <si>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</si>
  <si>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</si>
  <si>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</si>
  <si>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</si>
  <si>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</si>
  <si>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</si>
  <si>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</si>
  <si>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</si>
  <si>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</si>
  <si>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</si>
  <si>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</si>
  <si>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</si>
  <si>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</si>
  <si>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</si>
  <si>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</si>
  <si>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</si>
  <si>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</si>
  <si>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</si>
  <si>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Claim ageing &amp; escalation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</si>
  <si>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</si>
  <si>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</si>
  <si>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</si>
  <si>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</si>
  <si>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</si>
  <si>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</si>
  <si>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</si>
  <si>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</si>
  <si>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</si>
  <si>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</si>
  <si>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</si>
  <si>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</si>
  <si>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</si>
  <si>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</si>
  <si>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</si>
  <si>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</si>
  <si>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</si>
  <si>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</si>
  <si>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</si>
  <si>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</si>
  <si>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</si>
  <si>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</si>
  <si>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</si>
  <si>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</si>
  <si>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</si>
  <si>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</si>
  <si>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</si>
  <si>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</si>
  <si>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</si>
  <si>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</si>
  <si>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</si>
  <si>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</si>
  <si>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</si>
  <si>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</si>
  <si>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</si>
  <si>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</si>
  <si>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</si>
  <si>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</si>
  <si>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</si>
  <si>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</si>
  <si>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</si>
  <si>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</si>
  <si>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</si>
  <si>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</si>
  <si>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</si>
  <si>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</si>
  <si>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</si>
  <si>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</si>
  <si>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</si>
  <si>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</si>
  <si>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</si>
  <si>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</si>
  <si>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</si>
  <si>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</si>
  <si>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</si>
  <si>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</si>
  <si>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</si>
  <si>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</si>
  <si>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</si>
  <si>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</si>
  <si>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</si>
  <si>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</si>
  <si>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</si>
  <si>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</si>
  <si>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</si>
  <si>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</si>
  <si>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</si>
  <si>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</si>
  <si>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</si>
  <si>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</si>
  <si>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</si>
  <si>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 xml:space="preserve">   PM effort = Section F on TL (80%) with architecture governance on TA (20%), plus PM coordination shares in A–E; DevOps effort sits inside DEV.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</si>
  <si>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</si>
  <si>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</si>
  <si>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</si>
  <si>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</si>
  <si>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</si>
  <si>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</si>
  <si>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</si>
  <si>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</si>
  <si>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</si>
  <si>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</si>
  <si>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</si>
  <si>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</si>
  <si>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</si>
  <si>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</si>
  <si>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</si>
  <si>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</si>
  <si>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</si>
  <si>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7. The us-east-2 warm standby (SAD §4, Deployment Topology) is in Phase 1: 28 PD, of which 20 are build (C7), 4 the staging game day (D5.5), 2 the production drill (E3.2) and 2 PM. Multi-Region active-active is out of scope.</t>
  </si>
  <si>
    <t>FR-49</t>
  </si>
  <si>
    <t>Customer profile changes (correspondence address, billing cycle) passed to the Policy Administration System</t>
  </si>
  <si>
    <t>FR-50</t>
  </si>
  <si>
    <t>Fraud flagging and the Fraud Review hold</t>
  </si>
  <si>
    <t>FR-51</t>
  </si>
  <si>
    <t>Claim withdrawal and reopening</t>
  </si>
  <si>
    <t>FR-52</t>
  </si>
  <si>
    <t>Claim SLA and ageing alerts with escalation</t>
  </si>
  <si>
    <t>FR-53</t>
  </si>
  <si>
    <t>Payout onboarding for workshops and customers (Stripe Connect)</t>
  </si>
  <si>
    <t>FR-54</t>
  </si>
  <si>
    <t>Administration</t>
  </si>
  <si>
    <t>Administration of role permissions, workflow and fraud rules and SLA thresholds</t>
  </si>
  <si>
    <t>Security scans: Semgrep, pip-audit, npm audit and gitleaks in the build, Checkov on Terraform, Inspector findings on ECR images; a critical finding fails the stage</t>
  </si>
  <si>
    <t>SAD §4 CI/CD Pipeline, stage 1</t>
  </si>
  <si>
    <t>Pre-production stage: deploy to the development then the staging account; Alembic migration as a one-off ECS task, expand-then-contract; portal bundles to S3 with a CloudFront invalidation</t>
  </si>
  <si>
    <t>SAD §4 CI/CD Pipeline, stage 3</t>
  </si>
  <si>
    <t>Staging gates and release approval: integration tests, a short k6 run at the design point and an OWASP ZAP scan; manual release approval; canaries and alarms roll a production deploy back</t>
  </si>
  <si>
    <t>SAD §4 CI/CD Pipeline, stages 3-5</t>
  </si>
  <si>
    <t>Database per service: ten databases, each with its own credentials in Secrets Manager; RDS Proxy; in-Region read replica with read routing for status reads, assignment workload, fraud history and the SLA scan</t>
  </si>
  <si>
    <t>SAD §4 Layer 5</t>
  </si>
  <si>
    <t>Cross-Region data replication: RDS read replica, OpenSearch cross-cluster replication over VPC peering, S3 Cross-Region Replication incl. the Object Lock archive, Secrets Manager replica secrets, us-east-2 KMS keys; the Audit DB cross-Region replica and RDS Proxy in us-east-2</t>
  </si>
  <si>
    <t>Failover and failback runbook: promote the database and audit replicas and their secrets, pre-scale, flip the routing controls, re-drive in-flight claims from database status, fail back after re-seeding</t>
  </si>
  <si>
    <t>Security, backup and monitoring baseline (accounts, GuardDuty, Security Hub, Backup, Synthetics)</t>
  </si>
  <si>
    <t>SAD §4 Layer 6; findings, not penetration testing (still excluded at B 4.3)</t>
  </si>
  <si>
    <t>AWS Organizations: development, staging, production and security/log-archive accounts; guardrail policies; CloudTrail organization trail into the log-archive account</t>
  </si>
  <si>
    <t>GuardDuty (including Malware Protection for S3), Security Hub, Inspector and Macie, with findings collected in the security account and routed to the on-call</t>
  </si>
  <si>
    <t>AWS Backup policy for RDS and the Audit DB: point-in-time recovery, copies to us-east-2, a restore test</t>
  </si>
  <si>
    <t>CloudWatch Synthetics canaries for first notice of loss, status check and approval, every minute and during releases; p99 early-warning alarm at 2,500 ms</t>
  </si>
  <si>
    <t>WAF account takeover prevention on the sign-in endpoints</t>
  </si>
  <si>
    <t>Application audit trail (Audit DB, hash chain, Object Lock digests)</t>
  </si>
  <si>
    <t>SAD §4 Layer 6; B 4.2 "Audit Logging" stays the framework hook, this builds the store</t>
  </si>
  <si>
    <t>Audit DB on its own Multi-AZ RDS instance: append-only schema, an insert-only role for services, no update or delete for any role</t>
  </si>
  <si>
    <t>Audit client for every service: actor, timestamp, source IP, request ID and the previous record's hash on each business action</t>
  </si>
  <si>
    <t>Hourly digest signed with an asymmetric KMS key into the audit-archive bucket (S3 Object Lock, compliance mode); daily export of the records</t>
  </si>
  <si>
    <t>Chain verification tool that checks the records against the digests without the database</t>
  </si>
  <si>
    <t>Auditor's audit extract through the Reporting Service (read-only role)</t>
  </si>
  <si>
    <t>Unit tests for the audit chain</t>
  </si>
  <si>
    <t>Repair &amp; Work Order Service (work orders, repair status, invoices)</t>
  </si>
  <si>
    <t>Own Repair DB and events (SAD §4 Layer 3); APIs in Partner interaction APIs, screens in the portal groups</t>
  </si>
  <si>
    <t>Repair DB and domain model: work orders, estimates, repair status history, expected delivery dates and invoices, each linked to its claim</t>
  </si>
  <si>
    <t>Work orders and estimates from partner workshops, with their documents through the Document Service (WorkOrderUploaded)</t>
  </si>
  <si>
    <t>Repair status and delivery-date updates (RepairStatusUpdated, DeliveryDateChanged); the claim moves to In Repair</t>
  </si>
  <si>
    <t>Final invoices from partner workshops, and external-workshop invoices uploaded by the customer (InvoiceSubmitted); the claim moves to Invoiced</t>
  </si>
  <si>
    <t>Unit tests for repair and invoice rules</t>
  </si>
  <si>
    <t>Booking Service (workshop appointments, rental bookings)</t>
  </si>
  <si>
    <t>Car-rental API deferred (SAD §10); rental partners confirm in the Partner Portal</t>
  </si>
  <si>
    <t>Booking DB and domain model: workshop appointments and rental bookings with their status</t>
  </si>
  <si>
    <t>Workshop appointment booking that sends the workshop the initial accident details (AppointmentBooked); reschedule and cancel</t>
  </si>
  <si>
    <t>Rental eligibility against the policy cover in E3; rental bookings confirmed by the rental partner in the Partner Portal (RentalBooked)</t>
  </si>
  <si>
    <t>Unit tests for booking rules</t>
  </si>
  <si>
    <t>Transactional outbox: an outbox table per service written in the business transaction; outbox relay to EventBridge with retries and the active-Region (ARC) check</t>
  </si>
  <si>
    <t>The POC already delivers notifications this way</t>
  </si>
  <si>
    <t>Event catalogue and common envelope (event ID, claim ID and version, schema version, correlation ID); consumers deduplicate on event ID and drop events older than the claim version they hold</t>
  </si>
  <si>
    <t>SAD §4 Layer 4</t>
  </si>
  <si>
    <t>Dead-letter queue alarms (first dead-lettered message, oldest-message age), redrive procedure, EventBridge archive and replay</t>
  </si>
  <si>
    <t>Stripe Connect onboarding for workshops and customers: connected accounts, Stripe-hosted onboarding links, account-status webhooks</t>
  </si>
  <si>
    <t>Stripe holds bank details (SAD §10, Assumption 14)</t>
  </si>
  <si>
    <t>Payouts: amount owed recorded on ClaimApproved; payout to the workshop, or reimbursement to the customer for an external workshop, once the invoice is in (PaymentApproved, PayoutSent)</t>
  </si>
  <si>
    <t>Payment DB (dues, amounts owed, payment intents, connected accounts, payouts); each Stripe event processed once, keyed on its event ID</t>
  </si>
  <si>
    <t>Validated upload: access check with the Claims Service (cached in Redis); pre-signed POST that fixes the key, content types, size range and SHA-256 checksum; 24-hour lifecycle rule on unconfirmed uploads</t>
  </si>
  <si>
    <t>SAD §4, Document upload, validation and claim linkage</t>
  </si>
  <si>
    <t>Malware-scan results (GuardDuty Malware Protection for S3): clean files moved to the claim-documents bucket, infected files quarantined and the uploader told; Document DB row and DocumentUploaded with the digest</t>
  </si>
  <si>
    <t>Indexing consumer (Lambda): text extraction with Apache Tika and Amazon Textract; actual against declared file type</t>
  </si>
  <si>
    <t>Nightly reconciliation of the Document DB with S3 Inventory; pre-signed downloads recorded in the audit trail</t>
  </si>
  <si>
    <t>EventBridge Scheduler configuration in both Regions (jobs idle until their Region is active)</t>
  </si>
  <si>
    <t>Every 15 min from the read replica; thresholds from the Configuration Service; SlaBreached; a second breach escalates to the Regional Manager</t>
  </si>
  <si>
    <t>Zero-ETL integration (RDS PostgreSQL → Redshift): table filters, excluded columns, lag alarm</t>
  </si>
  <si>
    <t>Clean-up of superseded workflow executions after failback</t>
  </si>
  <si>
    <t>SAD §4 Deployment Topology</t>
  </si>
  <si>
    <t>Appointment and rental booking APIs (customer and partner sides)</t>
  </si>
  <si>
    <t>Booking Service</t>
  </si>
  <si>
    <t>Reimbursement onboarding (Stripe Connect) and payout status</t>
  </si>
  <si>
    <t>Appointment inbox with the initial accident details; accept or decline</t>
  </si>
  <si>
    <t>Rental catalogue and booking confirmation for car-rental partners</t>
  </si>
  <si>
    <t>Payout onboarding (Stripe Connect)</t>
  </si>
  <si>
    <t>k6 in the staging account: normal peak, catastrophe spike at 1,000 req/s, 8-hour soak (SAD §9.5)</t>
  </si>
  <si>
    <t>End-to-end checks of the v1.9 flows (staging)
&gt;&gt; Payments and payouts in Stripe test mode
&gt;&gt; Upload scanning with a test malware file
&gt;&gt; Audit-chain verification
&gt;&gt; Dead-letter redrive</t>
  </si>
  <si>
    <t>Staging; alongside the Region failover game day (5.5)</t>
  </si>
  <si>
    <t>W4–W24 · dev env W6; security baseline W6–W10; Auth + Claims MVP W10; Repair &amp; Booking services W12–W18; portal betas W14/W18; us-east-2 standby W14–W21; integrated W22</t>
  </si>
  <si>
    <t>W20–W26 · overlaps the last 2 sprints; Region failover game day and v1.9 end-to-end checks W24–W25; performance testing complete W26</t>
  </si>
  <si>
    <t>1. Role mapping (10 people): TA = Solution Architect · BA = Business Analyst · TL = Project Manager · DEV = 3 BE (the third W8–W25) + 2 FE + 1 DevOps · QA = QA Engineer · no GD (UX/visual design by FE devs).</t>
  </si>
  <si>
    <t>3. The mobile app (React Native, for customers and surveyors) is in Phase 1 scope (SAD §10, Assumption 13) but not yet in this estimate; its effort is added in the next estimate revision.</t>
  </si>
  <si>
    <t>6. PM is funded at about 0.75 FTE on average (full-time W0–W3 and W22–W23); a full-time PM for all 35 weeks adds about 44 PD, which the reserve covers.</t>
  </si>
  <si>
    <t>8. SAD v1.9 scope is in Phase 1: 127 PD, of which 99 are build (Repair &amp; Work Order and Booking services, audit trail, document validation, Stripe Connect payouts, outbox and DLQs, security baseline, pipeline gates), 3 the end-to-end checks (D5.6), 16 analysis, design and testing for six new FRs (FR-49–FR-54) and 9 PM. A sixth developer (backend) W8–W25 keeps go-live at W33.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</si>
</sst>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6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1" fontId="0" fillId="0" borderId="0" xfId="0" applyNumberFormat="1"/>
    <xf numFmtId="0" fontId="0" fillId="0" borderId="0" xfId="0"/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2" fillId="11" borderId="0" xfId="0" applyFont="1" applyFill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  <xf numFmtId="0" fontId="0" fillId="6" borderId="0" xfId="0" applyFont="1" applyFill="1" applyAlignment="1">
      <alignment vertical="top"/>
    </xf>
    <xf numFmtId="0" fontId="0" fillId="6" borderId="0" xfId="0" applyFont="1" applyFill="1" applyAlignment="1">
      <alignment horizontal="center" vertical="top"/>
    </xf>
    <xf numFmtId="0" fontId="0" fillId="4" borderId="0" xfId="0" applyFont="1" applyFill="1" applyAlignment="1">
      <alignment vertical="top"/>
    </xf>
    <xf numFmtId="0" fontId="0" fillId="4" borderId="0" xfId="0" applyFont="1" applyFill="1" applyAlignment="1">
      <alignment horizontal="left" vertical="top"/>
    </xf>
    <xf numFmtId="0" fontId="0" fillId="4" borderId="0" xfId="0" applyFont="1" applyFill="1" applyAlignment="1">
      <alignment vertical="top" wrapText="1"/>
    </xf>
    <xf numFmtId="166" fontId="0" fillId="4" borderId="0" xfId="0" applyNumberFormat="1" applyFont="1" applyFill="1" applyAlignment="1">
      <alignment vertical="top" wrapText="1"/>
    </xf>
    <xf numFmtId="166" fontId="0" fillId="4" borderId="0" xfId="0" applyNumberFormat="1" applyFont="1" applyFill="1" applyAlignment="1">
      <alignment vertical="top"/>
    </xf>
    <xf numFmtId="0" fontId="0" fillId="6" borderId="0" xfId="0" applyFont="1" applyFill="1" applyAlignment="1">
      <alignment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2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Estimation!$L$573:$L$578</c:f>
            </c:multiLvlStrRef>
          </c:cat>
          <c:val>
            <c:numRef>
              <c:f>Estimation!$O$573:$O$578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571</xdr:row>
      <xdr:rowOff>100852</xdr:rowOff>
    </xdr:from>
    <xdr:to>
      <xdr:col>26</xdr:col>
      <xdr:colOff>515471</xdr:colOff>
      <xdr:row>579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828675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2295525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9525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55" totalsRowShown="0">
  <autoFilter ref="A1:C55" xr:uid="{18E53F40-A145-433B-9EAE-CD525D489D89}"/>
  <tableColumns count="3">
    <tableColumn id="1" xr3:uid="{2492D0C7-E6D5-4502-8966-C1A50D9F6E47}" name="FR ID" dataDxfId="3266"/>
    <tableColumn id="2" xr3:uid="{0F8F6660-2D00-4625-BBE6-F71E2E040B84}" name="Domain" dataDxfId="3265"/>
    <tableColumn id="3" xr3:uid="{041C478B-E1B5-4F42-9598-E65BF970BF50}" name="Functional Requirement" dataDxfId="32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8:H101" totalsRowShown="0" headerRowDxfId="3263" dataDxfId="3262">
  <autoFilter ref="A58:H101" xr:uid="{6FFAEAFF-4FEC-4388-B28A-F74C79707E99}"/>
  <tableColumns count="8">
    <tableColumn id="2" xr3:uid="{19B16CDA-12E3-4771-8F1B-DAF79DBFBC58}" name="FR ID" dataDxfId="3261"/>
    <tableColumn id="9" xr3:uid="{051A0721-089F-4BB3-8840-A5EBF0FE34B8}" name="Domain " dataDxfId="3260"/>
    <tableColumn id="3" xr3:uid="{1B881D4B-0FF3-4155-AEDC-460F6D36438B}" name="FR Description" dataDxfId="3259"/>
    <tableColumn id="4" xr3:uid="{F7DDFBA4-F0D8-4B94-A888-41B3433BD1CD}" name="UC ID" dataDxfId="3258"/>
    <tableColumn id="5" xr3:uid="{2F8AC885-77F3-4775-B2E8-6A0C94523A49}" name="Use Case Name" dataDxfId="3257"/>
    <tableColumn id="6" xr3:uid="{D4B0EF7F-9C41-430F-A537-74949248DCC0}" name="Primary Actor" dataDxfId="3256"/>
    <tableColumn id="7" xr3:uid="{8737C8CA-3C5C-4BBF-B836-ED434E00ED61}" name="Scenario Type" dataDxfId="3255"/>
    <tableColumn id="8" xr3:uid="{185B9EEF-EFD6-4554-AA77-D8C9266B3815}" name="Complexity" dataDxfId="32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253" dataDxfId="3252">
  <autoFilter ref="D1:F25" xr:uid="{242FEB66-3D4E-4DCD-BED9-DEB3B9A0E510}"/>
  <tableColumns count="3">
    <tableColumn id="1" xr3:uid="{FC5A60FB-162F-437B-9D20-D7B8ED9CB2E8}" name="Use-case-ID" dataDxfId="3251"/>
    <tableColumn id="2" xr3:uid="{AE325896-5F74-4F6F-82C1-D0A2C45651FA}" name="Use Case Name" dataDxfId="3250"/>
    <tableColumn id="3" xr3:uid="{F22DF28E-9F7D-4C73-B137-C9CF0A52E7B5}" name="Primary Actor" dataDxfId="32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28"/>
  <sheetViews>
    <sheetView showGridLines="0" tabSelected="1" zoomScale="85" zoomScaleNormal="85" workbookViewId="0">
      <pane xSplit="11" ySplit="11" topLeftCell="L260" activePane="bottomRight" state="frozenSplit"/>
      <selection pane="topRight" activeCell="M1" sqref="M1"/>
      <selection pane="bottomLeft" activeCell="A17" sqref="A17"/>
      <selection pane="bottomRight" activeCell="T513" sqref="T513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04" t="s">
        <v>151</v>
      </c>
      <c r="D2" s="304"/>
      <c r="E2" s="304"/>
      <c r="F2" s="304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04"/>
      <c r="D3" s="304"/>
      <c r="E3" s="304"/>
      <c r="F3" s="304"/>
      <c r="G3" s="309" t="s">
        <v>474</v>
      </c>
      <c r="H3" s="309"/>
      <c r="I3" s="309"/>
      <c r="J3" s="309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IF(COUNTIF(AD9:AD506, "Error:*") = 0, "", COUNTIF(AD9:AD506,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04"/>
      <c r="D4" s="304"/>
      <c r="E4" s="304"/>
      <c r="F4" s="304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04"/>
      <c r="D5" s="304"/>
      <c r="E5" s="304"/>
      <c r="F5" s="304"/>
      <c r="G5" s="87"/>
      <c r="H5" s="199"/>
      <c r="I5" s="199" t="s">
        <v>271</v>
      </c>
      <c r="J5" s="310">
        <v>46325</v>
      </c>
      <c r="K5" s="310"/>
      <c r="L5" s="87"/>
      <c r="M5" s="255"/>
      <c r="N5" s="90" t="str">
        <f>IF(TOTAL_EFFORT&lt;=0, "", CHOSEN_CURRENCY&amp;" "&amp;TEXT(CEILING(($W$579/1000),1),"##,##,###")&amp;" K  ●  "&amp;TEXT(TOTAL_EFFORT,"##,##,###")&amp;" PDs ("&amp;TEXT(TOTAL_WEEKS,"##,###"&amp;" Wk)"))</f>
        <v>USD 248 K  ●  1,104 PDs (220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11" t="s">
        <v>110</v>
      </c>
      <c r="AC5" s="89"/>
      <c r="AD5" s="10"/>
    </row>
    <row r="6" spans="1:30" s="9" customFormat="1" ht="20.25" customHeight="1" x14ac:dyDescent="0.35">
      <c r="A6" s="86"/>
      <c r="C6" s="304"/>
      <c r="D6" s="304"/>
      <c r="E6" s="304"/>
      <c r="F6" s="304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40.2 Wk  (10.5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11"/>
      <c r="AC6" s="89"/>
      <c r="AD6" s="10"/>
    </row>
    <row r="7" spans="1:30" s="9" customFormat="1" ht="4.5" customHeight="1" x14ac:dyDescent="0.35">
      <c r="A7" s="86"/>
      <c r="C7" s="304"/>
      <c r="D7" s="304"/>
      <c r="E7" s="304"/>
      <c r="F7" s="304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04"/>
      <c r="D8" s="304"/>
      <c r="E8" s="304"/>
      <c r="F8" s="304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04"/>
      <c r="D9" s="304"/>
      <c r="E9" s="304"/>
      <c r="F9" s="304"/>
      <c r="G9" s="306" t="s">
        <v>131</v>
      </c>
      <c r="H9" s="306"/>
      <c r="I9" s="306"/>
      <c r="J9" s="306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05" t="s">
        <v>109</v>
      </c>
      <c r="D10" s="305"/>
      <c r="E10" s="305"/>
      <c r="F10" s="305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2" t="s">
        <v>57</v>
      </c>
      <c r="Q10" s="313"/>
      <c r="R10" s="314"/>
      <c r="S10" s="38"/>
      <c r="T10" s="227"/>
      <c r="U10" s="312" t="s">
        <v>58</v>
      </c>
      <c r="V10" s="313"/>
      <c r="W10" s="314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05" t="s">
        <v>152</v>
      </c>
      <c r="D11" s="305"/>
      <c r="E11" s="305"/>
      <c r="F11" s="305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28" t="s">
        <v>59</v>
      </c>
      <c r="T11" s="329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07" t="s">
        <v>150</v>
      </c>
      <c r="D12" s="308"/>
      <c r="E12" s="308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2">
        <f>CEILING(SUMIF(J13:J63, "&lt;&gt;Yes", T13:T63),1)</f>
        <v>75</v>
      </c>
      <c r="T12" s="302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1" t="s">
        <v>448</v>
      </c>
      <c r="N14" s="301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6.5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27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2.5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2.5</v>
      </c>
      <c r="Z18" s="22">
        <v>-0.46100000000000002</v>
      </c>
      <c r="AA18" s="157">
        <f>Y18+Y18*VLOOKUP(I18,EXTRAS_ARRAY,2,FALSE)</f>
        <v>2.5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1" t="s">
        <v>631</v>
      </c>
      <c r="N20" s="301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10.5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54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4.5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4.5</v>
      </c>
      <c r="Z23" s="22">
        <v>1.359</v>
      </c>
      <c r="AA23" s="157">
        <f>Y23+Y23*VLOOKUP(I23,EXTRAS_ARRAY,2,FALSE)</f>
        <v>4.5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1" t="s">
        <v>475</v>
      </c>
      <c r="N26" s="301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13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27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2.75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2.75</v>
      </c>
      <c r="Z29" s="22">
        <v>1.254</v>
      </c>
      <c r="AA29" s="157">
        <f>Y29+Y29*VLOOKUP(I29,EXTRAS_ARRAY,2,FALSE)</f>
        <v>2.75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27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3.75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3.75</v>
      </c>
      <c r="Z30" s="22">
        <v>-1.9810000000000001</v>
      </c>
      <c r="AA30" s="157">
        <f>Y30+Y30*VLOOKUP(I30,EXTRAS_ARRAY,2,FALSE)</f>
        <v>3.75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1" t="s">
        <v>476</v>
      </c>
      <c r="N33" s="301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1" t="s">
        <v>477</v>
      </c>
      <c r="N41" s="301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18.5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27</v>
      </c>
      <c r="Q43" s="134">
        <f>Total_FRs</f>
        <v>54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12.5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12.5</v>
      </c>
      <c r="Z43" s="22">
        <v>-9.9209999999999994</v>
      </c>
      <c r="AA43" s="157">
        <f>Y43+Y43*VLOOKUP(I43,EXTRAS_ARRAY,2,FALSE)</f>
        <v>12.5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1" t="s">
        <v>478</v>
      </c>
      <c r="N47" s="301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1" t="s">
        <v>479</v>
      </c>
      <c r="N56" s="301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6.25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5.4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1.75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1.75</v>
      </c>
      <c r="Z60" s="22">
        <v>0.53900000000000003</v>
      </c>
      <c r="AA60" s="157">
        <f>Y60+Y60*VLOOKUP(I60,EXTRAS_ARRAY,2,FALSE)</f>
        <v>1.75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2">
        <f>CEILING(SUMIF(J65:J93, "&lt;&gt;Yes", T65:T93),1)</f>
        <v>76</v>
      </c>
      <c r="T64" s="302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1" t="s">
        <v>448</v>
      </c>
      <c r="N66" s="301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1" t="s">
        <v>450</v>
      </c>
      <c r="N71" s="301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1" t="s">
        <v>453</v>
      </c>
      <c r="N75" s="301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32.75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27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10.75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10.75</v>
      </c>
      <c r="Z78" s="22">
        <v>-12.250999999999999</v>
      </c>
      <c r="AA78" s="157">
        <f>Y78+Y78*VLOOKUP(I78,EXTRAS_ARRAY,2,FALSE)</f>
        <v>10.75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01" t="s">
        <v>451</v>
      </c>
      <c r="N82" s="301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02">
        <f>CEILING(SUMIF(J95:J432, "&lt;&gt;Yes", T95:T432),1)</f>
        <v>639</v>
      </c>
      <c r="T94" s="302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01" t="s">
        <v>987</v>
      </c>
      <c r="N96" s="301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00" t="s">
        <v>878</v>
      </c>
      <c r="N102" s="300"/>
      <c r="O102" s="80"/>
      <c r="P102" s="81"/>
      <c r="Q102" s="81"/>
      <c r="R102" s="81"/>
      <c r="S102" s="291">
        <f>SUMGROUP(ROW(), "T")</f>
        <v>116</v>
      </c>
      <c r="T102" s="291"/>
      <c r="U102" s="292"/>
      <c r="V102" s="292"/>
      <c r="W102" s="292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01" t="s">
        <v>991</v>
      </c>
      <c r="N103" s="301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01" t="s">
        <v>998</v>
      </c>
      <c r="N113" s="301"/>
      <c r="O113" s="5"/>
      <c r="P113" s="30"/>
      <c r="Q113" s="30"/>
      <c r="R113" s="30"/>
      <c r="S113" s="30"/>
      <c r="T113" s="155">
        <f>IF($S$6="Exclude", SUMIFS(S114:S125, J114:J125, "&lt;&gt;Yes", G114:G125, "&lt;&gt;Yes"), SUMIFS(S114:S125, J114:J125, "&lt;&gt;Yes"))</f>
        <v>22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58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ca="1">IFERROR(OFFSET(M122,-1,,1,1)+0.1,OFFSET(M122,-1,-1,1,1)&amp;".1")</f>
        <v>3.8000000000000007</v>
      </c>
      <c r="N122" s="20" t="s">
        <v>1216</v>
      </c>
      <c r="O122" s="20"/>
      <c r="P122" s="20"/>
      <c r="Q122" s="134"/>
      <c r="R122" s="127"/>
      <c r="S122" s="157">
        <f>CEILING((IF(J122="Yes", 0, IF(H122="-",AA122,AA122+AA122*VLOOKUP(H122,BUFFERS_BY_TYPE,2,FALSE)))) +
   (IF(J122="Yes", 0, IF(H122="-",AA122,AA122+AA122*VLOOKUP(H122,BUFFERS_BY_TYPE,2,FALSE))))*VLOOKUP($S$5, SALES_CALL_SCALE_ARRAY, 2,FALSE),0.25)</f>
        <v>2.5</v>
      </c>
      <c r="T122" s="158"/>
      <c r="U122" s="21">
        <v>0</v>
      </c>
      <c r="V122" s="21">
        <v>1</v>
      </c>
      <c r="W122" s="21">
        <v>0</v>
      </c>
      <c r="X122" s="156">
        <v>2.5</v>
      </c>
      <c r="Y122" s="157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2.5</v>
      </c>
      <c r="Z122" s="22"/>
      <c r="AA122" s="157">
        <f>Y122+Y122*VLOOKUP(I122,EXTRAS_ARRAY,2,FALSE)</f>
        <v>2.5</v>
      </c>
      <c r="AB122" s="20" t="s">
        <v>1217</v>
      </c>
      <c r="AC122" s="34"/>
      <c r="AD122" s="23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ht="58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3.9000000000000008</v>
      </c>
      <c r="N123" s="20" t="s">
        <v>1218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2.5</v>
      </c>
      <c r="T123" s="158"/>
      <c r="U123" s="21">
        <v>0</v>
      </c>
      <c r="V123" s="21">
        <v>1</v>
      </c>
      <c r="W123" s="21">
        <v>0</v>
      </c>
      <c r="X123" s="156">
        <v>2.5</v>
      </c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2.5</v>
      </c>
      <c r="Z123" s="22"/>
      <c r="AA123" s="157">
        <f>Y123+Y123*VLOOKUP(I123,EXTRAS_ARRAY,2,FALSE)</f>
        <v>2.5</v>
      </c>
      <c r="AB123" s="20" t="s">
        <v>1219</v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/>
      </c>
    </row>
    <row r="124" spans="1:30" ht="58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4.0000000000000009</v>
      </c>
      <c r="N124" s="20" t="s">
        <v>1220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3</v>
      </c>
      <c r="T124" s="158"/>
      <c r="U124" s="21">
        <v>0</v>
      </c>
      <c r="V124" s="21">
        <v>1</v>
      </c>
      <c r="W124" s="21">
        <v>0</v>
      </c>
      <c r="X124" s="156">
        <v>3</v>
      </c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3</v>
      </c>
      <c r="Z124" s="22"/>
      <c r="AA124" s="157">
        <f>Y124+Y124*VLOOKUP(I124,EXTRAS_ARRAY,2,FALSE)</f>
        <v>3</v>
      </c>
      <c r="AB124" s="20" t="s">
        <v>1221</v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/>
      </c>
    </row>
    <row r="125" spans="1:30" s="9" customFormat="1" ht="7.5" customHeight="1" outlineLevel="2" x14ac:dyDescent="0.35">
      <c r="A125" s="86" t="s">
        <v>132</v>
      </c>
      <c r="B125" s="15"/>
      <c r="C125" s="72"/>
      <c r="D125" s="72"/>
      <c r="E125" s="72"/>
      <c r="F125" s="72"/>
      <c r="M125" s="252"/>
      <c r="T125" s="15"/>
      <c r="X125" s="15"/>
      <c r="AB125" s="10"/>
      <c r="AC125" s="10"/>
      <c r="AD125" s="10"/>
    </row>
    <row r="126" spans="1:30" s="14" customFormat="1" ht="15.5" outlineLevel="1" collapsed="1" x14ac:dyDescent="0.35">
      <c r="A126" s="86" t="s">
        <v>100</v>
      </c>
      <c r="B126" s="18"/>
      <c r="C126" s="77"/>
      <c r="D126" s="77"/>
      <c r="E126" s="77"/>
      <c r="F126" s="76"/>
      <c r="G126" s="29"/>
      <c r="H126" s="29"/>
      <c r="I126" s="29"/>
      <c r="J126" s="29"/>
      <c r="K126" s="29"/>
      <c r="L126" s="17">
        <f ca="1">LOOKUP(1000,INDIRECT("L1:"&amp;CELL("address",INDIRECT("R[-1]C",FALSE))))+1</f>
        <v>4</v>
      </c>
      <c r="M126" s="301" t="s">
        <v>1006</v>
      </c>
      <c r="N126" s="301"/>
      <c r="O126" s="5"/>
      <c r="P126" s="30"/>
      <c r="Q126" s="30"/>
      <c r="R126" s="30"/>
      <c r="S126" s="30"/>
      <c r="T126" s="155">
        <f>IF($S$6="Exclude", SUMIFS(S127:S133, J127:J133, "&lt;&gt;Yes", G127:G133, "&lt;&gt;Yes"), SUMIFS(S127:S133, J127:J133, "&lt;&gt;Yes"))</f>
        <v>18</v>
      </c>
      <c r="U126" s="30"/>
      <c r="V126" s="30"/>
      <c r="W126" s="30"/>
      <c r="X126" s="31"/>
      <c r="Y126" s="32"/>
      <c r="Z126" s="32"/>
      <c r="AA126" s="32"/>
      <c r="AB126" s="219" t="s">
        <v>947</v>
      </c>
      <c r="AC126" s="33"/>
      <c r="AD126" s="23" t="str">
        <f>IF(M126="", "Error: Task name cannot be empty.", "")</f>
        <v/>
      </c>
    </row>
    <row r="127" spans="1:30" s="12" customFormat="1" ht="1.5" hidden="1" customHeight="1" outlineLevel="2" x14ac:dyDescent="0.35">
      <c r="A127" s="86" t="s">
        <v>101</v>
      </c>
      <c r="B127" s="18"/>
      <c r="C127" s="77"/>
      <c r="D127" s="77"/>
      <c r="E127" s="77"/>
      <c r="F127" s="76"/>
      <c r="G127" s="29"/>
      <c r="H127" s="29"/>
      <c r="I127" s="29"/>
      <c r="J127" s="29"/>
      <c r="K127" s="29"/>
      <c r="L127" s="163">
        <f ca="1">L126</f>
        <v>4</v>
      </c>
      <c r="M127" s="164" t="s">
        <v>105</v>
      </c>
      <c r="N127" s="161"/>
      <c r="O127" s="162"/>
      <c r="P127" s="30"/>
      <c r="Q127" s="30"/>
      <c r="R127" s="30"/>
      <c r="S127" s="30"/>
      <c r="T127" s="155"/>
      <c r="U127" s="30"/>
      <c r="V127" s="30"/>
      <c r="W127" s="30"/>
      <c r="X127" s="31"/>
      <c r="Y127" s="32"/>
      <c r="Z127" s="32"/>
      <c r="AA127" s="32"/>
      <c r="AB127" s="33"/>
      <c r="AC127" s="33"/>
      <c r="AD127" s="23"/>
    </row>
    <row r="128" spans="1:30" ht="15.5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 t="str">
        <f ca="1">IFERROR(OFFSET(M128,-1,,1,1)+0.1,OFFSET(M128,-1,-1,1,1)&amp;".1")</f>
        <v>4.1</v>
      </c>
      <c r="N128" s="20" t="s">
        <v>1007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29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4.1999999999999993</v>
      </c>
      <c r="N129" s="20" t="s">
        <v>1008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5</v>
      </c>
      <c r="T129" s="158"/>
      <c r="U129" s="21">
        <v>0</v>
      </c>
      <c r="V129" s="21">
        <v>1</v>
      </c>
      <c r="W129" s="21">
        <v>0</v>
      </c>
      <c r="X129" s="156">
        <v>5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5</v>
      </c>
      <c r="Z129" s="22"/>
      <c r="AA129" s="157">
        <f>Y129+Y129*VLOOKUP(I129,EXTRAS_ARRAY,2,FALSE)</f>
        <v>5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ht="15.5" hidden="1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>
        <f ca="1">IFERROR(OFFSET(M130,-1,,1,1)+0.1,OFFSET(M130,-1,-1,1,1)&amp;".1")</f>
        <v>4.2999999999999989</v>
      </c>
      <c r="N130" s="20" t="s">
        <v>1009</v>
      </c>
      <c r="O130" s="20"/>
      <c r="P130" s="20"/>
      <c r="Q130" s="134"/>
      <c r="R130" s="127"/>
      <c r="S130" s="157">
        <f>CEILING((IF(J130="Yes", 0, IF(H130="-",AA130,AA130+AA130*VLOOKUP(H130,BUFFERS_BY_TYPE,2,FALSE)))) +
   (IF(J130="Yes", 0, IF(H130="-",AA130,AA130+AA130*VLOOKUP(H130,BUFFERS_BY_TYPE,2,FALSE))))*VLOOKUP($S$5, SALES_CALL_SCALE_ARRAY, 2,FALSE),0.25)</f>
        <v>5</v>
      </c>
      <c r="T130" s="158"/>
      <c r="U130" s="21">
        <v>0</v>
      </c>
      <c r="V130" s="21">
        <v>1</v>
      </c>
      <c r="W130" s="21">
        <v>0</v>
      </c>
      <c r="X130" s="156">
        <v>5</v>
      </c>
      <c r="Y130" s="157">
        <f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5</v>
      </c>
      <c r="Z130" s="22"/>
      <c r="AA130" s="157">
        <f>Y130+Y130*VLOOKUP(I130,EXTRAS_ARRAY,2,FALSE)</f>
        <v>5</v>
      </c>
      <c r="AB130" s="20"/>
      <c r="AC130" s="34"/>
      <c r="AD130" s="23" t="str">
        <f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hidden="1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ca="1">IFERROR(OFFSET(M131,-1,,1,1)+0.1,OFFSET(M131,-1,-1,1,1)&amp;".1")</f>
        <v>4.3999999999999986</v>
      </c>
      <c r="N131" s="20" t="s">
        <v>1010</v>
      </c>
      <c r="O131" s="20"/>
      <c r="P131" s="20"/>
      <c r="Q131" s="134"/>
      <c r="R131" s="127"/>
      <c r="S131" s="157">
        <f>CEILING((IF(J131="Yes", 0, IF(H131="-",AA131,AA131+AA131*VLOOKUP(H131,BUFFERS_BY_TYPE,2,FALSE)))) +
   (IF(J131="Yes", 0, IF(H131="-",AA131,AA131+AA131*VLOOKUP(H131,BUFFERS_BY_TYPE,2,FALSE))))*VLOOKUP($S$5, SALES_CALL_SCALE_ARRAY, 2,FALSE),0.25)</f>
        <v>3</v>
      </c>
      <c r="T131" s="158"/>
      <c r="U131" s="21">
        <v>0</v>
      </c>
      <c r="V131" s="21">
        <v>1</v>
      </c>
      <c r="W131" s="21">
        <v>0</v>
      </c>
      <c r="X131" s="156">
        <v>3</v>
      </c>
      <c r="Y131" s="157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3</v>
      </c>
      <c r="Z131" s="22"/>
      <c r="AA131" s="157">
        <f>Y131+Y131*VLOOKUP(I131,EXTRAS_ARRAY,2,FALSE)</f>
        <v>3</v>
      </c>
      <c r="AB131" s="20"/>
      <c r="AC131" s="34"/>
      <c r="AD131" s="23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15.5" hidden="1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ca="1">IFERROR(OFFSET(M132,-1,,1,1)+0.1,OFFSET(M132,-1,-1,1,1)&amp;".1")</f>
        <v>4.4999999999999982</v>
      </c>
      <c r="N132" s="20" t="s">
        <v>1011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2</v>
      </c>
      <c r="T132" s="158"/>
      <c r="U132" s="21">
        <v>0</v>
      </c>
      <c r="V132" s="21">
        <v>1</v>
      </c>
      <c r="W132" s="21">
        <v>0</v>
      </c>
      <c r="X132" s="156">
        <v>2</v>
      </c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2</v>
      </c>
      <c r="Z132" s="22"/>
      <c r="AA132" s="157">
        <f>Y132+Y132*VLOOKUP(I132,EXTRAS_ARRAY,2,FALSE)</f>
        <v>2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9" customFormat="1" ht="7.5" hidden="1" customHeight="1" outlineLevel="2" x14ac:dyDescent="0.35">
      <c r="A133" s="86" t="s">
        <v>132</v>
      </c>
      <c r="B133" s="15"/>
      <c r="C133" s="72"/>
      <c r="D133" s="72"/>
      <c r="E133" s="72"/>
      <c r="F133" s="72"/>
      <c r="M133" s="252"/>
      <c r="T133" s="15"/>
      <c r="X133" s="15"/>
      <c r="AB133" s="10"/>
      <c r="AC133" s="10"/>
      <c r="AD133" s="10"/>
    </row>
    <row r="134" spans="1:30" s="14" customFormat="1" ht="29" outlineLevel="1" collapsed="1" x14ac:dyDescent="0.35">
      <c r="A134" s="86" t="s">
        <v>100</v>
      </c>
      <c r="B134" s="18"/>
      <c r="C134" s="77"/>
      <c r="D134" s="77"/>
      <c r="E134" s="77"/>
      <c r="F134" s="76"/>
      <c r="G134" s="29"/>
      <c r="H134" s="29"/>
      <c r="I134" s="29"/>
      <c r="J134" s="29"/>
      <c r="K134" s="29"/>
      <c r="L134" s="17">
        <f ca="1">LOOKUP(1000,INDIRECT("L1:"&amp;CELL("address",INDIRECT("R[-1]C",FALSE))))+1</f>
        <v>5</v>
      </c>
      <c r="M134" s="301" t="s">
        <v>1012</v>
      </c>
      <c r="N134" s="301"/>
      <c r="O134" s="5"/>
      <c r="P134" s="30"/>
      <c r="Q134" s="30"/>
      <c r="R134" s="30"/>
      <c r="S134" s="30"/>
      <c r="T134" s="155">
        <f>IF($S$6="Exclude", SUMIFS(S135:S141, J135:J141, "&lt;&gt;Yes", G135:G141, "&lt;&gt;Yes"), SUMIFS(S135:S141, J135:J141, "&lt;&gt;Yes"))</f>
        <v>12</v>
      </c>
      <c r="U134" s="30"/>
      <c r="V134" s="30"/>
      <c r="W134" s="30"/>
      <c r="X134" s="31"/>
      <c r="Y134" s="32"/>
      <c r="Z134" s="32"/>
      <c r="AA134" s="32"/>
      <c r="AB134" s="219" t="s">
        <v>1013</v>
      </c>
      <c r="AC134" s="33"/>
      <c r="AD134" s="23" t="str">
        <f>IF(M134="", "Error: Task name cannot be empty.", "")</f>
        <v/>
      </c>
    </row>
    <row r="135" spans="1:30" s="12" customFormat="1" ht="1.5" hidden="1" customHeight="1" outlineLevel="2" x14ac:dyDescent="0.35">
      <c r="A135" s="86" t="s">
        <v>101</v>
      </c>
      <c r="B135" s="18"/>
      <c r="C135" s="77"/>
      <c r="D135" s="77"/>
      <c r="E135" s="77"/>
      <c r="F135" s="76"/>
      <c r="G135" s="29"/>
      <c r="H135" s="29"/>
      <c r="I135" s="29"/>
      <c r="J135" s="29"/>
      <c r="K135" s="29"/>
      <c r="L135" s="163">
        <f ca="1">L134</f>
        <v>5</v>
      </c>
      <c r="M135" s="164" t="s">
        <v>105</v>
      </c>
      <c r="N135" s="161"/>
      <c r="O135" s="162"/>
      <c r="P135" s="30"/>
      <c r="Q135" s="30"/>
      <c r="R135" s="30"/>
      <c r="S135" s="30"/>
      <c r="T135" s="155"/>
      <c r="U135" s="30"/>
      <c r="V135" s="30"/>
      <c r="W135" s="30"/>
      <c r="X135" s="31"/>
      <c r="Y135" s="32"/>
      <c r="Z135" s="32"/>
      <c r="AA135" s="32"/>
      <c r="AB135" s="33"/>
      <c r="AC135" s="33"/>
      <c r="AD135" s="23"/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 t="str">
        <f ca="1">IFERROR(OFFSET(M136,-1,,1,1)+0.1,OFFSET(M136,-1,-1,1,1)&amp;".1")</f>
        <v>5.1</v>
      </c>
      <c r="N136" s="20" t="s">
        <v>1014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3</v>
      </c>
      <c r="T136" s="158"/>
      <c r="U136" s="21">
        <v>0</v>
      </c>
      <c r="V136" s="21">
        <v>1</v>
      </c>
      <c r="W136" s="21">
        <v>0</v>
      </c>
      <c r="X136" s="156">
        <v>3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3</v>
      </c>
      <c r="Z136" s="22"/>
      <c r="AA136" s="157">
        <f>Y136+Y136*VLOOKUP(I136,EXTRAS_ARRAY,2,FALSE)</f>
        <v>3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5.1999999999999993</v>
      </c>
      <c r="N137" s="20" t="s">
        <v>1015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3</v>
      </c>
      <c r="T137" s="158"/>
      <c r="U137" s="21">
        <v>0</v>
      </c>
      <c r="V137" s="21">
        <v>1</v>
      </c>
      <c r="W137" s="21">
        <v>0</v>
      </c>
      <c r="X137" s="156">
        <v>3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3</v>
      </c>
      <c r="Z137" s="22"/>
      <c r="AA137" s="157">
        <f>Y137+Y137*VLOOKUP(I137,EXTRAS_ARRAY,2,FALSE)</f>
        <v>3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ht="15.5" hidden="1" outlineLevel="2" x14ac:dyDescent="0.35">
      <c r="A138" s="86" t="s">
        <v>0</v>
      </c>
      <c r="B138" s="18"/>
      <c r="C138" s="78"/>
      <c r="D138" s="78"/>
      <c r="E138" s="78"/>
      <c r="F138" s="79"/>
      <c r="G138" s="19" t="s">
        <v>23</v>
      </c>
      <c r="H138" s="19" t="s">
        <v>23</v>
      </c>
      <c r="I138" s="20" t="s">
        <v>23</v>
      </c>
      <c r="J138" s="19" t="s">
        <v>23</v>
      </c>
      <c r="K138" s="35"/>
      <c r="L138" s="19"/>
      <c r="M138" s="263">
        <f ca="1">IFERROR(OFFSET(M138,-1,,1,1)+0.1,OFFSET(M138,-1,-1,1,1)&amp;".1")</f>
        <v>5.2999999999999989</v>
      </c>
      <c r="N138" s="20" t="s">
        <v>1016</v>
      </c>
      <c r="O138" s="20"/>
      <c r="P138" s="20"/>
      <c r="Q138" s="134"/>
      <c r="R138" s="127"/>
      <c r="S138" s="157">
        <f>CEILING((IF(J138="Yes", 0, IF(H138="-",AA138,AA138+AA138*VLOOKUP(H138,BUFFERS_BY_TYPE,2,FALSE)))) +
   (IF(J138="Yes", 0, IF(H138="-",AA138,AA138+AA138*VLOOKUP(H138,BUFFERS_BY_TYPE,2,FALSE))))*VLOOKUP($S$5, SALES_CALL_SCALE_ARRAY, 2,FALSE),0.25)</f>
        <v>3</v>
      </c>
      <c r="T138" s="158"/>
      <c r="U138" s="21">
        <v>0</v>
      </c>
      <c r="V138" s="21">
        <v>1</v>
      </c>
      <c r="W138" s="21">
        <v>0</v>
      </c>
      <c r="X138" s="156">
        <v>3</v>
      </c>
      <c r="Y138" s="157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3</v>
      </c>
      <c r="Z138" s="22"/>
      <c r="AA138" s="157">
        <f>Y138+Y138*VLOOKUP(I138,EXTRAS_ARRAY,2,FALSE)</f>
        <v>3</v>
      </c>
      <c r="AB138" s="20"/>
      <c r="AC138" s="34"/>
      <c r="AD138" s="23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ht="29" hidden="1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>
        <f ca="1">IFERROR(OFFSET(M139,-1,,1,1)+0.1,OFFSET(M139,-1,-1,1,1)&amp;".1")</f>
        <v>5.3999999999999986</v>
      </c>
      <c r="N139" s="20" t="s">
        <v>1017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1.5</v>
      </c>
      <c r="T139" s="158"/>
      <c r="U139" s="21">
        <v>0</v>
      </c>
      <c r="V139" s="21">
        <v>1</v>
      </c>
      <c r="W139" s="21">
        <v>0</v>
      </c>
      <c r="X139" s="156">
        <v>1.5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1.5</v>
      </c>
      <c r="Z139" s="22"/>
      <c r="AA139" s="157">
        <f>Y139+Y139*VLOOKUP(I139,EXTRAS_ARRAY,2,FALSE)</f>
        <v>1.5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hidden="1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5.4999999999999982</v>
      </c>
      <c r="N140" s="20" t="s">
        <v>1018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1.5</v>
      </c>
      <c r="T140" s="158"/>
      <c r="U140" s="21">
        <v>0</v>
      </c>
      <c r="V140" s="21">
        <v>1</v>
      </c>
      <c r="W140" s="21">
        <v>0</v>
      </c>
      <c r="X140" s="156">
        <v>1.5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1.5</v>
      </c>
      <c r="Z140" s="22"/>
      <c r="AA140" s="157">
        <f>Y140+Y140*VLOOKUP(I140,EXTRAS_ARRAY,2,FALSE)</f>
        <v>1.5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9" customFormat="1" ht="7.5" hidden="1" customHeight="1" outlineLevel="2" x14ac:dyDescent="0.35">
      <c r="A141" s="86" t="s">
        <v>132</v>
      </c>
      <c r="B141" s="15"/>
      <c r="C141" s="72"/>
      <c r="D141" s="72"/>
      <c r="E141" s="72"/>
      <c r="F141" s="72"/>
      <c r="M141" s="252"/>
      <c r="T141" s="15"/>
      <c r="X141" s="15"/>
      <c r="AB141" s="10"/>
      <c r="AC141" s="10"/>
      <c r="AD141" s="10"/>
    </row>
    <row r="142" spans="1:30" s="14" customFormat="1" ht="15.5" outlineLevel="1" x14ac:dyDescent="0.35">
      <c r="A142" s="86" t="s">
        <v>100</v>
      </c>
      <c r="B142" s="18"/>
      <c r="C142" s="77"/>
      <c r="D142" s="77"/>
      <c r="E142" s="77"/>
      <c r="F142" s="76"/>
      <c r="G142" s="29"/>
      <c r="H142" s="29"/>
      <c r="I142" s="29"/>
      <c r="J142" s="29"/>
      <c r="K142" s="29"/>
      <c r="L142" s="17">
        <f ca="1">LOOKUP(1000,INDIRECT("L1:"&amp;CELL("address",INDIRECT("R[-1]C",FALSE))))+1</f>
        <v>6</v>
      </c>
      <c r="M142" s="301" t="s">
        <v>1019</v>
      </c>
      <c r="N142" s="301"/>
      <c r="O142" s="5"/>
      <c r="P142" s="30"/>
      <c r="Q142" s="30"/>
      <c r="R142" s="30"/>
      <c r="S142" s="30"/>
      <c r="T142" s="155">
        <f>IF($S$6="Exclude", SUMIFS(S143:S150, J143:J150, "&lt;&gt;Yes", G143:G150, "&lt;&gt;Yes"), SUMIFS(S143:S150, J143:J150, "&lt;&gt;Yes"))</f>
        <v>16</v>
      </c>
      <c r="U142" s="30"/>
      <c r="V142" s="30"/>
      <c r="W142" s="30"/>
      <c r="X142" s="31"/>
      <c r="Y142" s="32"/>
      <c r="Z142" s="32"/>
      <c r="AA142" s="32"/>
      <c r="AB142" s="219" t="s">
        <v>948</v>
      </c>
      <c r="AC142" s="33"/>
      <c r="AD142" s="23" t="str">
        <f>IF(M142="", "Error: Task name cannot be empty.", "")</f>
        <v/>
      </c>
    </row>
    <row r="143" spans="1:30" s="12" customFormat="1" ht="1.5" customHeight="1" outlineLevel="2" x14ac:dyDescent="0.35">
      <c r="A143" s="86" t="s">
        <v>101</v>
      </c>
      <c r="B143" s="18"/>
      <c r="C143" s="77"/>
      <c r="D143" s="77"/>
      <c r="E143" s="77"/>
      <c r="F143" s="76"/>
      <c r="G143" s="29"/>
      <c r="H143" s="29"/>
      <c r="I143" s="29"/>
      <c r="J143" s="29"/>
      <c r="K143" s="29"/>
      <c r="L143" s="163">
        <f ca="1">L142</f>
        <v>6</v>
      </c>
      <c r="M143" s="164" t="s">
        <v>105</v>
      </c>
      <c r="N143" s="161"/>
      <c r="O143" s="162"/>
      <c r="P143" s="30"/>
      <c r="Q143" s="30"/>
      <c r="R143" s="30"/>
      <c r="S143" s="30"/>
      <c r="T143" s="155"/>
      <c r="U143" s="30"/>
      <c r="V143" s="30"/>
      <c r="W143" s="30"/>
      <c r="X143" s="31"/>
      <c r="Y143" s="32"/>
      <c r="Z143" s="32"/>
      <c r="AA143" s="32"/>
      <c r="AB143" s="33"/>
      <c r="AC143" s="33"/>
      <c r="AD143" s="23"/>
    </row>
    <row r="144" spans="1:30" ht="29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 t="str">
        <f t="shared" ref="M144:M149" ca="1" si="20">IFERROR(OFFSET(M144,-1,,1,1)+0.1,OFFSET(M144,-1,-1,1,1)&amp;".1")</f>
        <v>6.1</v>
      </c>
      <c r="N144" s="20" t="s">
        <v>1020</v>
      </c>
      <c r="O144" s="20"/>
      <c r="P144" s="20"/>
      <c r="Q144" s="134"/>
      <c r="R144" s="127"/>
      <c r="S144" s="157">
        <f t="shared" ref="S144:S149" si="21">CEILING((IF(J144="Yes", 0, IF(H144="-",AA144,AA144+AA144*VLOOKUP(H144,BUFFERS_BY_TYPE,2,FALSE)))) +
   (IF(J144="Yes", 0, IF(H144="-",AA144,AA144+AA144*VLOOKUP(H144,BUFFERS_BY_TYPE,2,FALSE))))*VLOOKUP($S$5, SALES_CALL_SCALE_ARRAY, 2,FALSE),0.25)</f>
        <v>4</v>
      </c>
      <c r="T144" s="158"/>
      <c r="U144" s="21">
        <v>0.25</v>
      </c>
      <c r="V144" s="21">
        <v>0.5</v>
      </c>
      <c r="W144" s="21">
        <v>0.25</v>
      </c>
      <c r="X144" s="156">
        <v>4</v>
      </c>
      <c r="Y144" s="157">
        <f t="shared" ref="Y144:Y149" si="22"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4</v>
      </c>
      <c r="Z144" s="22"/>
      <c r="AA144" s="157">
        <f t="shared" ref="AA144:AA149" si="23">Y144+Y144*VLOOKUP(I144,EXTRAS_ARRAY,2,FALSE)</f>
        <v>4</v>
      </c>
      <c r="AB144" s="20"/>
      <c r="AC144" s="34"/>
      <c r="AD144" s="23" t="str">
        <f t="shared" ref="AD144:AD149" si="24"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29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t="shared" ca="1" si="20"/>
        <v>6.1999999999999993</v>
      </c>
      <c r="N145" s="20" t="s">
        <v>1021</v>
      </c>
      <c r="O145" s="20"/>
      <c r="P145" s="20"/>
      <c r="Q145" s="134"/>
      <c r="R145" s="127"/>
      <c r="S145" s="157">
        <f t="shared" si="21"/>
        <v>3</v>
      </c>
      <c r="T145" s="158"/>
      <c r="U145" s="21">
        <v>0</v>
      </c>
      <c r="V145" s="21">
        <v>1</v>
      </c>
      <c r="W145" s="21">
        <v>0</v>
      </c>
      <c r="X145" s="156">
        <v>3</v>
      </c>
      <c r="Y145" s="157">
        <f t="shared" si="22"/>
        <v>3</v>
      </c>
      <c r="Z145" s="22"/>
      <c r="AA145" s="157">
        <f t="shared" si="23"/>
        <v>3</v>
      </c>
      <c r="AB145" s="20"/>
      <c r="AC145" s="34"/>
      <c r="AD145" s="23" t="str">
        <f t="shared" si="24"/>
        <v/>
      </c>
    </row>
    <row r="146" spans="1:30" ht="15.5" outlineLevel="2" x14ac:dyDescent="0.35">
      <c r="A146" s="86" t="s">
        <v>0</v>
      </c>
      <c r="B146" s="18"/>
      <c r="C146" s="78"/>
      <c r="D146" s="78"/>
      <c r="E146" s="78"/>
      <c r="F146" s="79"/>
      <c r="G146" s="19" t="s">
        <v>23</v>
      </c>
      <c r="H146" s="19" t="s">
        <v>23</v>
      </c>
      <c r="I146" s="20" t="s">
        <v>23</v>
      </c>
      <c r="J146" s="19" t="s">
        <v>23</v>
      </c>
      <c r="K146" s="35"/>
      <c r="L146" s="19"/>
      <c r="M146" s="263">
        <f t="shared" ca="1" si="20"/>
        <v>6.2999999999999989</v>
      </c>
      <c r="N146" s="20" t="s">
        <v>1022</v>
      </c>
      <c r="O146" s="20"/>
      <c r="P146" s="20"/>
      <c r="Q146" s="134"/>
      <c r="R146" s="127"/>
      <c r="S146" s="157">
        <f t="shared" si="21"/>
        <v>2.5</v>
      </c>
      <c r="T146" s="158"/>
      <c r="U146" s="21">
        <v>0</v>
      </c>
      <c r="V146" s="21">
        <v>1</v>
      </c>
      <c r="W146" s="21">
        <v>0</v>
      </c>
      <c r="X146" s="156">
        <v>2.5</v>
      </c>
      <c r="Y146" s="157">
        <f t="shared" si="22"/>
        <v>2.5</v>
      </c>
      <c r="Z146" s="22"/>
      <c r="AA146" s="157">
        <f t="shared" si="23"/>
        <v>2.5</v>
      </c>
      <c r="AB146" s="20"/>
      <c r="AC146" s="34"/>
      <c r="AD146" s="23" t="str">
        <f t="shared" si="24"/>
        <v/>
      </c>
    </row>
    <row r="147" spans="1:30" ht="15.5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>
        <f t="shared" ca="1" si="20"/>
        <v>6.3999999999999986</v>
      </c>
      <c r="N147" s="20" t="s">
        <v>1023</v>
      </c>
      <c r="O147" s="20"/>
      <c r="P147" s="20"/>
      <c r="Q147" s="134"/>
      <c r="R147" s="127"/>
      <c r="S147" s="157">
        <f t="shared" si="21"/>
        <v>2</v>
      </c>
      <c r="T147" s="158"/>
      <c r="U147" s="21">
        <v>0</v>
      </c>
      <c r="V147" s="21">
        <v>1</v>
      </c>
      <c r="W147" s="21">
        <v>0</v>
      </c>
      <c r="X147" s="156">
        <v>2</v>
      </c>
      <c r="Y147" s="157">
        <f t="shared" si="22"/>
        <v>2</v>
      </c>
      <c r="Z147" s="22"/>
      <c r="AA147" s="157">
        <f t="shared" si="23"/>
        <v>2</v>
      </c>
      <c r="AB147" s="20"/>
      <c r="AC147" s="34"/>
      <c r="AD147" s="23" t="str">
        <f t="shared" si="24"/>
        <v/>
      </c>
    </row>
    <row r="148" spans="1:30" ht="15.5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t="shared" ca="1" si="20"/>
        <v>6.4999999999999982</v>
      </c>
      <c r="N148" s="20" t="s">
        <v>1024</v>
      </c>
      <c r="O148" s="20"/>
      <c r="P148" s="20"/>
      <c r="Q148" s="134"/>
      <c r="R148" s="127"/>
      <c r="S148" s="157">
        <f t="shared" si="21"/>
        <v>1.5</v>
      </c>
      <c r="T148" s="158"/>
      <c r="U148" s="21">
        <v>0</v>
      </c>
      <c r="V148" s="21">
        <v>1</v>
      </c>
      <c r="W148" s="21">
        <v>0</v>
      </c>
      <c r="X148" s="156">
        <v>1.5</v>
      </c>
      <c r="Y148" s="157">
        <f t="shared" si="22"/>
        <v>1.5</v>
      </c>
      <c r="Z148" s="22"/>
      <c r="AA148" s="157">
        <f t="shared" si="23"/>
        <v>1.5</v>
      </c>
      <c r="AB148" s="20"/>
      <c r="AC148" s="34"/>
      <c r="AD148" s="23" t="str">
        <f t="shared" si="24"/>
        <v/>
      </c>
    </row>
    <row r="149" spans="1:30" ht="72.5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t="shared" ca="1" si="20"/>
        <v>6.5999999999999979</v>
      </c>
      <c r="N149" s="20" t="s">
        <v>1222</v>
      </c>
      <c r="O149" s="20"/>
      <c r="P149" s="20"/>
      <c r="Q149" s="134"/>
      <c r="R149" s="127"/>
      <c r="S149" s="157">
        <f t="shared" si="21"/>
        <v>3</v>
      </c>
      <c r="T149" s="158"/>
      <c r="U149" s="21">
        <v>0</v>
      </c>
      <c r="V149" s="21">
        <v>1</v>
      </c>
      <c r="W149" s="21">
        <v>0</v>
      </c>
      <c r="X149" s="156">
        <v>3</v>
      </c>
      <c r="Y149" s="157">
        <f t="shared" si="22"/>
        <v>3</v>
      </c>
      <c r="Z149" s="22"/>
      <c r="AA149" s="157">
        <f t="shared" si="23"/>
        <v>3</v>
      </c>
      <c r="AB149" s="20" t="s">
        <v>1223</v>
      </c>
      <c r="AC149" s="34"/>
      <c r="AD149" s="23" t="str">
        <f t="shared" si="24"/>
        <v/>
      </c>
    </row>
    <row r="150" spans="1:30" s="9" customFormat="1" ht="7.5" customHeight="1" outlineLevel="2" x14ac:dyDescent="0.35">
      <c r="A150" s="86" t="s">
        <v>132</v>
      </c>
      <c r="B150" s="15"/>
      <c r="C150" s="72"/>
      <c r="D150" s="72"/>
      <c r="E150" s="72"/>
      <c r="F150" s="72"/>
      <c r="M150" s="252"/>
      <c r="T150" s="15"/>
      <c r="X150" s="15"/>
      <c r="AB150" s="10"/>
      <c r="AC150" s="10"/>
      <c r="AD150" s="10"/>
    </row>
    <row r="151" spans="1:30" s="14" customFormat="1" ht="29" outlineLevel="1" x14ac:dyDescent="0.35">
      <c r="A151" s="86" t="s">
        <v>100</v>
      </c>
      <c r="B151" s="18"/>
      <c r="C151" s="77"/>
      <c r="D151" s="77"/>
      <c r="E151" s="77"/>
      <c r="F151" s="76"/>
      <c r="G151" s="29"/>
      <c r="H151" s="29"/>
      <c r="I151" s="29"/>
      <c r="J151" s="29"/>
      <c r="K151" s="29"/>
      <c r="L151" s="17">
        <f ca="1">LOOKUP(1000,INDIRECT("L1:"&amp;CELL("address",INDIRECT("R[-1]C",FALSE))))+1</f>
        <v>7</v>
      </c>
      <c r="M151" s="301" t="s">
        <v>1186</v>
      </c>
      <c r="N151" s="301"/>
      <c r="O151" s="5"/>
      <c r="P151" s="30"/>
      <c r="Q151" s="30"/>
      <c r="R151" s="30"/>
      <c r="S151" s="30"/>
      <c r="T151" s="155">
        <f>IF($S$6="Exclude", SUMIFS(S152:S159, J152:J159, "&lt;&gt;Yes", G152:G159, "&lt;&gt;Yes"), SUMIFS(S152:S159, J152:J159, "&lt;&gt;Yes"))</f>
        <v>20.5</v>
      </c>
      <c r="U151" s="30"/>
      <c r="V151" s="30"/>
      <c r="W151" s="30"/>
      <c r="X151" s="31"/>
      <c r="Y151" s="32"/>
      <c r="Z151" s="32"/>
      <c r="AA151" s="32"/>
      <c r="AB151" s="219" t="s">
        <v>1187</v>
      </c>
      <c r="AC151" s="33"/>
      <c r="AD151" s="23" t="str">
        <f>IF(M151="", "Error: Task name cannot be empty.", "")</f>
        <v/>
      </c>
    </row>
    <row r="152" spans="1:30" s="12" customFormat="1" ht="1.5" customHeight="1" outlineLevel="2" x14ac:dyDescent="0.35">
      <c r="A152" s="86" t="s">
        <v>101</v>
      </c>
      <c r="B152" s="18"/>
      <c r="C152" s="77"/>
      <c r="D152" s="77"/>
      <c r="E152" s="77"/>
      <c r="F152" s="76"/>
      <c r="G152" s="29"/>
      <c r="H152" s="29"/>
      <c r="I152" s="29"/>
      <c r="J152" s="29"/>
      <c r="K152" s="29"/>
      <c r="L152" s="163">
        <f ca="1">L151</f>
        <v>7</v>
      </c>
      <c r="M152" s="164" t="s">
        <v>105</v>
      </c>
      <c r="N152" s="161"/>
      <c r="O152" s="162"/>
      <c r="P152" s="30"/>
      <c r="Q152" s="30"/>
      <c r="R152" s="30"/>
      <c r="S152" s="30"/>
      <c r="T152" s="155"/>
      <c r="U152" s="30"/>
      <c r="V152" s="30"/>
      <c r="W152" s="30"/>
      <c r="X152" s="31"/>
      <c r="Y152" s="32"/>
      <c r="Z152" s="32"/>
      <c r="AA152" s="32"/>
      <c r="AB152" s="33"/>
      <c r="AC152" s="33"/>
      <c r="AD152" s="23"/>
    </row>
    <row r="153" spans="1:30" ht="43.5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 t="str">
        <f t="shared" ref="M153:M158" ca="1" si="25">IFERROR(OFFSET(M153,-1,,1,1)+0.1,OFFSET(M153,-1,-1,1,1)&amp;".1")</f>
        <v>7.1</v>
      </c>
      <c r="N153" s="20" t="s">
        <v>1188</v>
      </c>
      <c r="O153" s="20"/>
      <c r="P153" s="20"/>
      <c r="Q153" s="134"/>
      <c r="R153" s="127"/>
      <c r="S153" s="157">
        <f t="shared" ref="S153:S158" si="26">CEILING((IF(J153="Yes", 0, IF(H153="-",AA153,AA153+AA153*VLOOKUP(H153,BUFFERS_BY_TYPE,2,FALSE)))) +
   (IF(J153="Yes", 0, IF(H153="-",AA153,AA153+AA153*VLOOKUP(H153,BUFFERS_BY_TYPE,2,FALSE))))*VLOOKUP($S$5, SALES_CALL_SCALE_ARRAY, 2,FALSE),0.25)</f>
        <v>4</v>
      </c>
      <c r="T153" s="158"/>
      <c r="U153" s="21">
        <v>0</v>
      </c>
      <c r="V153" s="21">
        <v>1</v>
      </c>
      <c r="W153" s="21">
        <v>0</v>
      </c>
      <c r="X153" s="156">
        <v>4</v>
      </c>
      <c r="Y153" s="157">
        <f t="shared" ref="Y153:Y158" si="27"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4</v>
      </c>
      <c r="Z153" s="22"/>
      <c r="AA153" s="157">
        <f t="shared" ref="AA153:AA158" si="28">Y153+Y153*VLOOKUP(I153,EXTRAS_ARRAY,2,FALSE)</f>
        <v>4</v>
      </c>
      <c r="AB153" s="20" t="s">
        <v>1189</v>
      </c>
      <c r="AC153" s="34"/>
      <c r="AD153" s="23" t="str">
        <f t="shared" ref="AD153:AD158" si="29"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87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5"/>
        <v>7.1999999999999993</v>
      </c>
      <c r="N154" s="20" t="s">
        <v>1224</v>
      </c>
      <c r="O154" s="20"/>
      <c r="P154" s="20"/>
      <c r="Q154" s="134"/>
      <c r="R154" s="127"/>
      <c r="S154" s="157">
        <f t="shared" si="26"/>
        <v>5.5</v>
      </c>
      <c r="T154" s="158"/>
      <c r="U154" s="21">
        <v>0</v>
      </c>
      <c r="V154" s="21">
        <v>1</v>
      </c>
      <c r="W154" s="21">
        <v>0</v>
      </c>
      <c r="X154" s="156">
        <v>5.5</v>
      </c>
      <c r="Y154" s="157">
        <f t="shared" si="27"/>
        <v>5.5</v>
      </c>
      <c r="Z154" s="22"/>
      <c r="AA154" s="157">
        <f t="shared" si="28"/>
        <v>5.5</v>
      </c>
      <c r="AB154" s="20"/>
      <c r="AC154" s="34"/>
      <c r="AD154" s="23" t="str">
        <f t="shared" si="29"/>
        <v/>
      </c>
    </row>
    <row r="155" spans="1:30" ht="43.5" outlineLevel="2" x14ac:dyDescent="0.35">
      <c r="A155" s="86" t="s">
        <v>0</v>
      </c>
      <c r="B155" s="18"/>
      <c r="C155" s="78"/>
      <c r="D155" s="78"/>
      <c r="E155" s="78"/>
      <c r="F155" s="79"/>
      <c r="G155" s="19" t="s">
        <v>23</v>
      </c>
      <c r="H155" s="19" t="s">
        <v>23</v>
      </c>
      <c r="I155" s="20" t="s">
        <v>23</v>
      </c>
      <c r="J155" s="19" t="s">
        <v>23</v>
      </c>
      <c r="K155" s="35"/>
      <c r="L155" s="19"/>
      <c r="M155" s="263">
        <f t="shared" ca="1" si="25"/>
        <v>7.2999999999999989</v>
      </c>
      <c r="N155" s="20" t="s">
        <v>1190</v>
      </c>
      <c r="O155" s="20"/>
      <c r="P155" s="20"/>
      <c r="Q155" s="134"/>
      <c r="R155" s="127"/>
      <c r="S155" s="157">
        <f t="shared" si="26"/>
        <v>3</v>
      </c>
      <c r="T155" s="158"/>
      <c r="U155" s="21">
        <v>0</v>
      </c>
      <c r="V155" s="21">
        <v>1</v>
      </c>
      <c r="W155" s="21">
        <v>0</v>
      </c>
      <c r="X155" s="156">
        <v>3</v>
      </c>
      <c r="Y155" s="157">
        <f t="shared" si="27"/>
        <v>3</v>
      </c>
      <c r="Z155" s="22"/>
      <c r="AA155" s="157">
        <f t="shared" si="28"/>
        <v>3</v>
      </c>
      <c r="AB155" s="20" t="s">
        <v>1191</v>
      </c>
      <c r="AC155" s="34"/>
      <c r="AD155" s="23" t="str">
        <f t="shared" si="29"/>
        <v/>
      </c>
    </row>
    <row r="156" spans="1:30" ht="43.5" outlineLevel="2" x14ac:dyDescent="0.35">
      <c r="A156" s="86" t="s">
        <v>0</v>
      </c>
      <c r="B156" s="18"/>
      <c r="C156" s="78"/>
      <c r="D156" s="78"/>
      <c r="E156" s="78"/>
      <c r="F156" s="79"/>
      <c r="G156" s="19" t="s">
        <v>23</v>
      </c>
      <c r="H156" s="19" t="s">
        <v>23</v>
      </c>
      <c r="I156" s="20" t="s">
        <v>23</v>
      </c>
      <c r="J156" s="19" t="s">
        <v>23</v>
      </c>
      <c r="K156" s="35"/>
      <c r="L156" s="19"/>
      <c r="M156" s="263">
        <f t="shared" ca="1" si="25"/>
        <v>7.3999999999999986</v>
      </c>
      <c r="N156" s="20" t="s">
        <v>1192</v>
      </c>
      <c r="O156" s="20"/>
      <c r="P156" s="20"/>
      <c r="Q156" s="134"/>
      <c r="R156" s="127"/>
      <c r="S156" s="157">
        <f t="shared" si="26"/>
        <v>3</v>
      </c>
      <c r="T156" s="158"/>
      <c r="U156" s="21">
        <v>0</v>
      </c>
      <c r="V156" s="21">
        <v>1</v>
      </c>
      <c r="W156" s="21">
        <v>0</v>
      </c>
      <c r="X156" s="156">
        <v>3</v>
      </c>
      <c r="Y156" s="157">
        <f t="shared" si="27"/>
        <v>3</v>
      </c>
      <c r="Z156" s="22"/>
      <c r="AA156" s="157">
        <f t="shared" si="28"/>
        <v>3</v>
      </c>
      <c r="AB156" s="20" t="s">
        <v>1193</v>
      </c>
      <c r="AC156" s="34"/>
      <c r="AD156" s="23" t="str">
        <f t="shared" si="29"/>
        <v/>
      </c>
    </row>
    <row r="157" spans="1:30" ht="58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>
        <f t="shared" ca="1" si="25"/>
        <v>7.4999999999999982</v>
      </c>
      <c r="N157" s="20" t="s">
        <v>1194</v>
      </c>
      <c r="O157" s="20"/>
      <c r="P157" s="20"/>
      <c r="Q157" s="134"/>
      <c r="R157" s="127"/>
      <c r="S157" s="157">
        <f t="shared" si="26"/>
        <v>2</v>
      </c>
      <c r="T157" s="158"/>
      <c r="U157" s="21">
        <v>0</v>
      </c>
      <c r="V157" s="21">
        <v>1</v>
      </c>
      <c r="W157" s="21">
        <v>0</v>
      </c>
      <c r="X157" s="156">
        <v>2</v>
      </c>
      <c r="Y157" s="157">
        <f t="shared" si="27"/>
        <v>2</v>
      </c>
      <c r="Z157" s="22"/>
      <c r="AA157" s="157">
        <f t="shared" si="28"/>
        <v>2</v>
      </c>
      <c r="AB157" s="20" t="s">
        <v>1195</v>
      </c>
      <c r="AC157" s="34"/>
      <c r="AD157" s="23" t="str">
        <f t="shared" si="29"/>
        <v/>
      </c>
    </row>
    <row r="158" spans="1:30" ht="72.5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25"/>
        <v>7.5999999999999979</v>
      </c>
      <c r="N158" s="20" t="s">
        <v>1225</v>
      </c>
      <c r="O158" s="20"/>
      <c r="P158" s="20"/>
      <c r="Q158" s="134"/>
      <c r="R158" s="127"/>
      <c r="S158" s="157">
        <f t="shared" si="26"/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 t="shared" si="27"/>
        <v>3</v>
      </c>
      <c r="Z158" s="22"/>
      <c r="AA158" s="157">
        <f t="shared" si="28"/>
        <v>3</v>
      </c>
      <c r="AB158" s="20"/>
      <c r="AC158" s="34"/>
      <c r="AD158" s="23" t="str">
        <f t="shared" si="29"/>
        <v/>
      </c>
    </row>
    <row r="159" spans="1:30" s="9" customFormat="1" ht="7.5" customHeight="1" outlineLevel="2" x14ac:dyDescent="0.35">
      <c r="A159" s="86" t="s">
        <v>132</v>
      </c>
      <c r="B159" s="15"/>
      <c r="C159" s="72"/>
      <c r="D159" s="72"/>
      <c r="E159" s="72"/>
      <c r="F159" s="72"/>
      <c r="M159" s="252"/>
      <c r="T159" s="15"/>
      <c r="X159" s="15"/>
      <c r="AB159" s="10"/>
      <c r="AC159" s="10"/>
      <c r="AD159" s="10"/>
    </row>
    <row r="160" spans="1:30" s="14" customFormat="1" ht="29" outlineLevel="1" x14ac:dyDescent="0.35">
      <c r="A160" s="86" t="s">
        <v>100</v>
      </c>
      <c r="B160" s="18"/>
      <c r="C160" s="77"/>
      <c r="D160" s="77"/>
      <c r="E160" s="77"/>
      <c r="F160" s="76"/>
      <c r="G160" s="29"/>
      <c r="H160" s="29"/>
      <c r="I160" s="29"/>
      <c r="J160" s="29"/>
      <c r="K160" s="29"/>
      <c r="L160" s="17">
        <f ca="1">LOOKUP(1000,INDIRECT("L1:"&amp;CELL("address",INDIRECT("R[-1]C",FALSE))))+1</f>
        <v>8</v>
      </c>
      <c r="M160" s="301" t="s">
        <v>1226</v>
      </c>
      <c r="N160" s="301"/>
      <c r="O160" s="5"/>
      <c r="P160" s="30"/>
      <c r="Q160" s="30"/>
      <c r="R160" s="30"/>
      <c r="S160" s="30"/>
      <c r="T160" s="155">
        <f>IF($S$6="Exclude", SUMIFS(S161:S167, J161:J167, "&lt;&gt;Yes", G161:G167, "&lt;&gt;Yes"), SUMIFS(S161:S167, J161:J167, "&lt;&gt;Yes"))</f>
        <v>11.5</v>
      </c>
      <c r="U160" s="30"/>
      <c r="V160" s="30"/>
      <c r="W160" s="30"/>
      <c r="X160" s="31"/>
      <c r="Y160" s="32"/>
      <c r="Z160" s="32"/>
      <c r="AA160" s="32"/>
      <c r="AB160" s="219" t="s">
        <v>1227</v>
      </c>
      <c r="AC160" s="33"/>
      <c r="AD160" s="23" t="str">
        <f>IF(M160="", "Error: Task name cannot be empty.", "")</f>
        <v/>
      </c>
    </row>
    <row r="161" spans="1:30" s="12" customFormat="1" ht="1.5" customHeight="1" outlineLevel="2" x14ac:dyDescent="0.35">
      <c r="A161" s="86" t="s">
        <v>101</v>
      </c>
      <c r="B161" s="18"/>
      <c r="C161" s="77"/>
      <c r="D161" s="77"/>
      <c r="E161" s="77"/>
      <c r="F161" s="76"/>
      <c r="G161" s="29"/>
      <c r="H161" s="29"/>
      <c r="I161" s="29"/>
      <c r="J161" s="29"/>
      <c r="K161" s="29"/>
      <c r="L161" s="163">
        <f ca="1">L160</f>
        <v>8</v>
      </c>
      <c r="M161" s="164" t="s">
        <v>105</v>
      </c>
      <c r="N161" s="161"/>
      <c r="O161" s="162"/>
      <c r="P161" s="30"/>
      <c r="Q161" s="30"/>
      <c r="R161" s="30"/>
      <c r="S161" s="30"/>
      <c r="T161" s="155"/>
      <c r="U161" s="30"/>
      <c r="V161" s="30"/>
      <c r="W161" s="30"/>
      <c r="X161" s="31"/>
      <c r="Y161" s="32"/>
      <c r="Z161" s="32"/>
      <c r="AA161" s="32"/>
      <c r="AB161" s="33"/>
      <c r="AC161" s="33"/>
      <c r="AD161" s="23"/>
    </row>
    <row r="162" spans="1:30" ht="58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 t="str">
        <f ca="1">IFERROR(OFFSET(M162,-1,,1,1)+0.1,OFFSET(M162,-1,-1,1,1)&amp;".1")</f>
        <v>8.1</v>
      </c>
      <c r="N162" s="20" t="s">
        <v>1228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3</v>
      </c>
      <c r="T162" s="158"/>
      <c r="U162" s="21">
        <v>0</v>
      </c>
      <c r="V162" s="21">
        <v>1</v>
      </c>
      <c r="W162" s="21">
        <v>0</v>
      </c>
      <c r="X162" s="156">
        <v>3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3</v>
      </c>
      <c r="Z162" s="22"/>
      <c r="AA162" s="157">
        <f>Y162+Y162*VLOOKUP(I162,EXTRAS_ARRAY,2,FALSE)</f>
        <v>3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58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8.1999999999999993</v>
      </c>
      <c r="N163" s="20" t="s">
        <v>1229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3</v>
      </c>
      <c r="T163" s="158"/>
      <c r="U163" s="21">
        <v>0</v>
      </c>
      <c r="V163" s="21">
        <v>1</v>
      </c>
      <c r="W163" s="21">
        <v>0</v>
      </c>
      <c r="X163" s="156">
        <v>3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</v>
      </c>
      <c r="Z163" s="22"/>
      <c r="AA163" s="157">
        <f>Y163+Y163*VLOOKUP(I163,EXTRAS_ARRAY,2,FALSE)</f>
        <v>3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ht="43.5" outlineLevel="2" x14ac:dyDescent="0.35">
      <c r="A164" s="86" t="s">
        <v>0</v>
      </c>
      <c r="B164" s="18"/>
      <c r="C164" s="78"/>
      <c r="D164" s="78"/>
      <c r="E164" s="78"/>
      <c r="F164" s="79"/>
      <c r="G164" s="19" t="s">
        <v>23</v>
      </c>
      <c r="H164" s="19" t="s">
        <v>23</v>
      </c>
      <c r="I164" s="20" t="s">
        <v>23</v>
      </c>
      <c r="J164" s="19" t="s">
        <v>23</v>
      </c>
      <c r="K164" s="35"/>
      <c r="L164" s="19"/>
      <c r="M164" s="263">
        <f ca="1">IFERROR(OFFSET(M164,-1,,1,1)+0.1,OFFSET(M164,-1,-1,1,1)&amp;".1")</f>
        <v>8.2999999999999989</v>
      </c>
      <c r="N164" s="20" t="s">
        <v>1230</v>
      </c>
      <c r="O164" s="20"/>
      <c r="P164" s="20"/>
      <c r="Q164" s="134"/>
      <c r="R164" s="127"/>
      <c r="S164" s="157">
        <f>CEILING((IF(J164="Yes", 0, IF(H164="-",AA164,AA164+AA164*VLOOKUP(H164,BUFFERS_BY_TYPE,2,FALSE)))) +
   (IF(J164="Yes", 0, IF(H164="-",AA164,AA164+AA164*VLOOKUP(H164,BUFFERS_BY_TYPE,2,FALSE))))*VLOOKUP($S$5, SALES_CALL_SCALE_ARRAY, 2,FALSE),0.25)</f>
        <v>2</v>
      </c>
      <c r="T164" s="158"/>
      <c r="U164" s="21">
        <v>0</v>
      </c>
      <c r="V164" s="21">
        <v>1</v>
      </c>
      <c r="W164" s="21">
        <v>0</v>
      </c>
      <c r="X164" s="156">
        <v>2</v>
      </c>
      <c r="Y164" s="157">
        <f>CEILING((IF(P164=AS_DEV_EFFORT, DEV_EFFORT*Q164%,
                           IF(P164=AS_DURATION_EFFORT, (MANUAL_DURATION*5)*Q164%,
                                    (IF(Q164&lt;=1,X164,
                                          IF(SUM(U164:W164)=0,(Q164*X164),
                                               (((Q164*U164)*(X164+(X164*EXTRA_FOR_H)))+
                                               ((Q164*V164)*X164)+
                                               ((Q164*W164)*(X164-(X164*LESS_FOR_L)))
                                    )*IF(R164=0,1,R164))))))+Z164), 0.25)</f>
        <v>2</v>
      </c>
      <c r="Z164" s="22"/>
      <c r="AA164" s="157">
        <f>Y164+Y164*VLOOKUP(I164,EXTRAS_ARRAY,2,FALSE)</f>
        <v>2</v>
      </c>
      <c r="AB164" s="20"/>
      <c r="AC164" s="34"/>
      <c r="AD164" s="23" t="str">
        <f>IF(J164&lt;&gt;"Yes",
IF(S164&lt;=0,"Error: Effort value is not defined or is invalid.",
IF(AND(SUM(U164:W164)&gt;0,SUM(U164:W164)&lt;&gt;1),"Error: Complexity % distribution should sum to 100%.",
IF(AND(P164=AS_DEV_EFFORT,X164&lt;&gt;0),"Error: PDs should not be defined when defining as dev effort %.",
IF(AND(P164=AS_DURATION_EFFORT,X164&lt;&gt;0),"Error: PDs should not be defined when defining as duration effort %.","")))))</f>
        <v/>
      </c>
    </row>
    <row r="165" spans="1:30" ht="58" outlineLevel="2" x14ac:dyDescent="0.35">
      <c r="A165" s="86" t="s">
        <v>0</v>
      </c>
      <c r="B165" s="18"/>
      <c r="C165" s="78"/>
      <c r="D165" s="78"/>
      <c r="E165" s="78"/>
      <c r="F165" s="79"/>
      <c r="G165" s="19" t="s">
        <v>23</v>
      </c>
      <c r="H165" s="19" t="s">
        <v>23</v>
      </c>
      <c r="I165" s="20" t="s">
        <v>23</v>
      </c>
      <c r="J165" s="19" t="s">
        <v>23</v>
      </c>
      <c r="K165" s="35"/>
      <c r="L165" s="19"/>
      <c r="M165" s="263">
        <f ca="1">IFERROR(OFFSET(M165,-1,,1,1)+0.1,OFFSET(M165,-1,-1,1,1)&amp;".1")</f>
        <v>8.3999999999999986</v>
      </c>
      <c r="N165" s="20" t="s">
        <v>1231</v>
      </c>
      <c r="O165" s="20"/>
      <c r="P165" s="20"/>
      <c r="Q165" s="134"/>
      <c r="R165" s="127"/>
      <c r="S165" s="157">
        <f>CEILING((IF(J165="Yes", 0, IF(H165="-",AA165,AA165+AA165*VLOOKUP(H165,BUFFERS_BY_TYPE,2,FALSE)))) +
   (IF(J165="Yes", 0, IF(H165="-",AA165,AA165+AA165*VLOOKUP(H165,BUFFERS_BY_TYPE,2,FALSE))))*VLOOKUP($S$5, SALES_CALL_SCALE_ARRAY, 2,FALSE),0.25)</f>
        <v>2.5</v>
      </c>
      <c r="T165" s="158"/>
      <c r="U165" s="21">
        <v>0</v>
      </c>
      <c r="V165" s="21">
        <v>1</v>
      </c>
      <c r="W165" s="21">
        <v>0</v>
      </c>
      <c r="X165" s="156">
        <v>2.5</v>
      </c>
      <c r="Y165" s="157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2.5</v>
      </c>
      <c r="Z165" s="22"/>
      <c r="AA165" s="157">
        <f>Y165+Y165*VLOOKUP(I165,EXTRAS_ARRAY,2,FALSE)</f>
        <v>2.5</v>
      </c>
      <c r="AB165" s="20"/>
      <c r="AC165" s="34"/>
      <c r="AD165" s="23" t="str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spans="1:30" ht="29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>
        <f ca="1">IFERROR(OFFSET(M166,-1,,1,1)+0.1,OFFSET(M166,-1,-1,1,1)&amp;".1")</f>
        <v>8.4999999999999982</v>
      </c>
      <c r="N166" s="20" t="s">
        <v>1232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1</v>
      </c>
      <c r="T166" s="158"/>
      <c r="U166" s="21">
        <v>0</v>
      </c>
      <c r="V166" s="21">
        <v>1</v>
      </c>
      <c r="W166" s="21">
        <v>0</v>
      </c>
      <c r="X166" s="156">
        <v>1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1</v>
      </c>
      <c r="Z166" s="22"/>
      <c r="AA166" s="157">
        <f>Y166+Y166*VLOOKUP(I166,EXTRAS_ARRAY,2,FALSE)</f>
        <v>1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s="9" customFormat="1" ht="7.5" customHeight="1" outlineLevel="2" x14ac:dyDescent="0.35">
      <c r="A167" s="86" t="s">
        <v>132</v>
      </c>
      <c r="B167" s="15"/>
      <c r="C167" s="72"/>
      <c r="D167" s="72"/>
      <c r="E167" s="72"/>
      <c r="F167" s="72"/>
      <c r="M167" s="252"/>
      <c r="T167" s="15"/>
      <c r="X167" s="15"/>
      <c r="AB167" s="10"/>
      <c r="AC167" s="10"/>
      <c r="AD167" s="10"/>
    </row>
    <row r="168" spans="1:30" s="14" customFormat="1" ht="15.5" outlineLevel="1" x14ac:dyDescent="0.35">
      <c r="A168" s="86" t="s">
        <v>107</v>
      </c>
      <c r="B168" s="18"/>
      <c r="C168" s="77"/>
      <c r="D168" s="77"/>
      <c r="E168" s="77"/>
      <c r="F168" s="76"/>
      <c r="G168" s="170"/>
      <c r="H168" s="170"/>
      <c r="I168" s="170"/>
      <c r="J168" s="170"/>
      <c r="K168" s="170"/>
      <c r="L168" s="85" t="s">
        <v>109</v>
      </c>
      <c r="M168" s="300" t="s">
        <v>1025</v>
      </c>
      <c r="N168" s="300"/>
      <c r="O168" s="80"/>
      <c r="P168" s="81"/>
      <c r="Q168" s="81"/>
      <c r="R168" s="81"/>
      <c r="S168" s="291">
        <f>SUMGROUP(ROW(), "T")</f>
        <v>92</v>
      </c>
      <c r="T168" s="291"/>
      <c r="U168" s="292"/>
      <c r="V168" s="292"/>
      <c r="W168" s="292"/>
      <c r="X168" s="82"/>
      <c r="Y168" s="83"/>
      <c r="Z168" s="83"/>
      <c r="AA168" s="83"/>
      <c r="AB168" s="221"/>
      <c r="AC168" s="84"/>
      <c r="AD168" s="23" t="str">
        <f>IF(M168="", "Error: Module name cannot be empty.", "")</f>
        <v/>
      </c>
    </row>
    <row r="169" spans="1:30" s="14" customFormat="1" ht="29" outlineLevel="1" collapsed="1" x14ac:dyDescent="0.35">
      <c r="A169" s="86" t="s">
        <v>100</v>
      </c>
      <c r="B169" s="18"/>
      <c r="C169" s="77"/>
      <c r="D169" s="77"/>
      <c r="E169" s="77"/>
      <c r="F169" s="76"/>
      <c r="G169" s="29"/>
      <c r="H169" s="29"/>
      <c r="I169" s="29"/>
      <c r="J169" s="29"/>
      <c r="K169" s="29"/>
      <c r="L169" s="17">
        <f ca="1">LOOKUP(1000,INDIRECT("L1:"&amp;CELL("address",INDIRECT("R[-1]C",FALSE))))+1</f>
        <v>9</v>
      </c>
      <c r="M169" s="330" t="s">
        <v>1026</v>
      </c>
      <c r="N169" s="301"/>
      <c r="O169" s="5"/>
      <c r="P169" s="30"/>
      <c r="Q169" s="30"/>
      <c r="R169" s="30"/>
      <c r="S169" s="30"/>
      <c r="T169" s="155">
        <f>IF($S$6="Exclude", SUMIFS(S170:S176, J170:J176, "&lt;&gt;Yes", G170:G176, "&lt;&gt;Yes"), SUMIFS(S170:S176, J170:J176, "&lt;&gt;Yes"))</f>
        <v>18</v>
      </c>
      <c r="U169" s="30"/>
      <c r="V169" s="30"/>
      <c r="W169" s="30"/>
      <c r="X169" s="31"/>
      <c r="Y169" s="32"/>
      <c r="Z169" s="32"/>
      <c r="AA169" s="32"/>
      <c r="AB169" s="219" t="s">
        <v>1027</v>
      </c>
      <c r="AC169" s="33"/>
      <c r="AD169" s="23" t="str">
        <f>IF(M169="", "Error: Task name cannot be empty.", "")</f>
        <v/>
      </c>
    </row>
    <row r="170" spans="1:30" s="12" customFormat="1" ht="1.5" hidden="1" customHeight="1" outlineLevel="2" x14ac:dyDescent="0.35">
      <c r="A170" s="86" t="s">
        <v>101</v>
      </c>
      <c r="B170" s="18"/>
      <c r="C170" s="77"/>
      <c r="D170" s="77"/>
      <c r="E170" s="77"/>
      <c r="F170" s="76"/>
      <c r="G170" s="29"/>
      <c r="H170" s="29"/>
      <c r="I170" s="29"/>
      <c r="J170" s="29"/>
      <c r="K170" s="29"/>
      <c r="L170" s="163">
        <f ca="1">L169</f>
        <v>9</v>
      </c>
      <c r="M170" s="164" t="s">
        <v>105</v>
      </c>
      <c r="N170" s="161"/>
      <c r="O170" s="162"/>
      <c r="P170" s="30"/>
      <c r="Q170" s="30"/>
      <c r="R170" s="30"/>
      <c r="S170" s="30"/>
      <c r="T170" s="155"/>
      <c r="U170" s="30"/>
      <c r="V170" s="30"/>
      <c r="W170" s="30"/>
      <c r="X170" s="31"/>
      <c r="Y170" s="32"/>
      <c r="Z170" s="32"/>
      <c r="AA170" s="32"/>
      <c r="AB170" s="33"/>
      <c r="AC170" s="33"/>
      <c r="AD170" s="23"/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 t="str">
        <f ca="1">IFERROR(OFFSET(M171,-1,,1,1)+0.1,OFFSET(M171,-1,-1,1,1)&amp;".1")</f>
        <v>9.1</v>
      </c>
      <c r="N171" s="20" t="s">
        <v>1028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4</v>
      </c>
      <c r="T171" s="158"/>
      <c r="U171" s="21">
        <v>0</v>
      </c>
      <c r="V171" s="21">
        <v>1</v>
      </c>
      <c r="W171" s="21">
        <v>0</v>
      </c>
      <c r="X171" s="156">
        <v>4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4</v>
      </c>
      <c r="Z171" s="22"/>
      <c r="AA171" s="157">
        <f>Y171+Y171*VLOOKUP(I171,EXTRAS_ARRAY,2,FALSE)</f>
        <v>4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15.5" hidden="1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ca="1">IFERROR(OFFSET(M172,-1,,1,1)+0.1,OFFSET(M172,-1,-1,1,1)&amp;".1")</f>
        <v>9.1999999999999993</v>
      </c>
      <c r="N172" s="20" t="s">
        <v>1029</v>
      </c>
      <c r="O172" s="20"/>
      <c r="P172" s="20"/>
      <c r="Q172" s="134"/>
      <c r="R172" s="127"/>
      <c r="S172" s="157">
        <f>CEILING((IF(J172="Yes", 0, IF(H172="-",AA172,AA172+AA172*VLOOKUP(H172,BUFFERS_BY_TYPE,2,FALSE)))) +
   (IF(J172="Yes", 0, IF(H172="-",AA172,AA172+AA172*VLOOKUP(H172,BUFFERS_BY_TYPE,2,FALSE))))*VLOOKUP($S$5, SALES_CALL_SCALE_ARRAY, 2,FALSE),0.25)</f>
        <v>5</v>
      </c>
      <c r="T172" s="158"/>
      <c r="U172" s="21">
        <v>0</v>
      </c>
      <c r="V172" s="21">
        <v>1</v>
      </c>
      <c r="W172" s="21">
        <v>0</v>
      </c>
      <c r="X172" s="156">
        <v>5</v>
      </c>
      <c r="Y172" s="157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5</v>
      </c>
      <c r="Z172" s="22"/>
      <c r="AA172" s="157">
        <f>Y172+Y172*VLOOKUP(I172,EXTRAS_ARRAY,2,FALSE)</f>
        <v>5</v>
      </c>
      <c r="AB172" s="20"/>
      <c r="AC172" s="34"/>
      <c r="AD172" s="23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15.5" hidden="1" outlineLevel="2" x14ac:dyDescent="0.35">
      <c r="A173" s="86" t="s">
        <v>0</v>
      </c>
      <c r="B173" s="18"/>
      <c r="C173" s="78"/>
      <c r="D173" s="78"/>
      <c r="E173" s="78"/>
      <c r="F173" s="79"/>
      <c r="G173" s="19" t="s">
        <v>23</v>
      </c>
      <c r="H173" s="19" t="s">
        <v>23</v>
      </c>
      <c r="I173" s="20" t="s">
        <v>23</v>
      </c>
      <c r="J173" s="19" t="s">
        <v>23</v>
      </c>
      <c r="K173" s="35"/>
      <c r="L173" s="19"/>
      <c r="M173" s="263">
        <f ca="1">IFERROR(OFFSET(M173,-1,,1,1)+0.1,OFFSET(M173,-1,-1,1,1)&amp;".1")</f>
        <v>9.2999999999999989</v>
      </c>
      <c r="N173" s="20" t="s">
        <v>1030</v>
      </c>
      <c r="O173" s="20"/>
      <c r="P173" s="20"/>
      <c r="Q173" s="134"/>
      <c r="R173" s="127"/>
      <c r="S173" s="157">
        <f>CEILING((IF(J173="Yes", 0, IF(H173="-",AA173,AA173+AA173*VLOOKUP(H173,BUFFERS_BY_TYPE,2,FALSE)))) +
   (IF(J173="Yes", 0, IF(H173="-",AA173,AA173+AA173*VLOOKUP(H173,BUFFERS_BY_TYPE,2,FALSE))))*VLOOKUP($S$5, SALES_CALL_SCALE_ARRAY, 2,FALSE),0.25)</f>
        <v>4</v>
      </c>
      <c r="T173" s="158"/>
      <c r="U173" s="21">
        <v>0</v>
      </c>
      <c r="V173" s="21">
        <v>1</v>
      </c>
      <c r="W173" s="21">
        <v>0</v>
      </c>
      <c r="X173" s="156">
        <v>4</v>
      </c>
      <c r="Y173" s="157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4</v>
      </c>
      <c r="Z173" s="22"/>
      <c r="AA173" s="157">
        <f>Y173+Y173*VLOOKUP(I173,EXTRAS_ARRAY,2,FALSE)</f>
        <v>4</v>
      </c>
      <c r="AB173" s="20"/>
      <c r="AC173" s="34"/>
      <c r="AD173" s="23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ht="15.5" hidden="1" outlineLevel="2" x14ac:dyDescent="0.35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>
        <f ca="1">IFERROR(OFFSET(M174,-1,,1,1)+0.1,OFFSET(M174,-1,-1,1,1)&amp;".1")</f>
        <v>9.3999999999999986</v>
      </c>
      <c r="N174" s="20" t="s">
        <v>1031</v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2.5</v>
      </c>
      <c r="T174" s="158"/>
      <c r="U174" s="21">
        <v>0</v>
      </c>
      <c r="V174" s="21">
        <v>1</v>
      </c>
      <c r="W174" s="21">
        <v>0</v>
      </c>
      <c r="X174" s="156">
        <v>2.5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2.5</v>
      </c>
      <c r="Z174" s="22"/>
      <c r="AA174" s="157">
        <f>Y174+Y174*VLOOKUP(I174,EXTRAS_ARRAY,2,FALSE)</f>
        <v>2.5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9.4999999999999982</v>
      </c>
      <c r="N175" s="20" t="s">
        <v>1032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2.5</v>
      </c>
      <c r="T175" s="158"/>
      <c r="U175" s="21">
        <v>0</v>
      </c>
      <c r="V175" s="21">
        <v>1</v>
      </c>
      <c r="W175" s="21">
        <v>0</v>
      </c>
      <c r="X175" s="156">
        <v>2.5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2.5</v>
      </c>
      <c r="Z175" s="22"/>
      <c r="AA175" s="157">
        <f>Y175+Y175*VLOOKUP(I175,EXTRAS_ARRAY,2,FALSE)</f>
        <v>2.5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s="9" customFormat="1" ht="7.5" hidden="1" customHeight="1" outlineLevel="2" x14ac:dyDescent="0.35">
      <c r="A176" s="86" t="s">
        <v>132</v>
      </c>
      <c r="B176" s="15"/>
      <c r="C176" s="72"/>
      <c r="D176" s="72"/>
      <c r="E176" s="72"/>
      <c r="F176" s="72"/>
      <c r="M176" s="252"/>
      <c r="T176" s="15"/>
      <c r="X176" s="15"/>
      <c r="AB176" s="10"/>
      <c r="AC176" s="10"/>
      <c r="AD176" s="10"/>
    </row>
    <row r="177" spans="1:30" s="14" customFormat="1" ht="15.65" customHeight="1" outlineLevel="1" collapsed="1" x14ac:dyDescent="0.35">
      <c r="A177" s="86" t="s">
        <v>100</v>
      </c>
      <c r="B177" s="18"/>
      <c r="C177" s="77"/>
      <c r="D177" s="77"/>
      <c r="E177" s="77"/>
      <c r="F177" s="76"/>
      <c r="G177" s="29"/>
      <c r="H177" s="29"/>
      <c r="I177" s="29"/>
      <c r="J177" s="29"/>
      <c r="K177" s="29"/>
      <c r="L177" s="17">
        <f ca="1">LOOKUP(1000,INDIRECT("L1:"&amp;CELL("address",INDIRECT("R[-1]C",FALSE))))+1</f>
        <v>10</v>
      </c>
      <c r="M177" s="330" t="s">
        <v>1033</v>
      </c>
      <c r="N177" s="330"/>
      <c r="O177" s="5"/>
      <c r="P177" s="30"/>
      <c r="Q177" s="30"/>
      <c r="R177" s="30"/>
      <c r="S177" s="30"/>
      <c r="T177" s="155">
        <f>IF($S$6="Exclude", SUMIFS(S178:S184, J178:J184, "&lt;&gt;Yes", G178:G184, "&lt;&gt;Yes"), SUMIFS(S178:S184, J178:J184, "&lt;&gt;Yes"))</f>
        <v>15</v>
      </c>
      <c r="U177" s="30"/>
      <c r="V177" s="30"/>
      <c r="W177" s="30"/>
      <c r="X177" s="31"/>
      <c r="Y177" s="32"/>
      <c r="Z177" s="32"/>
      <c r="AA177" s="32"/>
      <c r="AB177" s="219" t="s">
        <v>1034</v>
      </c>
      <c r="AC177" s="33"/>
      <c r="AD177" s="23" t="str">
        <f>IF(M177="", "Error: Task name cannot be empty.", "")</f>
        <v/>
      </c>
    </row>
    <row r="178" spans="1:30" s="12" customFormat="1" ht="1.5" hidden="1" customHeight="1" outlineLevel="2" x14ac:dyDescent="0.35">
      <c r="A178" s="86" t="s">
        <v>101</v>
      </c>
      <c r="B178" s="18"/>
      <c r="C178" s="77"/>
      <c r="D178" s="77"/>
      <c r="E178" s="77"/>
      <c r="F178" s="76"/>
      <c r="G178" s="29"/>
      <c r="H178" s="29"/>
      <c r="I178" s="29"/>
      <c r="J178" s="29"/>
      <c r="K178" s="29"/>
      <c r="L178" s="163">
        <f ca="1">L177</f>
        <v>10</v>
      </c>
      <c r="M178" s="164" t="s">
        <v>105</v>
      </c>
      <c r="N178" s="161"/>
      <c r="O178" s="162"/>
      <c r="P178" s="30"/>
      <c r="Q178" s="30"/>
      <c r="R178" s="30"/>
      <c r="S178" s="30"/>
      <c r="T178" s="155"/>
      <c r="U178" s="30"/>
      <c r="V178" s="30"/>
      <c r="W178" s="30"/>
      <c r="X178" s="31"/>
      <c r="Y178" s="32"/>
      <c r="Z178" s="32"/>
      <c r="AA178" s="32"/>
      <c r="AB178" s="33"/>
      <c r="AC178" s="33"/>
      <c r="AD178" s="23"/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 t="str">
        <f ca="1">IFERROR(OFFSET(M179,-1,,1,1)+0.1,OFFSET(M179,-1,-1,1,1)&amp;".1")</f>
        <v>10.1</v>
      </c>
      <c r="N179" s="20" t="s">
        <v>1035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3</v>
      </c>
      <c r="T179" s="158"/>
      <c r="U179" s="21">
        <v>0</v>
      </c>
      <c r="V179" s="21">
        <v>1</v>
      </c>
      <c r="W179" s="21">
        <v>0</v>
      </c>
      <c r="X179" s="156">
        <v>3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3</v>
      </c>
      <c r="Z179" s="22"/>
      <c r="AA179" s="157">
        <f>Y179+Y179*VLOOKUP(I179,EXTRAS_ARRAY,2,FALSE)</f>
        <v>3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10.199999999999999</v>
      </c>
      <c r="N180" s="20" t="s">
        <v>1036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4</v>
      </c>
      <c r="T180" s="158"/>
      <c r="U180" s="21">
        <v>0</v>
      </c>
      <c r="V180" s="21">
        <v>1</v>
      </c>
      <c r="W180" s="21">
        <v>0</v>
      </c>
      <c r="X180" s="156">
        <v>4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4</v>
      </c>
      <c r="Z180" s="22"/>
      <c r="AA180" s="157">
        <f>Y180+Y180*VLOOKUP(I180,EXTRAS_ARRAY,2,FALSE)</f>
        <v>4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10.299999999999999</v>
      </c>
      <c r="N181" s="20" t="s">
        <v>1037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4</v>
      </c>
      <c r="T181" s="158"/>
      <c r="U181" s="21">
        <v>0</v>
      </c>
      <c r="V181" s="21">
        <v>1</v>
      </c>
      <c r="W181" s="21">
        <v>0</v>
      </c>
      <c r="X181" s="156">
        <v>4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4</v>
      </c>
      <c r="Z181" s="22"/>
      <c r="AA181" s="157">
        <f>Y181+Y181*VLOOKUP(I181,EXTRAS_ARRAY,2,FALSE)</f>
        <v>4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5" hidden="1" outlineLevel="2" x14ac:dyDescent="0.35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10.399999999999999</v>
      </c>
      <c r="N182" s="20" t="s">
        <v>1038</v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2</v>
      </c>
      <c r="T182" s="158"/>
      <c r="U182" s="21">
        <v>0</v>
      </c>
      <c r="V182" s="21">
        <v>1</v>
      </c>
      <c r="W182" s="21">
        <v>0</v>
      </c>
      <c r="X182" s="156">
        <v>2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2</v>
      </c>
      <c r="Z182" s="22"/>
      <c r="AA182" s="157">
        <f>Y182+Y182*VLOOKUP(I182,EXTRAS_ARRAY,2,FALSE)</f>
        <v>2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5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10.499999999999998</v>
      </c>
      <c r="N183" s="20" t="s">
        <v>1039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</v>
      </c>
      <c r="T183" s="158"/>
      <c r="U183" s="21">
        <v>0</v>
      </c>
      <c r="V183" s="21">
        <v>1</v>
      </c>
      <c r="W183" s="21">
        <v>0</v>
      </c>
      <c r="X183" s="156">
        <v>2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</v>
      </c>
      <c r="Z183" s="22"/>
      <c r="AA183" s="157">
        <f>Y183+Y183*VLOOKUP(I183,EXTRAS_ARRAY,2,FALSE)</f>
        <v>2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s="9" customFormat="1" ht="7.5" hidden="1" customHeight="1" outlineLevel="2" x14ac:dyDescent="0.35">
      <c r="A184" s="86" t="s">
        <v>132</v>
      </c>
      <c r="B184" s="15"/>
      <c r="C184" s="72"/>
      <c r="D184" s="72"/>
      <c r="E184" s="72"/>
      <c r="F184" s="72"/>
      <c r="M184" s="252"/>
      <c r="T184" s="15"/>
      <c r="X184" s="15"/>
      <c r="AB184" s="10"/>
      <c r="AC184" s="10"/>
      <c r="AD184" s="10"/>
    </row>
    <row r="185" spans="1:30" s="14" customFormat="1" ht="15.5" outlineLevel="1" collapsed="1" x14ac:dyDescent="0.35">
      <c r="A185" s="86" t="s">
        <v>100</v>
      </c>
      <c r="B185" s="18"/>
      <c r="C185" s="77"/>
      <c r="D185" s="77"/>
      <c r="E185" s="77"/>
      <c r="F185" s="76"/>
      <c r="G185" s="29"/>
      <c r="H185" s="29"/>
      <c r="I185" s="29"/>
      <c r="J185" s="29"/>
      <c r="K185" s="29"/>
      <c r="L185" s="17">
        <f ca="1">LOOKUP(1000,INDIRECT("L1:"&amp;CELL("address",INDIRECT("R[-1]C",FALSE))))+1</f>
        <v>11</v>
      </c>
      <c r="M185" s="330" t="s">
        <v>1040</v>
      </c>
      <c r="N185" s="301"/>
      <c r="O185" s="5"/>
      <c r="P185" s="30"/>
      <c r="Q185" s="30"/>
      <c r="R185" s="30"/>
      <c r="S185" s="30"/>
      <c r="T185" s="155">
        <f>IF($S$6="Exclude", SUMIFS(S186:S192, J186:J192, "&lt;&gt;Yes", G186:G192, "&lt;&gt;Yes"), SUMIFS(S186:S192, J186:J192, "&lt;&gt;Yes"))</f>
        <v>15</v>
      </c>
      <c r="U185" s="30"/>
      <c r="V185" s="30"/>
      <c r="W185" s="30"/>
      <c r="X185" s="31"/>
      <c r="Y185" s="32"/>
      <c r="Z185" s="32"/>
      <c r="AA185" s="32"/>
      <c r="AB185" s="219" t="s">
        <v>1041</v>
      </c>
      <c r="AC185" s="33"/>
      <c r="AD185" s="23" t="str">
        <f>IF(M185="", "Error: Task name cannot be empty.", "")</f>
        <v/>
      </c>
    </row>
    <row r="186" spans="1:30" s="12" customFormat="1" ht="1.5" hidden="1" customHeight="1" outlineLevel="2" x14ac:dyDescent="0.35">
      <c r="A186" s="86" t="s">
        <v>101</v>
      </c>
      <c r="B186" s="18"/>
      <c r="C186" s="77"/>
      <c r="D186" s="77"/>
      <c r="E186" s="77"/>
      <c r="F186" s="76"/>
      <c r="G186" s="29"/>
      <c r="H186" s="29"/>
      <c r="I186" s="29"/>
      <c r="J186" s="29"/>
      <c r="K186" s="29"/>
      <c r="L186" s="163">
        <f ca="1">L185</f>
        <v>11</v>
      </c>
      <c r="M186" s="164" t="s">
        <v>105</v>
      </c>
      <c r="N186" s="161"/>
      <c r="O186" s="162"/>
      <c r="P186" s="30"/>
      <c r="Q186" s="30"/>
      <c r="R186" s="30"/>
      <c r="S186" s="30"/>
      <c r="T186" s="155"/>
      <c r="U186" s="30"/>
      <c r="V186" s="30"/>
      <c r="W186" s="30"/>
      <c r="X186" s="31"/>
      <c r="Y186" s="32"/>
      <c r="Z186" s="32"/>
      <c r="AA186" s="32"/>
      <c r="AB186" s="33"/>
      <c r="AC186" s="33"/>
      <c r="AD186" s="23"/>
    </row>
    <row r="187" spans="1:30" ht="15.5" hidden="1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 t="str">
        <f ca="1">IFERROR(OFFSET(M187,-1,,1,1)+0.1,OFFSET(M187,-1,-1,1,1)&amp;".1")</f>
        <v>11.1</v>
      </c>
      <c r="N187" s="20" t="s">
        <v>1042</v>
      </c>
      <c r="O187" s="20"/>
      <c r="P187" s="20"/>
      <c r="Q187" s="134"/>
      <c r="R187" s="127"/>
      <c r="S187" s="157">
        <f>CEILING((IF(J187="Yes", 0, IF(H187="-",AA187,AA187+AA187*VLOOKUP(H187,BUFFERS_BY_TYPE,2,FALSE)))) +
   (IF(J187="Yes", 0, IF(H187="-",AA187,AA187+AA187*VLOOKUP(H187,BUFFERS_BY_TYPE,2,FALSE))))*VLOOKUP($S$5, SALES_CALL_SCALE_ARRAY, 2,FALSE),0.25)</f>
        <v>3</v>
      </c>
      <c r="T187" s="158"/>
      <c r="U187" s="21">
        <v>0</v>
      </c>
      <c r="V187" s="21">
        <v>1</v>
      </c>
      <c r="W187" s="21">
        <v>0</v>
      </c>
      <c r="X187" s="156">
        <v>3</v>
      </c>
      <c r="Y187" s="157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3</v>
      </c>
      <c r="Z187" s="22"/>
      <c r="AA187" s="157">
        <f>Y187+Y187*VLOOKUP(I187,EXTRAS_ARRAY,2,FALSE)</f>
        <v>3</v>
      </c>
      <c r="AB187" s="20"/>
      <c r="AC187" s="34"/>
      <c r="AD187" s="23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/>
      </c>
    </row>
    <row r="188" spans="1:30" ht="15.5" hidden="1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ca="1">IFERROR(OFFSET(M188,-1,,1,1)+0.1,OFFSET(M188,-1,-1,1,1)&amp;".1")</f>
        <v>11.2</v>
      </c>
      <c r="N188" s="20" t="s">
        <v>1043</v>
      </c>
      <c r="O188" s="20"/>
      <c r="P188" s="20"/>
      <c r="Q188" s="134"/>
      <c r="R188" s="127"/>
      <c r="S188" s="157">
        <f>CEILING((IF(J188="Yes", 0, IF(H188="-",AA188,AA188+AA188*VLOOKUP(H188,BUFFERS_BY_TYPE,2,FALSE)))) +
   (IF(J188="Yes", 0, IF(H188="-",AA188,AA188+AA188*VLOOKUP(H188,BUFFERS_BY_TYPE,2,FALSE))))*VLOOKUP($S$5, SALES_CALL_SCALE_ARRAY, 2,FALSE),0.25)</f>
        <v>3</v>
      </c>
      <c r="T188" s="158"/>
      <c r="U188" s="21">
        <v>0</v>
      </c>
      <c r="V188" s="21">
        <v>1</v>
      </c>
      <c r="W188" s="21">
        <v>0</v>
      </c>
      <c r="X188" s="156">
        <v>3</v>
      </c>
      <c r="Y188" s="157">
        <f>CEILING((IF(P188=AS_DEV_EFFORT, DEV_EFFORT*Q188%,
                           IF(P188=AS_DURATION_EFFORT, (MANUAL_DURATION*5)*Q188%,
                                    (IF(Q188&lt;=1,X188,
                                          IF(SUM(U188:W188)=0,(Q188*X188),
                                               (((Q188*U188)*(X188+(X188*EXTRA_FOR_H)))+
                                               ((Q188*V188)*X188)+
                                               ((Q188*W188)*(X188-(X188*LESS_FOR_L)))
                                    )*IF(R188=0,1,R188))))))+Z188), 0.25)</f>
        <v>3</v>
      </c>
      <c r="Z188" s="22"/>
      <c r="AA188" s="157">
        <f>Y188+Y188*VLOOKUP(I188,EXTRAS_ARRAY,2,FALSE)</f>
        <v>3</v>
      </c>
      <c r="AB188" s="20"/>
      <c r="AC188" s="34"/>
      <c r="AD188" s="23" t="str">
        <f>IF(J188&lt;&gt;"Yes",
IF(S188&lt;=0,"Error: Effort value is not defined or is invalid.",
IF(AND(SUM(U188:W188)&gt;0,SUM(U188:W188)&lt;&gt;1),"Error: Complexity % distribution should sum to 100%.",
IF(AND(P188=AS_DEV_EFFORT,X188&lt;&gt;0),"Error: PDs should not be defined when defining as dev effort %.",
IF(AND(P188=AS_DURATION_EFFORT,X188&lt;&gt;0),"Error: PDs should not be defined when defining as duration effort %.","")))))</f>
        <v/>
      </c>
    </row>
    <row r="189" spans="1:30" ht="15.5" hidden="1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ca="1">IFERROR(OFFSET(M189,-1,,1,1)+0.1,OFFSET(M189,-1,-1,1,1)&amp;".1")</f>
        <v>11.299999999999999</v>
      </c>
      <c r="N189" s="20" t="s">
        <v>880</v>
      </c>
      <c r="O189" s="20"/>
      <c r="P189" s="20"/>
      <c r="Q189" s="134"/>
      <c r="R189" s="127"/>
      <c r="S189" s="157">
        <f>CEILING((IF(J189="Yes", 0, IF(H189="-",AA189,AA189+AA189*VLOOKUP(H189,BUFFERS_BY_TYPE,2,FALSE)))) +
   (IF(J189="Yes", 0, IF(H189="-",AA189,AA189+AA189*VLOOKUP(H189,BUFFERS_BY_TYPE,2,FALSE))))*VLOOKUP($S$5, SALES_CALL_SCALE_ARRAY, 2,FALSE),0.25)</f>
        <v>4</v>
      </c>
      <c r="T189" s="158"/>
      <c r="U189" s="21">
        <v>0</v>
      </c>
      <c r="V189" s="21">
        <v>1</v>
      </c>
      <c r="W189" s="21">
        <v>0</v>
      </c>
      <c r="X189" s="156">
        <v>4</v>
      </c>
      <c r="Y189" s="157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</v>
      </c>
      <c r="Z189" s="22"/>
      <c r="AA189" s="157">
        <f>Y189+Y189*VLOOKUP(I189,EXTRAS_ARRAY,2,FALSE)</f>
        <v>4</v>
      </c>
      <c r="AB189" s="20"/>
      <c r="AC189" s="34"/>
      <c r="AD189" s="23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ca="1">IFERROR(OFFSET(M190,-1,,1,1)+0.1,OFFSET(M190,-1,-1,1,1)&amp;".1")</f>
        <v>11.399999999999999</v>
      </c>
      <c r="N190" s="20" t="s">
        <v>1044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3</v>
      </c>
      <c r="T190" s="158"/>
      <c r="U190" s="21">
        <v>0</v>
      </c>
      <c r="V190" s="21">
        <v>1</v>
      </c>
      <c r="W190" s="21">
        <v>0</v>
      </c>
      <c r="X190" s="156">
        <v>3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3</v>
      </c>
      <c r="Z190" s="22"/>
      <c r="AA190" s="157">
        <f>Y190+Y190*VLOOKUP(I190,EXTRAS_ARRAY,2,FALSE)</f>
        <v>3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11.499999999999998</v>
      </c>
      <c r="N191" s="20" t="s">
        <v>1045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2</v>
      </c>
      <c r="T191" s="158"/>
      <c r="U191" s="21">
        <v>0</v>
      </c>
      <c r="V191" s="21">
        <v>1</v>
      </c>
      <c r="W191" s="21">
        <v>0</v>
      </c>
      <c r="X191" s="156">
        <v>2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2</v>
      </c>
      <c r="Z191" s="22"/>
      <c r="AA191" s="157">
        <f>Y191+Y191*VLOOKUP(I191,EXTRAS_ARRAY,2,FALSE)</f>
        <v>2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s="9" customFormat="1" ht="7.5" hidden="1" customHeight="1" outlineLevel="2" x14ac:dyDescent="0.35">
      <c r="A192" s="86" t="s">
        <v>132</v>
      </c>
      <c r="B192" s="15"/>
      <c r="C192" s="72"/>
      <c r="D192" s="72"/>
      <c r="E192" s="72"/>
      <c r="F192" s="72"/>
      <c r="M192" s="252"/>
      <c r="T192" s="15"/>
      <c r="X192" s="15"/>
      <c r="AB192" s="10"/>
      <c r="AC192" s="10"/>
      <c r="AD192" s="10"/>
    </row>
    <row r="193" spans="1:30" s="14" customFormat="1" ht="15.5" outlineLevel="1" collapsed="1" x14ac:dyDescent="0.35">
      <c r="A193" s="86" t="s">
        <v>100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7">
        <f ca="1">LOOKUP(1000,INDIRECT("L1:"&amp;CELL("address",INDIRECT("R[-1]C",FALSE))))+1</f>
        <v>12</v>
      </c>
      <c r="M193" s="330" t="s">
        <v>1046</v>
      </c>
      <c r="N193" s="301"/>
      <c r="O193" s="5"/>
      <c r="P193" s="30"/>
      <c r="Q193" s="30"/>
      <c r="R193" s="30"/>
      <c r="S193" s="30"/>
      <c r="T193" s="155">
        <f>IF($S$6="Exclude", SUMIFS(S194:S199, J194:J199, "&lt;&gt;Yes", G194:G199, "&lt;&gt;Yes"), SUMIFS(S194:S199, J194:J199, "&lt;&gt;Yes"))</f>
        <v>18</v>
      </c>
      <c r="U193" s="30"/>
      <c r="V193" s="30"/>
      <c r="W193" s="30"/>
      <c r="X193" s="31"/>
      <c r="Y193" s="32"/>
      <c r="Z193" s="32"/>
      <c r="AA193" s="32"/>
      <c r="AB193" s="219" t="s">
        <v>950</v>
      </c>
      <c r="AC193" s="33"/>
      <c r="AD193" s="23" t="str">
        <f>IF(M193="", "Error: Task name cannot be empty.", "")</f>
        <v/>
      </c>
    </row>
    <row r="194" spans="1:30" s="12" customFormat="1" ht="1.5" hidden="1" customHeight="1" outlineLevel="2" x14ac:dyDescent="0.35">
      <c r="A194" s="86" t="s">
        <v>101</v>
      </c>
      <c r="B194" s="18"/>
      <c r="C194" s="77"/>
      <c r="D194" s="77"/>
      <c r="E194" s="77"/>
      <c r="F194" s="76"/>
      <c r="G194" s="29"/>
      <c r="H194" s="29"/>
      <c r="I194" s="29"/>
      <c r="J194" s="29"/>
      <c r="K194" s="29"/>
      <c r="L194" s="163">
        <f ca="1">L193</f>
        <v>12</v>
      </c>
      <c r="M194" s="164" t="s">
        <v>105</v>
      </c>
      <c r="N194" s="161"/>
      <c r="O194" s="162"/>
      <c r="P194" s="30"/>
      <c r="Q194" s="30"/>
      <c r="R194" s="30"/>
      <c r="S194" s="30"/>
      <c r="T194" s="155"/>
      <c r="U194" s="30"/>
      <c r="V194" s="30"/>
      <c r="W194" s="30"/>
      <c r="X194" s="31"/>
      <c r="Y194" s="32"/>
      <c r="Z194" s="32"/>
      <c r="AA194" s="32"/>
      <c r="AB194" s="33"/>
      <c r="AC194" s="33"/>
      <c r="AD194" s="23"/>
    </row>
    <row r="195" spans="1:30" ht="29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 t="str">
        <f ca="1">IFERROR(OFFSET(M195,-1,,1,1)+0.1,OFFSET(M195,-1,-1,1,1)&amp;".1")</f>
        <v>12.1</v>
      </c>
      <c r="N195" s="20" t="s">
        <v>1047</v>
      </c>
      <c r="O195" s="20"/>
      <c r="P195" s="20"/>
      <c r="Q195" s="134"/>
      <c r="R195" s="127"/>
      <c r="S195" s="157">
        <f>CEILING((IF(J195="Yes", 0, IF(H195="-",AA195,AA195+AA195*VLOOKUP(H195,BUFFERS_BY_TYPE,2,FALSE)))) +
   (IF(J195="Yes", 0, IF(H195="-",AA195,AA195+AA195*VLOOKUP(H195,BUFFERS_BY_TYPE,2,FALSE))))*VLOOKUP($S$5, SALES_CALL_SCALE_ARRAY, 2,FALSE),0.25)</f>
        <v>6</v>
      </c>
      <c r="T195" s="158"/>
      <c r="U195" s="21">
        <v>0</v>
      </c>
      <c r="V195" s="21">
        <v>1</v>
      </c>
      <c r="W195" s="21">
        <v>0</v>
      </c>
      <c r="X195" s="156">
        <v>6</v>
      </c>
      <c r="Y195" s="157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6</v>
      </c>
      <c r="Z195" s="22"/>
      <c r="AA195" s="157">
        <f>Y195+Y195*VLOOKUP(I195,EXTRAS_ARRAY,2,FALSE)</f>
        <v>6</v>
      </c>
      <c r="AB195" s="20"/>
      <c r="AC195" s="34"/>
      <c r="AD195" s="23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15.5" hidden="1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ca="1">IFERROR(OFFSET(M196,-1,,1,1)+0.1,OFFSET(M196,-1,-1,1,1)&amp;".1")</f>
        <v>12.2</v>
      </c>
      <c r="N196" s="20" t="s">
        <v>1048</v>
      </c>
      <c r="O196" s="20"/>
      <c r="P196" s="20"/>
      <c r="Q196" s="134"/>
      <c r="R196" s="127"/>
      <c r="S196" s="157">
        <f>CEILING((IF(J196="Yes", 0, IF(H196="-",AA196,AA196+AA196*VLOOKUP(H196,BUFFERS_BY_TYPE,2,FALSE)))) +
   (IF(J196="Yes", 0, IF(H196="-",AA196,AA196+AA196*VLOOKUP(H196,BUFFERS_BY_TYPE,2,FALSE))))*VLOOKUP($S$5, SALES_CALL_SCALE_ARRAY, 2,FALSE),0.25)</f>
        <v>5</v>
      </c>
      <c r="T196" s="158"/>
      <c r="U196" s="21">
        <v>0</v>
      </c>
      <c r="V196" s="21">
        <v>1</v>
      </c>
      <c r="W196" s="21">
        <v>0</v>
      </c>
      <c r="X196" s="156">
        <v>5</v>
      </c>
      <c r="Y196" s="157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5</v>
      </c>
      <c r="Z196" s="22"/>
      <c r="AA196" s="157">
        <f>Y196+Y196*VLOOKUP(I196,EXTRAS_ARRAY,2,FALSE)</f>
        <v>5</v>
      </c>
      <c r="AB196" s="20"/>
      <c r="AC196" s="34"/>
      <c r="AD196" s="23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5" hidden="1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ca="1">IFERROR(OFFSET(M197,-1,,1,1)+0.1,OFFSET(M197,-1,-1,1,1)&amp;".1")</f>
        <v>12.299999999999999</v>
      </c>
      <c r="N197" s="20" t="s">
        <v>1049</v>
      </c>
      <c r="O197" s="20"/>
      <c r="P197" s="20"/>
      <c r="Q197" s="134"/>
      <c r="R197" s="127"/>
      <c r="S197" s="157">
        <f>CEILING((IF(J197="Yes", 0, IF(H197="-",AA197,AA197+AA197*VLOOKUP(H197,BUFFERS_BY_TYPE,2,FALSE)))) +
   (IF(J197="Yes", 0, IF(H197="-",AA197,AA197+AA197*VLOOKUP(H197,BUFFERS_BY_TYPE,2,FALSE))))*VLOOKUP($S$5, SALES_CALL_SCALE_ARRAY, 2,FALSE),0.25)</f>
        <v>4</v>
      </c>
      <c r="T197" s="158"/>
      <c r="U197" s="21">
        <v>0</v>
      </c>
      <c r="V197" s="21">
        <v>1</v>
      </c>
      <c r="W197" s="21">
        <v>0</v>
      </c>
      <c r="X197" s="156">
        <v>4</v>
      </c>
      <c r="Y197" s="157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4</v>
      </c>
      <c r="Z197" s="22"/>
      <c r="AA197" s="157">
        <f>Y197+Y197*VLOOKUP(I197,EXTRAS_ARRAY,2,FALSE)</f>
        <v>4</v>
      </c>
      <c r="AB197" s="20"/>
      <c r="AC197" s="34"/>
      <c r="AD197" s="23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15.5" hidden="1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ca="1">IFERROR(OFFSET(M198,-1,,1,1)+0.1,OFFSET(M198,-1,-1,1,1)&amp;".1")</f>
        <v>12.399999999999999</v>
      </c>
      <c r="N198" s="20" t="s">
        <v>1050</v>
      </c>
      <c r="O198" s="20"/>
      <c r="P198" s="20"/>
      <c r="Q198" s="134"/>
      <c r="R198" s="127"/>
      <c r="S198" s="157">
        <f>CEILING((IF(J198="Yes", 0, IF(H198="-",AA198,AA198+AA198*VLOOKUP(H198,BUFFERS_BY_TYPE,2,FALSE)))) +
   (IF(J198="Yes", 0, IF(H198="-",AA198,AA198+AA198*VLOOKUP(H198,BUFFERS_BY_TYPE,2,FALSE))))*VLOOKUP($S$5, SALES_CALL_SCALE_ARRAY, 2,FALSE),0.25)</f>
        <v>3</v>
      </c>
      <c r="T198" s="158"/>
      <c r="U198" s="21">
        <v>0</v>
      </c>
      <c r="V198" s="21">
        <v>1</v>
      </c>
      <c r="W198" s="21">
        <v>0</v>
      </c>
      <c r="X198" s="156">
        <v>3</v>
      </c>
      <c r="Y198" s="157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3</v>
      </c>
      <c r="Z198" s="22"/>
      <c r="AA198" s="157">
        <f>Y198+Y198*VLOOKUP(I198,EXTRAS_ARRAY,2,FALSE)</f>
        <v>3</v>
      </c>
      <c r="AB198" s="20"/>
      <c r="AC198" s="34"/>
      <c r="AD198" s="23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/>
      </c>
    </row>
    <row r="199" spans="1:30" s="9" customFormat="1" ht="7.5" hidden="1" customHeight="1" outlineLevel="2" x14ac:dyDescent="0.35">
      <c r="A199" s="86" t="s">
        <v>132</v>
      </c>
      <c r="B199" s="15"/>
      <c r="C199" s="72"/>
      <c r="D199" s="72"/>
      <c r="E199" s="72"/>
      <c r="F199" s="72"/>
      <c r="M199" s="252"/>
      <c r="T199" s="15"/>
      <c r="X199" s="15"/>
      <c r="AB199" s="10"/>
      <c r="AC199" s="10"/>
      <c r="AD199" s="10"/>
    </row>
    <row r="200" spans="1:30" s="14" customFormat="1" ht="15.5" outlineLevel="1" x14ac:dyDescent="0.35">
      <c r="A200" s="86" t="s">
        <v>100</v>
      </c>
      <c r="B200" s="18"/>
      <c r="C200" s="77"/>
      <c r="D200" s="77"/>
      <c r="E200" s="77"/>
      <c r="F200" s="76"/>
      <c r="G200" s="29"/>
      <c r="H200" s="29"/>
      <c r="I200" s="29"/>
      <c r="J200" s="29"/>
      <c r="K200" s="29"/>
      <c r="L200" s="17">
        <f ca="1">LOOKUP(1000,INDIRECT("L1:"&amp;CELL("address",INDIRECT("R[-1]C",FALSE))))+1</f>
        <v>13</v>
      </c>
      <c r="M200" s="330" t="s">
        <v>1051</v>
      </c>
      <c r="N200" s="301"/>
      <c r="O200" s="5"/>
      <c r="P200" s="30"/>
      <c r="Q200" s="30"/>
      <c r="R200" s="30"/>
      <c r="S200" s="30"/>
      <c r="T200" s="155">
        <f>IF($S$6="Exclude", SUMIFS(S201:S207, J201:J207, "&lt;&gt;Yes", G201:G207, "&lt;&gt;Yes"), SUMIFS(S201:S207, J201:J207, "&lt;&gt;Yes"))</f>
        <v>12</v>
      </c>
      <c r="U200" s="30"/>
      <c r="V200" s="30"/>
      <c r="W200" s="30"/>
      <c r="X200" s="31"/>
      <c r="Y200" s="32"/>
      <c r="Z200" s="32"/>
      <c r="AA200" s="32"/>
      <c r="AB200" s="219" t="s">
        <v>1052</v>
      </c>
      <c r="AC200" s="33"/>
      <c r="AD200" s="23" t="str">
        <f>IF(M200="", "Error: Task name cannot be empty.", "")</f>
        <v/>
      </c>
    </row>
    <row r="201" spans="1:30" s="12" customFormat="1" ht="1.5" customHeight="1" outlineLevel="2" x14ac:dyDescent="0.35">
      <c r="A201" s="86" t="s">
        <v>101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63">
        <f ca="1">L200</f>
        <v>13</v>
      </c>
      <c r="M201" s="164" t="s">
        <v>105</v>
      </c>
      <c r="N201" s="161"/>
      <c r="O201" s="162"/>
      <c r="P201" s="30"/>
      <c r="Q201" s="30"/>
      <c r="R201" s="30"/>
      <c r="S201" s="30"/>
      <c r="T201" s="155"/>
      <c r="U201" s="30"/>
      <c r="V201" s="30"/>
      <c r="W201" s="30"/>
      <c r="X201" s="31"/>
      <c r="Y201" s="32"/>
      <c r="Z201" s="32"/>
      <c r="AA201" s="32"/>
      <c r="AB201" s="33"/>
      <c r="AC201" s="33"/>
      <c r="AD201" s="23"/>
    </row>
    <row r="202" spans="1:30" ht="15.5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 t="str">
        <f ca="1">IFERROR(OFFSET(M202,-1,,1,1)+0.1,OFFSET(M202,-1,-1,1,1)&amp;".1")</f>
        <v>13.1</v>
      </c>
      <c r="N202" s="20" t="s">
        <v>1053</v>
      </c>
      <c r="O202" s="20"/>
      <c r="P202" s="20"/>
      <c r="Q202" s="134"/>
      <c r="R202" s="127"/>
      <c r="S202" s="157">
        <f>CEILING((IF(J202="Yes", 0, IF(H202="-",AA202,AA202+AA202*VLOOKUP(H202,BUFFERS_BY_TYPE,2,FALSE)))) +
   (IF(J202="Yes", 0, IF(H202="-",AA202,AA202+AA202*VLOOKUP(H202,BUFFERS_BY_TYPE,2,FALSE))))*VLOOKUP($S$5, SALES_CALL_SCALE_ARRAY, 2,FALSE),0.25)</f>
        <v>2.5</v>
      </c>
      <c r="T202" s="158"/>
      <c r="U202" s="21">
        <v>0</v>
      </c>
      <c r="V202" s="21">
        <v>1</v>
      </c>
      <c r="W202" s="21">
        <v>0</v>
      </c>
      <c r="X202" s="156">
        <v>2.5</v>
      </c>
      <c r="Y202" s="157">
        <f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2.5</v>
      </c>
      <c r="Z202" s="22"/>
      <c r="AA202" s="157">
        <f>Y202+Y202*VLOOKUP(I202,EXTRAS_ARRAY,2,FALSE)</f>
        <v>2.5</v>
      </c>
      <c r="AB202" s="20"/>
      <c r="AC202" s="34"/>
      <c r="AD202" s="23" t="str">
        <f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/>
      </c>
    </row>
    <row r="203" spans="1:30" ht="15.5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ca="1">IFERROR(OFFSET(M203,-1,,1,1)+0.1,OFFSET(M203,-1,-1,1,1)&amp;".1")</f>
        <v>13.2</v>
      </c>
      <c r="N203" s="20" t="s">
        <v>1054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3</v>
      </c>
      <c r="T203" s="158"/>
      <c r="U203" s="21">
        <v>0</v>
      </c>
      <c r="V203" s="21">
        <v>1</v>
      </c>
      <c r="W203" s="21">
        <v>0</v>
      </c>
      <c r="X203" s="156">
        <v>3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3</v>
      </c>
      <c r="Z203" s="22"/>
      <c r="AA203" s="157">
        <f>Y203+Y203*VLOOKUP(I203,EXTRAS_ARRAY,2,FALSE)</f>
        <v>3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13.299999999999999</v>
      </c>
      <c r="N204" s="20" t="s">
        <v>1055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2.5</v>
      </c>
      <c r="T204" s="158"/>
      <c r="U204" s="21">
        <v>0</v>
      </c>
      <c r="V204" s="21">
        <v>1</v>
      </c>
      <c r="W204" s="21">
        <v>0</v>
      </c>
      <c r="X204" s="156">
        <v>2.5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2.5</v>
      </c>
      <c r="Z204" s="22"/>
      <c r="AA204" s="157">
        <f>Y204+Y204*VLOOKUP(I204,EXTRAS_ARRAY,2,FALSE)</f>
        <v>2.5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13.399999999999999</v>
      </c>
      <c r="N205" s="20" t="s">
        <v>1056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2</v>
      </c>
      <c r="T205" s="158"/>
      <c r="U205" s="21">
        <v>0</v>
      </c>
      <c r="V205" s="21">
        <v>1</v>
      </c>
      <c r="W205" s="21">
        <v>0</v>
      </c>
      <c r="X205" s="156">
        <v>2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2</v>
      </c>
      <c r="Z205" s="22"/>
      <c r="AA205" s="157">
        <f>Y205+Y205*VLOOKUP(I205,EXTRAS_ARRAY,2,FALSE)</f>
        <v>2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13.499999999999998</v>
      </c>
      <c r="N206" s="20" t="s">
        <v>1057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2</v>
      </c>
      <c r="T206" s="158"/>
      <c r="U206" s="21">
        <v>0</v>
      </c>
      <c r="V206" s="21">
        <v>1</v>
      </c>
      <c r="W206" s="21">
        <v>0</v>
      </c>
      <c r="X206" s="156">
        <v>2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2</v>
      </c>
      <c r="Z206" s="22"/>
      <c r="AA206" s="157">
        <f>Y206+Y206*VLOOKUP(I206,EXTRAS_ARRAY,2,FALSE)</f>
        <v>2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s="9" customFormat="1" ht="7.5" customHeight="1" outlineLevel="2" x14ac:dyDescent="0.35">
      <c r="A207" s="86" t="s">
        <v>132</v>
      </c>
      <c r="B207" s="15"/>
      <c r="C207" s="72"/>
      <c r="D207" s="72"/>
      <c r="E207" s="72"/>
      <c r="F207" s="72"/>
      <c r="M207" s="252"/>
      <c r="T207" s="15"/>
      <c r="X207" s="15"/>
      <c r="AB207" s="10"/>
      <c r="AC207" s="10"/>
      <c r="AD207" s="10"/>
    </row>
    <row r="208" spans="1:30" s="14" customFormat="1" ht="43.5" outlineLevel="1" x14ac:dyDescent="0.35">
      <c r="A208" s="86" t="s">
        <v>100</v>
      </c>
      <c r="B208" s="18"/>
      <c r="C208" s="77"/>
      <c r="D208" s="77"/>
      <c r="E208" s="77"/>
      <c r="F208" s="76"/>
      <c r="G208" s="29"/>
      <c r="H208" s="29"/>
      <c r="I208" s="29"/>
      <c r="J208" s="29"/>
      <c r="K208" s="29"/>
      <c r="L208" s="17">
        <f ca="1">LOOKUP(1000,INDIRECT("L1:"&amp;CELL("address",INDIRECT("R[-1]C",FALSE))))+1</f>
        <v>14</v>
      </c>
      <c r="M208" s="301" t="s">
        <v>1233</v>
      </c>
      <c r="N208" s="301"/>
      <c r="O208" s="5"/>
      <c r="P208" s="30"/>
      <c r="Q208" s="30"/>
      <c r="R208" s="30"/>
      <c r="S208" s="30"/>
      <c r="T208" s="155">
        <f>IF($S$6="Exclude", SUMIFS(S209:S216, J209:J216, "&lt;&gt;Yes", G209:G216, "&lt;&gt;Yes"), SUMIFS(S209:S216, J209:J216, "&lt;&gt;Yes"))</f>
        <v>14</v>
      </c>
      <c r="U208" s="30"/>
      <c r="V208" s="30"/>
      <c r="W208" s="30"/>
      <c r="X208" s="31"/>
      <c r="Y208" s="32"/>
      <c r="Z208" s="32"/>
      <c r="AA208" s="32"/>
      <c r="AB208" s="219" t="s">
        <v>1234</v>
      </c>
      <c r="AC208" s="33"/>
      <c r="AD208" s="23" t="str">
        <f>IF(M208="", "Error: Task name cannot be empty.", "")</f>
        <v/>
      </c>
    </row>
    <row r="209" spans="1:30" s="12" customFormat="1" ht="1.5" customHeight="1" outlineLevel="2" x14ac:dyDescent="0.35">
      <c r="A209" s="86" t="s">
        <v>101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63">
        <f ca="1">L208</f>
        <v>14</v>
      </c>
      <c r="M209" s="164" t="s">
        <v>105</v>
      </c>
      <c r="N209" s="161"/>
      <c r="O209" s="162"/>
      <c r="P209" s="30"/>
      <c r="Q209" s="30"/>
      <c r="R209" s="30"/>
      <c r="S209" s="30"/>
      <c r="T209" s="155"/>
      <c r="U209" s="30"/>
      <c r="V209" s="30"/>
      <c r="W209" s="30"/>
      <c r="X209" s="31"/>
      <c r="Y209" s="32"/>
      <c r="Z209" s="32"/>
      <c r="AA209" s="32"/>
      <c r="AB209" s="33"/>
      <c r="AC209" s="33"/>
      <c r="AD209" s="23"/>
    </row>
    <row r="210" spans="1:30" ht="43.5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 t="str">
        <f t="shared" ref="M210:M215" ca="1" si="30">IFERROR(OFFSET(M210,-1,,1,1)+0.1,OFFSET(M210,-1,-1,1,1)&amp;".1")</f>
        <v>14.1</v>
      </c>
      <c r="N210" s="20" t="s">
        <v>1235</v>
      </c>
      <c r="O210" s="20"/>
      <c r="P210" s="20"/>
      <c r="Q210" s="134"/>
      <c r="R210" s="127"/>
      <c r="S210" s="157">
        <f t="shared" ref="S210:S215" si="31">CEILING((IF(J210="Yes", 0, IF(H210="-",AA210,AA210+AA210*VLOOKUP(H210,BUFFERS_BY_TYPE,2,FALSE)))) +
   (IF(J210="Yes", 0, IF(H210="-",AA210,AA210+AA210*VLOOKUP(H210,BUFFERS_BY_TYPE,2,FALSE))))*VLOOKUP($S$5, SALES_CALL_SCALE_ARRAY, 2,FALSE),0.25)</f>
        <v>2.5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 t="shared" ref="Y210:Y215" si="32"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2.5</v>
      </c>
      <c r="Z210" s="22"/>
      <c r="AA210" s="157">
        <f t="shared" ref="AA210:AA215" si="33">Y210+Y210*VLOOKUP(I210,EXTRAS_ARRAY,2,FALSE)</f>
        <v>2.5</v>
      </c>
      <c r="AB210" s="20"/>
      <c r="AC210" s="34"/>
      <c r="AD210" s="23" t="str">
        <f t="shared" ref="AD210:AD215" si="34"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43.5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30"/>
        <v>14.2</v>
      </c>
      <c r="N211" s="20" t="s">
        <v>1236</v>
      </c>
      <c r="O211" s="20"/>
      <c r="P211" s="20"/>
      <c r="Q211" s="134"/>
      <c r="R211" s="127"/>
      <c r="S211" s="157">
        <f t="shared" si="31"/>
        <v>3</v>
      </c>
      <c r="T211" s="158"/>
      <c r="U211" s="21">
        <v>0</v>
      </c>
      <c r="V211" s="21">
        <v>1</v>
      </c>
      <c r="W211" s="21">
        <v>0</v>
      </c>
      <c r="X211" s="156">
        <v>3</v>
      </c>
      <c r="Y211" s="157">
        <f t="shared" si="32"/>
        <v>3</v>
      </c>
      <c r="Z211" s="22"/>
      <c r="AA211" s="157">
        <f t="shared" si="33"/>
        <v>3</v>
      </c>
      <c r="AB211" s="20"/>
      <c r="AC211" s="34"/>
      <c r="AD211" s="23" t="str">
        <f t="shared" si="34"/>
        <v/>
      </c>
    </row>
    <row r="212" spans="1:30" ht="43.5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30"/>
        <v>14.299999999999999</v>
      </c>
      <c r="N212" s="20" t="s">
        <v>1237</v>
      </c>
      <c r="O212" s="20"/>
      <c r="P212" s="20"/>
      <c r="Q212" s="134"/>
      <c r="R212" s="127"/>
      <c r="S212" s="157">
        <f t="shared" si="31"/>
        <v>3</v>
      </c>
      <c r="T212" s="158"/>
      <c r="U212" s="21">
        <v>0</v>
      </c>
      <c r="V212" s="21">
        <v>1</v>
      </c>
      <c r="W212" s="21">
        <v>0</v>
      </c>
      <c r="X212" s="156">
        <v>3</v>
      </c>
      <c r="Y212" s="157">
        <f t="shared" si="32"/>
        <v>3</v>
      </c>
      <c r="Z212" s="22"/>
      <c r="AA212" s="157">
        <f t="shared" si="33"/>
        <v>3</v>
      </c>
      <c r="AB212" s="20"/>
      <c r="AC212" s="34"/>
      <c r="AD212" s="23" t="str">
        <f t="shared" si="34"/>
        <v/>
      </c>
    </row>
    <row r="213" spans="1:30" ht="29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30"/>
        <v>14.399999999999999</v>
      </c>
      <c r="N213" s="20" t="s">
        <v>1238</v>
      </c>
      <c r="O213" s="20"/>
      <c r="P213" s="20"/>
      <c r="Q213" s="134"/>
      <c r="R213" s="127"/>
      <c r="S213" s="157">
        <f t="shared" si="31"/>
        <v>2</v>
      </c>
      <c r="T213" s="158"/>
      <c r="U213" s="21">
        <v>0</v>
      </c>
      <c r="V213" s="21">
        <v>1</v>
      </c>
      <c r="W213" s="21">
        <v>0</v>
      </c>
      <c r="X213" s="156">
        <v>2</v>
      </c>
      <c r="Y213" s="157">
        <f t="shared" si="32"/>
        <v>2</v>
      </c>
      <c r="Z213" s="22"/>
      <c r="AA213" s="157">
        <f t="shared" si="33"/>
        <v>2</v>
      </c>
      <c r="AB213" s="20"/>
      <c r="AC213" s="34"/>
      <c r="AD213" s="23" t="str">
        <f t="shared" si="34"/>
        <v/>
      </c>
    </row>
    <row r="214" spans="1:30" ht="29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t="shared" ca="1" si="30"/>
        <v>14.499999999999998</v>
      </c>
      <c r="N214" s="20" t="s">
        <v>1239</v>
      </c>
      <c r="O214" s="20"/>
      <c r="P214" s="20"/>
      <c r="Q214" s="134"/>
      <c r="R214" s="127"/>
      <c r="S214" s="157">
        <f t="shared" si="31"/>
        <v>2</v>
      </c>
      <c r="T214" s="158"/>
      <c r="U214" s="21">
        <v>0</v>
      </c>
      <c r="V214" s="21">
        <v>1</v>
      </c>
      <c r="W214" s="21">
        <v>0</v>
      </c>
      <c r="X214" s="156">
        <v>2</v>
      </c>
      <c r="Y214" s="157">
        <f t="shared" si="32"/>
        <v>2</v>
      </c>
      <c r="Z214" s="22"/>
      <c r="AA214" s="157">
        <f t="shared" si="33"/>
        <v>2</v>
      </c>
      <c r="AB214" s="20"/>
      <c r="AC214" s="34"/>
      <c r="AD214" s="23" t="str">
        <f t="shared" si="34"/>
        <v/>
      </c>
    </row>
    <row r="215" spans="1:30" ht="15.5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t="shared" ca="1" si="30"/>
        <v>14.599999999999998</v>
      </c>
      <c r="N215" s="20" t="s">
        <v>1240</v>
      </c>
      <c r="O215" s="20"/>
      <c r="P215" s="20"/>
      <c r="Q215" s="134"/>
      <c r="R215" s="127"/>
      <c r="S215" s="157">
        <f t="shared" si="31"/>
        <v>1.5</v>
      </c>
      <c r="T215" s="158"/>
      <c r="U215" s="21">
        <v>0</v>
      </c>
      <c r="V215" s="21">
        <v>1</v>
      </c>
      <c r="W215" s="21">
        <v>0</v>
      </c>
      <c r="X215" s="156">
        <v>1.5</v>
      </c>
      <c r="Y215" s="157">
        <f t="shared" si="32"/>
        <v>1.5</v>
      </c>
      <c r="Z215" s="22"/>
      <c r="AA215" s="157">
        <f t="shared" si="33"/>
        <v>1.5</v>
      </c>
      <c r="AB215" s="20"/>
      <c r="AC215" s="34"/>
      <c r="AD215" s="23" t="str">
        <f t="shared" si="34"/>
        <v/>
      </c>
    </row>
    <row r="216" spans="1:30" s="9" customFormat="1" ht="7.5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15.5" outlineLevel="1" x14ac:dyDescent="0.35">
      <c r="A217" s="86" t="s">
        <v>107</v>
      </c>
      <c r="B217" s="18"/>
      <c r="C217" s="77"/>
      <c r="D217" s="77"/>
      <c r="E217" s="77"/>
      <c r="F217" s="76"/>
      <c r="G217" s="170"/>
      <c r="H217" s="170"/>
      <c r="I217" s="170"/>
      <c r="J217" s="170"/>
      <c r="K217" s="170"/>
      <c r="L217" s="85" t="s">
        <v>109</v>
      </c>
      <c r="M217" s="300" t="s">
        <v>881</v>
      </c>
      <c r="N217" s="300"/>
      <c r="O217" s="80"/>
      <c r="P217" s="81"/>
      <c r="Q217" s="81"/>
      <c r="R217" s="81"/>
      <c r="S217" s="291">
        <f>SUMGROUP(ROW(), "T")</f>
        <v>87</v>
      </c>
      <c r="T217" s="291"/>
      <c r="U217" s="292"/>
      <c r="V217" s="292"/>
      <c r="W217" s="292"/>
      <c r="X217" s="82"/>
      <c r="Y217" s="83"/>
      <c r="Z217" s="83"/>
      <c r="AA217" s="83"/>
      <c r="AB217" s="221"/>
      <c r="AC217" s="84"/>
      <c r="AD217" s="23" t="str">
        <f>IF(M217="", "Error: Module name cannot be empty.", "")</f>
        <v/>
      </c>
    </row>
    <row r="218" spans="1:30" s="14" customFormat="1" ht="15.5" outlineLevel="1" collapsed="1" x14ac:dyDescent="0.35">
      <c r="A218" s="86" t="s">
        <v>100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7">
        <f ca="1">LOOKUP(1000,INDIRECT("L1:"&amp;CELL("address",INDIRECT("R[-1]C",FALSE))))+1</f>
        <v>15</v>
      </c>
      <c r="M218" s="330" t="s">
        <v>1058</v>
      </c>
      <c r="N218" s="301"/>
      <c r="O218" s="5"/>
      <c r="P218" s="30"/>
      <c r="Q218" s="30"/>
      <c r="R218" s="30"/>
      <c r="S218" s="30"/>
      <c r="T218" s="155">
        <f>IF($S$6="Exclude", SUMIFS(S219:S226, J219:J226, "&lt;&gt;Yes", G219:G226, "&lt;&gt;Yes"), SUMIFS(S219:S226, J219:J226, "&lt;&gt;Yes"))</f>
        <v>28</v>
      </c>
      <c r="U218" s="30"/>
      <c r="V218" s="30"/>
      <c r="W218" s="30"/>
      <c r="X218" s="31"/>
      <c r="Y218" s="32"/>
      <c r="Z218" s="32"/>
      <c r="AA218" s="32"/>
      <c r="AB218" s="219" t="s">
        <v>951</v>
      </c>
      <c r="AC218" s="33"/>
      <c r="AD218" s="23" t="str">
        <f>IF(M218="", "Error: Task name cannot be empty.", "")</f>
        <v/>
      </c>
    </row>
    <row r="219" spans="1:30" s="12" customFormat="1" ht="1.5" hidden="1" customHeight="1" outlineLevel="2" x14ac:dyDescent="0.35">
      <c r="A219" s="86" t="s">
        <v>101</v>
      </c>
      <c r="B219" s="18"/>
      <c r="C219" s="77"/>
      <c r="D219" s="77"/>
      <c r="E219" s="77"/>
      <c r="F219" s="76"/>
      <c r="G219" s="29"/>
      <c r="H219" s="29"/>
      <c r="I219" s="29"/>
      <c r="J219" s="29"/>
      <c r="K219" s="29"/>
      <c r="L219" s="163">
        <f ca="1">L218</f>
        <v>15</v>
      </c>
      <c r="M219" s="164" t="s">
        <v>105</v>
      </c>
      <c r="N219" s="161"/>
      <c r="O219" s="162"/>
      <c r="P219" s="30"/>
      <c r="Q219" s="30"/>
      <c r="R219" s="30"/>
      <c r="S219" s="30"/>
      <c r="T219" s="155"/>
      <c r="U219" s="30"/>
      <c r="V219" s="30"/>
      <c r="W219" s="30"/>
      <c r="X219" s="31"/>
      <c r="Y219" s="32"/>
      <c r="Z219" s="32"/>
      <c r="AA219" s="32"/>
      <c r="AB219" s="33"/>
      <c r="AC219" s="33"/>
      <c r="AD219" s="23"/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 t="str">
        <f t="shared" ref="M220:M225" ca="1" si="35">IFERROR(OFFSET(M220,-1,,1,1)+0.1,OFFSET(M220,-1,-1,1,1)&amp;".1")</f>
        <v>15.1</v>
      </c>
      <c r="N220" s="20" t="s">
        <v>1059</v>
      </c>
      <c r="O220" s="20"/>
      <c r="P220" s="20"/>
      <c r="Q220" s="134"/>
      <c r="R220" s="127"/>
      <c r="S220" s="157">
        <f t="shared" ref="S220:S225" si="36">CEILING((IF(J220="Yes", 0, IF(H220="-",AA220,AA220+AA220*VLOOKUP(H220,BUFFERS_BY_TYPE,2,FALSE)))) +
   (IF(J220="Yes", 0, IF(H220="-",AA220,AA220+AA220*VLOOKUP(H220,BUFFERS_BY_TYPE,2,FALSE))))*VLOOKUP($S$5, SALES_CALL_SCALE_ARRAY, 2,FALSE),0.25)</f>
        <v>5</v>
      </c>
      <c r="T220" s="158"/>
      <c r="U220" s="21">
        <v>0</v>
      </c>
      <c r="V220" s="21">
        <v>1</v>
      </c>
      <c r="W220" s="21">
        <v>0</v>
      </c>
      <c r="X220" s="156">
        <v>5</v>
      </c>
      <c r="Y220" s="157">
        <f t="shared" ref="Y220:Y225" si="37"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5</v>
      </c>
      <c r="Z220" s="22"/>
      <c r="AA220" s="157">
        <f t="shared" ref="AA220:AA225" si="38">Y220+Y220*VLOOKUP(I220,EXTRAS_ARRAY,2,FALSE)</f>
        <v>5</v>
      </c>
      <c r="AB220" s="20"/>
      <c r="AC220" s="34"/>
      <c r="AD220" s="23" t="str">
        <f t="shared" ref="AD220:AD225" si="39"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35"/>
        <v>15.2</v>
      </c>
      <c r="N221" s="20" t="s">
        <v>1060</v>
      </c>
      <c r="O221" s="20"/>
      <c r="P221" s="20"/>
      <c r="Q221" s="134"/>
      <c r="R221" s="127"/>
      <c r="S221" s="157">
        <f t="shared" si="36"/>
        <v>5</v>
      </c>
      <c r="T221" s="158"/>
      <c r="U221" s="21">
        <v>0</v>
      </c>
      <c r="V221" s="21">
        <v>1</v>
      </c>
      <c r="W221" s="21">
        <v>0</v>
      </c>
      <c r="X221" s="156">
        <v>5</v>
      </c>
      <c r="Y221" s="157">
        <f t="shared" si="37"/>
        <v>5</v>
      </c>
      <c r="Z221" s="22"/>
      <c r="AA221" s="157">
        <f t="shared" si="38"/>
        <v>5</v>
      </c>
      <c r="AB221" s="20"/>
      <c r="AC221" s="34"/>
      <c r="AD221" s="23" t="str">
        <f t="shared" si="39"/>
        <v/>
      </c>
    </row>
    <row r="222" spans="1:30" ht="15.5" hidden="1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35"/>
        <v>15.299999999999999</v>
      </c>
      <c r="N222" s="20" t="s">
        <v>1061</v>
      </c>
      <c r="O222" s="20"/>
      <c r="P222" s="20"/>
      <c r="Q222" s="134"/>
      <c r="R222" s="127"/>
      <c r="S222" s="157">
        <f t="shared" si="36"/>
        <v>4</v>
      </c>
      <c r="T222" s="158"/>
      <c r="U222" s="21">
        <v>0</v>
      </c>
      <c r="V222" s="21">
        <v>1</v>
      </c>
      <c r="W222" s="21">
        <v>0</v>
      </c>
      <c r="X222" s="156">
        <v>4</v>
      </c>
      <c r="Y222" s="157">
        <f t="shared" si="37"/>
        <v>4</v>
      </c>
      <c r="Z222" s="22"/>
      <c r="AA222" s="157">
        <f t="shared" si="38"/>
        <v>4</v>
      </c>
      <c r="AB222" s="20"/>
      <c r="AC222" s="34"/>
      <c r="AD222" s="23" t="str">
        <f t="shared" si="39"/>
        <v/>
      </c>
    </row>
    <row r="223" spans="1:30" ht="15.5" hidden="1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35"/>
        <v>15.399999999999999</v>
      </c>
      <c r="N223" s="20" t="s">
        <v>1062</v>
      </c>
      <c r="O223" s="20"/>
      <c r="P223" s="20"/>
      <c r="Q223" s="134"/>
      <c r="R223" s="127"/>
      <c r="S223" s="157">
        <f t="shared" si="36"/>
        <v>5</v>
      </c>
      <c r="T223" s="158"/>
      <c r="U223" s="21">
        <v>0</v>
      </c>
      <c r="V223" s="21">
        <v>1</v>
      </c>
      <c r="W223" s="21">
        <v>0</v>
      </c>
      <c r="X223" s="156">
        <v>5</v>
      </c>
      <c r="Y223" s="157">
        <f t="shared" si="37"/>
        <v>5</v>
      </c>
      <c r="Z223" s="22"/>
      <c r="AA223" s="157">
        <f t="shared" si="38"/>
        <v>5</v>
      </c>
      <c r="AB223" s="20"/>
      <c r="AC223" s="34"/>
      <c r="AD223" s="23" t="str">
        <f t="shared" si="39"/>
        <v/>
      </c>
    </row>
    <row r="224" spans="1:30" ht="15.5" hidden="1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35"/>
        <v>15.499999999999998</v>
      </c>
      <c r="N224" s="20" t="s">
        <v>1063</v>
      </c>
      <c r="O224" s="20"/>
      <c r="P224" s="20"/>
      <c r="Q224" s="134"/>
      <c r="R224" s="127"/>
      <c r="S224" s="157">
        <f t="shared" si="36"/>
        <v>4.5</v>
      </c>
      <c r="T224" s="158"/>
      <c r="U224" s="21">
        <v>0</v>
      </c>
      <c r="V224" s="21">
        <v>1</v>
      </c>
      <c r="W224" s="21">
        <v>0</v>
      </c>
      <c r="X224" s="156">
        <v>4.5</v>
      </c>
      <c r="Y224" s="157">
        <f t="shared" si="37"/>
        <v>4.5</v>
      </c>
      <c r="Z224" s="22"/>
      <c r="AA224" s="157">
        <f t="shared" si="38"/>
        <v>4.5</v>
      </c>
      <c r="AB224" s="20"/>
      <c r="AC224" s="34"/>
      <c r="AD224" s="23" t="str">
        <f t="shared" si="39"/>
        <v/>
      </c>
    </row>
    <row r="225" spans="1:30" ht="15.5" hidden="1" outlineLevel="2" x14ac:dyDescent="0.35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>
        <f t="shared" ca="1" si="35"/>
        <v>15.599999999999998</v>
      </c>
      <c r="N225" s="20" t="s">
        <v>1064</v>
      </c>
      <c r="O225" s="20"/>
      <c r="P225" s="20"/>
      <c r="Q225" s="134"/>
      <c r="R225" s="127"/>
      <c r="S225" s="157">
        <f t="shared" si="36"/>
        <v>4.5</v>
      </c>
      <c r="T225" s="158"/>
      <c r="U225" s="21">
        <v>0</v>
      </c>
      <c r="V225" s="21">
        <v>1</v>
      </c>
      <c r="W225" s="21">
        <v>0</v>
      </c>
      <c r="X225" s="156">
        <v>4.5</v>
      </c>
      <c r="Y225" s="157">
        <f t="shared" si="37"/>
        <v>4.5</v>
      </c>
      <c r="Z225" s="22"/>
      <c r="AA225" s="157">
        <f t="shared" si="38"/>
        <v>4.5</v>
      </c>
      <c r="AB225" s="20"/>
      <c r="AC225" s="34"/>
      <c r="AD225" s="23" t="str">
        <f t="shared" si="39"/>
        <v/>
      </c>
    </row>
    <row r="226" spans="1:30" s="9" customFormat="1" ht="7.5" hidden="1" customHeight="1" outlineLevel="2" x14ac:dyDescent="0.35">
      <c r="A226" s="86" t="s">
        <v>132</v>
      </c>
      <c r="B226" s="15"/>
      <c r="C226" s="72"/>
      <c r="D226" s="72"/>
      <c r="E226" s="72"/>
      <c r="F226" s="72"/>
      <c r="M226" s="252"/>
      <c r="T226" s="15"/>
      <c r="X226" s="15"/>
      <c r="AB226" s="10"/>
      <c r="AC226" s="10"/>
      <c r="AD226" s="10"/>
    </row>
    <row r="227" spans="1:30" s="14" customFormat="1" ht="15.5" outlineLevel="1" collapsed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16</v>
      </c>
      <c r="M227" s="330" t="s">
        <v>1065</v>
      </c>
      <c r="N227" s="301"/>
      <c r="O227" s="5"/>
      <c r="P227" s="30"/>
      <c r="Q227" s="30"/>
      <c r="R227" s="30"/>
      <c r="S227" s="30"/>
      <c r="T227" s="155">
        <f>IF($S$6="Exclude", SUMIFS(S228:S235, J228:J235, "&lt;&gt;Yes", G228:G235, "&lt;&gt;Yes"), SUMIFS(S228:S235, J228:J235, "&lt;&gt;Yes"))</f>
        <v>22</v>
      </c>
      <c r="U227" s="30"/>
      <c r="V227" s="30"/>
      <c r="W227" s="30"/>
      <c r="X227" s="31"/>
      <c r="Y227" s="32"/>
      <c r="Z227" s="32"/>
      <c r="AA227" s="32"/>
      <c r="AB227" s="219" t="s">
        <v>1066</v>
      </c>
      <c r="AC227" s="33"/>
      <c r="AD227" s="23" t="str">
        <f>IF(M227="", "Error: Task name cannot be empty.", "")</f>
        <v/>
      </c>
    </row>
    <row r="228" spans="1:30" s="12" customFormat="1" ht="1.5" hidden="1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16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40">IFERROR(OFFSET(M229,-1,,1,1)+0.1,OFFSET(M229,-1,-1,1,1)&amp;".1")</f>
        <v>16.1</v>
      </c>
      <c r="N229" s="20" t="s">
        <v>1067</v>
      </c>
      <c r="O229" s="20"/>
      <c r="P229" s="20"/>
      <c r="Q229" s="134"/>
      <c r="R229" s="127"/>
      <c r="S229" s="157">
        <f t="shared" ref="S229:S234" si="41">CEILING((IF(J229="Yes", 0, IF(H229="-",AA229,AA229+AA229*VLOOKUP(H229,BUFFERS_BY_TYPE,2,FALSE)))) +
   (IF(J229="Yes", 0, IF(H229="-",AA229,AA229+AA229*VLOOKUP(H229,BUFFERS_BY_TYPE,2,FALSE))))*VLOOKUP($S$5, SALES_CALL_SCALE_ARRAY, 2,FALSE),0.25)</f>
        <v>4</v>
      </c>
      <c r="T229" s="158"/>
      <c r="U229" s="21">
        <v>0</v>
      </c>
      <c r="V229" s="21">
        <v>1</v>
      </c>
      <c r="W229" s="21">
        <v>0</v>
      </c>
      <c r="X229" s="156">
        <v>4</v>
      </c>
      <c r="Y229" s="157">
        <f t="shared" ref="Y229:Y234" si="42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4</v>
      </c>
      <c r="Z229" s="22"/>
      <c r="AA229" s="157">
        <f t="shared" ref="AA229:AA234" si="43">Y229+Y229*VLOOKUP(I229,EXTRAS_ARRAY,2,FALSE)</f>
        <v>4</v>
      </c>
      <c r="AB229" s="20"/>
      <c r="AC229" s="34"/>
      <c r="AD229" s="23" t="str">
        <f t="shared" ref="AD229:AD234" si="44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40"/>
        <v>16.200000000000003</v>
      </c>
      <c r="N230" s="20" t="s">
        <v>1068</v>
      </c>
      <c r="O230" s="20"/>
      <c r="P230" s="20"/>
      <c r="Q230" s="134"/>
      <c r="R230" s="127"/>
      <c r="S230" s="157">
        <f t="shared" si="41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42"/>
        <v>5</v>
      </c>
      <c r="Z230" s="22"/>
      <c r="AA230" s="157">
        <f t="shared" si="43"/>
        <v>5</v>
      </c>
      <c r="AB230" s="20"/>
      <c r="AC230" s="34"/>
      <c r="AD230" s="23" t="str">
        <f t="shared" si="44"/>
        <v/>
      </c>
    </row>
    <row r="231" spans="1:30" ht="15.5" hidden="1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40"/>
        <v>16.300000000000004</v>
      </c>
      <c r="N231" s="20" t="s">
        <v>1069</v>
      </c>
      <c r="O231" s="20"/>
      <c r="P231" s="20"/>
      <c r="Q231" s="134"/>
      <c r="R231" s="127"/>
      <c r="S231" s="157">
        <f t="shared" si="41"/>
        <v>4.5</v>
      </c>
      <c r="T231" s="158"/>
      <c r="U231" s="21">
        <v>0</v>
      </c>
      <c r="V231" s="21">
        <v>1</v>
      </c>
      <c r="W231" s="21">
        <v>0</v>
      </c>
      <c r="X231" s="156">
        <v>4.5</v>
      </c>
      <c r="Y231" s="157">
        <f t="shared" si="42"/>
        <v>4.5</v>
      </c>
      <c r="Z231" s="22"/>
      <c r="AA231" s="157">
        <f t="shared" si="43"/>
        <v>4.5</v>
      </c>
      <c r="AB231" s="20"/>
      <c r="AC231" s="34"/>
      <c r="AD231" s="23" t="str">
        <f t="shared" si="44"/>
        <v/>
      </c>
    </row>
    <row r="232" spans="1:30" ht="15.5" hidden="1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40"/>
        <v>16.400000000000006</v>
      </c>
      <c r="N232" s="20" t="s">
        <v>1070</v>
      </c>
      <c r="O232" s="20"/>
      <c r="P232" s="20"/>
      <c r="Q232" s="134"/>
      <c r="R232" s="127"/>
      <c r="S232" s="157">
        <f t="shared" si="41"/>
        <v>4.5</v>
      </c>
      <c r="T232" s="158"/>
      <c r="U232" s="21">
        <v>0</v>
      </c>
      <c r="V232" s="21">
        <v>1</v>
      </c>
      <c r="W232" s="21">
        <v>0</v>
      </c>
      <c r="X232" s="156">
        <v>4.5</v>
      </c>
      <c r="Y232" s="157">
        <f t="shared" si="42"/>
        <v>4.5</v>
      </c>
      <c r="Z232" s="22"/>
      <c r="AA232" s="157">
        <f t="shared" si="43"/>
        <v>4.5</v>
      </c>
      <c r="AB232" s="20"/>
      <c r="AC232" s="34"/>
      <c r="AD232" s="23" t="str">
        <f t="shared" si="44"/>
        <v/>
      </c>
    </row>
    <row r="233" spans="1:30" ht="15.5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40"/>
        <v>16.500000000000007</v>
      </c>
      <c r="N233" s="20" t="s">
        <v>1071</v>
      </c>
      <c r="O233" s="20"/>
      <c r="P233" s="20"/>
      <c r="Q233" s="134"/>
      <c r="R233" s="127"/>
      <c r="S233" s="157">
        <f t="shared" si="41"/>
        <v>2.5</v>
      </c>
      <c r="T233" s="158"/>
      <c r="U233" s="21">
        <v>0</v>
      </c>
      <c r="V233" s="21">
        <v>1</v>
      </c>
      <c r="W233" s="21">
        <v>0</v>
      </c>
      <c r="X233" s="156">
        <v>2.5</v>
      </c>
      <c r="Y233" s="157">
        <f t="shared" si="42"/>
        <v>2.5</v>
      </c>
      <c r="Z233" s="22"/>
      <c r="AA233" s="157">
        <f t="shared" si="43"/>
        <v>2.5</v>
      </c>
      <c r="AB233" s="20"/>
      <c r="AC233" s="34"/>
      <c r="AD233" s="23" t="str">
        <f t="shared" si="44"/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40"/>
        <v>16.600000000000009</v>
      </c>
      <c r="N234" s="20" t="s">
        <v>1072</v>
      </c>
      <c r="O234" s="20"/>
      <c r="P234" s="20"/>
      <c r="Q234" s="134"/>
      <c r="R234" s="127"/>
      <c r="S234" s="157">
        <f t="shared" si="41"/>
        <v>1.5</v>
      </c>
      <c r="T234" s="158"/>
      <c r="U234" s="21">
        <v>0</v>
      </c>
      <c r="V234" s="21">
        <v>1</v>
      </c>
      <c r="W234" s="21">
        <v>0</v>
      </c>
      <c r="X234" s="156">
        <v>1.5</v>
      </c>
      <c r="Y234" s="157">
        <f t="shared" si="42"/>
        <v>1.5</v>
      </c>
      <c r="Z234" s="22"/>
      <c r="AA234" s="157">
        <f t="shared" si="43"/>
        <v>1.5</v>
      </c>
      <c r="AB234" s="20"/>
      <c r="AC234" s="34"/>
      <c r="AD234" s="23" t="str">
        <f t="shared" si="44"/>
        <v/>
      </c>
    </row>
    <row r="235" spans="1:30" s="9" customFormat="1" ht="7.5" hidden="1" customHeight="1" outlineLevel="2" x14ac:dyDescent="0.35">
      <c r="A235" s="86" t="s">
        <v>132</v>
      </c>
      <c r="B235" s="15"/>
      <c r="C235" s="72"/>
      <c r="D235" s="72"/>
      <c r="E235" s="72"/>
      <c r="F235" s="72"/>
      <c r="M235" s="252"/>
      <c r="T235" s="15"/>
      <c r="X235" s="15"/>
      <c r="AB235" s="10"/>
      <c r="AC235" s="10"/>
      <c r="AD235" s="10"/>
    </row>
    <row r="236" spans="1:30" s="14" customFormat="1" ht="29" outlineLevel="1" x14ac:dyDescent="0.35">
      <c r="A236" s="86" t="s">
        <v>100</v>
      </c>
      <c r="B236" s="18"/>
      <c r="C236" s="77"/>
      <c r="D236" s="77"/>
      <c r="E236" s="77"/>
      <c r="F236" s="76"/>
      <c r="G236" s="29"/>
      <c r="H236" s="29"/>
      <c r="I236" s="29"/>
      <c r="J236" s="29"/>
      <c r="K236" s="29"/>
      <c r="L236" s="17">
        <f ca="1">LOOKUP(1000,INDIRECT("L1:"&amp;CELL("address",INDIRECT("R[-1]C",FALSE))))+1</f>
        <v>17</v>
      </c>
      <c r="M236" s="330" t="s">
        <v>1073</v>
      </c>
      <c r="N236" s="301"/>
      <c r="O236" s="5"/>
      <c r="P236" s="30"/>
      <c r="Q236" s="30"/>
      <c r="R236" s="30"/>
      <c r="S236" s="30"/>
      <c r="T236" s="155">
        <f>IF($S$6="Exclude", SUMIFS(S237:S243, J237:J243, "&lt;&gt;Yes", G237:G243, "&lt;&gt;Yes"), SUMIFS(S237:S243, J237:J243, "&lt;&gt;Yes"))</f>
        <v>14</v>
      </c>
      <c r="U236" s="30"/>
      <c r="V236" s="30"/>
      <c r="W236" s="30"/>
      <c r="X236" s="31"/>
      <c r="Y236" s="32"/>
      <c r="Z236" s="32"/>
      <c r="AA236" s="32"/>
      <c r="AB236" s="219" t="s">
        <v>1074</v>
      </c>
      <c r="AC236" s="33"/>
      <c r="AD236" s="23" t="str">
        <f>IF(M236="", "Error: Task name cannot be empty.", "")</f>
        <v/>
      </c>
    </row>
    <row r="237" spans="1:30" s="12" customFormat="1" ht="1.5" customHeight="1" outlineLevel="2" x14ac:dyDescent="0.35">
      <c r="A237" s="86" t="s">
        <v>101</v>
      </c>
      <c r="B237" s="18"/>
      <c r="C237" s="77"/>
      <c r="D237" s="77"/>
      <c r="E237" s="77"/>
      <c r="F237" s="76"/>
      <c r="G237" s="29"/>
      <c r="H237" s="29"/>
      <c r="I237" s="29"/>
      <c r="J237" s="29"/>
      <c r="K237" s="29"/>
      <c r="L237" s="163">
        <f ca="1">L236</f>
        <v>17</v>
      </c>
      <c r="M237" s="164" t="s">
        <v>105</v>
      </c>
      <c r="N237" s="161"/>
      <c r="O237" s="162"/>
      <c r="P237" s="30"/>
      <c r="Q237" s="30"/>
      <c r="R237" s="30"/>
      <c r="S237" s="30"/>
      <c r="T237" s="155"/>
      <c r="U237" s="30"/>
      <c r="V237" s="30"/>
      <c r="W237" s="30"/>
      <c r="X237" s="31"/>
      <c r="Y237" s="32"/>
      <c r="Z237" s="32"/>
      <c r="AA237" s="32"/>
      <c r="AB237" s="33"/>
      <c r="AC237" s="33"/>
      <c r="AD237" s="23"/>
    </row>
    <row r="238" spans="1:30" ht="15.5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 t="str">
        <f ca="1">IFERROR(OFFSET(M238,-1,,1,1)+0.1,OFFSET(M238,-1,-1,1,1)&amp;".1")</f>
        <v>17.1</v>
      </c>
      <c r="N238" s="20" t="s">
        <v>1075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4</v>
      </c>
      <c r="T238" s="158"/>
      <c r="U238" s="21">
        <v>0</v>
      </c>
      <c r="V238" s="21">
        <v>1</v>
      </c>
      <c r="W238" s="21">
        <v>0</v>
      </c>
      <c r="X238" s="156">
        <v>4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4</v>
      </c>
      <c r="Z238" s="22"/>
      <c r="AA238" s="157">
        <f>Y238+Y238*VLOOKUP(I238,EXTRAS_ARRAY,2,FALSE)</f>
        <v>4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15.5" outlineLevel="2" x14ac:dyDescent="0.35">
      <c r="A239" s="86" t="s">
        <v>0</v>
      </c>
      <c r="B239" s="18"/>
      <c r="C239" s="78"/>
      <c r="D239" s="78"/>
      <c r="E239" s="78"/>
      <c r="F239" s="79"/>
      <c r="G239" s="19" t="s">
        <v>23</v>
      </c>
      <c r="H239" s="19" t="s">
        <v>23</v>
      </c>
      <c r="I239" s="20" t="s">
        <v>23</v>
      </c>
      <c r="J239" s="19" t="s">
        <v>23</v>
      </c>
      <c r="K239" s="35"/>
      <c r="L239" s="19"/>
      <c r="M239" s="263">
        <f ca="1">IFERROR(OFFSET(M239,-1,,1,1)+0.1,OFFSET(M239,-1,-1,1,1)&amp;".1")</f>
        <v>17.200000000000003</v>
      </c>
      <c r="N239" s="20" t="s">
        <v>1076</v>
      </c>
      <c r="O239" s="20"/>
      <c r="P239" s="20"/>
      <c r="Q239" s="134"/>
      <c r="R239" s="127"/>
      <c r="S239" s="157">
        <f>CEILING((IF(J239="Yes", 0, IF(H239="-",AA239,AA239+AA239*VLOOKUP(H239,BUFFERS_BY_TYPE,2,FALSE)))) +
   (IF(J239="Yes", 0, IF(H239="-",AA239,AA239+AA239*VLOOKUP(H239,BUFFERS_BY_TYPE,2,FALSE))))*VLOOKUP($S$5, SALES_CALL_SCALE_ARRAY, 2,FALSE),0.25)</f>
        <v>4</v>
      </c>
      <c r="T239" s="158"/>
      <c r="U239" s="21">
        <v>0</v>
      </c>
      <c r="V239" s="21">
        <v>1</v>
      </c>
      <c r="W239" s="21">
        <v>0</v>
      </c>
      <c r="X239" s="156">
        <v>4</v>
      </c>
      <c r="Y239" s="157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4</v>
      </c>
      <c r="Z239" s="22"/>
      <c r="AA239" s="157">
        <f>Y239+Y239*VLOOKUP(I239,EXTRAS_ARRAY,2,FALSE)</f>
        <v>4</v>
      </c>
      <c r="AB239" s="20"/>
      <c r="AC239" s="34"/>
      <c r="AD239" s="23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ht="15.5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>
        <f ca="1">IFERROR(OFFSET(M240,-1,,1,1)+0.1,OFFSET(M240,-1,-1,1,1)&amp;".1")</f>
        <v>17.300000000000004</v>
      </c>
      <c r="N240" s="20" t="s">
        <v>1077</v>
      </c>
      <c r="O240" s="20"/>
      <c r="P240" s="20"/>
      <c r="Q240" s="134"/>
      <c r="R240" s="127"/>
      <c r="S240" s="157">
        <f>CEILING((IF(J240="Yes", 0, IF(H240="-",AA240,AA240+AA240*VLOOKUP(H240,BUFFERS_BY_TYPE,2,FALSE)))) +
   (IF(J240="Yes", 0, IF(H240="-",AA240,AA240+AA240*VLOOKUP(H240,BUFFERS_BY_TYPE,2,FALSE))))*VLOOKUP($S$5, SALES_CALL_SCALE_ARRAY, 2,FALSE),0.25)</f>
        <v>2.5</v>
      </c>
      <c r="T240" s="158"/>
      <c r="U240" s="21">
        <v>0</v>
      </c>
      <c r="V240" s="21">
        <v>1</v>
      </c>
      <c r="W240" s="21">
        <v>0</v>
      </c>
      <c r="X240" s="156">
        <v>2.5</v>
      </c>
      <c r="Y240" s="157">
        <f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2.5</v>
      </c>
      <c r="Z240" s="22"/>
      <c r="AA240" s="157">
        <f>Y240+Y240*VLOOKUP(I240,EXTRAS_ARRAY,2,FALSE)</f>
        <v>2.5</v>
      </c>
      <c r="AB240" s="20"/>
      <c r="AC240" s="34"/>
      <c r="AD240" s="23" t="str">
        <f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ca="1">IFERROR(OFFSET(M241,-1,,1,1)+0.1,OFFSET(M241,-1,-1,1,1)&amp;".1")</f>
        <v>17.400000000000006</v>
      </c>
      <c r="N241" s="20" t="s">
        <v>1078</v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2</v>
      </c>
      <c r="T241" s="158"/>
      <c r="U241" s="21">
        <v>0</v>
      </c>
      <c r="V241" s="21">
        <v>1</v>
      </c>
      <c r="W241" s="21">
        <v>0</v>
      </c>
      <c r="X241" s="156">
        <v>2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2</v>
      </c>
      <c r="Z241" s="22"/>
      <c r="AA241" s="157">
        <f>Y241+Y241*VLOOKUP(I241,EXTRAS_ARRAY,2,FALSE)</f>
        <v>2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5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17.500000000000007</v>
      </c>
      <c r="N242" s="20" t="s">
        <v>1079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1.5</v>
      </c>
      <c r="T242" s="158"/>
      <c r="U242" s="21">
        <v>0</v>
      </c>
      <c r="V242" s="21">
        <v>1</v>
      </c>
      <c r="W242" s="21">
        <v>0</v>
      </c>
      <c r="X242" s="156">
        <v>1.5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1.5</v>
      </c>
      <c r="Z242" s="22"/>
      <c r="AA242" s="157">
        <f>Y242+Y242*VLOOKUP(I242,EXTRAS_ARRAY,2,FALSE)</f>
        <v>1.5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s="9" customFormat="1" ht="7.5" customHeight="1" outlineLevel="2" x14ac:dyDescent="0.35">
      <c r="A243" s="86" t="s">
        <v>132</v>
      </c>
      <c r="B243" s="15"/>
      <c r="C243" s="72"/>
      <c r="D243" s="72"/>
      <c r="E243" s="72"/>
      <c r="F243" s="72"/>
      <c r="M243" s="252"/>
      <c r="T243" s="15"/>
      <c r="X243" s="15"/>
      <c r="AB243" s="10"/>
      <c r="AC243" s="10"/>
      <c r="AD243" s="10"/>
    </row>
    <row r="244" spans="1:30" s="14" customFormat="1" ht="43.5" outlineLevel="1" x14ac:dyDescent="0.35">
      <c r="A244" s="86" t="s">
        <v>100</v>
      </c>
      <c r="B244" s="18"/>
      <c r="C244" s="77"/>
      <c r="D244" s="77"/>
      <c r="E244" s="77"/>
      <c r="F244" s="76"/>
      <c r="G244" s="29"/>
      <c r="H244" s="29"/>
      <c r="I244" s="29"/>
      <c r="J244" s="29"/>
      <c r="K244" s="29"/>
      <c r="L244" s="17">
        <f ca="1">LOOKUP(1000,INDIRECT("L1:"&amp;CELL("address",INDIRECT("R[-1]C",FALSE))))+1</f>
        <v>18</v>
      </c>
      <c r="M244" s="301" t="s">
        <v>1241</v>
      </c>
      <c r="N244" s="301"/>
      <c r="O244" s="5"/>
      <c r="P244" s="30"/>
      <c r="Q244" s="30"/>
      <c r="R244" s="30"/>
      <c r="S244" s="30"/>
      <c r="T244" s="155">
        <f>IF($S$6="Exclude", SUMIFS(S245:S251, J245:J251, "&lt;&gt;Yes", G245:G251, "&lt;&gt;Yes"), SUMIFS(S245:S251, J245:J251, "&lt;&gt;Yes"))</f>
        <v>13</v>
      </c>
      <c r="U244" s="30"/>
      <c r="V244" s="30"/>
      <c r="W244" s="30"/>
      <c r="X244" s="31"/>
      <c r="Y244" s="32"/>
      <c r="Z244" s="32"/>
      <c r="AA244" s="32"/>
      <c r="AB244" s="219" t="s">
        <v>1242</v>
      </c>
      <c r="AC244" s="33"/>
      <c r="AD244" s="23" t="str">
        <f>IF(M244="", "Error: Task name cannot be empty.", "")</f>
        <v/>
      </c>
    </row>
    <row r="245" spans="1:30" s="12" customFormat="1" ht="1.5" customHeight="1" outlineLevel="2" x14ac:dyDescent="0.35">
      <c r="A245" s="86" t="s">
        <v>101</v>
      </c>
      <c r="B245" s="18"/>
      <c r="C245" s="77"/>
      <c r="D245" s="77"/>
      <c r="E245" s="77"/>
      <c r="F245" s="76"/>
      <c r="G245" s="29"/>
      <c r="H245" s="29"/>
      <c r="I245" s="29"/>
      <c r="J245" s="29"/>
      <c r="K245" s="29"/>
      <c r="L245" s="163">
        <f ca="1">L244</f>
        <v>18</v>
      </c>
      <c r="M245" s="164" t="s">
        <v>105</v>
      </c>
      <c r="N245" s="161"/>
      <c r="O245" s="162"/>
      <c r="P245" s="30"/>
      <c r="Q245" s="30"/>
      <c r="R245" s="30"/>
      <c r="S245" s="30"/>
      <c r="T245" s="155"/>
      <c r="U245" s="30"/>
      <c r="V245" s="30"/>
      <c r="W245" s="30"/>
      <c r="X245" s="31"/>
      <c r="Y245" s="32"/>
      <c r="Z245" s="32"/>
      <c r="AA245" s="32"/>
      <c r="AB245" s="33"/>
      <c r="AC245" s="33"/>
      <c r="AD245" s="23"/>
    </row>
    <row r="246" spans="1:30" ht="43.5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 t="str">
        <f ca="1">IFERROR(OFFSET(M246,-1,,1,1)+0.1,OFFSET(M246,-1,-1,1,1)&amp;".1")</f>
        <v>18.1</v>
      </c>
      <c r="N246" s="20" t="s">
        <v>1243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2.5</v>
      </c>
      <c r="T246" s="158"/>
      <c r="U246" s="21">
        <v>0</v>
      </c>
      <c r="V246" s="21">
        <v>1</v>
      </c>
      <c r="W246" s="21">
        <v>0</v>
      </c>
      <c r="X246" s="156">
        <v>2.5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2.5</v>
      </c>
      <c r="Z246" s="22"/>
      <c r="AA246" s="157">
        <f>Y246+Y246*VLOOKUP(I246,EXTRAS_ARRAY,2,FALSE)</f>
        <v>2.5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ht="43.5" outlineLevel="2" x14ac:dyDescent="0.35">
      <c r="A247" s="86" t="s">
        <v>0</v>
      </c>
      <c r="B247" s="18"/>
      <c r="C247" s="78"/>
      <c r="D247" s="78"/>
      <c r="E247" s="78"/>
      <c r="F247" s="79"/>
      <c r="G247" s="19" t="s">
        <v>23</v>
      </c>
      <c r="H247" s="19" t="s">
        <v>23</v>
      </c>
      <c r="I247" s="20" t="s">
        <v>23</v>
      </c>
      <c r="J247" s="19" t="s">
        <v>23</v>
      </c>
      <c r="K247" s="35"/>
      <c r="L247" s="19"/>
      <c r="M247" s="263">
        <f ca="1">IFERROR(OFFSET(M247,-1,,1,1)+0.1,OFFSET(M247,-1,-1,1,1)&amp;".1")</f>
        <v>18.200000000000003</v>
      </c>
      <c r="N247" s="20" t="s">
        <v>1244</v>
      </c>
      <c r="O247" s="20"/>
      <c r="P247" s="20"/>
      <c r="Q247" s="134"/>
      <c r="R247" s="127"/>
      <c r="S247" s="157">
        <f>CEILING((IF(J247="Yes", 0, IF(H247="-",AA247,AA247+AA247*VLOOKUP(H247,BUFFERS_BY_TYPE,2,FALSE)))) +
   (IF(J247="Yes", 0, IF(H247="-",AA247,AA247+AA247*VLOOKUP(H247,BUFFERS_BY_TYPE,2,FALSE))))*VLOOKUP($S$5, SALES_CALL_SCALE_ARRAY, 2,FALSE),0.25)</f>
        <v>3</v>
      </c>
      <c r="T247" s="158"/>
      <c r="U247" s="21">
        <v>0</v>
      </c>
      <c r="V247" s="21">
        <v>1</v>
      </c>
      <c r="W247" s="21">
        <v>0</v>
      </c>
      <c r="X247" s="156">
        <v>3</v>
      </c>
      <c r="Y247" s="157">
        <f>CEILING((IF(P247=AS_DEV_EFFORT, DEV_EFFORT*Q247%,
                           IF(P247=AS_DURATION_EFFORT, (MANUAL_DURATION*5)*Q247%,
                                    (IF(Q247&lt;=1,X247,
                                          IF(SUM(U247:W247)=0,(Q247*X247),
                                               (((Q247*U247)*(X247+(X247*EXTRA_FOR_H)))+
                                               ((Q247*V247)*X247)+
                                               ((Q247*W247)*(X247-(X247*LESS_FOR_L)))
                                    )*IF(R247=0,1,R247))))))+Z247), 0.25)</f>
        <v>3</v>
      </c>
      <c r="Z247" s="22"/>
      <c r="AA247" s="157">
        <f>Y247+Y247*VLOOKUP(I247,EXTRAS_ARRAY,2,FALSE)</f>
        <v>3</v>
      </c>
      <c r="AB247" s="20"/>
      <c r="AC247" s="34"/>
      <c r="AD247" s="23" t="str">
        <f>IF(J247&lt;&gt;"Yes",
IF(S247&lt;=0,"Error: Effort value is not defined or is invalid.",
IF(AND(SUM(U247:W247)&gt;0,SUM(U247:W247)&lt;&gt;1),"Error: Complexity % distribution should sum to 100%.",
IF(AND(P247=AS_DEV_EFFORT,X247&lt;&gt;0),"Error: PDs should not be defined when defining as dev effort %.",
IF(AND(P247=AS_DURATION_EFFORT,X247&lt;&gt;0),"Error: PDs should not be defined when defining as duration effort %.","")))))</f>
        <v/>
      </c>
    </row>
    <row r="248" spans="1:30" ht="43.5" outlineLevel="2" x14ac:dyDescent="0.35">
      <c r="A248" s="86" t="s">
        <v>0</v>
      </c>
      <c r="B248" s="18"/>
      <c r="C248" s="78"/>
      <c r="D248" s="78"/>
      <c r="E248" s="78"/>
      <c r="F248" s="79"/>
      <c r="G248" s="19" t="s">
        <v>23</v>
      </c>
      <c r="H248" s="19" t="s">
        <v>23</v>
      </c>
      <c r="I248" s="20" t="s">
        <v>23</v>
      </c>
      <c r="J248" s="19" t="s">
        <v>23</v>
      </c>
      <c r="K248" s="35"/>
      <c r="L248" s="19"/>
      <c r="M248" s="263">
        <f ca="1">IFERROR(OFFSET(M248,-1,,1,1)+0.1,OFFSET(M248,-1,-1,1,1)&amp;".1")</f>
        <v>18.300000000000004</v>
      </c>
      <c r="N248" s="20" t="s">
        <v>1245</v>
      </c>
      <c r="O248" s="20"/>
      <c r="P248" s="20"/>
      <c r="Q248" s="134"/>
      <c r="R248" s="127"/>
      <c r="S248" s="157">
        <f>CEILING((IF(J248="Yes", 0, IF(H248="-",AA248,AA248+AA248*VLOOKUP(H248,BUFFERS_BY_TYPE,2,FALSE)))) +
   (IF(J248="Yes", 0, IF(H248="-",AA248,AA248+AA248*VLOOKUP(H248,BUFFERS_BY_TYPE,2,FALSE))))*VLOOKUP($S$5, SALES_CALL_SCALE_ARRAY, 2,FALSE),0.25)</f>
        <v>2.5</v>
      </c>
      <c r="T248" s="158"/>
      <c r="U248" s="21">
        <v>0</v>
      </c>
      <c r="V248" s="21">
        <v>1</v>
      </c>
      <c r="W248" s="21">
        <v>0</v>
      </c>
      <c r="X248" s="156">
        <v>2.5</v>
      </c>
      <c r="Y248" s="157">
        <f>CEILING((IF(P248=AS_DEV_EFFORT, DEV_EFFORT*Q248%,
                           IF(P248=AS_DURATION_EFFORT, (MANUAL_DURATION*5)*Q248%,
                                    (IF(Q248&lt;=1,X248,
                                          IF(SUM(U248:W248)=0,(Q248*X248),
                                               (((Q248*U248)*(X248+(X248*EXTRA_FOR_H)))+
                                               ((Q248*V248)*X248)+
                                               ((Q248*W248)*(X248-(X248*LESS_FOR_L)))
                                    )*IF(R248=0,1,R248))))))+Z248), 0.25)</f>
        <v>2.5</v>
      </c>
      <c r="Z248" s="22"/>
      <c r="AA248" s="157">
        <f>Y248+Y248*VLOOKUP(I248,EXTRAS_ARRAY,2,FALSE)</f>
        <v>2.5</v>
      </c>
      <c r="AB248" s="20"/>
      <c r="AC248" s="34"/>
      <c r="AD248" s="23" t="str">
        <f>IF(J248&lt;&gt;"Yes",
IF(S248&lt;=0,"Error: Effort value is not defined or is invalid.",
IF(AND(SUM(U248:W248)&gt;0,SUM(U248:W248)&lt;&gt;1),"Error: Complexity % distribution should sum to 100%.",
IF(AND(P248=AS_DEV_EFFORT,X248&lt;&gt;0),"Error: PDs should not be defined when defining as dev effort %.",
IF(AND(P248=AS_DURATION_EFFORT,X248&lt;&gt;0),"Error: PDs should not be defined when defining as duration effort %.","")))))</f>
        <v/>
      </c>
    </row>
    <row r="249" spans="1:30" ht="58" outlineLevel="2" x14ac:dyDescent="0.35">
      <c r="A249" s="86" t="s">
        <v>0</v>
      </c>
      <c r="B249" s="18"/>
      <c r="C249" s="78"/>
      <c r="D249" s="78"/>
      <c r="E249" s="78"/>
      <c r="F249" s="79"/>
      <c r="G249" s="19" t="s">
        <v>23</v>
      </c>
      <c r="H249" s="19" t="s">
        <v>23</v>
      </c>
      <c r="I249" s="20" t="s">
        <v>23</v>
      </c>
      <c r="J249" s="19" t="s">
        <v>23</v>
      </c>
      <c r="K249" s="35"/>
      <c r="L249" s="19"/>
      <c r="M249" s="263">
        <f ca="1">IFERROR(OFFSET(M249,-1,,1,1)+0.1,OFFSET(M249,-1,-1,1,1)&amp;".1")</f>
        <v>18.400000000000006</v>
      </c>
      <c r="N249" s="20" t="s">
        <v>1246</v>
      </c>
      <c r="O249" s="20"/>
      <c r="P249" s="20"/>
      <c r="Q249" s="134"/>
      <c r="R249" s="127"/>
      <c r="S249" s="157">
        <f>CEILING((IF(J249="Yes", 0, IF(H249="-",AA249,AA249+AA249*VLOOKUP(H249,BUFFERS_BY_TYPE,2,FALSE)))) +
   (IF(J249="Yes", 0, IF(H249="-",AA249,AA249+AA249*VLOOKUP(H249,BUFFERS_BY_TYPE,2,FALSE))))*VLOOKUP($S$5, SALES_CALL_SCALE_ARRAY, 2,FALSE),0.25)</f>
        <v>3</v>
      </c>
      <c r="T249" s="158"/>
      <c r="U249" s="21">
        <v>0</v>
      </c>
      <c r="V249" s="21">
        <v>1</v>
      </c>
      <c r="W249" s="21">
        <v>0</v>
      </c>
      <c r="X249" s="156">
        <v>3</v>
      </c>
      <c r="Y249" s="157">
        <f>CEILING((IF(P249=AS_DEV_EFFORT, DEV_EFFORT*Q249%,
                           IF(P249=AS_DURATION_EFFORT, (MANUAL_DURATION*5)*Q249%,
                                    (IF(Q249&lt;=1,X249,
                                          IF(SUM(U249:W249)=0,(Q249*X249),
                                               (((Q249*U249)*(X249+(X249*EXTRA_FOR_H)))+
                                               ((Q249*V249)*X249)+
                                               ((Q249*W249)*(X249-(X249*LESS_FOR_L)))
                                    )*IF(R249=0,1,R249))))))+Z249), 0.25)</f>
        <v>3</v>
      </c>
      <c r="Z249" s="22"/>
      <c r="AA249" s="157">
        <f>Y249+Y249*VLOOKUP(I249,EXTRAS_ARRAY,2,FALSE)</f>
        <v>3</v>
      </c>
      <c r="AB249" s="20"/>
      <c r="AC249" s="34"/>
      <c r="AD249" s="23" t="str">
        <f>IF(J249&lt;&gt;"Yes",
IF(S249&lt;=0,"Error: Effort value is not defined or is invalid.",
IF(AND(SUM(U249:W249)&gt;0,SUM(U249:W249)&lt;&gt;1),"Error: Complexity % distribution should sum to 100%.",
IF(AND(P249=AS_DEV_EFFORT,X249&lt;&gt;0),"Error: PDs should not be defined when defining as dev effort %.",
IF(AND(P249=AS_DURATION_EFFORT,X249&lt;&gt;0),"Error: PDs should not be defined when defining as duration effort %.","")))))</f>
        <v/>
      </c>
    </row>
    <row r="250" spans="1:30" ht="15.5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>
        <f ca="1">IFERROR(OFFSET(M250,-1,,1,1)+0.1,OFFSET(M250,-1,-1,1,1)&amp;".1")</f>
        <v>18.500000000000007</v>
      </c>
      <c r="N250" s="20" t="s">
        <v>1247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2</v>
      </c>
      <c r="T250" s="158"/>
      <c r="U250" s="21">
        <v>0</v>
      </c>
      <c r="V250" s="21">
        <v>1</v>
      </c>
      <c r="W250" s="21">
        <v>0</v>
      </c>
      <c r="X250" s="156">
        <v>2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2</v>
      </c>
      <c r="Z250" s="22"/>
      <c r="AA250" s="157">
        <f>Y250+Y250*VLOOKUP(I250,EXTRAS_ARRAY,2,FALSE)</f>
        <v>2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s="9" customFormat="1" ht="7.5" customHeight="1" outlineLevel="2" x14ac:dyDescent="0.35">
      <c r="A251" s="86" t="s">
        <v>132</v>
      </c>
      <c r="B251" s="15"/>
      <c r="C251" s="72"/>
      <c r="D251" s="72"/>
      <c r="E251" s="72"/>
      <c r="F251" s="72"/>
      <c r="M251" s="252"/>
      <c r="T251" s="15"/>
      <c r="X251" s="15"/>
      <c r="AB251" s="10"/>
      <c r="AC251" s="10"/>
      <c r="AD251" s="10"/>
    </row>
    <row r="252" spans="1:30" s="14" customFormat="1" ht="29" outlineLevel="1" x14ac:dyDescent="0.35">
      <c r="A252" s="86" t="s">
        <v>100</v>
      </c>
      <c r="B252" s="18"/>
      <c r="C252" s="77"/>
      <c r="D252" s="77"/>
      <c r="E252" s="77"/>
      <c r="F252" s="76"/>
      <c r="G252" s="29"/>
      <c r="H252" s="29"/>
      <c r="I252" s="29"/>
      <c r="J252" s="29"/>
      <c r="K252" s="29"/>
      <c r="L252" s="17">
        <f ca="1">LOOKUP(1000,INDIRECT("L1:"&amp;CELL("address",INDIRECT("R[-1]C",FALSE))))+1</f>
        <v>19</v>
      </c>
      <c r="M252" s="301" t="s">
        <v>1248</v>
      </c>
      <c r="N252" s="301"/>
      <c r="O252" s="5"/>
      <c r="P252" s="30"/>
      <c r="Q252" s="30"/>
      <c r="R252" s="30"/>
      <c r="S252" s="30"/>
      <c r="T252" s="155">
        <f>IF($S$6="Exclude", SUMIFS(S253:S258, J253:J258, "&lt;&gt;Yes", G253:G258, "&lt;&gt;Yes"), SUMIFS(S253:S258, J253:J258, "&lt;&gt;Yes"))</f>
        <v>10</v>
      </c>
      <c r="U252" s="30"/>
      <c r="V252" s="30"/>
      <c r="W252" s="30"/>
      <c r="X252" s="31"/>
      <c r="Y252" s="32"/>
      <c r="Z252" s="32"/>
      <c r="AA252" s="32"/>
      <c r="AB252" s="219" t="s">
        <v>1249</v>
      </c>
      <c r="AC252" s="33"/>
      <c r="AD252" s="23" t="str">
        <f>IF(M252="", "Error: Task name cannot be empty.", "")</f>
        <v/>
      </c>
    </row>
    <row r="253" spans="1:30" s="12" customFormat="1" ht="1.5" customHeight="1" outlineLevel="2" x14ac:dyDescent="0.35">
      <c r="A253" s="86" t="s">
        <v>101</v>
      </c>
      <c r="B253" s="18"/>
      <c r="C253" s="77"/>
      <c r="D253" s="77"/>
      <c r="E253" s="77"/>
      <c r="F253" s="76"/>
      <c r="G253" s="29"/>
      <c r="H253" s="29"/>
      <c r="I253" s="29"/>
      <c r="J253" s="29"/>
      <c r="K253" s="29"/>
      <c r="L253" s="163">
        <f ca="1">L252</f>
        <v>19</v>
      </c>
      <c r="M253" s="164" t="s">
        <v>105</v>
      </c>
      <c r="N253" s="161"/>
      <c r="O253" s="162"/>
      <c r="P253" s="30"/>
      <c r="Q253" s="30"/>
      <c r="R253" s="30"/>
      <c r="S253" s="30"/>
      <c r="T253" s="155"/>
      <c r="U253" s="30"/>
      <c r="V253" s="30"/>
      <c r="W253" s="30"/>
      <c r="X253" s="31"/>
      <c r="Y253" s="32"/>
      <c r="Z253" s="32"/>
      <c r="AA253" s="32"/>
      <c r="AB253" s="33"/>
      <c r="AC253" s="33"/>
      <c r="AD253" s="23"/>
    </row>
    <row r="254" spans="1:30" ht="43.5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 t="str">
        <f ca="1">IFERROR(OFFSET(M254,-1,,1,1)+0.1,OFFSET(M254,-1,-1,1,1)&amp;".1")</f>
        <v>19.1</v>
      </c>
      <c r="N254" s="20" t="s">
        <v>1250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ht="43.5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ca="1">IFERROR(OFFSET(M255,-1,,1,1)+0.1,OFFSET(M255,-1,-1,1,1)&amp;".1")</f>
        <v>19.200000000000003</v>
      </c>
      <c r="N255" s="20" t="s">
        <v>1251</v>
      </c>
      <c r="O255" s="20"/>
      <c r="P255" s="20"/>
      <c r="Q255" s="134"/>
      <c r="R255" s="127"/>
      <c r="S255" s="157">
        <f>CEILING((IF(J255="Yes", 0, IF(H255="-",AA255,AA255+AA255*VLOOKUP(H255,BUFFERS_BY_TYPE,2,FALSE)))) +
   (IF(J255="Yes", 0, IF(H255="-",AA255,AA255+AA255*VLOOKUP(H255,BUFFERS_BY_TYPE,2,FALSE))))*VLOOKUP($S$5, SALES_CALL_SCALE_ARRAY, 2,FALSE),0.25)</f>
        <v>3</v>
      </c>
      <c r="T255" s="158"/>
      <c r="U255" s="21">
        <v>0</v>
      </c>
      <c r="V255" s="21">
        <v>1</v>
      </c>
      <c r="W255" s="21">
        <v>0</v>
      </c>
      <c r="X255" s="156">
        <v>3</v>
      </c>
      <c r="Y255" s="157">
        <f>CEILING((IF(P255=AS_DEV_EFFORT, DEV_EFFORT*Q255%,
                           IF(P255=AS_DURATION_EFFORT, (MANUAL_DURATION*5)*Q255%,
                                    (IF(Q255&lt;=1,X255,
                                          IF(SUM(U255:W255)=0,(Q255*X255),
                                               (((Q255*U255)*(X255+(X255*EXTRA_FOR_H)))+
                                               ((Q255*V255)*X255)+
                                               ((Q255*W255)*(X255-(X255*LESS_FOR_L)))
                                    )*IF(R255=0,1,R255))))))+Z255), 0.25)</f>
        <v>3</v>
      </c>
      <c r="Z255" s="22"/>
      <c r="AA255" s="157">
        <f>Y255+Y255*VLOOKUP(I255,EXTRAS_ARRAY,2,FALSE)</f>
        <v>3</v>
      </c>
      <c r="AB255" s="20"/>
      <c r="AC255" s="34"/>
      <c r="AD255" s="23" t="str">
        <f>IF(J255&lt;&gt;"Yes",
IF(S255&lt;=0,"Error: Effort value is not defined or is invalid.",
IF(AND(SUM(U255:W255)&gt;0,SUM(U255:W255)&lt;&gt;1),"Error: Complexity % distribution should sum to 100%.",
IF(AND(P255=AS_DEV_EFFORT,X255&lt;&gt;0),"Error: PDs should not be defined when defining as dev effort %.",
IF(AND(P255=AS_DURATION_EFFORT,X255&lt;&gt;0),"Error: PDs should not be defined when defining as duration effort %.","")))))</f>
        <v/>
      </c>
    </row>
    <row r="256" spans="1:30" ht="43.5" outlineLevel="2" x14ac:dyDescent="0.35">
      <c r="A256" s="86" t="s">
        <v>0</v>
      </c>
      <c r="B256" s="18"/>
      <c r="C256" s="78"/>
      <c r="D256" s="78"/>
      <c r="E256" s="78"/>
      <c r="F256" s="79"/>
      <c r="G256" s="19" t="s">
        <v>23</v>
      </c>
      <c r="H256" s="19" t="s">
        <v>23</v>
      </c>
      <c r="I256" s="20" t="s">
        <v>23</v>
      </c>
      <c r="J256" s="19" t="s">
        <v>23</v>
      </c>
      <c r="K256" s="35"/>
      <c r="L256" s="19"/>
      <c r="M256" s="263">
        <f ca="1">IFERROR(OFFSET(M256,-1,,1,1)+0.1,OFFSET(M256,-1,-1,1,1)&amp;".1")</f>
        <v>19.300000000000004</v>
      </c>
      <c r="N256" s="20" t="s">
        <v>1252</v>
      </c>
      <c r="O256" s="20"/>
      <c r="P256" s="20"/>
      <c r="Q256" s="134"/>
      <c r="R256" s="127"/>
      <c r="S256" s="157">
        <f>CEILING((IF(J256="Yes", 0, IF(H256="-",AA256,AA256+AA256*VLOOKUP(H256,BUFFERS_BY_TYPE,2,FALSE)))) +
   (IF(J256="Yes", 0, IF(H256="-",AA256,AA256+AA256*VLOOKUP(H256,BUFFERS_BY_TYPE,2,FALSE))))*VLOOKUP($S$5, SALES_CALL_SCALE_ARRAY, 2,FALSE),0.25)</f>
        <v>3.5</v>
      </c>
      <c r="T256" s="158"/>
      <c r="U256" s="21">
        <v>0</v>
      </c>
      <c r="V256" s="21">
        <v>1</v>
      </c>
      <c r="W256" s="21">
        <v>0</v>
      </c>
      <c r="X256" s="156">
        <v>3.5</v>
      </c>
      <c r="Y256" s="157">
        <f>CEILING((IF(P256=AS_DEV_EFFORT, DEV_EFFORT*Q256%,
                           IF(P256=AS_DURATION_EFFORT, (MANUAL_DURATION*5)*Q256%,
                                    (IF(Q256&lt;=1,X256,
                                          IF(SUM(U256:W256)=0,(Q256*X256),
                                               (((Q256*U256)*(X256+(X256*EXTRA_FOR_H)))+
                                               ((Q256*V256)*X256)+
                                               ((Q256*W256)*(X256-(X256*LESS_FOR_L)))
                                    )*IF(R256=0,1,R256))))))+Z256), 0.25)</f>
        <v>3.5</v>
      </c>
      <c r="Z256" s="22"/>
      <c r="AA256" s="157">
        <f>Y256+Y256*VLOOKUP(I256,EXTRAS_ARRAY,2,FALSE)</f>
        <v>3.5</v>
      </c>
      <c r="AB256" s="20"/>
      <c r="AC256" s="34"/>
      <c r="AD256" s="23" t="str">
        <f>IF(J256&lt;&gt;"Yes",
IF(S256&lt;=0,"Error: Effort value is not defined or is invalid.",
IF(AND(SUM(U256:W256)&gt;0,SUM(U256:W256)&lt;&gt;1),"Error: Complexity % distribution should sum to 100%.",
IF(AND(P256=AS_DEV_EFFORT,X256&lt;&gt;0),"Error: PDs should not be defined when defining as dev effort %.",
IF(AND(P256=AS_DURATION_EFFORT,X256&lt;&gt;0),"Error: PDs should not be defined when defining as duration effort %.","")))))</f>
        <v/>
      </c>
    </row>
    <row r="257" spans="1:30" ht="15.5" outlineLevel="2" x14ac:dyDescent="0.35">
      <c r="A257" s="86" t="s">
        <v>0</v>
      </c>
      <c r="B257" s="18"/>
      <c r="C257" s="78"/>
      <c r="D257" s="78"/>
      <c r="E257" s="78"/>
      <c r="F257" s="79"/>
      <c r="G257" s="19" t="s">
        <v>23</v>
      </c>
      <c r="H257" s="19" t="s">
        <v>23</v>
      </c>
      <c r="I257" s="20" t="s">
        <v>23</v>
      </c>
      <c r="J257" s="19" t="s">
        <v>23</v>
      </c>
      <c r="K257" s="35"/>
      <c r="L257" s="19"/>
      <c r="M257" s="263">
        <f ca="1">IFERROR(OFFSET(M257,-1,,1,1)+0.1,OFFSET(M257,-1,-1,1,1)&amp;".1")</f>
        <v>19.400000000000006</v>
      </c>
      <c r="N257" s="20" t="s">
        <v>1253</v>
      </c>
      <c r="O257" s="20"/>
      <c r="P257" s="20"/>
      <c r="Q257" s="134"/>
      <c r="R257" s="127"/>
      <c r="S257" s="157">
        <f>CEILING((IF(J257="Yes", 0, IF(H257="-",AA257,AA257+AA257*VLOOKUP(H257,BUFFERS_BY_TYPE,2,FALSE)))) +
   (IF(J257="Yes", 0, IF(H257="-",AA257,AA257+AA257*VLOOKUP(H257,BUFFERS_BY_TYPE,2,FALSE))))*VLOOKUP($S$5, SALES_CALL_SCALE_ARRAY, 2,FALSE),0.25)</f>
        <v>1.5</v>
      </c>
      <c r="T257" s="158"/>
      <c r="U257" s="21">
        <v>0</v>
      </c>
      <c r="V257" s="21">
        <v>1</v>
      </c>
      <c r="W257" s="21">
        <v>0</v>
      </c>
      <c r="X257" s="156">
        <v>1.5</v>
      </c>
      <c r="Y257" s="157">
        <f>CEILING((IF(P257=AS_DEV_EFFORT, DEV_EFFORT*Q257%,
                           IF(P257=AS_DURATION_EFFORT, (MANUAL_DURATION*5)*Q257%,
                                    (IF(Q257&lt;=1,X257,
                                          IF(SUM(U257:W257)=0,(Q257*X257),
                                               (((Q257*U257)*(X257+(X257*EXTRA_FOR_H)))+
                                               ((Q257*V257)*X257)+
                                               ((Q257*W257)*(X257-(X257*LESS_FOR_L)))
                                    )*IF(R257=0,1,R257))))))+Z257), 0.25)</f>
        <v>1.5</v>
      </c>
      <c r="Z257" s="22"/>
      <c r="AA257" s="157">
        <f>Y257+Y257*VLOOKUP(I257,EXTRAS_ARRAY,2,FALSE)</f>
        <v>1.5</v>
      </c>
      <c r="AB257" s="20"/>
      <c r="AC257" s="34"/>
      <c r="AD257" s="23" t="str">
        <f>IF(J257&lt;&gt;"Yes",
IF(S257&lt;=0,"Error: Effort value is not defined or is invalid.",
IF(AND(SUM(U257:W257)&gt;0,SUM(U257:W257)&lt;&gt;1),"Error: Complexity % distribution should sum to 100%.",
IF(AND(P257=AS_DEV_EFFORT,X257&lt;&gt;0),"Error: PDs should not be defined when defining as dev effort %.",
IF(AND(P257=AS_DURATION_EFFORT,X257&lt;&gt;0),"Error: PDs should not be defined when defining as duration effort %.","")))))</f>
        <v/>
      </c>
    </row>
    <row r="258" spans="1:30" s="9" customFormat="1" ht="7.5" customHeight="1" outlineLevel="2" x14ac:dyDescent="0.35">
      <c r="A258" s="86" t="s">
        <v>132</v>
      </c>
      <c r="B258" s="15"/>
      <c r="C258" s="72"/>
      <c r="D258" s="72"/>
      <c r="E258" s="72"/>
      <c r="F258" s="72"/>
      <c r="M258" s="252"/>
      <c r="T258" s="15"/>
      <c r="X258" s="15"/>
      <c r="AB258" s="10"/>
      <c r="AC258" s="10"/>
      <c r="AD258" s="10"/>
    </row>
    <row r="259" spans="1:30" s="14" customFormat="1" ht="15.5" outlineLevel="1" x14ac:dyDescent="0.35">
      <c r="A259" s="86" t="s">
        <v>107</v>
      </c>
      <c r="B259" s="18"/>
      <c r="C259" s="77"/>
      <c r="D259" s="77"/>
      <c r="E259" s="77"/>
      <c r="F259" s="76"/>
      <c r="G259" s="170"/>
      <c r="H259" s="170"/>
      <c r="I259" s="170"/>
      <c r="J259" s="170"/>
      <c r="K259" s="170"/>
      <c r="L259" s="85" t="s">
        <v>109</v>
      </c>
      <c r="M259" s="300" t="s">
        <v>882</v>
      </c>
      <c r="N259" s="300"/>
      <c r="O259" s="80"/>
      <c r="P259" s="81"/>
      <c r="Q259" s="81"/>
      <c r="R259" s="81"/>
      <c r="S259" s="291">
        <f>SUMGROUP(ROW(), "T")</f>
        <v>92</v>
      </c>
      <c r="T259" s="291"/>
      <c r="U259" s="292"/>
      <c r="V259" s="292"/>
      <c r="W259" s="292"/>
      <c r="X259" s="82"/>
      <c r="Y259" s="83"/>
      <c r="Z259" s="83"/>
      <c r="AA259" s="83"/>
      <c r="AB259" s="221"/>
      <c r="AC259" s="84"/>
      <c r="AD259" s="23" t="str">
        <f>IF(M259="", "Error: Module name cannot be empty.", "")</f>
        <v/>
      </c>
    </row>
    <row r="260" spans="1:30" s="14" customFormat="1" ht="15.5" outlineLevel="1" x14ac:dyDescent="0.35">
      <c r="A260" s="86" t="s">
        <v>100</v>
      </c>
      <c r="B260" s="18"/>
      <c r="C260" s="77"/>
      <c r="D260" s="77"/>
      <c r="E260" s="77"/>
      <c r="F260" s="76"/>
      <c r="G260" s="29"/>
      <c r="H260" s="29"/>
      <c r="I260" s="29"/>
      <c r="J260" s="29"/>
      <c r="K260" s="29"/>
      <c r="L260" s="17">
        <f ca="1">LOOKUP(1000,INDIRECT("L1:"&amp;CELL("address",INDIRECT("R[-1]C",FALSE))))+1</f>
        <v>20</v>
      </c>
      <c r="M260" s="330" t="s">
        <v>1080</v>
      </c>
      <c r="N260" s="301"/>
      <c r="O260" s="5"/>
      <c r="P260" s="30"/>
      <c r="Q260" s="30"/>
      <c r="R260" s="30"/>
      <c r="S260" s="30"/>
      <c r="T260" s="155">
        <f>IF($S$6="Exclude", SUMIFS(S261:S270, J261:J270, "&lt;&gt;Yes", G261:G270, "&lt;&gt;Yes"), SUMIFS(S261:S270, J261:J270, "&lt;&gt;Yes"))</f>
        <v>21.5</v>
      </c>
      <c r="U260" s="30"/>
      <c r="V260" s="30"/>
      <c r="W260" s="30"/>
      <c r="X260" s="31"/>
      <c r="Y260" s="32"/>
      <c r="Z260" s="32"/>
      <c r="AA260" s="32"/>
      <c r="AB260" s="219" t="s">
        <v>952</v>
      </c>
      <c r="AC260" s="33"/>
      <c r="AD260" s="23" t="str">
        <f>IF(M260="", "Error: Task name cannot be empty.", "")</f>
        <v/>
      </c>
    </row>
    <row r="261" spans="1:30" s="12" customFormat="1" ht="1.5" customHeight="1" outlineLevel="2" x14ac:dyDescent="0.35">
      <c r="A261" s="86" t="s">
        <v>101</v>
      </c>
      <c r="B261" s="18"/>
      <c r="C261" s="77"/>
      <c r="D261" s="77"/>
      <c r="E261" s="77"/>
      <c r="F261" s="76"/>
      <c r="G261" s="29"/>
      <c r="H261" s="29"/>
      <c r="I261" s="29"/>
      <c r="J261" s="29"/>
      <c r="K261" s="29"/>
      <c r="L261" s="163">
        <f ca="1">L260</f>
        <v>20</v>
      </c>
      <c r="M261" s="164" t="s">
        <v>105</v>
      </c>
      <c r="N261" s="161"/>
      <c r="O261" s="162"/>
      <c r="P261" s="30"/>
      <c r="Q261" s="30"/>
      <c r="R261" s="30"/>
      <c r="S261" s="30"/>
      <c r="T261" s="155"/>
      <c r="U261" s="30"/>
      <c r="V261" s="30"/>
      <c r="W261" s="30"/>
      <c r="X261" s="31"/>
      <c r="Y261" s="32"/>
      <c r="Z261" s="32"/>
      <c r="AA261" s="32"/>
      <c r="AB261" s="33"/>
      <c r="AC261" s="33"/>
      <c r="AD261" s="23"/>
    </row>
    <row r="262" spans="1:30" ht="15.5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 t="str">
        <f t="shared" ref="M262:M269" ca="1" si="45">IFERROR(OFFSET(M262,-1,,1,1)+0.1,OFFSET(M262,-1,-1,1,1)&amp;".1")</f>
        <v>20.1</v>
      </c>
      <c r="N262" s="20" t="s">
        <v>1081</v>
      </c>
      <c r="O262" s="20"/>
      <c r="P262" s="20"/>
      <c r="Q262" s="134"/>
      <c r="R262" s="127"/>
      <c r="S262" s="157">
        <f t="shared" ref="S262:S269" si="46">CEILING((IF(J262="Yes", 0, IF(H262="-",AA262,AA262+AA262*VLOOKUP(H262,BUFFERS_BY_TYPE,2,FALSE)))) +
   (IF(J262="Yes", 0, IF(H262="-",AA262,AA262+AA262*VLOOKUP(H262,BUFFERS_BY_TYPE,2,FALSE))))*VLOOKUP($S$5, SALES_CALL_SCALE_ARRAY, 2,FALSE),0.25)</f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 t="shared" ref="Y262:Y269" si="47"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3</v>
      </c>
      <c r="Z262" s="22"/>
      <c r="AA262" s="157">
        <f t="shared" ref="AA262:AA269" si="48">Y262+Y262*VLOOKUP(I262,EXTRAS_ARRAY,2,FALSE)</f>
        <v>3</v>
      </c>
      <c r="AB262" s="20"/>
      <c r="AC262" s="34"/>
      <c r="AD262" s="23" t="str">
        <f t="shared" ref="AD262:AD269" si="49"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t="shared" ca="1" si="45"/>
        <v>20.200000000000003</v>
      </c>
      <c r="N263" s="20" t="s">
        <v>1082</v>
      </c>
      <c r="O263" s="20"/>
      <c r="P263" s="20"/>
      <c r="Q263" s="134"/>
      <c r="R263" s="127"/>
      <c r="S263" s="157">
        <f t="shared" si="46"/>
        <v>3</v>
      </c>
      <c r="T263" s="158"/>
      <c r="U263" s="21">
        <v>0</v>
      </c>
      <c r="V263" s="21">
        <v>1</v>
      </c>
      <c r="W263" s="21">
        <v>0</v>
      </c>
      <c r="X263" s="156">
        <v>3</v>
      </c>
      <c r="Y263" s="157">
        <f t="shared" si="47"/>
        <v>3</v>
      </c>
      <c r="Z263" s="22"/>
      <c r="AA263" s="157">
        <f t="shared" si="48"/>
        <v>3</v>
      </c>
      <c r="AB263" s="20"/>
      <c r="AC263" s="34"/>
      <c r="AD263" s="23" t="str">
        <f t="shared" si="49"/>
        <v/>
      </c>
    </row>
    <row r="264" spans="1:30" ht="15.5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t="shared" ca="1" si="45"/>
        <v>20.300000000000004</v>
      </c>
      <c r="N264" s="20" t="s">
        <v>1083</v>
      </c>
      <c r="O264" s="20"/>
      <c r="P264" s="20"/>
      <c r="Q264" s="134"/>
      <c r="R264" s="127"/>
      <c r="S264" s="157">
        <f t="shared" si="46"/>
        <v>3</v>
      </c>
      <c r="T264" s="158"/>
      <c r="U264" s="21">
        <v>0</v>
      </c>
      <c r="V264" s="21">
        <v>1</v>
      </c>
      <c r="W264" s="21">
        <v>0</v>
      </c>
      <c r="X264" s="156">
        <v>3</v>
      </c>
      <c r="Y264" s="157">
        <f t="shared" si="47"/>
        <v>3</v>
      </c>
      <c r="Z264" s="22"/>
      <c r="AA264" s="157">
        <f t="shared" si="48"/>
        <v>3</v>
      </c>
      <c r="AB264" s="20"/>
      <c r="AC264" s="34"/>
      <c r="AD264" s="23" t="str">
        <f t="shared" si="49"/>
        <v/>
      </c>
    </row>
    <row r="265" spans="1:30" ht="15.5" outlineLevel="2" x14ac:dyDescent="0.35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>
        <f t="shared" ca="1" si="45"/>
        <v>20.400000000000006</v>
      </c>
      <c r="N265" s="20" t="s">
        <v>1084</v>
      </c>
      <c r="O265" s="20"/>
      <c r="P265" s="20"/>
      <c r="Q265" s="134"/>
      <c r="R265" s="127"/>
      <c r="S265" s="157">
        <f t="shared" si="46"/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 t="shared" si="47"/>
        <v>3</v>
      </c>
      <c r="Z265" s="22"/>
      <c r="AA265" s="157">
        <f t="shared" si="48"/>
        <v>3</v>
      </c>
      <c r="AB265" s="20"/>
      <c r="AC265" s="34"/>
      <c r="AD265" s="23" t="str">
        <f t="shared" si="49"/>
        <v/>
      </c>
    </row>
    <row r="266" spans="1:30" ht="15.5" outlineLevel="2" x14ac:dyDescent="0.35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t="shared" ca="1" si="45"/>
        <v>20.500000000000007</v>
      </c>
      <c r="N266" s="20" t="s">
        <v>883</v>
      </c>
      <c r="O266" s="20"/>
      <c r="P266" s="20"/>
      <c r="Q266" s="134"/>
      <c r="R266" s="127"/>
      <c r="S266" s="157">
        <f t="shared" si="46"/>
        <v>2</v>
      </c>
      <c r="T266" s="158"/>
      <c r="U266" s="21">
        <v>0</v>
      </c>
      <c r="V266" s="21">
        <v>1</v>
      </c>
      <c r="W266" s="21">
        <v>0</v>
      </c>
      <c r="X266" s="156">
        <v>2</v>
      </c>
      <c r="Y266" s="157">
        <f t="shared" si="47"/>
        <v>2</v>
      </c>
      <c r="Z266" s="22"/>
      <c r="AA266" s="157">
        <f t="shared" si="48"/>
        <v>2</v>
      </c>
      <c r="AB266" s="20"/>
      <c r="AC266" s="34"/>
      <c r="AD266" s="23" t="str">
        <f t="shared" si="49"/>
        <v/>
      </c>
    </row>
    <row r="267" spans="1:30" ht="58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t="shared" ca="1" si="45"/>
        <v>20.600000000000009</v>
      </c>
      <c r="N267" s="20" t="s">
        <v>1254</v>
      </c>
      <c r="O267" s="20"/>
      <c r="P267" s="20"/>
      <c r="Q267" s="134"/>
      <c r="R267" s="127"/>
      <c r="S267" s="157">
        <f t="shared" si="46"/>
        <v>4</v>
      </c>
      <c r="T267" s="158"/>
      <c r="U267" s="21">
        <v>0</v>
      </c>
      <c r="V267" s="21">
        <v>1</v>
      </c>
      <c r="W267" s="21">
        <v>0</v>
      </c>
      <c r="X267" s="156">
        <v>4</v>
      </c>
      <c r="Y267" s="157">
        <f t="shared" si="47"/>
        <v>4</v>
      </c>
      <c r="Z267" s="22"/>
      <c r="AA267" s="157">
        <f t="shared" si="48"/>
        <v>4</v>
      </c>
      <c r="AB267" s="20" t="s">
        <v>1255</v>
      </c>
      <c r="AC267" s="34"/>
      <c r="AD267" s="23" t="str">
        <f t="shared" si="49"/>
        <v/>
      </c>
    </row>
    <row r="268" spans="1:30" ht="58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t="shared" ca="1" si="45"/>
        <v>20.70000000000001</v>
      </c>
      <c r="N268" s="20" t="s">
        <v>1256</v>
      </c>
      <c r="O268" s="20"/>
      <c r="P268" s="20"/>
      <c r="Q268" s="134"/>
      <c r="R268" s="127"/>
      <c r="S268" s="157">
        <f t="shared" si="46"/>
        <v>2</v>
      </c>
      <c r="T268" s="158"/>
      <c r="U268" s="21">
        <v>0</v>
      </c>
      <c r="V268" s="21">
        <v>1</v>
      </c>
      <c r="W268" s="21">
        <v>0</v>
      </c>
      <c r="X268" s="156">
        <v>2</v>
      </c>
      <c r="Y268" s="157">
        <f t="shared" si="47"/>
        <v>2</v>
      </c>
      <c r="Z268" s="22"/>
      <c r="AA268" s="157">
        <f t="shared" si="48"/>
        <v>2</v>
      </c>
      <c r="AB268" s="20" t="s">
        <v>1257</v>
      </c>
      <c r="AC268" s="34"/>
      <c r="AD268" s="23" t="str">
        <f t="shared" si="49"/>
        <v/>
      </c>
    </row>
    <row r="269" spans="1:30" ht="43.5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t="shared" ca="1" si="45"/>
        <v>20.800000000000011</v>
      </c>
      <c r="N269" s="20" t="s">
        <v>1258</v>
      </c>
      <c r="O269" s="20"/>
      <c r="P269" s="20"/>
      <c r="Q269" s="134"/>
      <c r="R269" s="127"/>
      <c r="S269" s="157">
        <f t="shared" si="46"/>
        <v>1.5</v>
      </c>
      <c r="T269" s="158"/>
      <c r="U269" s="21">
        <v>0</v>
      </c>
      <c r="V269" s="21">
        <v>1</v>
      </c>
      <c r="W269" s="21">
        <v>0</v>
      </c>
      <c r="X269" s="156">
        <v>1.5</v>
      </c>
      <c r="Y269" s="157">
        <f t="shared" si="47"/>
        <v>1.5</v>
      </c>
      <c r="Z269" s="22"/>
      <c r="AA269" s="157">
        <f t="shared" si="48"/>
        <v>1.5</v>
      </c>
      <c r="AB269" s="20"/>
      <c r="AC269" s="34"/>
      <c r="AD269" s="23" t="str">
        <f t="shared" si="49"/>
        <v/>
      </c>
    </row>
    <row r="270" spans="1:30" s="9" customFormat="1" ht="7.5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collapsed="1" x14ac:dyDescent="0.35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21</v>
      </c>
      <c r="M271" s="330" t="s">
        <v>1085</v>
      </c>
      <c r="N271" s="301"/>
      <c r="O271" s="5"/>
      <c r="P271" s="30"/>
      <c r="Q271" s="30"/>
      <c r="R271" s="30"/>
      <c r="S271" s="30"/>
      <c r="T271" s="155">
        <f>IF($S$6="Exclude", SUMIFS(S272:S278, J272:J278, "&lt;&gt;Yes", G272:G278, "&lt;&gt;Yes"), SUMIFS(S272:S278, J272:J278, "&lt;&gt;Yes"))</f>
        <v>16</v>
      </c>
      <c r="U271" s="30"/>
      <c r="V271" s="30"/>
      <c r="W271" s="30"/>
      <c r="X271" s="31"/>
      <c r="Y271" s="32"/>
      <c r="Z271" s="32"/>
      <c r="AA271" s="32"/>
      <c r="AB271" s="219" t="s">
        <v>953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5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21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5" hidden="1" outlineLevel="2" x14ac:dyDescent="0.35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21.1</v>
      </c>
      <c r="N273" s="20" t="s">
        <v>1086</v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3</v>
      </c>
      <c r="T273" s="158"/>
      <c r="U273" s="21">
        <v>0</v>
      </c>
      <c r="V273" s="21">
        <v>1</v>
      </c>
      <c r="W273" s="21">
        <v>0</v>
      </c>
      <c r="X273" s="156">
        <v>3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3</v>
      </c>
      <c r="Z273" s="22"/>
      <c r="AA273" s="157">
        <f>Y273+Y273*VLOOKUP(I273,EXTRAS_ARRAY,2,FALSE)</f>
        <v>3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21.200000000000003</v>
      </c>
      <c r="N274" s="20" t="s">
        <v>1087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4</v>
      </c>
      <c r="T274" s="158"/>
      <c r="U274" s="21">
        <v>0</v>
      </c>
      <c r="V274" s="21">
        <v>1</v>
      </c>
      <c r="W274" s="21">
        <v>0</v>
      </c>
      <c r="X274" s="156">
        <v>4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4</v>
      </c>
      <c r="Z274" s="22"/>
      <c r="AA274" s="157">
        <f>Y274+Y274*VLOOKUP(I274,EXTRAS_ARRAY,2,FALSE)</f>
        <v>4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5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21.300000000000004</v>
      </c>
      <c r="N275" s="20" t="s">
        <v>1088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4</v>
      </c>
      <c r="T275" s="158"/>
      <c r="U275" s="21">
        <v>0</v>
      </c>
      <c r="V275" s="21">
        <v>1</v>
      </c>
      <c r="W275" s="21">
        <v>0</v>
      </c>
      <c r="X275" s="156">
        <v>4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4</v>
      </c>
      <c r="Z275" s="22"/>
      <c r="AA275" s="157">
        <f>Y275+Y275*VLOOKUP(I275,EXTRAS_ARRAY,2,FALSE)</f>
        <v>4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21.400000000000006</v>
      </c>
      <c r="N276" s="20" t="s">
        <v>1089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21.500000000000007</v>
      </c>
      <c r="N277" s="20" t="s">
        <v>1090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2.5</v>
      </c>
      <c r="T277" s="158"/>
      <c r="U277" s="21">
        <v>0</v>
      </c>
      <c r="V277" s="21">
        <v>1</v>
      </c>
      <c r="W277" s="21">
        <v>0</v>
      </c>
      <c r="X277" s="156">
        <v>2.5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2.5</v>
      </c>
      <c r="Z277" s="22"/>
      <c r="AA277" s="157">
        <f>Y277+Y277*VLOOKUP(I277,EXTRAS_ARRAY,2,FALSE)</f>
        <v>2.5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s="9" customFormat="1" ht="7.5" hidden="1" customHeight="1" outlineLevel="2" x14ac:dyDescent="0.35">
      <c r="A278" s="86" t="s">
        <v>132</v>
      </c>
      <c r="B278" s="15"/>
      <c r="C278" s="72"/>
      <c r="D278" s="72"/>
      <c r="E278" s="72"/>
      <c r="F278" s="72"/>
      <c r="M278" s="252"/>
      <c r="T278" s="15"/>
      <c r="X278" s="15"/>
      <c r="AB278" s="10"/>
      <c r="AC278" s="10"/>
      <c r="AD278" s="10"/>
    </row>
    <row r="279" spans="1:30" s="14" customFormat="1" ht="15.5" outlineLevel="1" x14ac:dyDescent="0.35">
      <c r="A279" s="86" t="s">
        <v>100</v>
      </c>
      <c r="B279" s="18"/>
      <c r="C279" s="77"/>
      <c r="D279" s="77"/>
      <c r="E279" s="77"/>
      <c r="F279" s="76"/>
      <c r="G279" s="29"/>
      <c r="H279" s="29"/>
      <c r="I279" s="29"/>
      <c r="J279" s="29"/>
      <c r="K279" s="29"/>
      <c r="L279" s="17">
        <f ca="1">LOOKUP(1000,INDIRECT("L1:"&amp;CELL("address",INDIRECT("R[-1]C",FALSE))))+1</f>
        <v>22</v>
      </c>
      <c r="M279" s="330" t="s">
        <v>1091</v>
      </c>
      <c r="N279" s="301"/>
      <c r="O279" s="5"/>
      <c r="P279" s="30"/>
      <c r="Q279" s="30"/>
      <c r="R279" s="30"/>
      <c r="S279" s="30"/>
      <c r="T279" s="155">
        <f>IF($S$6="Exclude", SUMIFS(S280:S289, J280:J289, "&lt;&gt;Yes", G280:G289, "&lt;&gt;Yes"), SUMIFS(S280:S289, J280:J289, "&lt;&gt;Yes"))</f>
        <v>27</v>
      </c>
      <c r="U279" s="30"/>
      <c r="V279" s="30"/>
      <c r="W279" s="30"/>
      <c r="X279" s="31"/>
      <c r="Y279" s="32"/>
      <c r="Z279" s="32"/>
      <c r="AA279" s="32"/>
      <c r="AB279" s="219" t="s">
        <v>954</v>
      </c>
      <c r="AC279" s="33"/>
      <c r="AD279" s="23" t="str">
        <f>IF(M279="", "Error: Task name cannot be empty.", "")</f>
        <v/>
      </c>
    </row>
    <row r="280" spans="1:30" s="12" customFormat="1" ht="1.5" customHeight="1" outlineLevel="2" x14ac:dyDescent="0.35">
      <c r="A280" s="86" t="s">
        <v>101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63">
        <f ca="1">L279</f>
        <v>22</v>
      </c>
      <c r="M280" s="164" t="s">
        <v>105</v>
      </c>
      <c r="N280" s="161"/>
      <c r="O280" s="162"/>
      <c r="P280" s="30"/>
      <c r="Q280" s="30"/>
      <c r="R280" s="30"/>
      <c r="S280" s="30"/>
      <c r="T280" s="155"/>
      <c r="U280" s="30"/>
      <c r="V280" s="30"/>
      <c r="W280" s="30"/>
      <c r="X280" s="31"/>
      <c r="Y280" s="32"/>
      <c r="Z280" s="32"/>
      <c r="AA280" s="32"/>
      <c r="AB280" s="33"/>
      <c r="AC280" s="33"/>
      <c r="AD280" s="23"/>
    </row>
    <row r="281" spans="1:30" ht="29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 t="str">
        <f t="shared" ref="M281:M288" ca="1" si="50">IFERROR(OFFSET(M281,-1,,1,1)+0.1,OFFSET(M281,-1,-1,1,1)&amp;".1")</f>
        <v>22.1</v>
      </c>
      <c r="N281" s="20" t="s">
        <v>1092</v>
      </c>
      <c r="O281" s="20"/>
      <c r="P281" s="20"/>
      <c r="Q281" s="134"/>
      <c r="R281" s="127"/>
      <c r="S281" s="157">
        <f t="shared" ref="S281:S288" si="51">CEILING((IF(J281="Yes", 0, IF(H281="-",AA281,AA281+AA281*VLOOKUP(H281,BUFFERS_BY_TYPE,2,FALSE)))) +
   (IF(J281="Yes", 0, IF(H281="-",AA281,AA281+AA281*VLOOKUP(H281,BUFFERS_BY_TYPE,2,FALSE))))*VLOOKUP($S$5, SALES_CALL_SCALE_ARRAY, 2,FALSE),0.25)</f>
        <v>4.5</v>
      </c>
      <c r="T281" s="158"/>
      <c r="U281" s="21">
        <v>0</v>
      </c>
      <c r="V281" s="21">
        <v>1</v>
      </c>
      <c r="W281" s="21">
        <v>0</v>
      </c>
      <c r="X281" s="156">
        <v>4.5</v>
      </c>
      <c r="Y281" s="157">
        <f t="shared" ref="Y281:Y288" si="52"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4.5</v>
      </c>
      <c r="Z281" s="22"/>
      <c r="AA281" s="157">
        <f t="shared" ref="AA281:AA288" si="53">Y281+Y281*VLOOKUP(I281,EXTRAS_ARRAY,2,FALSE)</f>
        <v>4.5</v>
      </c>
      <c r="AB281" s="20"/>
      <c r="AC281" s="34"/>
      <c r="AD281" s="23" t="str">
        <f t="shared" ref="AD281:AD288" si="54"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15.5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t="shared" ca="1" si="50"/>
        <v>22.200000000000003</v>
      </c>
      <c r="N282" s="20" t="s">
        <v>1093</v>
      </c>
      <c r="O282" s="20"/>
      <c r="P282" s="20"/>
      <c r="Q282" s="134"/>
      <c r="R282" s="127"/>
      <c r="S282" s="157">
        <f t="shared" si="51"/>
        <v>4.5</v>
      </c>
      <c r="T282" s="158"/>
      <c r="U282" s="21">
        <v>0</v>
      </c>
      <c r="V282" s="21">
        <v>1</v>
      </c>
      <c r="W282" s="21">
        <v>0</v>
      </c>
      <c r="X282" s="156">
        <v>4.5</v>
      </c>
      <c r="Y282" s="157">
        <f t="shared" si="52"/>
        <v>4.5</v>
      </c>
      <c r="Z282" s="22"/>
      <c r="AA282" s="157">
        <f t="shared" si="53"/>
        <v>4.5</v>
      </c>
      <c r="AB282" s="20"/>
      <c r="AC282" s="34"/>
      <c r="AD282" s="23" t="str">
        <f t="shared" si="54"/>
        <v/>
      </c>
    </row>
    <row r="283" spans="1:30" ht="15.5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t="shared" ca="1" si="50"/>
        <v>22.300000000000004</v>
      </c>
      <c r="N283" s="20" t="s">
        <v>1094</v>
      </c>
      <c r="O283" s="20"/>
      <c r="P283" s="20"/>
      <c r="Q283" s="134"/>
      <c r="R283" s="127"/>
      <c r="S283" s="157">
        <f t="shared" si="51"/>
        <v>4</v>
      </c>
      <c r="T283" s="158"/>
      <c r="U283" s="21">
        <v>0</v>
      </c>
      <c r="V283" s="21">
        <v>1</v>
      </c>
      <c r="W283" s="21">
        <v>0</v>
      </c>
      <c r="X283" s="156">
        <v>4</v>
      </c>
      <c r="Y283" s="157">
        <f t="shared" si="52"/>
        <v>4</v>
      </c>
      <c r="Z283" s="22"/>
      <c r="AA283" s="157">
        <f t="shared" si="53"/>
        <v>4</v>
      </c>
      <c r="AB283" s="20"/>
      <c r="AC283" s="34"/>
      <c r="AD283" s="23" t="str">
        <f t="shared" si="54"/>
        <v/>
      </c>
    </row>
    <row r="284" spans="1:30" ht="15.5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t="shared" ca="1" si="50"/>
        <v>22.400000000000006</v>
      </c>
      <c r="N284" s="20" t="s">
        <v>1095</v>
      </c>
      <c r="O284" s="20"/>
      <c r="P284" s="20"/>
      <c r="Q284" s="134"/>
      <c r="R284" s="127"/>
      <c r="S284" s="157">
        <f t="shared" si="51"/>
        <v>3</v>
      </c>
      <c r="T284" s="158"/>
      <c r="U284" s="21">
        <v>0</v>
      </c>
      <c r="V284" s="21">
        <v>1</v>
      </c>
      <c r="W284" s="21">
        <v>0</v>
      </c>
      <c r="X284" s="156">
        <v>3</v>
      </c>
      <c r="Y284" s="157">
        <f t="shared" si="52"/>
        <v>3</v>
      </c>
      <c r="Z284" s="22"/>
      <c r="AA284" s="157">
        <f t="shared" si="53"/>
        <v>3</v>
      </c>
      <c r="AB284" s="20"/>
      <c r="AC284" s="34"/>
      <c r="AD284" s="23" t="str">
        <f t="shared" si="54"/>
        <v/>
      </c>
    </row>
    <row r="285" spans="1:30" ht="15.5" outlineLevel="2" x14ac:dyDescent="0.35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t="shared" ca="1" si="50"/>
        <v>22.500000000000007</v>
      </c>
      <c r="N285" s="20" t="s">
        <v>1096</v>
      </c>
      <c r="O285" s="20"/>
      <c r="P285" s="20"/>
      <c r="Q285" s="134"/>
      <c r="R285" s="127"/>
      <c r="S285" s="157">
        <f t="shared" si="51"/>
        <v>2</v>
      </c>
      <c r="T285" s="158"/>
      <c r="U285" s="21">
        <v>0</v>
      </c>
      <c r="V285" s="21">
        <v>1</v>
      </c>
      <c r="W285" s="21">
        <v>0</v>
      </c>
      <c r="X285" s="156">
        <v>2</v>
      </c>
      <c r="Y285" s="157">
        <f t="shared" si="52"/>
        <v>2</v>
      </c>
      <c r="Z285" s="22"/>
      <c r="AA285" s="157">
        <f t="shared" si="53"/>
        <v>2</v>
      </c>
      <c r="AB285" s="20"/>
      <c r="AC285" s="34"/>
      <c r="AD285" s="23" t="str">
        <f t="shared" si="54"/>
        <v/>
      </c>
    </row>
    <row r="286" spans="1:30" ht="43.5" outlineLevel="2" x14ac:dyDescent="0.35">
      <c r="A286" s="86" t="s">
        <v>0</v>
      </c>
      <c r="B286" s="18"/>
      <c r="C286" s="78"/>
      <c r="D286" s="78"/>
      <c r="E286" s="78"/>
      <c r="F286" s="79"/>
      <c r="G286" s="19" t="s">
        <v>23</v>
      </c>
      <c r="H286" s="19" t="s">
        <v>23</v>
      </c>
      <c r="I286" s="20" t="s">
        <v>23</v>
      </c>
      <c r="J286" s="19" t="s">
        <v>23</v>
      </c>
      <c r="K286" s="35"/>
      <c r="L286" s="19"/>
      <c r="M286" s="263">
        <f t="shared" ca="1" si="50"/>
        <v>22.600000000000009</v>
      </c>
      <c r="N286" s="20" t="s">
        <v>1259</v>
      </c>
      <c r="O286" s="20"/>
      <c r="P286" s="20"/>
      <c r="Q286" s="134"/>
      <c r="R286" s="127"/>
      <c r="S286" s="157">
        <f t="shared" si="51"/>
        <v>3.5</v>
      </c>
      <c r="T286" s="158"/>
      <c r="U286" s="21">
        <v>0</v>
      </c>
      <c r="V286" s="21">
        <v>1</v>
      </c>
      <c r="W286" s="21">
        <v>0</v>
      </c>
      <c r="X286" s="156">
        <v>3.5</v>
      </c>
      <c r="Y286" s="157">
        <f t="shared" si="52"/>
        <v>3.5</v>
      </c>
      <c r="Z286" s="22"/>
      <c r="AA286" s="157">
        <f t="shared" si="53"/>
        <v>3.5</v>
      </c>
      <c r="AB286" s="20" t="s">
        <v>1260</v>
      </c>
      <c r="AC286" s="34"/>
      <c r="AD286" s="23" t="str">
        <f t="shared" si="54"/>
        <v/>
      </c>
    </row>
    <row r="287" spans="1:30" ht="72.5" outlineLevel="2" x14ac:dyDescent="0.35">
      <c r="A287" s="86" t="s">
        <v>0</v>
      </c>
      <c r="B287" s="18"/>
      <c r="C287" s="78"/>
      <c r="D287" s="78"/>
      <c r="E287" s="78"/>
      <c r="F287" s="79"/>
      <c r="G287" s="19" t="s">
        <v>23</v>
      </c>
      <c r="H287" s="19" t="s">
        <v>23</v>
      </c>
      <c r="I287" s="20" t="s">
        <v>23</v>
      </c>
      <c r="J287" s="19" t="s">
        <v>23</v>
      </c>
      <c r="K287" s="35"/>
      <c r="L287" s="19"/>
      <c r="M287" s="263">
        <f t="shared" ca="1" si="50"/>
        <v>22.70000000000001</v>
      </c>
      <c r="N287" s="20" t="s">
        <v>1261</v>
      </c>
      <c r="O287" s="20"/>
      <c r="P287" s="20"/>
      <c r="Q287" s="134"/>
      <c r="R287" s="127"/>
      <c r="S287" s="157">
        <f t="shared" si="51"/>
        <v>4</v>
      </c>
      <c r="T287" s="158"/>
      <c r="U287" s="21">
        <v>0</v>
      </c>
      <c r="V287" s="21">
        <v>1</v>
      </c>
      <c r="W287" s="21">
        <v>0</v>
      </c>
      <c r="X287" s="156">
        <v>4</v>
      </c>
      <c r="Y287" s="157">
        <f t="shared" si="52"/>
        <v>4</v>
      </c>
      <c r="Z287" s="22"/>
      <c r="AA287" s="157">
        <f t="shared" si="53"/>
        <v>4</v>
      </c>
      <c r="AB287" s="20"/>
      <c r="AC287" s="34"/>
      <c r="AD287" s="23" t="str">
        <f t="shared" si="54"/>
        <v/>
      </c>
    </row>
    <row r="288" spans="1:30" ht="58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>
        <f t="shared" ca="1" si="50"/>
        <v>22.800000000000011</v>
      </c>
      <c r="N288" s="20" t="s">
        <v>1262</v>
      </c>
      <c r="O288" s="20"/>
      <c r="P288" s="20"/>
      <c r="Q288" s="134"/>
      <c r="R288" s="127"/>
      <c r="S288" s="157">
        <f t="shared" si="51"/>
        <v>1.5</v>
      </c>
      <c r="T288" s="158"/>
      <c r="U288" s="21">
        <v>0</v>
      </c>
      <c r="V288" s="21">
        <v>1</v>
      </c>
      <c r="W288" s="21">
        <v>0</v>
      </c>
      <c r="X288" s="156">
        <v>1.5</v>
      </c>
      <c r="Y288" s="157">
        <f t="shared" si="52"/>
        <v>1.5</v>
      </c>
      <c r="Z288" s="22"/>
      <c r="AA288" s="157">
        <f t="shared" si="53"/>
        <v>1.5</v>
      </c>
      <c r="AB288" s="20"/>
      <c r="AC288" s="34"/>
      <c r="AD288" s="23" t="str">
        <f t="shared" si="54"/>
        <v/>
      </c>
    </row>
    <row r="289" spans="1:30" s="9" customFormat="1" ht="7.5" customHeight="1" outlineLevel="2" x14ac:dyDescent="0.35">
      <c r="A289" s="86" t="s">
        <v>132</v>
      </c>
      <c r="B289" s="15"/>
      <c r="C289" s="72"/>
      <c r="D289" s="72"/>
      <c r="E289" s="72"/>
      <c r="F289" s="72"/>
      <c r="M289" s="252"/>
      <c r="T289" s="15"/>
      <c r="X289" s="15"/>
      <c r="AB289" s="10"/>
      <c r="AC289" s="10"/>
      <c r="AD289" s="10"/>
    </row>
    <row r="290" spans="1:30" s="14" customFormat="1" ht="15.5" outlineLevel="1" x14ac:dyDescent="0.35">
      <c r="A290" s="86" t="s">
        <v>100</v>
      </c>
      <c r="B290" s="18"/>
      <c r="C290" s="77"/>
      <c r="D290" s="77"/>
      <c r="E290" s="77"/>
      <c r="F290" s="76"/>
      <c r="G290" s="29"/>
      <c r="H290" s="29"/>
      <c r="I290" s="29"/>
      <c r="J290" s="29"/>
      <c r="K290" s="29"/>
      <c r="L290" s="17">
        <f ca="1">LOOKUP(1000,INDIRECT("L1:"&amp;CELL("address",INDIRECT("R[-1]C",FALSE))))+1</f>
        <v>23</v>
      </c>
      <c r="M290" s="330" t="s">
        <v>1097</v>
      </c>
      <c r="N290" s="301"/>
      <c r="O290" s="5"/>
      <c r="P290" s="30"/>
      <c r="Q290" s="30"/>
      <c r="R290" s="30"/>
      <c r="S290" s="30"/>
      <c r="T290" s="155">
        <f>IF($S$6="Exclude", SUMIFS(S291:S301, J291:J301, "&lt;&gt;Yes", G291:G301, "&lt;&gt;Yes"), SUMIFS(S291:S301, J291:J301, "&lt;&gt;Yes"))</f>
        <v>27.5</v>
      </c>
      <c r="U290" s="30"/>
      <c r="V290" s="30"/>
      <c r="W290" s="30"/>
      <c r="X290" s="31"/>
      <c r="Y290" s="32"/>
      <c r="Z290" s="32"/>
      <c r="AA290" s="32"/>
      <c r="AB290" s="219" t="s">
        <v>955</v>
      </c>
      <c r="AC290" s="33"/>
      <c r="AD290" s="23" t="str">
        <f>IF(M290="", "Error: Task name cannot be empty.", "")</f>
        <v/>
      </c>
    </row>
    <row r="291" spans="1:30" s="12" customFormat="1" ht="1.5" customHeight="1" outlineLevel="2" x14ac:dyDescent="0.35">
      <c r="A291" s="86" t="s">
        <v>101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63">
        <f ca="1">L290</f>
        <v>23</v>
      </c>
      <c r="M291" s="164" t="s">
        <v>105</v>
      </c>
      <c r="N291" s="161"/>
      <c r="O291" s="162"/>
      <c r="P291" s="30"/>
      <c r="Q291" s="30"/>
      <c r="R291" s="30"/>
      <c r="S291" s="30"/>
      <c r="T291" s="155"/>
      <c r="U291" s="30"/>
      <c r="V291" s="30"/>
      <c r="W291" s="30"/>
      <c r="X291" s="31"/>
      <c r="Y291" s="32"/>
      <c r="Z291" s="32"/>
      <c r="AA291" s="32"/>
      <c r="AB291" s="33"/>
      <c r="AC291" s="33"/>
      <c r="AD291" s="23"/>
    </row>
    <row r="292" spans="1:30" ht="29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 t="str">
        <f t="shared" ref="M292:M300" ca="1" si="55">IFERROR(OFFSET(M292,-1,,1,1)+0.1,OFFSET(M292,-1,-1,1,1)&amp;".1")</f>
        <v>23.1</v>
      </c>
      <c r="N292" s="20" t="s">
        <v>1098</v>
      </c>
      <c r="O292" s="20"/>
      <c r="P292" s="20"/>
      <c r="Q292" s="134"/>
      <c r="R292" s="127"/>
      <c r="S292" s="157">
        <f t="shared" ref="S292:S300" si="56">CEILING((IF(J292="Yes", 0, IF(H292="-",AA292,AA292+AA292*VLOOKUP(H292,BUFFERS_BY_TYPE,2,FALSE)))) +
   (IF(J292="Yes", 0, IF(H292="-",AA292,AA292+AA292*VLOOKUP(H292,BUFFERS_BY_TYPE,2,FALSE))))*VLOOKUP($S$5, SALES_CALL_SCALE_ARRAY, 2,FALSE),0.25)</f>
        <v>4.5</v>
      </c>
      <c r="T292" s="158"/>
      <c r="U292" s="21">
        <v>0</v>
      </c>
      <c r="V292" s="21">
        <v>1</v>
      </c>
      <c r="W292" s="21">
        <v>0</v>
      </c>
      <c r="X292" s="156">
        <v>4.5</v>
      </c>
      <c r="Y292" s="157">
        <f t="shared" ref="Y292:Y300" si="57">CEILING((IF(P292=AS_DEV_EFFORT, DEV_EFFORT*Q292%,
                           IF(P292=AS_DURATION_EFFORT, (MANUAL_DURATION*5)*Q292%,
                                    (IF(Q292&lt;=1,X292,
                                          IF(SUM(U292:W292)=0,(Q292*X292),
                                               (((Q292*U292)*(X292+(X292*EXTRA_FOR_H)))+
                                               ((Q292*V292)*X292)+
                                               ((Q292*W292)*(X292-(X292*LESS_FOR_L)))
                                    )*IF(R292=0,1,R292))))))+Z292), 0.25)</f>
        <v>4.5</v>
      </c>
      <c r="Z292" s="22"/>
      <c r="AA292" s="157">
        <f t="shared" ref="AA292:AA300" si="58">Y292+Y292*VLOOKUP(I292,EXTRAS_ARRAY,2,FALSE)</f>
        <v>4.5</v>
      </c>
      <c r="AB292" s="20"/>
      <c r="AC292" s="34"/>
      <c r="AD292" s="23" t="str">
        <f t="shared" ref="AD292:AD300" si="59">IF(J292&lt;&gt;"Yes",
IF(S292&lt;=0,"Error: Effort value is not defined or is invalid.",
IF(AND(SUM(U292:W292)&gt;0,SUM(U292:W292)&lt;&gt;1),"Error: Complexity % distribution should sum to 100%.",
IF(AND(P292=AS_DEV_EFFORT,X292&lt;&gt;0),"Error: PDs should not be defined when defining as dev effort %.",
IF(AND(P292=AS_DURATION_EFFORT,X292&lt;&gt;0),"Error: PDs should not be defined when defining as duration effort %.","")))))</f>
        <v/>
      </c>
    </row>
    <row r="293" spans="1:30" ht="15.5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t="shared" ca="1" si="55"/>
        <v>23.200000000000003</v>
      </c>
      <c r="N293" s="20" t="s">
        <v>1099</v>
      </c>
      <c r="O293" s="20"/>
      <c r="P293" s="20"/>
      <c r="Q293" s="134"/>
      <c r="R293" s="127"/>
      <c r="S293" s="157">
        <f t="shared" si="56"/>
        <v>4.5</v>
      </c>
      <c r="T293" s="158"/>
      <c r="U293" s="21">
        <v>0</v>
      </c>
      <c r="V293" s="21">
        <v>1</v>
      </c>
      <c r="W293" s="21">
        <v>0</v>
      </c>
      <c r="X293" s="156">
        <v>4.5</v>
      </c>
      <c r="Y293" s="157">
        <f t="shared" si="57"/>
        <v>4.5</v>
      </c>
      <c r="Z293" s="22"/>
      <c r="AA293" s="157">
        <f t="shared" si="58"/>
        <v>4.5</v>
      </c>
      <c r="AB293" s="20"/>
      <c r="AC293" s="34"/>
      <c r="AD293" s="23" t="str">
        <f t="shared" si="59"/>
        <v/>
      </c>
    </row>
    <row r="294" spans="1:30" ht="15.5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t="shared" ca="1" si="55"/>
        <v>23.300000000000004</v>
      </c>
      <c r="N294" s="20" t="s">
        <v>1100</v>
      </c>
      <c r="O294" s="20"/>
      <c r="P294" s="20"/>
      <c r="Q294" s="134"/>
      <c r="R294" s="127"/>
      <c r="S294" s="157">
        <f t="shared" si="56"/>
        <v>3</v>
      </c>
      <c r="T294" s="158"/>
      <c r="U294" s="21">
        <v>0</v>
      </c>
      <c r="V294" s="21">
        <v>1</v>
      </c>
      <c r="W294" s="21">
        <v>0</v>
      </c>
      <c r="X294" s="156">
        <v>3</v>
      </c>
      <c r="Y294" s="157">
        <f t="shared" si="57"/>
        <v>3</v>
      </c>
      <c r="Z294" s="22"/>
      <c r="AA294" s="157">
        <f t="shared" si="58"/>
        <v>3</v>
      </c>
      <c r="AB294" s="20"/>
      <c r="AC294" s="34"/>
      <c r="AD294" s="23" t="str">
        <f t="shared" si="59"/>
        <v/>
      </c>
    </row>
    <row r="295" spans="1:30" ht="15.5" outlineLevel="2" x14ac:dyDescent="0.35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>
        <f t="shared" ca="1" si="55"/>
        <v>23.400000000000006</v>
      </c>
      <c r="N295" s="20" t="s">
        <v>1101</v>
      </c>
      <c r="O295" s="20"/>
      <c r="P295" s="20"/>
      <c r="Q295" s="134"/>
      <c r="R295" s="127"/>
      <c r="S295" s="157">
        <f t="shared" si="56"/>
        <v>4</v>
      </c>
      <c r="T295" s="158"/>
      <c r="U295" s="21">
        <v>0</v>
      </c>
      <c r="V295" s="21">
        <v>1</v>
      </c>
      <c r="W295" s="21">
        <v>0</v>
      </c>
      <c r="X295" s="156">
        <v>4</v>
      </c>
      <c r="Y295" s="157">
        <f t="shared" si="57"/>
        <v>4</v>
      </c>
      <c r="Z295" s="22"/>
      <c r="AA295" s="157">
        <f t="shared" si="58"/>
        <v>4</v>
      </c>
      <c r="AB295" s="20"/>
      <c r="AC295" s="34"/>
      <c r="AD295" s="23" t="str">
        <f t="shared" si="59"/>
        <v/>
      </c>
    </row>
    <row r="296" spans="1:30" ht="15.5" outlineLevel="2" x14ac:dyDescent="0.35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55"/>
        <v>23.500000000000007</v>
      </c>
      <c r="N296" s="20" t="s">
        <v>1102</v>
      </c>
      <c r="O296" s="20"/>
      <c r="P296" s="20"/>
      <c r="Q296" s="134"/>
      <c r="R296" s="127"/>
      <c r="S296" s="157">
        <f t="shared" si="56"/>
        <v>2</v>
      </c>
      <c r="T296" s="158"/>
      <c r="U296" s="21">
        <v>0</v>
      </c>
      <c r="V296" s="21">
        <v>1</v>
      </c>
      <c r="W296" s="21">
        <v>0</v>
      </c>
      <c r="X296" s="156">
        <v>2</v>
      </c>
      <c r="Y296" s="157">
        <f t="shared" si="57"/>
        <v>2</v>
      </c>
      <c r="Z296" s="22"/>
      <c r="AA296" s="157">
        <f t="shared" si="58"/>
        <v>2</v>
      </c>
      <c r="AB296" s="20"/>
      <c r="AC296" s="34"/>
      <c r="AD296" s="23" t="str">
        <f t="shared" si="59"/>
        <v/>
      </c>
    </row>
    <row r="297" spans="1:30" ht="72.5" outlineLevel="2" x14ac:dyDescent="0.35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ca="1">IFERROR(OFFSET(M297,-1,,1,1)+0.1,OFFSET(M297,-1,-1,1,1)&amp;".1")</f>
        <v>23.600000000000009</v>
      </c>
      <c r="N297" s="20" t="s">
        <v>1263</v>
      </c>
      <c r="O297" s="20"/>
      <c r="P297" s="20"/>
      <c r="Q297" s="134"/>
      <c r="R297" s="127"/>
      <c r="S297" s="157">
        <f>CEILING((IF(J297="Yes", 0, IF(H297="-",AA297,AA297+AA297*VLOOKUP(H297,BUFFERS_BY_TYPE,2,FALSE)))) +
   (IF(J297="Yes", 0, IF(H297="-",AA297,AA297+AA297*VLOOKUP(H297,BUFFERS_BY_TYPE,2,FALSE))))*VLOOKUP($S$5, SALES_CALL_SCALE_ARRAY, 2,FALSE),0.25)</f>
        <v>3</v>
      </c>
      <c r="T297" s="158"/>
      <c r="U297" s="21">
        <v>0</v>
      </c>
      <c r="V297" s="21">
        <v>1</v>
      </c>
      <c r="W297" s="21">
        <v>0</v>
      </c>
      <c r="X297" s="156">
        <v>3</v>
      </c>
      <c r="Y297" s="157">
        <f>CEILING((IF(P297=AS_DEV_EFFORT, DEV_EFFORT*Q297%,
                           IF(P297=AS_DURATION_EFFORT, (MANUAL_DURATION*5)*Q297%,
                                    (IF(Q297&lt;=1,X297,
                                          IF(SUM(U297:W297)=0,(Q297*X297),
                                               (((Q297*U297)*(X297+(X297*EXTRA_FOR_H)))+
                                               ((Q297*V297)*X297)+
                                               ((Q297*W297)*(X297-(X297*LESS_FOR_L)))
                                    )*IF(R297=0,1,R297))))))+Z297), 0.25)</f>
        <v>3</v>
      </c>
      <c r="Z297" s="22"/>
      <c r="AA297" s="157">
        <f>Y297+Y297*VLOOKUP(I297,EXTRAS_ARRAY,2,FALSE)</f>
        <v>3</v>
      </c>
      <c r="AB297" s="20" t="s">
        <v>1264</v>
      </c>
      <c r="AC297" s="34"/>
      <c r="AD297" s="23" t="str">
        <f>IF(J297&lt;&gt;"Yes",
IF(S297&lt;=0,"Error: Effort value is not defined or is invalid.",
IF(AND(SUM(U297:W297)&gt;0,SUM(U297:W297)&lt;&gt;1),"Error: Complexity % distribution should sum to 100%.",
IF(AND(P297=AS_DEV_EFFORT,X297&lt;&gt;0),"Error: PDs should not be defined when defining as dev effort %.",
IF(AND(P297=AS_DURATION_EFFORT,X297&lt;&gt;0),"Error: PDs should not be defined when defining as duration effort %.","")))))</f>
        <v/>
      </c>
    </row>
    <row r="298" spans="1:30" ht="72.5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ca="1">IFERROR(OFFSET(M298,-1,,1,1)+0.1,OFFSET(M298,-1,-1,1,1)&amp;".1")</f>
        <v>23.70000000000001</v>
      </c>
      <c r="N298" s="20" t="s">
        <v>1265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3</v>
      </c>
      <c r="T298" s="158"/>
      <c r="U298" s="21">
        <v>0</v>
      </c>
      <c r="V298" s="21">
        <v>1</v>
      </c>
      <c r="W298" s="21">
        <v>0</v>
      </c>
      <c r="X298" s="156">
        <v>3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3</v>
      </c>
      <c r="Z298" s="22"/>
      <c r="AA298" s="157">
        <f>Y298+Y298*VLOOKUP(I298,EXTRAS_ARRAY,2,FALSE)</f>
        <v>3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43.5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23.800000000000011</v>
      </c>
      <c r="N299" s="20" t="s">
        <v>1266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2</v>
      </c>
      <c r="T299" s="158"/>
      <c r="U299" s="21">
        <v>0</v>
      </c>
      <c r="V299" s="21">
        <v>1</v>
      </c>
      <c r="W299" s="21">
        <v>0</v>
      </c>
      <c r="X299" s="156">
        <v>2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2</v>
      </c>
      <c r="Z299" s="22"/>
      <c r="AA299" s="157">
        <f>Y299+Y299*VLOOKUP(I299,EXTRAS_ARRAY,2,FALSE)</f>
        <v>2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ht="43.5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55"/>
        <v>23.900000000000013</v>
      </c>
      <c r="N300" s="20" t="s">
        <v>1267</v>
      </c>
      <c r="O300" s="20"/>
      <c r="P300" s="20"/>
      <c r="Q300" s="134"/>
      <c r="R300" s="127"/>
      <c r="S300" s="157">
        <f t="shared" si="56"/>
        <v>1.5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57"/>
        <v>1.5</v>
      </c>
      <c r="Z300" s="22"/>
      <c r="AA300" s="157">
        <f t="shared" si="58"/>
        <v>1.5</v>
      </c>
      <c r="AB300" s="20"/>
      <c r="AC300" s="34"/>
      <c r="AD300" s="23" t="str">
        <f t="shared" si="59"/>
        <v/>
      </c>
    </row>
    <row r="301" spans="1:30" s="9" customFormat="1" ht="7.5" customHeight="1" outlineLevel="2" x14ac:dyDescent="0.35">
      <c r="A301" s="86" t="s">
        <v>132</v>
      </c>
      <c r="B301" s="15"/>
      <c r="C301" s="72"/>
      <c r="D301" s="72"/>
      <c r="E301" s="72"/>
      <c r="F301" s="72"/>
      <c r="M301" s="252"/>
      <c r="T301" s="15"/>
      <c r="X301" s="15"/>
      <c r="AB301" s="10"/>
      <c r="AC301" s="10"/>
      <c r="AD301" s="10"/>
    </row>
    <row r="302" spans="1:30" s="14" customFormat="1" ht="15.5" outlineLevel="1" x14ac:dyDescent="0.35">
      <c r="A302" s="86" t="s">
        <v>107</v>
      </c>
      <c r="B302" s="18"/>
      <c r="C302" s="77"/>
      <c r="D302" s="77"/>
      <c r="E302" s="77"/>
      <c r="F302" s="76"/>
      <c r="G302" s="170"/>
      <c r="H302" s="170"/>
      <c r="I302" s="170"/>
      <c r="J302" s="170"/>
      <c r="K302" s="170"/>
      <c r="L302" s="85" t="s">
        <v>109</v>
      </c>
      <c r="M302" s="300" t="s">
        <v>1103</v>
      </c>
      <c r="N302" s="300"/>
      <c r="O302" s="80"/>
      <c r="P302" s="81"/>
      <c r="Q302" s="81"/>
      <c r="R302" s="81"/>
      <c r="S302" s="291">
        <f>SUMGROUP(ROW(), "T")</f>
        <v>23.5</v>
      </c>
      <c r="T302" s="291"/>
      <c r="U302" s="292"/>
      <c r="V302" s="292"/>
      <c r="W302" s="292"/>
      <c r="X302" s="82"/>
      <c r="Y302" s="83"/>
      <c r="Z302" s="83"/>
      <c r="AA302" s="83"/>
      <c r="AB302" s="221"/>
      <c r="AC302" s="84"/>
      <c r="AD302" s="23" t="str">
        <f>IF(M302="", "Error: Module name cannot be empty.", "")</f>
        <v/>
      </c>
    </row>
    <row r="303" spans="1:30" s="14" customFormat="1" ht="15.5" outlineLevel="1" collapsed="1" x14ac:dyDescent="0.35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24</v>
      </c>
      <c r="M303" s="330" t="s">
        <v>1104</v>
      </c>
      <c r="N303" s="301"/>
      <c r="O303" s="5"/>
      <c r="P303" s="30"/>
      <c r="Q303" s="30"/>
      <c r="R303" s="30"/>
      <c r="S303" s="30"/>
      <c r="T303" s="155">
        <f>IF($S$6="Exclude", SUMIFS(S304:S310, J304:J310, "&lt;&gt;Yes", G304:G310, "&lt;&gt;Yes"), SUMIFS(S304:S310, J304:J310, "&lt;&gt;Yes"))</f>
        <v>14</v>
      </c>
      <c r="U303" s="30"/>
      <c r="V303" s="30"/>
      <c r="W303" s="30"/>
      <c r="X303" s="31"/>
      <c r="Y303" s="32"/>
      <c r="Z303" s="32"/>
      <c r="AA303" s="32"/>
      <c r="AB303" s="219" t="s">
        <v>1105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5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24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ca="1">IFERROR(OFFSET(M305,-1,,1,1)+0.1,OFFSET(M305,-1,-1,1,1)&amp;".1")</f>
        <v>24.1</v>
      </c>
      <c r="N305" s="20" t="s">
        <v>1106</v>
      </c>
      <c r="O305" s="20"/>
      <c r="P305" s="20"/>
      <c r="Q305" s="134"/>
      <c r="R305" s="127"/>
      <c r="S305" s="157">
        <f>CEILING((IF(J305="Yes", 0, IF(H305="-",AA305,AA305+AA305*VLOOKUP(H305,BUFFERS_BY_TYPE,2,FALSE)))) +
   (IF(J305="Yes", 0, IF(H305="-",AA305,AA305+AA305*VLOOKUP(H305,BUFFERS_BY_TYPE,2,FALSE))))*VLOOKUP($S$5, SALES_CALL_SCALE_ARRAY, 2,FALSE),0.25)</f>
        <v>3.5</v>
      </c>
      <c r="T305" s="158"/>
      <c r="U305" s="21">
        <v>0</v>
      </c>
      <c r="V305" s="21">
        <v>1</v>
      </c>
      <c r="W305" s="21">
        <v>0</v>
      </c>
      <c r="X305" s="156">
        <v>3.5</v>
      </c>
      <c r="Y305" s="157">
        <f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3.5</v>
      </c>
      <c r="Z305" s="22"/>
      <c r="AA305" s="157">
        <f>Y305+Y305*VLOOKUP(I305,EXTRAS_ARRAY,2,FALSE)</f>
        <v>3.5</v>
      </c>
      <c r="AB305" s="20"/>
      <c r="AC305" s="34"/>
      <c r="AD305" s="23" t="str">
        <f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24.200000000000003</v>
      </c>
      <c r="N306" s="20" t="s">
        <v>1107</v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3.5</v>
      </c>
      <c r="T306" s="158"/>
      <c r="U306" s="21">
        <v>0</v>
      </c>
      <c r="V306" s="21">
        <v>1</v>
      </c>
      <c r="W306" s="21">
        <v>0</v>
      </c>
      <c r="X306" s="156">
        <v>3.5</v>
      </c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3.5</v>
      </c>
      <c r="Z306" s="22"/>
      <c r="AA306" s="157">
        <f>Y306+Y306*VLOOKUP(I306,EXTRAS_ARRAY,2,FALSE)</f>
        <v>3.5</v>
      </c>
      <c r="AB306" s="20"/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24.300000000000004</v>
      </c>
      <c r="N307" s="20" t="s">
        <v>1108</v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3</v>
      </c>
      <c r="T307" s="158"/>
      <c r="U307" s="21">
        <v>0</v>
      </c>
      <c r="V307" s="21">
        <v>1</v>
      </c>
      <c r="W307" s="21">
        <v>0</v>
      </c>
      <c r="X307" s="156">
        <v>3</v>
      </c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3</v>
      </c>
      <c r="Z307" s="22"/>
      <c r="AA307" s="157">
        <f>Y307+Y307*VLOOKUP(I307,EXTRAS_ARRAY,2,FALSE)</f>
        <v>3</v>
      </c>
      <c r="AB307" s="20"/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24.400000000000006</v>
      </c>
      <c r="N308" s="20" t="s">
        <v>1109</v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2.5</v>
      </c>
      <c r="T308" s="158"/>
      <c r="U308" s="21">
        <v>0</v>
      </c>
      <c r="V308" s="21">
        <v>1</v>
      </c>
      <c r="W308" s="21">
        <v>0</v>
      </c>
      <c r="X308" s="156">
        <v>2.5</v>
      </c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2.5</v>
      </c>
      <c r="Z308" s="22"/>
      <c r="AA308" s="157">
        <f>Y308+Y308*VLOOKUP(I308,EXTRAS_ARRAY,2,FALSE)</f>
        <v>2.5</v>
      </c>
      <c r="AB308" s="20"/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24.500000000000007</v>
      </c>
      <c r="N309" s="20" t="s">
        <v>1110</v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1.5</v>
      </c>
      <c r="Z309" s="22"/>
      <c r="AA309" s="157">
        <f>Y309+Y309*VLOOKUP(I309,EXTRAS_ARRAY,2,FALSE)</f>
        <v>1.5</v>
      </c>
      <c r="AB309" s="20"/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/>
      </c>
    </row>
    <row r="310" spans="1:30" s="9" customFormat="1" ht="7.5" hidden="1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25</v>
      </c>
      <c r="M311" s="330" t="s">
        <v>1111</v>
      </c>
      <c r="N311" s="301"/>
      <c r="O311" s="5"/>
      <c r="P311" s="30"/>
      <c r="Q311" s="30"/>
      <c r="R311" s="30"/>
      <c r="S311" s="30"/>
      <c r="T311" s="155">
        <f>IF($S$6="Exclude", SUMIFS(S312:S317, J312:J317, "&lt;&gt;Yes", G312:G317, "&lt;&gt;Yes"), SUMIFS(S312:S317, J312:J317, "&lt;&gt;Yes"))</f>
        <v>9.5</v>
      </c>
      <c r="U311" s="30"/>
      <c r="V311" s="30"/>
      <c r="W311" s="30"/>
      <c r="X311" s="31"/>
      <c r="Y311" s="32"/>
      <c r="Z311" s="32"/>
      <c r="AA311" s="32"/>
      <c r="AB311" s="219" t="s">
        <v>956</v>
      </c>
      <c r="AC311" s="33"/>
      <c r="AD311" s="23" t="str">
        <f>IF(M311="", "Error: Task name cannot be empty.", "")</f>
        <v/>
      </c>
    </row>
    <row r="312" spans="1:30" s="12" customFormat="1" ht="1.5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25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29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ca="1">IFERROR(OFFSET(M313,-1,,1,1)+0.1,OFFSET(M313,-1,-1,1,1)&amp;".1")</f>
        <v>25.1</v>
      </c>
      <c r="N313" s="20" t="s">
        <v>1268</v>
      </c>
      <c r="O313" s="20"/>
      <c r="P313" s="20"/>
      <c r="Q313" s="134"/>
      <c r="R313" s="127"/>
      <c r="S313" s="157">
        <f>CEILING((IF(J313="Yes", 0, IF(H313="-",AA313,AA313+AA313*VLOOKUP(H313,BUFFERS_BY_TYPE,2,FALSE)))) +
   (IF(J313="Yes", 0, IF(H313="-",AA313,AA313+AA313*VLOOKUP(H313,BUFFERS_BY_TYPE,2,FALSE))))*VLOOKUP($S$5, SALES_CALL_SCALE_ARRAY, 2,FALSE),0.25)</f>
        <v>2.5</v>
      </c>
      <c r="T313" s="158"/>
      <c r="U313" s="21">
        <v>0</v>
      </c>
      <c r="V313" s="21">
        <v>1</v>
      </c>
      <c r="W313" s="21">
        <v>0</v>
      </c>
      <c r="X313" s="156">
        <v>2.5</v>
      </c>
      <c r="Y313" s="157">
        <f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2.5</v>
      </c>
      <c r="Z313" s="22"/>
      <c r="AA313" s="157">
        <f>Y313+Y313*VLOOKUP(I313,EXTRAS_ARRAY,2,FALSE)</f>
        <v>2.5</v>
      </c>
      <c r="AB313" s="20"/>
      <c r="AC313" s="34"/>
      <c r="AD313" s="23" t="str">
        <f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58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ca="1">IFERROR(OFFSET(M314,-1,,1,1)+0.1,OFFSET(M314,-1,-1,1,1)&amp;".1")</f>
        <v>25.200000000000003</v>
      </c>
      <c r="N314" s="20" t="s">
        <v>1112</v>
      </c>
      <c r="O314" s="20"/>
      <c r="P314" s="20"/>
      <c r="Q314" s="134"/>
      <c r="R314" s="127"/>
      <c r="S314" s="157">
        <f>CEILING((IF(J314="Yes", 0, IF(H314="-",AA314,AA314+AA314*VLOOKUP(H314,BUFFERS_BY_TYPE,2,FALSE)))) +
   (IF(J314="Yes", 0, IF(H314="-",AA314,AA314+AA314*VLOOKUP(H314,BUFFERS_BY_TYPE,2,FALSE))))*VLOOKUP($S$5, SALES_CALL_SCALE_ARRAY, 2,FALSE),0.25)</f>
        <v>3</v>
      </c>
      <c r="T314" s="158"/>
      <c r="U314" s="21">
        <v>0</v>
      </c>
      <c r="V314" s="21">
        <v>1</v>
      </c>
      <c r="W314" s="21">
        <v>0</v>
      </c>
      <c r="X314" s="156">
        <v>3</v>
      </c>
      <c r="Y314" s="157">
        <f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3</v>
      </c>
      <c r="Z314" s="22"/>
      <c r="AA314" s="157">
        <f>Y314+Y314*VLOOKUP(I314,EXTRAS_ARRAY,2,FALSE)</f>
        <v>3</v>
      </c>
      <c r="AB314" s="20" t="s">
        <v>1269</v>
      </c>
      <c r="AC314" s="34"/>
      <c r="AD314" s="23" t="str">
        <f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43.5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ca="1">IFERROR(OFFSET(M315,-1,,1,1)+0.1,OFFSET(M315,-1,-1,1,1)&amp;".1")</f>
        <v>25.300000000000004</v>
      </c>
      <c r="N315" s="20" t="s">
        <v>1270</v>
      </c>
      <c r="O315" s="20"/>
      <c r="P315" s="20"/>
      <c r="Q315" s="134"/>
      <c r="R315" s="127"/>
      <c r="S315" s="157">
        <f>CEILING((IF(J315="Yes", 0, IF(H315="-",AA315,AA315+AA315*VLOOKUP(H315,BUFFERS_BY_TYPE,2,FALSE)))) +
   (IF(J315="Yes", 0, IF(H315="-",AA315,AA315+AA315*VLOOKUP(H315,BUFFERS_BY_TYPE,2,FALSE))))*VLOOKUP($S$5, SALES_CALL_SCALE_ARRAY, 2,FALSE),0.25)</f>
        <v>2.5</v>
      </c>
      <c r="T315" s="158"/>
      <c r="U315" s="21">
        <v>0</v>
      </c>
      <c r="V315" s="21">
        <v>1</v>
      </c>
      <c r="W315" s="21">
        <v>0</v>
      </c>
      <c r="X315" s="156">
        <v>2.5</v>
      </c>
      <c r="Y315" s="157">
        <f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2.5</v>
      </c>
      <c r="Z315" s="22"/>
      <c r="AA315" s="157">
        <f>Y315+Y315*VLOOKUP(I315,EXTRAS_ARRAY,2,FALSE)</f>
        <v>2.5</v>
      </c>
      <c r="AB315" s="20"/>
      <c r="AC315" s="34"/>
      <c r="AD315" s="23" t="str">
        <f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29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ca="1">IFERROR(OFFSET(M316,-1,,1,1)+0.1,OFFSET(M316,-1,-1,1,1)&amp;".1")</f>
        <v>25.400000000000006</v>
      </c>
      <c r="N316" s="20" t="s">
        <v>1271</v>
      </c>
      <c r="O316" s="20"/>
      <c r="P316" s="20"/>
      <c r="Q316" s="134"/>
      <c r="R316" s="127"/>
      <c r="S316" s="157">
        <f>CEILING((IF(J316="Yes", 0, IF(H316="-",AA316,AA316+AA316*VLOOKUP(H316,BUFFERS_BY_TYPE,2,FALSE)))) +
   (IF(J316="Yes", 0, IF(H316="-",AA316,AA316+AA316*VLOOKUP(H316,BUFFERS_BY_TYPE,2,FALSE))))*VLOOKUP($S$5, SALES_CALL_SCALE_ARRAY, 2,FALSE),0.25)</f>
        <v>1.5</v>
      </c>
      <c r="T316" s="158"/>
      <c r="U316" s="21">
        <v>0</v>
      </c>
      <c r="V316" s="21">
        <v>1</v>
      </c>
      <c r="W316" s="21">
        <v>0</v>
      </c>
      <c r="X316" s="156">
        <v>1.5</v>
      </c>
      <c r="Y316" s="157">
        <f>CEILING((IF(P316=AS_DEV_EFFORT, DEV_EFFORT*Q316%,
                           IF(P316=AS_DURATION_EFFORT, (MANUAL_DURATION*5)*Q316%,
                                    (IF(Q316&lt;=1,X316,
                                          IF(SUM(U316:W316)=0,(Q316*X316),
                                               (((Q316*U316)*(X316+(X316*EXTRA_FOR_H)))+
                                               ((Q316*V316)*X316)+
                                               ((Q316*W316)*(X316-(X316*LESS_FOR_L)))
                                    )*IF(R316=0,1,R316))))))+Z316), 0.25)</f>
        <v>1.5</v>
      </c>
      <c r="Z316" s="22"/>
      <c r="AA316" s="157">
        <f>Y316+Y316*VLOOKUP(I316,EXTRAS_ARRAY,2,FALSE)</f>
        <v>1.5</v>
      </c>
      <c r="AB316" s="20" t="s">
        <v>1272</v>
      </c>
      <c r="AC316" s="34"/>
      <c r="AD316" s="23" t="str">
        <f>IF(J316&lt;&gt;"Yes",
IF(S316&lt;=0,"Error: Effort value is not defined or is invalid.",
IF(AND(SUM(U316:W316)&gt;0,SUM(U316:W316)&lt;&gt;1),"Error: Complexity % distribution should sum to 100%.",
IF(AND(P316=AS_DEV_EFFORT,X316&lt;&gt;0),"Error: PDs should not be defined when defining as dev effort %.",
IF(AND(P316=AS_DURATION_EFFORT,X316&lt;&gt;0),"Error: PDs should not be defined when defining as duration effort %.","")))))</f>
        <v/>
      </c>
    </row>
    <row r="317" spans="1:30" s="9" customFormat="1" ht="7.5" customHeight="1" outlineLevel="2" x14ac:dyDescent="0.35">
      <c r="A317" s="86" t="s">
        <v>132</v>
      </c>
      <c r="B317" s="15"/>
      <c r="C317" s="72"/>
      <c r="D317" s="72"/>
      <c r="E317" s="72"/>
      <c r="F317" s="72"/>
      <c r="M317" s="252"/>
      <c r="T317" s="15"/>
      <c r="X317" s="15"/>
      <c r="AB317" s="10"/>
      <c r="AC317" s="10"/>
      <c r="AD317" s="10"/>
    </row>
    <row r="318" spans="1:30" s="14" customFormat="1" ht="15.5" outlineLevel="1" x14ac:dyDescent="0.35">
      <c r="A318" s="86" t="s">
        <v>107</v>
      </c>
      <c r="B318" s="18"/>
      <c r="C318" s="77"/>
      <c r="D318" s="77"/>
      <c r="E318" s="77"/>
      <c r="F318" s="76"/>
      <c r="G318" s="170"/>
      <c r="H318" s="170"/>
      <c r="I318" s="170"/>
      <c r="J318" s="170"/>
      <c r="K318" s="170"/>
      <c r="L318" s="85" t="s">
        <v>109</v>
      </c>
      <c r="M318" s="300" t="s">
        <v>884</v>
      </c>
      <c r="N318" s="300"/>
      <c r="O318" s="80"/>
      <c r="P318" s="81"/>
      <c r="Q318" s="81"/>
      <c r="R318" s="81"/>
      <c r="S318" s="291">
        <f>SUMGROUP(ROW(), "T")</f>
        <v>67</v>
      </c>
      <c r="T318" s="291"/>
      <c r="U318" s="292"/>
      <c r="V318" s="292"/>
      <c r="W318" s="292"/>
      <c r="X318" s="82"/>
      <c r="Y318" s="83"/>
      <c r="Z318" s="83"/>
      <c r="AA318" s="83"/>
      <c r="AB318" s="221"/>
      <c r="AC318" s="84"/>
      <c r="AD318" s="23" t="str">
        <f>IF(M318="", "Error: Module name cannot be empty.", "")</f>
        <v/>
      </c>
    </row>
    <row r="319" spans="1:30" s="14" customFormat="1" ht="15.5" outlineLevel="1" collapsed="1" x14ac:dyDescent="0.35">
      <c r="A319" s="86" t="s">
        <v>100</v>
      </c>
      <c r="B319" s="18"/>
      <c r="C319" s="77"/>
      <c r="D319" s="77"/>
      <c r="E319" s="77"/>
      <c r="F319" s="76"/>
      <c r="G319" s="29"/>
      <c r="H319" s="29"/>
      <c r="I319" s="29"/>
      <c r="J319" s="29"/>
      <c r="K319" s="29"/>
      <c r="L319" s="17">
        <f ca="1">LOOKUP(1000,INDIRECT("L1:"&amp;CELL("address",INDIRECT("R[-1]C",FALSE))))+1</f>
        <v>26</v>
      </c>
      <c r="M319" s="301" t="s">
        <v>1113</v>
      </c>
      <c r="N319" s="301"/>
      <c r="O319" s="5"/>
      <c r="P319" s="30"/>
      <c r="Q319" s="30"/>
      <c r="R319" s="30"/>
      <c r="S319" s="30"/>
      <c r="T319" s="155">
        <f>IF($S$6="Exclude", SUMIFS(S320:S326, J320:J326, "&lt;&gt;Yes", G320:G326, "&lt;&gt;Yes"), SUMIFS(S320:S326, J320:J326, "&lt;&gt;Yes"))</f>
        <v>14</v>
      </c>
      <c r="U319" s="30"/>
      <c r="V319" s="30"/>
      <c r="W319" s="30"/>
      <c r="X319" s="31"/>
      <c r="Y319" s="32"/>
      <c r="Z319" s="32"/>
      <c r="AA319" s="32"/>
      <c r="AB319" s="219" t="s">
        <v>957</v>
      </c>
      <c r="AC319" s="33"/>
      <c r="AD319" s="23" t="str">
        <f>IF(M319="", "Error: Task name cannot be empty.", "")</f>
        <v/>
      </c>
    </row>
    <row r="320" spans="1:30" s="12" customFormat="1" ht="1.5" hidden="1" customHeight="1" outlineLevel="2" x14ac:dyDescent="0.35">
      <c r="A320" s="86" t="s">
        <v>101</v>
      </c>
      <c r="B320" s="18"/>
      <c r="C320" s="77"/>
      <c r="D320" s="77"/>
      <c r="E320" s="77"/>
      <c r="F320" s="76"/>
      <c r="G320" s="29"/>
      <c r="H320" s="29"/>
      <c r="I320" s="29"/>
      <c r="J320" s="29"/>
      <c r="K320" s="29"/>
      <c r="L320" s="163">
        <f ca="1">L319</f>
        <v>26</v>
      </c>
      <c r="M320" s="164" t="s">
        <v>105</v>
      </c>
      <c r="N320" s="161"/>
      <c r="O320" s="162"/>
      <c r="P320" s="30"/>
      <c r="Q320" s="30"/>
      <c r="R320" s="30"/>
      <c r="S320" s="30"/>
      <c r="T320" s="155"/>
      <c r="U320" s="30"/>
      <c r="V320" s="30"/>
      <c r="W320" s="30"/>
      <c r="X320" s="31"/>
      <c r="Y320" s="32"/>
      <c r="Z320" s="32"/>
      <c r="AA320" s="32"/>
      <c r="AB320" s="33"/>
      <c r="AC320" s="33"/>
      <c r="AD320" s="23"/>
    </row>
    <row r="321" spans="1:30" ht="15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 t="str">
        <f ca="1">IFERROR(OFFSET(M321,-1,,1,1)+0.1,OFFSET(M321,-1,-1,1,1)&amp;".1")</f>
        <v>26.1</v>
      </c>
      <c r="N321" s="20" t="s">
        <v>1114</v>
      </c>
      <c r="O321" s="20"/>
      <c r="P321" s="20"/>
      <c r="Q321" s="134"/>
      <c r="R321" s="127"/>
      <c r="S321" s="157">
        <f>CEILING((IF(J321="Yes", 0, IF(H321="-",AA321,AA321+AA321*VLOOKUP(H321,BUFFERS_BY_TYPE,2,FALSE)))) +
   (IF(J321="Yes", 0, IF(H321="-",AA321,AA321+AA321*VLOOKUP(H321,BUFFERS_BY_TYPE,2,FALSE))))*VLOOKUP($S$5, SALES_CALL_SCALE_ARRAY, 2,FALSE),0.25)</f>
        <v>3</v>
      </c>
      <c r="T321" s="158"/>
      <c r="U321" s="21">
        <v>0</v>
      </c>
      <c r="V321" s="21">
        <v>1</v>
      </c>
      <c r="W321" s="21">
        <v>0</v>
      </c>
      <c r="X321" s="156">
        <v>3</v>
      </c>
      <c r="Y321" s="157">
        <f>CEILING((IF(P321=AS_DEV_EFFORT, DEV_EFFORT*Q321%,
                           IF(P321=AS_DURATION_EFFORT, (MANUAL_DURATION*5)*Q321%,
                                    (IF(Q321&lt;=1,X321,
                                          IF(SUM(U321:W321)=0,(Q321*X321),
                                               (((Q321*U321)*(X321+(X321*EXTRA_FOR_H)))+
                                               ((Q321*V321)*X321)+
                                               ((Q321*W321)*(X321-(X321*LESS_FOR_L)))
                                    )*IF(R321=0,1,R321))))))+Z321), 0.25)</f>
        <v>3</v>
      </c>
      <c r="Z321" s="22"/>
      <c r="AA321" s="157">
        <f>Y321+Y321*VLOOKUP(I321,EXTRAS_ARRAY,2,FALSE)</f>
        <v>3</v>
      </c>
      <c r="AB321" s="20"/>
      <c r="AC321" s="34"/>
      <c r="AD321" s="23" t="str">
        <f>IF(J321&lt;&gt;"Yes",
IF(S321&lt;=0,"Error: Effort value is not defined or is invalid.",
IF(AND(SUM(U321:W321)&gt;0,SUM(U321:W321)&lt;&gt;1),"Error: Complexity % distribution should sum to 100%.",
IF(AND(P321=AS_DEV_EFFORT,X321&lt;&gt;0),"Error: PDs should not be defined when defining as dev effort %.",
IF(AND(P321=AS_DURATION_EFFORT,X321&lt;&gt;0),"Error: PDs should not be defined when defining as duration effort %.","")))))</f>
        <v/>
      </c>
    </row>
    <row r="322" spans="1:30" ht="29" hidden="1" outlineLevel="2" x14ac:dyDescent="0.35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ca="1">IFERROR(OFFSET(M322,-1,,1,1)+0.1,OFFSET(M322,-1,-1,1,1)&amp;".1")</f>
        <v>26.200000000000003</v>
      </c>
      <c r="N322" s="20" t="s">
        <v>1115</v>
      </c>
      <c r="O322" s="20"/>
      <c r="P322" s="20"/>
      <c r="Q322" s="134"/>
      <c r="R322" s="127"/>
      <c r="S322" s="157">
        <f>CEILING((IF(J322="Yes", 0, IF(H322="-",AA322,AA322+AA322*VLOOKUP(H322,BUFFERS_BY_TYPE,2,FALSE)))) +
   (IF(J322="Yes", 0, IF(H322="-",AA322,AA322+AA322*VLOOKUP(H322,BUFFERS_BY_TYPE,2,FALSE))))*VLOOKUP($S$5, SALES_CALL_SCALE_ARRAY, 2,FALSE),0.25)</f>
        <v>3</v>
      </c>
      <c r="T322" s="158"/>
      <c r="U322" s="21">
        <v>0</v>
      </c>
      <c r="V322" s="21">
        <v>1</v>
      </c>
      <c r="W322" s="21">
        <v>0</v>
      </c>
      <c r="X322" s="156">
        <v>3</v>
      </c>
      <c r="Y322" s="157">
        <f>CEILING((IF(P322=AS_DEV_EFFORT, DEV_EFFORT*Q322%,
                           IF(P322=AS_DURATION_EFFORT, (MANUAL_DURATION*5)*Q322%,
                                    (IF(Q322&lt;=1,X322,
                                          IF(SUM(U322:W322)=0,(Q322*X322),
                                               (((Q322*U322)*(X322+(X322*EXTRA_FOR_H)))+
                                               ((Q322*V322)*X322)+
                                               ((Q322*W322)*(X322-(X322*LESS_FOR_L)))
                                    )*IF(R322=0,1,R322))))))+Z322), 0.25)</f>
        <v>3</v>
      </c>
      <c r="Z322" s="22"/>
      <c r="AA322" s="157">
        <f>Y322+Y322*VLOOKUP(I322,EXTRAS_ARRAY,2,FALSE)</f>
        <v>3</v>
      </c>
      <c r="AB322" s="20"/>
      <c r="AC322" s="34"/>
      <c r="AD322" s="23" t="str">
        <f>IF(J322&lt;&gt;"Yes",
IF(S322&lt;=0,"Error: Effort value is not defined or is invalid.",
IF(AND(SUM(U322:W322)&gt;0,SUM(U322:W322)&lt;&gt;1),"Error: Complexity % distribution should sum to 100%.",
IF(AND(P322=AS_DEV_EFFORT,X322&lt;&gt;0),"Error: PDs should not be defined when defining as dev effort %.",
IF(AND(P322=AS_DURATION_EFFORT,X322&lt;&gt;0),"Error: PDs should not be defined when defining as duration effort %.","")))))</f>
        <v/>
      </c>
    </row>
    <row r="323" spans="1:30" ht="15.5" hidden="1" outlineLevel="2" x14ac:dyDescent="0.35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ca="1">IFERROR(OFFSET(M323,-1,,1,1)+0.1,OFFSET(M323,-1,-1,1,1)&amp;".1")</f>
        <v>26.300000000000004</v>
      </c>
      <c r="N323" s="20" t="s">
        <v>1116</v>
      </c>
      <c r="O323" s="20"/>
      <c r="P323" s="20"/>
      <c r="Q323" s="134"/>
      <c r="R323" s="127"/>
      <c r="S323" s="157">
        <f>CEILING((IF(J323="Yes", 0, IF(H323="-",AA323,AA323+AA323*VLOOKUP(H323,BUFFERS_BY_TYPE,2,FALSE)))) +
   (IF(J323="Yes", 0, IF(H323="-",AA323,AA323+AA323*VLOOKUP(H323,BUFFERS_BY_TYPE,2,FALSE))))*VLOOKUP($S$5, SALES_CALL_SCALE_ARRAY, 2,FALSE),0.25)</f>
        <v>2.5</v>
      </c>
      <c r="T323" s="158"/>
      <c r="U323" s="21">
        <v>0</v>
      </c>
      <c r="V323" s="21">
        <v>1</v>
      </c>
      <c r="W323" s="21">
        <v>0</v>
      </c>
      <c r="X323" s="156">
        <v>2.5</v>
      </c>
      <c r="Y323" s="157">
        <f>CEILING((IF(P323=AS_DEV_EFFORT, DEV_EFFORT*Q323%,
                           IF(P323=AS_DURATION_EFFORT, (MANUAL_DURATION*5)*Q323%,
                                    (IF(Q323&lt;=1,X323,
                                          IF(SUM(U323:W323)=0,(Q323*X323),
                                               (((Q323*U323)*(X323+(X323*EXTRA_FOR_H)))+
                                               ((Q323*V323)*X323)+
                                               ((Q323*W323)*(X323-(X323*LESS_FOR_L)))
                                    )*IF(R323=0,1,R323))))))+Z323), 0.25)</f>
        <v>2.5</v>
      </c>
      <c r="Z323" s="22"/>
      <c r="AA323" s="157">
        <f>Y323+Y323*VLOOKUP(I323,EXTRAS_ARRAY,2,FALSE)</f>
        <v>2.5</v>
      </c>
      <c r="AB323" s="20"/>
      <c r="AC323" s="34"/>
      <c r="AD323" s="23" t="str">
        <f>IF(J323&lt;&gt;"Yes",
IF(S323&lt;=0,"Error: Effort value is not defined or is invalid.",
IF(AND(SUM(U323:W323)&gt;0,SUM(U323:W323)&lt;&gt;1),"Error: Complexity % distribution should sum to 100%.",
IF(AND(P323=AS_DEV_EFFORT,X323&lt;&gt;0),"Error: PDs should not be defined when defining as dev effort %.",
IF(AND(P323=AS_DURATION_EFFORT,X323&lt;&gt;0),"Error: PDs should not be defined when defining as duration effort %.","")))))</f>
        <v/>
      </c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ca="1">IFERROR(OFFSET(M324,-1,,1,1)+0.1,OFFSET(M324,-1,-1,1,1)&amp;".1")</f>
        <v>26.400000000000006</v>
      </c>
      <c r="N324" s="20" t="s">
        <v>1117</v>
      </c>
      <c r="O324" s="20"/>
      <c r="P324" s="20"/>
      <c r="Q324" s="134"/>
      <c r="R324" s="127"/>
      <c r="S324" s="157">
        <f>CEILING((IF(J324="Yes", 0, IF(H324="-",AA324,AA324+AA324*VLOOKUP(H324,BUFFERS_BY_TYPE,2,FALSE)))) +
   (IF(J324="Yes", 0, IF(H324="-",AA324,AA324+AA324*VLOOKUP(H324,BUFFERS_BY_TYPE,2,FALSE))))*VLOOKUP($S$5, SALES_CALL_SCALE_ARRAY, 2,FALSE),0.25)</f>
        <v>3</v>
      </c>
      <c r="T324" s="158"/>
      <c r="U324" s="21">
        <v>0</v>
      </c>
      <c r="V324" s="21">
        <v>1</v>
      </c>
      <c r="W324" s="21">
        <v>0</v>
      </c>
      <c r="X324" s="156">
        <v>3</v>
      </c>
      <c r="Y324" s="157">
        <f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3</v>
      </c>
      <c r="Z324" s="22"/>
      <c r="AA324" s="157">
        <f>Y324+Y324*VLOOKUP(I324,EXTRAS_ARRAY,2,FALSE)</f>
        <v>3</v>
      </c>
      <c r="AB324" s="20"/>
      <c r="AC324" s="34"/>
      <c r="AD324" s="23" t="str">
        <f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ca="1">IFERROR(OFFSET(M325,-1,,1,1)+0.1,OFFSET(M325,-1,-1,1,1)&amp;".1")</f>
        <v>26.500000000000007</v>
      </c>
      <c r="N325" s="20" t="s">
        <v>1118</v>
      </c>
      <c r="O325" s="20"/>
      <c r="P325" s="20"/>
      <c r="Q325" s="134"/>
      <c r="R325" s="127"/>
      <c r="S325" s="157">
        <f>CEILING((IF(J325="Yes", 0, IF(H325="-",AA325,AA325+AA325*VLOOKUP(H325,BUFFERS_BY_TYPE,2,FALSE)))) +
   (IF(J325="Yes", 0, IF(H325="-",AA325,AA325+AA325*VLOOKUP(H325,BUFFERS_BY_TYPE,2,FALSE))))*VLOOKUP($S$5, SALES_CALL_SCALE_ARRAY, 2,FALSE),0.25)</f>
        <v>2.5</v>
      </c>
      <c r="T325" s="158"/>
      <c r="U325" s="21">
        <v>0</v>
      </c>
      <c r="V325" s="21">
        <v>1</v>
      </c>
      <c r="W325" s="21">
        <v>0</v>
      </c>
      <c r="X325" s="156">
        <v>2.5</v>
      </c>
      <c r="Y325" s="157">
        <f>CEILING((IF(P325=AS_DEV_EFFORT, DEV_EFFORT*Q325%,
                           IF(P325=AS_DURATION_EFFORT, (MANUAL_DURATION*5)*Q325%,
                                    (IF(Q325&lt;=1,X325,
                                          IF(SUM(U325:W325)=0,(Q325*X325),
                                               (((Q325*U325)*(X325+(X325*EXTRA_FOR_H)))+
                                               ((Q325*V325)*X325)+
                                               ((Q325*W325)*(X325-(X325*LESS_FOR_L)))
                                    )*IF(R325=0,1,R325))))))+Z325), 0.25)</f>
        <v>2.5</v>
      </c>
      <c r="Z325" s="22"/>
      <c r="AA325" s="157">
        <f>Y325+Y325*VLOOKUP(I325,EXTRAS_ARRAY,2,FALSE)</f>
        <v>2.5</v>
      </c>
      <c r="AB325" s="20"/>
      <c r="AC325" s="34"/>
      <c r="AD325" s="23" t="str">
        <f>IF(J325&lt;&gt;"Yes",
IF(S325&lt;=0,"Error: Effort value is not defined or is invalid.",
IF(AND(SUM(U325:W325)&gt;0,SUM(U325:W325)&lt;&gt;1),"Error: Complexity % distribution should sum to 100%.",
IF(AND(P325=AS_DEV_EFFORT,X325&lt;&gt;0),"Error: PDs should not be defined when defining as dev effort %.",
IF(AND(P325=AS_DURATION_EFFORT,X325&lt;&gt;0),"Error: PDs should not be defined when defining as duration effort %.","")))))</f>
        <v/>
      </c>
    </row>
    <row r="326" spans="1:30" s="9" customFormat="1" ht="7.5" hidden="1" customHeight="1" outlineLevel="2" x14ac:dyDescent="0.35">
      <c r="A326" s="86" t="s">
        <v>132</v>
      </c>
      <c r="B326" s="15"/>
      <c r="C326" s="72"/>
      <c r="D326" s="72"/>
      <c r="E326" s="72"/>
      <c r="F326" s="72"/>
      <c r="M326" s="252"/>
      <c r="T326" s="15"/>
      <c r="X326" s="15"/>
      <c r="AB326" s="10"/>
      <c r="AC326" s="10"/>
      <c r="AD326" s="10"/>
    </row>
    <row r="327" spans="1:30" s="14" customFormat="1" ht="15.5" outlineLevel="1" collapsed="1" x14ac:dyDescent="0.35">
      <c r="A327" s="86" t="s">
        <v>100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7">
        <f ca="1">LOOKUP(1000,INDIRECT("L1:"&amp;CELL("address",INDIRECT("R[-1]C",FALSE))))+1</f>
        <v>27</v>
      </c>
      <c r="M327" s="301" t="s">
        <v>1119</v>
      </c>
      <c r="N327" s="301"/>
      <c r="O327" s="5"/>
      <c r="P327" s="30"/>
      <c r="Q327" s="30"/>
      <c r="R327" s="30"/>
      <c r="S327" s="30"/>
      <c r="T327" s="155">
        <f>IF($S$6="Exclude", SUMIFS(S328:S332, J328:J332, "&lt;&gt;Yes", G328:G332, "&lt;&gt;Yes"), SUMIFS(S328:S332, J328:J332, "&lt;&gt;Yes"))</f>
        <v>16</v>
      </c>
      <c r="U327" s="30"/>
      <c r="V327" s="30"/>
      <c r="W327" s="30"/>
      <c r="X327" s="31"/>
      <c r="Y327" s="32"/>
      <c r="Z327" s="32"/>
      <c r="AA327" s="32"/>
      <c r="AB327" s="219" t="s">
        <v>1120</v>
      </c>
      <c r="AC327" s="33"/>
      <c r="AD327" s="23" t="str">
        <f>IF(M327="", "Error: Task name cannot be empty.", "")</f>
        <v/>
      </c>
    </row>
    <row r="328" spans="1:30" s="12" customFormat="1" ht="1.5" hidden="1" customHeight="1" outlineLevel="2" x14ac:dyDescent="0.35">
      <c r="A328" s="86" t="s">
        <v>101</v>
      </c>
      <c r="B328" s="18"/>
      <c r="C328" s="77"/>
      <c r="D328" s="77"/>
      <c r="E328" s="77"/>
      <c r="F328" s="76"/>
      <c r="G328" s="29"/>
      <c r="H328" s="29"/>
      <c r="I328" s="29"/>
      <c r="J328" s="29"/>
      <c r="K328" s="29"/>
      <c r="L328" s="163">
        <f ca="1">L327</f>
        <v>27</v>
      </c>
      <c r="M328" s="164" t="s">
        <v>105</v>
      </c>
      <c r="N328" s="161"/>
      <c r="O328" s="162"/>
      <c r="P328" s="30"/>
      <c r="Q328" s="30"/>
      <c r="R328" s="30"/>
      <c r="S328" s="30"/>
      <c r="T328" s="155"/>
      <c r="U328" s="30"/>
      <c r="V328" s="30"/>
      <c r="W328" s="30"/>
      <c r="X328" s="31"/>
      <c r="Y328" s="32"/>
      <c r="Z328" s="32"/>
      <c r="AA328" s="32"/>
      <c r="AB328" s="33"/>
      <c r="AC328" s="33"/>
      <c r="AD328" s="23"/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 t="str">
        <f ca="1">IFERROR(OFFSET(M329,-1,,1,1)+0.1,OFFSET(M329,-1,-1,1,1)&amp;".1")</f>
        <v>27.1</v>
      </c>
      <c r="N329" s="20" t="s">
        <v>1121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6</v>
      </c>
      <c r="T329" s="158"/>
      <c r="U329" s="21">
        <v>0.25</v>
      </c>
      <c r="V329" s="21">
        <v>0.5</v>
      </c>
      <c r="W329" s="21">
        <v>0.25</v>
      </c>
      <c r="X329" s="156">
        <v>6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6</v>
      </c>
      <c r="Z329" s="22"/>
      <c r="AA329" s="157">
        <f>Y329+Y329*VLOOKUP(I329,EXTRAS_ARRAY,2,FALSE)</f>
        <v>6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27.200000000000003</v>
      </c>
      <c r="N330" s="20" t="s">
        <v>1122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5</v>
      </c>
      <c r="T330" s="158"/>
      <c r="U330" s="21">
        <v>0.1</v>
      </c>
      <c r="V330" s="21">
        <v>0.8</v>
      </c>
      <c r="W330" s="21">
        <v>0.1</v>
      </c>
      <c r="X330" s="156">
        <v>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5</v>
      </c>
      <c r="Z330" s="22"/>
      <c r="AA330" s="157">
        <f>Y330+Y330*VLOOKUP(I330,EXTRAS_ARRAY,2,FALSE)</f>
        <v>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ca="1">IFERROR(OFFSET(M331,-1,,1,1)+0.1,OFFSET(M331,-1,-1,1,1)&amp;".1")</f>
        <v>27.300000000000004</v>
      </c>
      <c r="N331" s="20" t="s">
        <v>1123</v>
      </c>
      <c r="O331" s="20"/>
      <c r="P331" s="20"/>
      <c r="Q331" s="134"/>
      <c r="R331" s="127"/>
      <c r="S331" s="157">
        <f>CEILING((IF(J331="Yes", 0, IF(H331="-",AA331,AA331+AA331*VLOOKUP(H331,BUFFERS_BY_TYPE,2,FALSE)))) +
   (IF(J331="Yes", 0, IF(H331="-",AA331,AA331+AA331*VLOOKUP(H331,BUFFERS_BY_TYPE,2,FALSE))))*VLOOKUP($S$5, SALES_CALL_SCALE_ARRAY, 2,FALSE),0.25)</f>
        <v>5</v>
      </c>
      <c r="T331" s="158"/>
      <c r="U331" s="21">
        <v>0.15</v>
      </c>
      <c r="V331" s="21">
        <v>0.7</v>
      </c>
      <c r="W331" s="21">
        <v>0.15</v>
      </c>
      <c r="X331" s="156">
        <v>5</v>
      </c>
      <c r="Y331" s="157">
        <f>CEILING((IF(P331=AS_DEV_EFFORT, DEV_EFFORT*Q331%,
                           IF(P331=AS_DURATION_EFFORT, (MANUAL_DURATION*5)*Q331%,
                                    (IF(Q331&lt;=1,X331,
                                          IF(SUM(U331:W331)=0,(Q331*X331),
                                               (((Q331*U331)*(X331+(X331*EXTRA_FOR_H)))+
                                               ((Q331*V331)*X331)+
                                               ((Q331*W331)*(X331-(X331*LESS_FOR_L)))
                                    )*IF(R331=0,1,R331))))))+Z331), 0.25)</f>
        <v>5</v>
      </c>
      <c r="Z331" s="22"/>
      <c r="AA331" s="157">
        <f>Y331+Y331*VLOOKUP(I331,EXTRAS_ARRAY,2,FALSE)</f>
        <v>5</v>
      </c>
      <c r="AB331" s="20"/>
      <c r="AC331" s="34"/>
      <c r="AD331" s="23" t="str">
        <f>IF(J331&lt;&gt;"Yes",
IF(S331&lt;=0,"Error: Effort value is not defined or is invalid.",
IF(AND(SUM(U331:W331)&gt;0,SUM(U331:W331)&lt;&gt;1),"Error: Complexity % distribution should sum to 100%.",
IF(AND(P331=AS_DEV_EFFORT,X331&lt;&gt;0),"Error: PDs should not be defined when defining as dev effort %.",
IF(AND(P331=AS_DURATION_EFFORT,X331&lt;&gt;0),"Error: PDs should not be defined when defining as duration effort %.","")))))</f>
        <v/>
      </c>
    </row>
    <row r="332" spans="1:30" s="9" customFormat="1" ht="7.5" hidden="1" customHeight="1" outlineLevel="2" x14ac:dyDescent="0.35">
      <c r="A332" s="86" t="s">
        <v>132</v>
      </c>
      <c r="B332" s="15"/>
      <c r="C332" s="72"/>
      <c r="D332" s="72"/>
      <c r="E332" s="72"/>
      <c r="F332" s="72"/>
      <c r="M332" s="252"/>
      <c r="T332" s="15"/>
      <c r="X332" s="15"/>
      <c r="AB332" s="10"/>
      <c r="AC332" s="10"/>
      <c r="AD332" s="10"/>
    </row>
    <row r="333" spans="1:30" s="14" customFormat="1" ht="15.5" outlineLevel="1" x14ac:dyDescent="0.35">
      <c r="A333" s="86" t="s">
        <v>100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7">
        <f ca="1">LOOKUP(1000,INDIRECT("L1:"&amp;CELL("address",INDIRECT("R[-1]C",FALSE))))+1</f>
        <v>28</v>
      </c>
      <c r="M333" s="301" t="s">
        <v>1124</v>
      </c>
      <c r="N333" s="301"/>
      <c r="O333" s="5"/>
      <c r="P333" s="30"/>
      <c r="Q333" s="30"/>
      <c r="R333" s="30"/>
      <c r="S333" s="30"/>
      <c r="T333" s="155">
        <f>IF($S$6="Exclude", SUMIFS(S334:S338, J334:J338, "&lt;&gt;Yes", G334:G338, "&lt;&gt;Yes"), SUMIFS(S334:S338, J334:J338, "&lt;&gt;Yes"))</f>
        <v>13</v>
      </c>
      <c r="U333" s="30"/>
      <c r="V333" s="30"/>
      <c r="W333" s="30"/>
      <c r="X333" s="31"/>
      <c r="Y333" s="32"/>
      <c r="Z333" s="32"/>
      <c r="AA333" s="32"/>
      <c r="AB333" s="219" t="s">
        <v>970</v>
      </c>
      <c r="AC333" s="33"/>
      <c r="AD333" s="23" t="str">
        <f>IF(M333="", "Error: Task name cannot be empty.", "")</f>
        <v/>
      </c>
    </row>
    <row r="334" spans="1:30" s="12" customFormat="1" ht="1.5" customHeight="1" outlineLevel="2" x14ac:dyDescent="0.35">
      <c r="A334" s="86" t="s">
        <v>101</v>
      </c>
      <c r="B334" s="18"/>
      <c r="C334" s="77"/>
      <c r="D334" s="77"/>
      <c r="E334" s="77"/>
      <c r="F334" s="76"/>
      <c r="G334" s="29"/>
      <c r="H334" s="29"/>
      <c r="I334" s="29"/>
      <c r="J334" s="29"/>
      <c r="K334" s="29"/>
      <c r="L334" s="163">
        <f ca="1">L333</f>
        <v>28</v>
      </c>
      <c r="M334" s="164" t="s">
        <v>105</v>
      </c>
      <c r="N334" s="161"/>
      <c r="O334" s="162"/>
      <c r="P334" s="30"/>
      <c r="Q334" s="30"/>
      <c r="R334" s="30"/>
      <c r="S334" s="30"/>
      <c r="T334" s="155"/>
      <c r="U334" s="30"/>
      <c r="V334" s="30"/>
      <c r="W334" s="30"/>
      <c r="X334" s="31"/>
      <c r="Y334" s="32"/>
      <c r="Z334" s="32"/>
      <c r="AA334" s="32"/>
      <c r="AB334" s="33"/>
      <c r="AC334" s="33"/>
      <c r="AD334" s="23"/>
    </row>
    <row r="335" spans="1:30" ht="15.5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 t="str">
        <f ca="1">IFERROR(OFFSET(M335,-1,,1,1)+0.1,OFFSET(M335,-1,-1,1,1)&amp;".1")</f>
        <v>28.1</v>
      </c>
      <c r="N335" s="20" t="s">
        <v>1125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5.5</v>
      </c>
      <c r="T335" s="158"/>
      <c r="U335" s="21">
        <v>0.25</v>
      </c>
      <c r="V335" s="21">
        <v>0.75</v>
      </c>
      <c r="W335" s="21">
        <v>0</v>
      </c>
      <c r="X335" s="156">
        <v>5.5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5.5</v>
      </c>
      <c r="Z335" s="22"/>
      <c r="AA335" s="157">
        <f>Y335+Y335*VLOOKUP(I335,EXTRAS_ARRAY,2,FALSE)</f>
        <v>5.5</v>
      </c>
      <c r="AB335" s="20"/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15.5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28.200000000000003</v>
      </c>
      <c r="N336" s="20" t="s">
        <v>1126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4.5</v>
      </c>
      <c r="T336" s="158"/>
      <c r="U336" s="21">
        <v>0.5</v>
      </c>
      <c r="V336" s="21">
        <v>0.5</v>
      </c>
      <c r="W336" s="21">
        <v>0</v>
      </c>
      <c r="X336" s="156">
        <v>4.5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4.5</v>
      </c>
      <c r="Z336" s="22"/>
      <c r="AA336" s="157">
        <f>Y336+Y336*VLOOKUP(I336,EXTRAS_ARRAY,2,FALSE)</f>
        <v>4.5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29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28.300000000000004</v>
      </c>
      <c r="N337" s="20" t="s">
        <v>1273</v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3</v>
      </c>
      <c r="T337" s="158"/>
      <c r="U337" s="21">
        <v>0</v>
      </c>
      <c r="V337" s="21">
        <v>1</v>
      </c>
      <c r="W337" s="21">
        <v>0</v>
      </c>
      <c r="X337" s="156">
        <v>3</v>
      </c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3</v>
      </c>
      <c r="Z337" s="22"/>
      <c r="AA337" s="157">
        <f>Y337+Y337*VLOOKUP(I337,EXTRAS_ARRAY,2,FALSE)</f>
        <v>3</v>
      </c>
      <c r="AB337" s="20" t="s">
        <v>1274</v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s="9" customFormat="1" ht="7.5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collapsed="1" x14ac:dyDescent="0.35">
      <c r="A339" s="86" t="s">
        <v>100</v>
      </c>
      <c r="B339" s="18"/>
      <c r="C339" s="77"/>
      <c r="D339" s="77"/>
      <c r="E339" s="77"/>
      <c r="F339" s="76"/>
      <c r="G339" s="29"/>
      <c r="H339" s="29"/>
      <c r="I339" s="29"/>
      <c r="J339" s="29"/>
      <c r="K339" s="29"/>
      <c r="L339" s="17">
        <f ca="1">LOOKUP(1000,INDIRECT("L1:"&amp;CELL("address",INDIRECT("R[-1]C",FALSE))))+1</f>
        <v>29</v>
      </c>
      <c r="M339" s="301" t="s">
        <v>1127</v>
      </c>
      <c r="N339" s="301"/>
      <c r="O339" s="5"/>
      <c r="P339" s="30"/>
      <c r="Q339" s="30"/>
      <c r="R339" s="30"/>
      <c r="S339" s="30"/>
      <c r="T339" s="155">
        <f>IF($S$6="Exclude", SUMIFS(S340:S343, J340:J343, "&lt;&gt;Yes", G340:G343, "&lt;&gt;Yes"), SUMIFS(S340:S343, J340:J343, "&lt;&gt;Yes"))</f>
        <v>10</v>
      </c>
      <c r="U339" s="30"/>
      <c r="V339" s="30"/>
      <c r="W339" s="30"/>
      <c r="X339" s="31"/>
      <c r="Y339" s="32"/>
      <c r="Z339" s="32"/>
      <c r="AA339" s="32"/>
      <c r="AB339" s="219" t="s">
        <v>971</v>
      </c>
      <c r="AC339" s="33"/>
      <c r="AD339" s="23" t="str">
        <f>IF(M339="", "Error: Task name cannot be empty.", "")</f>
        <v/>
      </c>
    </row>
    <row r="340" spans="1:30" s="12" customFormat="1" ht="1.5" hidden="1" customHeight="1" outlineLevel="2" x14ac:dyDescent="0.35">
      <c r="A340" s="86" t="s">
        <v>101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63">
        <f ca="1">L339</f>
        <v>29</v>
      </c>
      <c r="M340" s="164" t="s">
        <v>105</v>
      </c>
      <c r="N340" s="161"/>
      <c r="O340" s="162"/>
      <c r="P340" s="30"/>
      <c r="Q340" s="30"/>
      <c r="R340" s="30"/>
      <c r="S340" s="30"/>
      <c r="T340" s="155"/>
      <c r="U340" s="30"/>
      <c r="V340" s="30"/>
      <c r="W340" s="30"/>
      <c r="X340" s="31"/>
      <c r="Y340" s="32"/>
      <c r="Z340" s="32"/>
      <c r="AA340" s="32"/>
      <c r="AB340" s="33"/>
      <c r="AC340" s="33"/>
      <c r="AD340" s="23"/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 t="str">
        <f ca="1">IFERROR(OFFSET(M341,-1,,1,1)+0.1,OFFSET(M341,-1,-1,1,1)&amp;".1")</f>
        <v>29.1</v>
      </c>
      <c r="N341" s="20" t="s">
        <v>1128</v>
      </c>
      <c r="O341" s="20"/>
      <c r="P341" s="20"/>
      <c r="Q341" s="134"/>
      <c r="R341" s="127"/>
      <c r="S341" s="157">
        <f>CEILING((IF(J341="Yes", 0, IF(H341="-",AA341,AA341+AA341*VLOOKUP(H341,BUFFERS_BY_TYPE,2,FALSE)))) +
   (IF(J341="Yes", 0, IF(H341="-",AA341,AA341+AA341*VLOOKUP(H341,BUFFERS_BY_TYPE,2,FALSE))))*VLOOKUP($S$5, SALES_CALL_SCALE_ARRAY, 2,FALSE),0.25)</f>
        <v>5</v>
      </c>
      <c r="T341" s="158"/>
      <c r="U341" s="21">
        <v>0</v>
      </c>
      <c r="V341" s="21">
        <v>1</v>
      </c>
      <c r="W341" s="21">
        <v>0</v>
      </c>
      <c r="X341" s="156">
        <v>5</v>
      </c>
      <c r="Y341" s="157">
        <f>CEILING((IF(P341=AS_DEV_EFFORT, DEV_EFFORT*Q341%,
                           IF(P341=AS_DURATION_EFFORT, (MANUAL_DURATION*5)*Q341%,
                                    (IF(Q341&lt;=1,X341,
                                          IF(SUM(U341:W341)=0,(Q341*X341),
                                               (((Q341*U341)*(X341+(X341*EXTRA_FOR_H)))+
                                               ((Q341*V341)*X341)+
                                               ((Q341*W341)*(X341-(X341*LESS_FOR_L)))
                                    )*IF(R341=0,1,R341))))))+Z341), 0.25)</f>
        <v>5</v>
      </c>
      <c r="Z341" s="22"/>
      <c r="AA341" s="157">
        <f>Y341+Y341*VLOOKUP(I341,EXTRAS_ARRAY,2,FALSE)</f>
        <v>5</v>
      </c>
      <c r="AB341" s="20"/>
      <c r="AC341" s="34"/>
      <c r="AD341" s="23" t="str">
        <f>IF(J341&lt;&gt;"Yes",
IF(S341&lt;=0,"Error: Effort value is not defined or is invalid.",
IF(AND(SUM(U341:W341)&gt;0,SUM(U341:W341)&lt;&gt;1),"Error: Complexity % distribution should sum to 100%.",
IF(AND(P341=AS_DEV_EFFORT,X341&lt;&gt;0),"Error: PDs should not be defined when defining as dev effort %.",
IF(AND(P341=AS_DURATION_EFFORT,X341&lt;&gt;0),"Error: PDs should not be defined when defining as duration effort %.","")))))</f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ca="1">IFERROR(OFFSET(M342,-1,,1,1)+0.1,OFFSET(M342,-1,-1,1,1)&amp;".1")</f>
        <v>29.200000000000003</v>
      </c>
      <c r="N342" s="20" t="s">
        <v>1129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5</v>
      </c>
      <c r="T342" s="158"/>
      <c r="U342" s="21">
        <v>0</v>
      </c>
      <c r="V342" s="21">
        <v>1</v>
      </c>
      <c r="W342" s="21">
        <v>0</v>
      </c>
      <c r="X342" s="156">
        <v>5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5</v>
      </c>
      <c r="Z342" s="22"/>
      <c r="AA342" s="157">
        <f>Y342+Y342*VLOOKUP(I342,EXTRAS_ARRAY,2,FALSE)</f>
        <v>5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s="9" customFormat="1" ht="7.5" hidden="1" customHeight="1" outlineLevel="2" x14ac:dyDescent="0.35">
      <c r="A343" s="86" t="s">
        <v>132</v>
      </c>
      <c r="B343" s="15"/>
      <c r="C343" s="72"/>
      <c r="D343" s="72"/>
      <c r="E343" s="72"/>
      <c r="F343" s="72"/>
      <c r="M343" s="252"/>
      <c r="T343" s="15"/>
      <c r="X343" s="15"/>
      <c r="AB343" s="10"/>
      <c r="AC343" s="10"/>
      <c r="AD343" s="10"/>
    </row>
    <row r="344" spans="1:30" s="14" customFormat="1" ht="15.5" outlineLevel="1" collapsed="1" x14ac:dyDescent="0.35">
      <c r="A344" s="86" t="s">
        <v>100</v>
      </c>
      <c r="B344" s="18"/>
      <c r="C344" s="77"/>
      <c r="D344" s="77"/>
      <c r="E344" s="77"/>
      <c r="F344" s="76"/>
      <c r="G344" s="29"/>
      <c r="H344" s="29"/>
      <c r="I344" s="29"/>
      <c r="J344" s="29"/>
      <c r="K344" s="29"/>
      <c r="L344" s="17">
        <f ca="1">LOOKUP(1000,INDIRECT("L1:"&amp;CELL("address",INDIRECT("R[-1]C",FALSE))))+1</f>
        <v>30</v>
      </c>
      <c r="M344" s="301" t="s">
        <v>1130</v>
      </c>
      <c r="N344" s="301"/>
      <c r="O344" s="5"/>
      <c r="P344" s="30"/>
      <c r="Q344" s="30"/>
      <c r="R344" s="30"/>
      <c r="S344" s="30"/>
      <c r="T344" s="155">
        <f>IF($S$6="Exclude", SUMIFS(S345:S348, J345:J348, "&lt;&gt;Yes", G345:G348, "&lt;&gt;Yes"), SUMIFS(S345:S348, J345:J348, "&lt;&gt;Yes"))</f>
        <v>14</v>
      </c>
      <c r="U344" s="30"/>
      <c r="V344" s="30"/>
      <c r="W344" s="30"/>
      <c r="X344" s="31"/>
      <c r="Y344" s="32"/>
      <c r="Z344" s="32"/>
      <c r="AA344" s="32"/>
      <c r="AB344" s="219" t="s">
        <v>972</v>
      </c>
      <c r="AC344" s="33"/>
      <c r="AD344" s="23" t="str">
        <f>IF(M344="", "Error: Task name cannot be empty.", "")</f>
        <v/>
      </c>
    </row>
    <row r="345" spans="1:30" s="12" customFormat="1" ht="1.5" hidden="1" customHeight="1" outlineLevel="2" x14ac:dyDescent="0.35">
      <c r="A345" s="86" t="s">
        <v>101</v>
      </c>
      <c r="B345" s="18"/>
      <c r="C345" s="77"/>
      <c r="D345" s="77"/>
      <c r="E345" s="77"/>
      <c r="F345" s="76"/>
      <c r="G345" s="29"/>
      <c r="H345" s="29"/>
      <c r="I345" s="29"/>
      <c r="J345" s="29"/>
      <c r="K345" s="29"/>
      <c r="L345" s="163">
        <f ca="1">L344</f>
        <v>30</v>
      </c>
      <c r="M345" s="164" t="s">
        <v>105</v>
      </c>
      <c r="N345" s="161"/>
      <c r="O345" s="162"/>
      <c r="P345" s="30"/>
      <c r="Q345" s="30"/>
      <c r="R345" s="30"/>
      <c r="S345" s="30"/>
      <c r="T345" s="155"/>
      <c r="U345" s="30"/>
      <c r="V345" s="30"/>
      <c r="W345" s="30"/>
      <c r="X345" s="31"/>
      <c r="Y345" s="32"/>
      <c r="Z345" s="32"/>
      <c r="AA345" s="32"/>
      <c r="AB345" s="33"/>
      <c r="AC345" s="33"/>
      <c r="AD345" s="23"/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 t="str">
        <f ca="1">IFERROR(OFFSET(M346,-1,,1,1)+0.1,OFFSET(M346,-1,-1,1,1)&amp;".1")</f>
        <v>30.1</v>
      </c>
      <c r="N346" s="20" t="s">
        <v>1131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6</v>
      </c>
      <c r="T346" s="158"/>
      <c r="U346" s="21">
        <v>0</v>
      </c>
      <c r="V346" s="21">
        <v>1</v>
      </c>
      <c r="W346" s="21">
        <v>0</v>
      </c>
      <c r="X346" s="156">
        <v>6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6</v>
      </c>
      <c r="Z346" s="22"/>
      <c r="AA346" s="157">
        <f>Y346+Y346*VLOOKUP(I346,EXTRAS_ARRAY,2,FALSE)</f>
        <v>6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ht="15.5" hidden="1" outlineLevel="2" x14ac:dyDescent="0.35">
      <c r="A347" s="86" t="s">
        <v>0</v>
      </c>
      <c r="B347" s="18"/>
      <c r="C347" s="78"/>
      <c r="D347" s="78"/>
      <c r="E347" s="78"/>
      <c r="F347" s="79"/>
      <c r="G347" s="19" t="s">
        <v>23</v>
      </c>
      <c r="H347" s="19" t="s">
        <v>23</v>
      </c>
      <c r="I347" s="20" t="s">
        <v>23</v>
      </c>
      <c r="J347" s="19" t="s">
        <v>23</v>
      </c>
      <c r="K347" s="35"/>
      <c r="L347" s="19"/>
      <c r="M347" s="263">
        <f ca="1">IFERROR(OFFSET(M347,-1,,1,1)+0.1,OFFSET(M347,-1,-1,1,1)&amp;".1")</f>
        <v>30.200000000000003</v>
      </c>
      <c r="N347" s="20" t="s">
        <v>1132</v>
      </c>
      <c r="O347" s="20"/>
      <c r="P347" s="20"/>
      <c r="Q347" s="134"/>
      <c r="R347" s="127"/>
      <c r="S347" s="157">
        <f>CEILING((IF(J347="Yes", 0, IF(H347="-",AA347,AA347+AA347*VLOOKUP(H347,BUFFERS_BY_TYPE,2,FALSE)))) +
   (IF(J347="Yes", 0, IF(H347="-",AA347,AA347+AA347*VLOOKUP(H347,BUFFERS_BY_TYPE,2,FALSE))))*VLOOKUP($S$5, SALES_CALL_SCALE_ARRAY, 2,FALSE),0.25)</f>
        <v>8</v>
      </c>
      <c r="T347" s="158"/>
      <c r="U347" s="21">
        <v>0</v>
      </c>
      <c r="V347" s="21">
        <v>1</v>
      </c>
      <c r="W347" s="21">
        <v>0</v>
      </c>
      <c r="X347" s="156">
        <v>8</v>
      </c>
      <c r="Y347" s="157">
        <f>CEILING((IF(P347=AS_DEV_EFFORT, DEV_EFFORT*Q347%,
                           IF(P347=AS_DURATION_EFFORT, (MANUAL_DURATION*5)*Q347%,
                                    (IF(Q347&lt;=1,X347,
                                          IF(SUM(U347:W347)=0,(Q347*X347),
                                               (((Q347*U347)*(X347+(X347*EXTRA_FOR_H)))+
                                               ((Q347*V347)*X347)+
                                               ((Q347*W347)*(X347-(X347*LESS_FOR_L)))
                                    )*IF(R347=0,1,R347))))))+Z347), 0.25)</f>
        <v>8</v>
      </c>
      <c r="Z347" s="22"/>
      <c r="AA347" s="157">
        <f>Y347+Y347*VLOOKUP(I347,EXTRAS_ARRAY,2,FALSE)</f>
        <v>8</v>
      </c>
      <c r="AB347" s="20"/>
      <c r="AC347" s="34"/>
      <c r="AD347" s="23" t="str">
        <f>IF(J347&lt;&gt;"Yes",
IF(S347&lt;=0,"Error: Effort value is not defined or is invalid.",
IF(AND(SUM(U347:W347)&gt;0,SUM(U347:W347)&lt;&gt;1),"Error: Complexity % distribution should sum to 100%.",
IF(AND(P347=AS_DEV_EFFORT,X347&lt;&gt;0),"Error: PDs should not be defined when defining as dev effort %.",
IF(AND(P347=AS_DURATION_EFFORT,X347&lt;&gt;0),"Error: PDs should not be defined when defining as duration effort %.","")))))</f>
        <v/>
      </c>
    </row>
    <row r="348" spans="1:30" s="9" customFormat="1" ht="7.5" hidden="1" customHeight="1" outlineLevel="2" x14ac:dyDescent="0.35">
      <c r="A348" s="86" t="s">
        <v>132</v>
      </c>
      <c r="B348" s="15"/>
      <c r="C348" s="72"/>
      <c r="D348" s="72"/>
      <c r="E348" s="72"/>
      <c r="F348" s="72"/>
      <c r="M348" s="252"/>
      <c r="T348" s="15"/>
      <c r="X348" s="15"/>
      <c r="AB348" s="10"/>
      <c r="AC348" s="10"/>
      <c r="AD348" s="10"/>
    </row>
    <row r="349" spans="1:30" s="14" customFormat="1" ht="15.5" outlineLevel="1" x14ac:dyDescent="0.35">
      <c r="A349" s="86" t="s">
        <v>107</v>
      </c>
      <c r="B349" s="18"/>
      <c r="C349" s="77"/>
      <c r="D349" s="77"/>
      <c r="E349" s="77"/>
      <c r="F349" s="76"/>
      <c r="G349" s="170"/>
      <c r="H349" s="170"/>
      <c r="I349" s="170"/>
      <c r="J349" s="170"/>
      <c r="K349" s="170"/>
      <c r="L349" s="85" t="s">
        <v>109</v>
      </c>
      <c r="M349" s="300" t="s">
        <v>885</v>
      </c>
      <c r="N349" s="300"/>
      <c r="O349" s="80"/>
      <c r="P349" s="81"/>
      <c r="Q349" s="81"/>
      <c r="R349" s="81"/>
      <c r="S349" s="291">
        <f>SUMGROUP(ROW(), "T")</f>
        <v>139.5</v>
      </c>
      <c r="T349" s="291"/>
      <c r="U349" s="292"/>
      <c r="V349" s="292"/>
      <c r="W349" s="292"/>
      <c r="X349" s="82"/>
      <c r="Y349" s="83"/>
      <c r="Z349" s="83"/>
      <c r="AA349" s="83"/>
      <c r="AB349" s="221"/>
      <c r="AC349" s="84"/>
      <c r="AD349" s="23" t="str">
        <f>IF(M349="", "Error: Module name cannot be empty.", "")</f>
        <v/>
      </c>
    </row>
    <row r="350" spans="1:30" s="14" customFormat="1" ht="15.5" outlineLevel="1" collapsed="1" x14ac:dyDescent="0.35">
      <c r="A350" s="86" t="s">
        <v>100</v>
      </c>
      <c r="B350" s="18"/>
      <c r="C350" s="77"/>
      <c r="D350" s="77"/>
      <c r="E350" s="77"/>
      <c r="F350" s="76"/>
      <c r="G350" s="29"/>
      <c r="H350" s="29"/>
      <c r="I350" s="29"/>
      <c r="J350" s="29"/>
      <c r="K350" s="29"/>
      <c r="L350" s="17">
        <f ca="1">LOOKUP(1000,INDIRECT("L1:"&amp;CELL("address",INDIRECT("R[-1]C",FALSE))))+1</f>
        <v>31</v>
      </c>
      <c r="M350" s="301" t="s">
        <v>1133</v>
      </c>
      <c r="N350" s="301"/>
      <c r="O350" s="5"/>
      <c r="P350" s="30"/>
      <c r="Q350" s="30"/>
      <c r="R350" s="30"/>
      <c r="S350" s="30"/>
      <c r="T350" s="155">
        <f>IF($S$6="Exclude", SUMIFS(S351:S359, J351:J359, "&lt;&gt;Yes", G351:G359, "&lt;&gt;Yes"), SUMIFS(S351:S359, J351:J359, "&lt;&gt;Yes"))</f>
        <v>12</v>
      </c>
      <c r="U350" s="30"/>
      <c r="V350" s="30"/>
      <c r="W350" s="30"/>
      <c r="X350" s="31"/>
      <c r="Y350" s="32"/>
      <c r="Z350" s="32"/>
      <c r="AA350" s="32"/>
      <c r="AB350" s="219" t="s">
        <v>973</v>
      </c>
      <c r="AC350" s="33"/>
      <c r="AD350" s="23" t="str">
        <f>IF(M350="", "Error: Task name cannot be empty.", "")</f>
        <v/>
      </c>
    </row>
    <row r="351" spans="1:30" s="12" customFormat="1" ht="1.5" hidden="1" customHeight="1" outlineLevel="2" x14ac:dyDescent="0.35">
      <c r="A351" s="86" t="s">
        <v>101</v>
      </c>
      <c r="B351" s="18"/>
      <c r="C351" s="77"/>
      <c r="D351" s="77"/>
      <c r="E351" s="77"/>
      <c r="F351" s="76"/>
      <c r="G351" s="29"/>
      <c r="H351" s="29"/>
      <c r="I351" s="29"/>
      <c r="J351" s="29"/>
      <c r="K351" s="29"/>
      <c r="L351" s="163">
        <f ca="1">L350</f>
        <v>31</v>
      </c>
      <c r="M351" s="164" t="s">
        <v>105</v>
      </c>
      <c r="N351" s="161"/>
      <c r="O351" s="162"/>
      <c r="P351" s="30"/>
      <c r="Q351" s="30"/>
      <c r="R351" s="30"/>
      <c r="S351" s="30"/>
      <c r="T351" s="155"/>
      <c r="U351" s="30"/>
      <c r="V351" s="30"/>
      <c r="W351" s="30"/>
      <c r="X351" s="31"/>
      <c r="Y351" s="32"/>
      <c r="Z351" s="32"/>
      <c r="AA351" s="32"/>
      <c r="AB351" s="33"/>
      <c r="AC351" s="33"/>
      <c r="AD351" s="23"/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 t="str">
        <f t="shared" ref="M352:M358" ca="1" si="60">IFERROR(OFFSET(M352,-1,,1,1)+0.1,OFFSET(M352,-1,-1,1,1)&amp;".1")</f>
        <v>31.1</v>
      </c>
      <c r="N352" s="20" t="s">
        <v>1134</v>
      </c>
      <c r="O352" s="20"/>
      <c r="P352" s="20"/>
      <c r="Q352" s="134"/>
      <c r="R352" s="127"/>
      <c r="S352" s="157">
        <f t="shared" ref="S352:S358" si="61">CEILING((IF(J352="Yes", 0, IF(H352="-",AA352,AA352+AA352*VLOOKUP(H352,BUFFERS_BY_TYPE,2,FALSE)))) +
   (IF(J352="Yes", 0, IF(H352="-",AA352,AA352+AA352*VLOOKUP(H352,BUFFERS_BY_TYPE,2,FALSE))))*VLOOKUP($S$5, SALES_CALL_SCALE_ARRAY, 2,FALSE),0.25)</f>
        <v>2</v>
      </c>
      <c r="T352" s="158"/>
      <c r="U352" s="21">
        <v>0</v>
      </c>
      <c r="V352" s="21">
        <v>1</v>
      </c>
      <c r="W352" s="21">
        <v>0</v>
      </c>
      <c r="X352" s="156">
        <v>2</v>
      </c>
      <c r="Y352" s="157">
        <f t="shared" ref="Y352:Y358" si="62"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2</v>
      </c>
      <c r="Z352" s="22"/>
      <c r="AA352" s="157">
        <f t="shared" ref="AA352:AA358" si="63">Y352+Y352*VLOOKUP(I352,EXTRAS_ARRAY,2,FALSE)</f>
        <v>2</v>
      </c>
      <c r="AB352" s="20"/>
      <c r="AC352" s="34"/>
      <c r="AD352" s="23" t="str">
        <f t="shared" ref="AD352:AD358" si="64"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60"/>
        <v>31.200000000000003</v>
      </c>
      <c r="N353" s="20" t="s">
        <v>886</v>
      </c>
      <c r="O353" s="20"/>
      <c r="P353" s="20"/>
      <c r="Q353" s="134"/>
      <c r="R353" s="127"/>
      <c r="S353" s="157">
        <f t="shared" si="61"/>
        <v>1.5</v>
      </c>
      <c r="T353" s="158"/>
      <c r="U353" s="21">
        <v>0</v>
      </c>
      <c r="V353" s="21">
        <v>1</v>
      </c>
      <c r="W353" s="21">
        <v>0</v>
      </c>
      <c r="X353" s="156">
        <v>1.5</v>
      </c>
      <c r="Y353" s="157">
        <f t="shared" si="62"/>
        <v>1.5</v>
      </c>
      <c r="Z353" s="22"/>
      <c r="AA353" s="157">
        <f t="shared" si="63"/>
        <v>1.5</v>
      </c>
      <c r="AB353" s="20"/>
      <c r="AC353" s="34"/>
      <c r="AD353" s="23" t="str">
        <f t="shared" si="64"/>
        <v/>
      </c>
    </row>
    <row r="354" spans="1:30" ht="15.5" hidden="1" outlineLevel="2" x14ac:dyDescent="0.35">
      <c r="A354" s="86" t="s">
        <v>0</v>
      </c>
      <c r="B354" s="18"/>
      <c r="C354" s="78"/>
      <c r="D354" s="78"/>
      <c r="E354" s="78"/>
      <c r="F354" s="79"/>
      <c r="G354" s="19" t="s">
        <v>23</v>
      </c>
      <c r="H354" s="19" t="s">
        <v>23</v>
      </c>
      <c r="I354" s="20" t="s">
        <v>23</v>
      </c>
      <c r="J354" s="19" t="s">
        <v>23</v>
      </c>
      <c r="K354" s="35"/>
      <c r="L354" s="19"/>
      <c r="M354" s="263">
        <f t="shared" ca="1" si="60"/>
        <v>31.300000000000004</v>
      </c>
      <c r="N354" s="20" t="s">
        <v>887</v>
      </c>
      <c r="O354" s="20"/>
      <c r="P354" s="20"/>
      <c r="Q354" s="134"/>
      <c r="R354" s="127"/>
      <c r="S354" s="157">
        <f t="shared" si="61"/>
        <v>2</v>
      </c>
      <c r="T354" s="158"/>
      <c r="U354" s="21">
        <v>0</v>
      </c>
      <c r="V354" s="21">
        <v>1</v>
      </c>
      <c r="W354" s="21">
        <v>0</v>
      </c>
      <c r="X354" s="156">
        <v>2</v>
      </c>
      <c r="Y354" s="157">
        <f t="shared" si="62"/>
        <v>2</v>
      </c>
      <c r="Z354" s="22"/>
      <c r="AA354" s="157">
        <f t="shared" si="63"/>
        <v>2</v>
      </c>
      <c r="AB354" s="20"/>
      <c r="AC354" s="34"/>
      <c r="AD354" s="23" t="str">
        <f t="shared" si="64"/>
        <v/>
      </c>
    </row>
    <row r="355" spans="1:30" ht="15.5" hidden="1" outlineLevel="2" x14ac:dyDescent="0.35">
      <c r="A355" s="86" t="s">
        <v>0</v>
      </c>
      <c r="B355" s="18"/>
      <c r="C355" s="78"/>
      <c r="D355" s="78"/>
      <c r="E355" s="78"/>
      <c r="F355" s="79"/>
      <c r="G355" s="19" t="s">
        <v>23</v>
      </c>
      <c r="H355" s="19" t="s">
        <v>23</v>
      </c>
      <c r="I355" s="20" t="s">
        <v>23</v>
      </c>
      <c r="J355" s="19" t="s">
        <v>23</v>
      </c>
      <c r="K355" s="35"/>
      <c r="L355" s="19"/>
      <c r="M355" s="263">
        <f t="shared" ca="1" si="60"/>
        <v>31.400000000000006</v>
      </c>
      <c r="N355" s="20" t="s">
        <v>888</v>
      </c>
      <c r="O355" s="20"/>
      <c r="P355" s="20"/>
      <c r="Q355" s="134"/>
      <c r="R355" s="127"/>
      <c r="S355" s="157">
        <f t="shared" si="61"/>
        <v>2</v>
      </c>
      <c r="T355" s="158"/>
      <c r="U355" s="21">
        <v>0</v>
      </c>
      <c r="V355" s="21">
        <v>1</v>
      </c>
      <c r="W355" s="21">
        <v>0</v>
      </c>
      <c r="X355" s="156">
        <v>2</v>
      </c>
      <c r="Y355" s="157">
        <f t="shared" si="62"/>
        <v>2</v>
      </c>
      <c r="Z355" s="22"/>
      <c r="AA355" s="157">
        <f t="shared" si="63"/>
        <v>2</v>
      </c>
      <c r="AB355" s="20"/>
      <c r="AC355" s="34"/>
      <c r="AD355" s="23" t="str">
        <f t="shared" si="64"/>
        <v/>
      </c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>
        <f t="shared" ca="1" si="60"/>
        <v>31.500000000000007</v>
      </c>
      <c r="N356" s="20" t="s">
        <v>889</v>
      </c>
      <c r="O356" s="20"/>
      <c r="P356" s="20"/>
      <c r="Q356" s="134"/>
      <c r="R356" s="127"/>
      <c r="S356" s="157">
        <f t="shared" si="61"/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si="62"/>
        <v>1.5</v>
      </c>
      <c r="Z356" s="22"/>
      <c r="AA356" s="157">
        <f t="shared" si="63"/>
        <v>1.5</v>
      </c>
      <c r="AB356" s="20"/>
      <c r="AC356" s="34"/>
      <c r="AD356" s="23" t="str">
        <f t="shared" si="64"/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60"/>
        <v>31.600000000000009</v>
      </c>
      <c r="N357" s="20" t="s">
        <v>890</v>
      </c>
      <c r="O357" s="20"/>
      <c r="P357" s="20"/>
      <c r="Q357" s="134"/>
      <c r="R357" s="127"/>
      <c r="S357" s="157">
        <f t="shared" si="61"/>
        <v>1.5</v>
      </c>
      <c r="T357" s="158"/>
      <c r="U357" s="21">
        <v>0</v>
      </c>
      <c r="V357" s="21">
        <v>1</v>
      </c>
      <c r="W357" s="21">
        <v>0</v>
      </c>
      <c r="X357" s="156">
        <v>1.5</v>
      </c>
      <c r="Y357" s="157">
        <f t="shared" si="62"/>
        <v>1.5</v>
      </c>
      <c r="Z357" s="22"/>
      <c r="AA357" s="157">
        <f t="shared" si="63"/>
        <v>1.5</v>
      </c>
      <c r="AB357" s="20"/>
      <c r="AC357" s="34"/>
      <c r="AD357" s="23" t="str">
        <f t="shared" si="64"/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60"/>
        <v>31.70000000000001</v>
      </c>
      <c r="N358" s="20" t="s">
        <v>891</v>
      </c>
      <c r="O358" s="20"/>
      <c r="P358" s="20"/>
      <c r="Q358" s="134"/>
      <c r="R358" s="127"/>
      <c r="S358" s="157">
        <f t="shared" si="61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62"/>
        <v>1.5</v>
      </c>
      <c r="Z358" s="22"/>
      <c r="AA358" s="157">
        <f t="shared" si="63"/>
        <v>1.5</v>
      </c>
      <c r="AB358" s="20"/>
      <c r="AC358" s="34"/>
      <c r="AD358" s="23" t="str">
        <f t="shared" si="64"/>
        <v/>
      </c>
    </row>
    <row r="359" spans="1:30" s="9" customFormat="1" ht="7.5" hidden="1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32</v>
      </c>
      <c r="M360" s="301" t="s">
        <v>1135</v>
      </c>
      <c r="N360" s="301"/>
      <c r="O360" s="5"/>
      <c r="P360" s="30"/>
      <c r="Q360" s="30"/>
      <c r="R360" s="30"/>
      <c r="S360" s="30"/>
      <c r="T360" s="155">
        <f>IF($S$6="Exclude", SUMIFS(S361:S369, J361:J369, "&lt;&gt;Yes", G361:G369, "&lt;&gt;Yes"), SUMIFS(S361:S369, J361:J369, "&lt;&gt;Yes"))</f>
        <v>16</v>
      </c>
      <c r="U360" s="30"/>
      <c r="V360" s="30"/>
      <c r="W360" s="30"/>
      <c r="X360" s="31"/>
      <c r="Y360" s="32"/>
      <c r="Z360" s="32"/>
      <c r="AA360" s="32"/>
      <c r="AB360" s="219" t="s">
        <v>974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32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t="shared" ref="M362:M368" ca="1" si="65">IFERROR(OFFSET(M362,-1,,1,1)+0.1,OFFSET(M362,-1,-1,1,1)&amp;".1")</f>
        <v>32.1</v>
      </c>
      <c r="N362" s="20" t="s">
        <v>1136</v>
      </c>
      <c r="O362" s="20"/>
      <c r="P362" s="20"/>
      <c r="Q362" s="134"/>
      <c r="R362" s="127"/>
      <c r="S362" s="157">
        <f t="shared" ref="S362:S368" si="66">CEILING((IF(J362="Yes", 0, IF(H362="-",AA362,AA362+AA362*VLOOKUP(H362,BUFFERS_BY_TYPE,2,FALSE)))) +
   (IF(J362="Yes", 0, IF(H362="-",AA362,AA362+AA362*VLOOKUP(H362,BUFFERS_BY_TYPE,2,FALSE))))*VLOOKUP($S$5, SALES_CALL_SCALE_ARRAY, 2,FALSE),0.25)</f>
        <v>2.5</v>
      </c>
      <c r="T362" s="158"/>
      <c r="U362" s="21">
        <v>0</v>
      </c>
      <c r="V362" s="21">
        <v>1</v>
      </c>
      <c r="W362" s="21">
        <v>0</v>
      </c>
      <c r="X362" s="156">
        <v>2.5</v>
      </c>
      <c r="Y362" s="157">
        <f t="shared" ref="Y362:Y368" si="67"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2.5</v>
      </c>
      <c r="Z362" s="22"/>
      <c r="AA362" s="157">
        <f t="shared" ref="AA362:AA368" si="68">Y362+Y362*VLOOKUP(I362,EXTRAS_ARRAY,2,FALSE)</f>
        <v>2.5</v>
      </c>
      <c r="AB362" s="20"/>
      <c r="AC362" s="34"/>
      <c r="AD362" s="23" t="str">
        <f t="shared" ref="AD362:AD368" si="69"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t="shared" ca="1" si="65"/>
        <v>32.200000000000003</v>
      </c>
      <c r="N363" s="20" t="s">
        <v>1137</v>
      </c>
      <c r="O363" s="20"/>
      <c r="P363" s="20"/>
      <c r="Q363" s="134"/>
      <c r="R363" s="127"/>
      <c r="S363" s="157">
        <f t="shared" si="66"/>
        <v>2</v>
      </c>
      <c r="T363" s="158"/>
      <c r="U363" s="21">
        <v>0</v>
      </c>
      <c r="V363" s="21">
        <v>1</v>
      </c>
      <c r="W363" s="21">
        <v>0</v>
      </c>
      <c r="X363" s="156">
        <v>2</v>
      </c>
      <c r="Y363" s="157">
        <f t="shared" si="67"/>
        <v>2</v>
      </c>
      <c r="Z363" s="22"/>
      <c r="AA363" s="157">
        <f t="shared" si="68"/>
        <v>2</v>
      </c>
      <c r="AB363" s="20"/>
      <c r="AC363" s="34"/>
      <c r="AD363" s="23" t="str">
        <f t="shared" si="69"/>
        <v/>
      </c>
    </row>
    <row r="364" spans="1:30" ht="15.5" hidden="1" outlineLevel="2" x14ac:dyDescent="0.35">
      <c r="A364" s="86" t="s">
        <v>0</v>
      </c>
      <c r="B364" s="18"/>
      <c r="C364" s="78"/>
      <c r="D364" s="78"/>
      <c r="E364" s="78"/>
      <c r="F364" s="79"/>
      <c r="G364" s="19" t="s">
        <v>23</v>
      </c>
      <c r="H364" s="19" t="s">
        <v>23</v>
      </c>
      <c r="I364" s="20" t="s">
        <v>23</v>
      </c>
      <c r="J364" s="19" t="s">
        <v>23</v>
      </c>
      <c r="K364" s="35"/>
      <c r="L364" s="19"/>
      <c r="M364" s="263">
        <f t="shared" ca="1" si="65"/>
        <v>32.300000000000004</v>
      </c>
      <c r="N364" s="20" t="s">
        <v>1138</v>
      </c>
      <c r="O364" s="20"/>
      <c r="P364" s="20"/>
      <c r="Q364" s="134"/>
      <c r="R364" s="127"/>
      <c r="S364" s="157">
        <f t="shared" si="66"/>
        <v>2.5</v>
      </c>
      <c r="T364" s="158"/>
      <c r="U364" s="21">
        <v>0</v>
      </c>
      <c r="V364" s="21">
        <v>1</v>
      </c>
      <c r="W364" s="21">
        <v>0</v>
      </c>
      <c r="X364" s="156">
        <v>2.5</v>
      </c>
      <c r="Y364" s="157">
        <f t="shared" si="67"/>
        <v>2.5</v>
      </c>
      <c r="Z364" s="22"/>
      <c r="AA364" s="157">
        <f t="shared" si="68"/>
        <v>2.5</v>
      </c>
      <c r="AB364" s="20"/>
      <c r="AC364" s="34"/>
      <c r="AD364" s="23" t="str">
        <f t="shared" si="69"/>
        <v/>
      </c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>
        <f t="shared" ca="1" si="65"/>
        <v>32.400000000000006</v>
      </c>
      <c r="N365" s="20" t="s">
        <v>1139</v>
      </c>
      <c r="O365" s="20"/>
      <c r="P365" s="20"/>
      <c r="Q365" s="134"/>
      <c r="R365" s="127"/>
      <c r="S365" s="157">
        <f t="shared" si="66"/>
        <v>2</v>
      </c>
      <c r="T365" s="158"/>
      <c r="U365" s="21">
        <v>0</v>
      </c>
      <c r="V365" s="21">
        <v>1</v>
      </c>
      <c r="W365" s="21">
        <v>0</v>
      </c>
      <c r="X365" s="156">
        <v>2</v>
      </c>
      <c r="Y365" s="157">
        <f t="shared" si="67"/>
        <v>2</v>
      </c>
      <c r="Z365" s="22"/>
      <c r="AA365" s="157">
        <f t="shared" si="68"/>
        <v>2</v>
      </c>
      <c r="AB365" s="20"/>
      <c r="AC365" s="34"/>
      <c r="AD365" s="23" t="str">
        <f t="shared" si="69"/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65"/>
        <v>32.500000000000007</v>
      </c>
      <c r="N366" s="20" t="s">
        <v>1140</v>
      </c>
      <c r="O366" s="20"/>
      <c r="P366" s="20"/>
      <c r="Q366" s="134"/>
      <c r="R366" s="127"/>
      <c r="S366" s="157">
        <f t="shared" si="66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67"/>
        <v>2</v>
      </c>
      <c r="Z366" s="22"/>
      <c r="AA366" s="157">
        <f t="shared" si="68"/>
        <v>2</v>
      </c>
      <c r="AB366" s="20"/>
      <c r="AC366" s="34"/>
      <c r="AD366" s="23" t="str">
        <f t="shared" si="69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65"/>
        <v>32.600000000000009</v>
      </c>
      <c r="N367" s="20" t="s">
        <v>892</v>
      </c>
      <c r="O367" s="20"/>
      <c r="P367" s="20"/>
      <c r="Q367" s="134"/>
      <c r="R367" s="127"/>
      <c r="S367" s="157">
        <f t="shared" si="66"/>
        <v>2</v>
      </c>
      <c r="T367" s="158"/>
      <c r="U367" s="21">
        <v>0</v>
      </c>
      <c r="V367" s="21">
        <v>1</v>
      </c>
      <c r="W367" s="21">
        <v>0</v>
      </c>
      <c r="X367" s="156">
        <v>2</v>
      </c>
      <c r="Y367" s="157">
        <f t="shared" si="67"/>
        <v>2</v>
      </c>
      <c r="Z367" s="22"/>
      <c r="AA367" s="157">
        <f t="shared" si="68"/>
        <v>2</v>
      </c>
      <c r="AB367" s="20"/>
      <c r="AC367" s="34"/>
      <c r="AD367" s="23" t="str">
        <f t="shared" si="69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65"/>
        <v>32.70000000000001</v>
      </c>
      <c r="N368" s="20" t="s">
        <v>893</v>
      </c>
      <c r="O368" s="20"/>
      <c r="P368" s="20"/>
      <c r="Q368" s="134"/>
      <c r="R368" s="127"/>
      <c r="S368" s="157">
        <f t="shared" si="66"/>
        <v>3</v>
      </c>
      <c r="T368" s="158"/>
      <c r="U368" s="21">
        <v>0</v>
      </c>
      <c r="V368" s="21">
        <v>1</v>
      </c>
      <c r="W368" s="21">
        <v>0</v>
      </c>
      <c r="X368" s="156">
        <v>3</v>
      </c>
      <c r="Y368" s="157">
        <f t="shared" si="67"/>
        <v>3</v>
      </c>
      <c r="Z368" s="22"/>
      <c r="AA368" s="157">
        <f t="shared" si="68"/>
        <v>3</v>
      </c>
      <c r="AB368" s="20"/>
      <c r="AC368" s="34"/>
      <c r="AD368" s="23" t="str">
        <f t="shared" si="69"/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100</v>
      </c>
      <c r="B370" s="18"/>
      <c r="C370" s="77"/>
      <c r="D370" s="77"/>
      <c r="E370" s="77"/>
      <c r="F370" s="76"/>
      <c r="G370" s="29"/>
      <c r="H370" s="29"/>
      <c r="I370" s="29"/>
      <c r="J370" s="29"/>
      <c r="K370" s="29"/>
      <c r="L370" s="17">
        <f ca="1">LOOKUP(1000,INDIRECT("L1:"&amp;CELL("address",INDIRECT("R[-1]C",FALSE))))+1</f>
        <v>33</v>
      </c>
      <c r="M370" s="301" t="s">
        <v>1141</v>
      </c>
      <c r="N370" s="301"/>
      <c r="O370" s="5"/>
      <c r="P370" s="30"/>
      <c r="Q370" s="30"/>
      <c r="R370" s="30"/>
      <c r="S370" s="30"/>
      <c r="T370" s="155">
        <f>IF($S$6="Exclude", SUMIFS(S371:S383, J371:J383, "&lt;&gt;Yes", G371:G383, "&lt;&gt;Yes"), SUMIFS(S371:S383, J371:J383, "&lt;&gt;Yes"))</f>
        <v>31.5</v>
      </c>
      <c r="U370" s="30"/>
      <c r="V370" s="30"/>
      <c r="W370" s="30"/>
      <c r="X370" s="31"/>
      <c r="Y370" s="32"/>
      <c r="Z370" s="32"/>
      <c r="AA370" s="32"/>
      <c r="AB370" s="219" t="s">
        <v>975</v>
      </c>
      <c r="AC370" s="33"/>
      <c r="AD370" s="23" t="str">
        <f>IF(M370="", "Error: Task name cannot be empty.", "")</f>
        <v/>
      </c>
    </row>
    <row r="371" spans="1:30" s="12" customFormat="1" ht="1.5" customHeight="1" outlineLevel="2" x14ac:dyDescent="0.35">
      <c r="A371" s="86" t="s">
        <v>101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63">
        <f ca="1">L370</f>
        <v>33</v>
      </c>
      <c r="M371" s="164" t="s">
        <v>105</v>
      </c>
      <c r="N371" s="161"/>
      <c r="O371" s="162"/>
      <c r="P371" s="30"/>
      <c r="Q371" s="30"/>
      <c r="R371" s="30"/>
      <c r="S371" s="30"/>
      <c r="T371" s="155"/>
      <c r="U371" s="30"/>
      <c r="V371" s="30"/>
      <c r="W371" s="30"/>
      <c r="X371" s="31"/>
      <c r="Y371" s="32"/>
      <c r="Z371" s="32"/>
      <c r="AA371" s="32"/>
      <c r="AB371" s="33"/>
      <c r="AC371" s="33"/>
      <c r="AD371" s="23"/>
    </row>
    <row r="372" spans="1:30" ht="15.5" outlineLevel="2" x14ac:dyDescent="0.35">
      <c r="A372" s="86" t="s">
        <v>0</v>
      </c>
      <c r="B372" s="18"/>
      <c r="C372" s="78"/>
      <c r="D372" s="78"/>
      <c r="E372" s="78"/>
      <c r="F372" s="79"/>
      <c r="G372" s="19" t="s">
        <v>23</v>
      </c>
      <c r="H372" s="19" t="s">
        <v>23</v>
      </c>
      <c r="I372" s="20" t="s">
        <v>23</v>
      </c>
      <c r="J372" s="19" t="s">
        <v>23</v>
      </c>
      <c r="K372" s="35"/>
      <c r="L372" s="19"/>
      <c r="M372" s="263" t="str">
        <f t="shared" ref="M372:M381" ca="1" si="70">IFERROR(OFFSET(M372,-1,,1,1)+0.1,OFFSET(M372,-1,-1,1,1)&amp;".1")</f>
        <v>33.1</v>
      </c>
      <c r="N372" s="20" t="s">
        <v>1142</v>
      </c>
      <c r="O372" s="20"/>
      <c r="P372" s="20"/>
      <c r="Q372" s="134"/>
      <c r="R372" s="127"/>
      <c r="S372" s="157">
        <f t="shared" ref="S372:S381" si="71">CEILING((IF(J372="Yes", 0, IF(H372="-",AA372,AA372+AA372*VLOOKUP(H372,BUFFERS_BY_TYPE,2,FALSE)))) +
   (IF(J372="Yes", 0, IF(H372="-",AA372,AA372+AA372*VLOOKUP(H372,BUFFERS_BY_TYPE,2,FALSE))))*VLOOKUP($S$5, SALES_CALL_SCALE_ARRAY, 2,FALSE),0.25)</f>
        <v>2</v>
      </c>
      <c r="T372" s="158"/>
      <c r="U372" s="21">
        <v>0</v>
      </c>
      <c r="V372" s="21">
        <v>1</v>
      </c>
      <c r="W372" s="21">
        <v>0</v>
      </c>
      <c r="X372" s="156">
        <v>2</v>
      </c>
      <c r="Y372" s="157">
        <f t="shared" ref="Y372:Y381" si="72">CEILING((IF(P372=AS_DEV_EFFORT, DEV_EFFORT*Q372%,
                           IF(P372=AS_DURATION_EFFORT, (MANUAL_DURATION*5)*Q372%,
                                    (IF(Q372&lt;=1,X372,
                                          IF(SUM(U372:W372)=0,(Q372*X372),
                                               (((Q372*U372)*(X372+(X372*EXTRA_FOR_H)))+
                                               ((Q372*V372)*X372)+
                                               ((Q372*W372)*(X372-(X372*LESS_FOR_L)))
                                    )*IF(R372=0,1,R372))))))+Z372), 0.25)</f>
        <v>2</v>
      </c>
      <c r="Z372" s="22"/>
      <c r="AA372" s="157">
        <f t="shared" ref="AA372:AA381" si="73">Y372+Y372*VLOOKUP(I372,EXTRAS_ARRAY,2,FALSE)</f>
        <v>2</v>
      </c>
      <c r="AB372" s="20"/>
      <c r="AC372" s="34"/>
      <c r="AD372" s="23" t="str">
        <f t="shared" ref="AD372:AD381" si="74">IF(J372&lt;&gt;"Yes",
IF(S372&lt;=0,"Error: Effort value is not defined or is invalid.",
IF(AND(SUM(U372:W372)&gt;0,SUM(U372:W372)&lt;&gt;1),"Error: Complexity % distribution should sum to 100%.",
IF(AND(P372=AS_DEV_EFFORT,X372&lt;&gt;0),"Error: PDs should not be defined when defining as dev effort %.",
IF(AND(P372=AS_DURATION_EFFORT,X372&lt;&gt;0),"Error: PDs should not be defined when defining as duration effort %.","")))))</f>
        <v/>
      </c>
    </row>
    <row r="373" spans="1:30" ht="15.5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>
        <f t="shared" ca="1" si="70"/>
        <v>33.200000000000003</v>
      </c>
      <c r="N373" s="20" t="s">
        <v>894</v>
      </c>
      <c r="O373" s="20"/>
      <c r="P373" s="20"/>
      <c r="Q373" s="134"/>
      <c r="R373" s="127"/>
      <c r="S373" s="157">
        <f t="shared" si="71"/>
        <v>4</v>
      </c>
      <c r="T373" s="158"/>
      <c r="U373" s="21">
        <v>0</v>
      </c>
      <c r="V373" s="21">
        <v>1</v>
      </c>
      <c r="W373" s="21">
        <v>0</v>
      </c>
      <c r="X373" s="156">
        <v>4</v>
      </c>
      <c r="Y373" s="157">
        <f t="shared" si="72"/>
        <v>4</v>
      </c>
      <c r="Z373" s="22"/>
      <c r="AA373" s="157">
        <f t="shared" si="73"/>
        <v>4</v>
      </c>
      <c r="AB373" s="20"/>
      <c r="AC373" s="34"/>
      <c r="AD373" s="23" t="str">
        <f t="shared" si="74"/>
        <v/>
      </c>
    </row>
    <row r="374" spans="1:30" ht="15.5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70"/>
        <v>33.300000000000004</v>
      </c>
      <c r="N374" s="20" t="s">
        <v>895</v>
      </c>
      <c r="O374" s="20"/>
      <c r="P374" s="20"/>
      <c r="Q374" s="134"/>
      <c r="R374" s="127"/>
      <c r="S374" s="157">
        <f t="shared" si="71"/>
        <v>3</v>
      </c>
      <c r="T374" s="158"/>
      <c r="U374" s="21">
        <v>0</v>
      </c>
      <c r="V374" s="21">
        <v>1</v>
      </c>
      <c r="W374" s="21">
        <v>0</v>
      </c>
      <c r="X374" s="156">
        <v>3</v>
      </c>
      <c r="Y374" s="157">
        <f t="shared" si="72"/>
        <v>3</v>
      </c>
      <c r="Z374" s="22"/>
      <c r="AA374" s="157">
        <f t="shared" si="73"/>
        <v>3</v>
      </c>
      <c r="AB374" s="20"/>
      <c r="AC374" s="34"/>
      <c r="AD374" s="23" t="str">
        <f t="shared" si="74"/>
        <v/>
      </c>
    </row>
    <row r="375" spans="1:30" ht="15.5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70"/>
        <v>33.400000000000006</v>
      </c>
      <c r="N375" s="20" t="s">
        <v>896</v>
      </c>
      <c r="O375" s="20"/>
      <c r="P375" s="20"/>
      <c r="Q375" s="134"/>
      <c r="R375" s="127"/>
      <c r="S375" s="157">
        <f t="shared" si="71"/>
        <v>3</v>
      </c>
      <c r="T375" s="158"/>
      <c r="U375" s="21">
        <v>0</v>
      </c>
      <c r="V375" s="21">
        <v>1</v>
      </c>
      <c r="W375" s="21">
        <v>0</v>
      </c>
      <c r="X375" s="156">
        <v>3</v>
      </c>
      <c r="Y375" s="157">
        <f t="shared" si="72"/>
        <v>3</v>
      </c>
      <c r="Z375" s="22"/>
      <c r="AA375" s="157">
        <f t="shared" si="73"/>
        <v>3</v>
      </c>
      <c r="AB375" s="20"/>
      <c r="AC375" s="34"/>
      <c r="AD375" s="23" t="str">
        <f t="shared" si="74"/>
        <v/>
      </c>
    </row>
    <row r="376" spans="1:30" ht="15.5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70"/>
        <v>33.500000000000007</v>
      </c>
      <c r="N376" s="20" t="s">
        <v>897</v>
      </c>
      <c r="O376" s="20"/>
      <c r="P376" s="20"/>
      <c r="Q376" s="134"/>
      <c r="R376" s="127"/>
      <c r="S376" s="157">
        <f t="shared" si="71"/>
        <v>2.5</v>
      </c>
      <c r="T376" s="158"/>
      <c r="U376" s="21">
        <v>0</v>
      </c>
      <c r="V376" s="21">
        <v>1</v>
      </c>
      <c r="W376" s="21">
        <v>0</v>
      </c>
      <c r="X376" s="156">
        <v>2.5</v>
      </c>
      <c r="Y376" s="157">
        <f t="shared" si="72"/>
        <v>2.5</v>
      </c>
      <c r="Z376" s="22"/>
      <c r="AA376" s="157">
        <f t="shared" si="73"/>
        <v>2.5</v>
      </c>
      <c r="AB376" s="20"/>
      <c r="AC376" s="34"/>
      <c r="AD376" s="23" t="str">
        <f t="shared" si="74"/>
        <v/>
      </c>
    </row>
    <row r="377" spans="1:30" ht="15.5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70"/>
        <v>33.600000000000009</v>
      </c>
      <c r="N377" s="20" t="s">
        <v>898</v>
      </c>
      <c r="O377" s="20"/>
      <c r="P377" s="20"/>
      <c r="Q377" s="134"/>
      <c r="R377" s="127"/>
      <c r="S377" s="157">
        <f t="shared" si="71"/>
        <v>2.5</v>
      </c>
      <c r="T377" s="158"/>
      <c r="U377" s="21">
        <v>0</v>
      </c>
      <c r="V377" s="21">
        <v>1</v>
      </c>
      <c r="W377" s="21">
        <v>0</v>
      </c>
      <c r="X377" s="156">
        <v>2.5</v>
      </c>
      <c r="Y377" s="157">
        <f t="shared" si="72"/>
        <v>2.5</v>
      </c>
      <c r="Z377" s="22"/>
      <c r="AA377" s="157">
        <f t="shared" si="73"/>
        <v>2.5</v>
      </c>
      <c r="AB377" s="20"/>
      <c r="AC377" s="34"/>
      <c r="AD377" s="23" t="str">
        <f t="shared" si="74"/>
        <v/>
      </c>
    </row>
    <row r="378" spans="1:30" ht="15.5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70"/>
        <v>33.70000000000001</v>
      </c>
      <c r="N378" s="20" t="s">
        <v>899</v>
      </c>
      <c r="O378" s="20"/>
      <c r="P378" s="20"/>
      <c r="Q378" s="134"/>
      <c r="R378" s="127"/>
      <c r="S378" s="157">
        <f t="shared" si="71"/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 t="shared" si="72"/>
        <v>4</v>
      </c>
      <c r="Z378" s="22"/>
      <c r="AA378" s="157">
        <f t="shared" si="73"/>
        <v>4</v>
      </c>
      <c r="AB378" s="20"/>
      <c r="AC378" s="34"/>
      <c r="AD378" s="23" t="str">
        <f t="shared" si="74"/>
        <v/>
      </c>
    </row>
    <row r="379" spans="1:30" ht="15.5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70"/>
        <v>33.800000000000011</v>
      </c>
      <c r="N379" s="20" t="s">
        <v>900</v>
      </c>
      <c r="O379" s="20"/>
      <c r="P379" s="20"/>
      <c r="Q379" s="134"/>
      <c r="R379" s="127"/>
      <c r="S379" s="157">
        <f t="shared" si="71"/>
        <v>2.5</v>
      </c>
      <c r="T379" s="158"/>
      <c r="U379" s="21">
        <v>0</v>
      </c>
      <c r="V379" s="21">
        <v>1</v>
      </c>
      <c r="W379" s="21">
        <v>0</v>
      </c>
      <c r="X379" s="156">
        <v>2.5</v>
      </c>
      <c r="Y379" s="157">
        <f t="shared" si="72"/>
        <v>2.5</v>
      </c>
      <c r="Z379" s="22"/>
      <c r="AA379" s="157">
        <f t="shared" si="73"/>
        <v>2.5</v>
      </c>
      <c r="AB379" s="20"/>
      <c r="AC379" s="34"/>
      <c r="AD379" s="23" t="str">
        <f t="shared" si="74"/>
        <v/>
      </c>
    </row>
    <row r="380" spans="1:30" ht="15.5" outlineLevel="2" x14ac:dyDescent="0.35">
      <c r="A380" s="86" t="s">
        <v>0</v>
      </c>
      <c r="B380" s="18"/>
      <c r="C380" s="78"/>
      <c r="D380" s="78"/>
      <c r="E380" s="78"/>
      <c r="F380" s="79"/>
      <c r="G380" s="19" t="s">
        <v>23</v>
      </c>
      <c r="H380" s="19" t="s">
        <v>23</v>
      </c>
      <c r="I380" s="20" t="s">
        <v>23</v>
      </c>
      <c r="J380" s="19" t="s">
        <v>23</v>
      </c>
      <c r="K380" s="35"/>
      <c r="L380" s="19"/>
      <c r="M380" s="263">
        <f t="shared" ca="1" si="70"/>
        <v>33.900000000000013</v>
      </c>
      <c r="N380" s="20" t="s">
        <v>901</v>
      </c>
      <c r="O380" s="20"/>
      <c r="P380" s="20"/>
      <c r="Q380" s="134"/>
      <c r="R380" s="127"/>
      <c r="S380" s="157">
        <f t="shared" si="71"/>
        <v>3</v>
      </c>
      <c r="T380" s="158"/>
      <c r="U380" s="21">
        <v>0</v>
      </c>
      <c r="V380" s="21">
        <v>1</v>
      </c>
      <c r="W380" s="21">
        <v>0</v>
      </c>
      <c r="X380" s="156">
        <v>3</v>
      </c>
      <c r="Y380" s="157">
        <f t="shared" si="72"/>
        <v>3</v>
      </c>
      <c r="Z380" s="22"/>
      <c r="AA380" s="157">
        <f t="shared" si="73"/>
        <v>3</v>
      </c>
      <c r="AB380" s="20"/>
      <c r="AC380" s="34"/>
      <c r="AD380" s="23" t="str">
        <f t="shared" si="74"/>
        <v/>
      </c>
    </row>
    <row r="381" spans="1:30" ht="15.5" outlineLevel="2" x14ac:dyDescent="0.35">
      <c r="A381" s="86" t="s">
        <v>0</v>
      </c>
      <c r="B381" s="18"/>
      <c r="C381" s="78"/>
      <c r="D381" s="78"/>
      <c r="E381" s="78"/>
      <c r="F381" s="79"/>
      <c r="G381" s="19" t="s">
        <v>23</v>
      </c>
      <c r="H381" s="19" t="s">
        <v>23</v>
      </c>
      <c r="I381" s="20" t="s">
        <v>23</v>
      </c>
      <c r="J381" s="19" t="s">
        <v>23</v>
      </c>
      <c r="K381" s="35"/>
      <c r="L381" s="19"/>
      <c r="M381" s="263">
        <f t="shared" ca="1" si="70"/>
        <v>34.000000000000014</v>
      </c>
      <c r="N381" s="20" t="s">
        <v>902</v>
      </c>
      <c r="O381" s="20"/>
      <c r="P381" s="20"/>
      <c r="Q381" s="134"/>
      <c r="R381" s="127"/>
      <c r="S381" s="157">
        <f t="shared" si="71"/>
        <v>3.5</v>
      </c>
      <c r="T381" s="158"/>
      <c r="U381" s="21">
        <v>0</v>
      </c>
      <c r="V381" s="21">
        <v>1</v>
      </c>
      <c r="W381" s="21">
        <v>0</v>
      </c>
      <c r="X381" s="156">
        <v>3.5</v>
      </c>
      <c r="Y381" s="157">
        <f t="shared" si="72"/>
        <v>3.5</v>
      </c>
      <c r="Z381" s="22"/>
      <c r="AA381" s="157">
        <f t="shared" si="73"/>
        <v>3.5</v>
      </c>
      <c r="AB381" s="20"/>
      <c r="AC381" s="34"/>
      <c r="AD381" s="23" t="str">
        <f t="shared" si="74"/>
        <v/>
      </c>
    </row>
    <row r="382" spans="1:30" ht="29" outlineLevel="2" x14ac:dyDescent="0.35">
      <c r="A382" s="86" t="s">
        <v>0</v>
      </c>
      <c r="B382" s="18"/>
      <c r="C382" s="78"/>
      <c r="D382" s="78"/>
      <c r="E382" s="78"/>
      <c r="F382" s="79"/>
      <c r="G382" s="19" t="s">
        <v>23</v>
      </c>
      <c r="H382" s="19" t="s">
        <v>23</v>
      </c>
      <c r="I382" s="20" t="s">
        <v>23</v>
      </c>
      <c r="J382" s="19" t="s">
        <v>23</v>
      </c>
      <c r="K382" s="35"/>
      <c r="L382" s="19"/>
      <c r="M382" s="263">
        <f ca="1">IFERROR(OFFSET(M382,-1,,1,1)+0.1,OFFSET(M382,-1,-1,1,1)&amp;".1")</f>
        <v>34.100000000000016</v>
      </c>
      <c r="N382" s="20" t="s">
        <v>1275</v>
      </c>
      <c r="O382" s="20"/>
      <c r="P382" s="20"/>
      <c r="Q382" s="134"/>
      <c r="R382" s="127"/>
      <c r="S382" s="157">
        <f>CEILING((IF(J382="Yes", 0, IF(H382="-",AA382,AA382+AA382*VLOOKUP(H382,BUFFERS_BY_TYPE,2,FALSE)))) +
   (IF(J382="Yes", 0, IF(H382="-",AA382,AA382+AA382*VLOOKUP(H382,BUFFERS_BY_TYPE,2,FALSE))))*VLOOKUP($S$5, SALES_CALL_SCALE_ARRAY, 2,FALSE),0.25)</f>
        <v>1.5</v>
      </c>
      <c r="T382" s="158"/>
      <c r="U382" s="21">
        <v>0</v>
      </c>
      <c r="V382" s="21">
        <v>1</v>
      </c>
      <c r="W382" s="21">
        <v>0</v>
      </c>
      <c r="X382" s="156">
        <v>1.5</v>
      </c>
      <c r="Y382" s="157">
        <f>CEILING((IF(P382=AS_DEV_EFFORT, DEV_EFFORT*Q382%,
                           IF(P382=AS_DURATION_EFFORT, (MANUAL_DURATION*5)*Q382%,
                                    (IF(Q382&lt;=1,X382,
                                          IF(SUM(U382:W382)=0,(Q382*X382),
                                               (((Q382*U382)*(X382+(X382*EXTRA_FOR_H)))+
                                               ((Q382*V382)*X382)+
                                               ((Q382*W382)*(X382-(X382*LESS_FOR_L)))
                                    )*IF(R382=0,1,R382))))))+Z382), 0.25)</f>
        <v>1.5</v>
      </c>
      <c r="Z382" s="22"/>
      <c r="AA382" s="157">
        <f>Y382+Y382*VLOOKUP(I382,EXTRAS_ARRAY,2,FALSE)</f>
        <v>1.5</v>
      </c>
      <c r="AB382" s="20"/>
      <c r="AC382" s="34"/>
      <c r="AD382" s="23" t="str">
        <f>IF(J382&lt;&gt;"Yes",
IF(S382&lt;=0,"Error: Effort value is not defined or is invalid.",
IF(AND(SUM(U382:W382)&gt;0,SUM(U382:W382)&lt;&gt;1),"Error: Complexity % distribution should sum to 100%.",
IF(AND(P382=AS_DEV_EFFORT,X382&lt;&gt;0),"Error: PDs should not be defined when defining as dev effort %.",
IF(AND(P382=AS_DURATION_EFFORT,X382&lt;&gt;0),"Error: PDs should not be defined when defining as duration effort %.","")))))</f>
        <v/>
      </c>
    </row>
    <row r="383" spans="1:30" s="9" customFormat="1" ht="7.5" customHeight="1" outlineLevel="2" x14ac:dyDescent="0.35">
      <c r="A383" s="86" t="s">
        <v>132</v>
      </c>
      <c r="B383" s="15"/>
      <c r="C383" s="72"/>
      <c r="D383" s="72"/>
      <c r="E383" s="72"/>
      <c r="F383" s="72"/>
      <c r="M383" s="252"/>
      <c r="T383" s="15"/>
      <c r="X383" s="15"/>
      <c r="AB383" s="10"/>
      <c r="AC383" s="10"/>
      <c r="AD383" s="10"/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34</v>
      </c>
      <c r="M384" s="301" t="s">
        <v>1143</v>
      </c>
      <c r="N384" s="301"/>
      <c r="O384" s="5"/>
      <c r="P384" s="30"/>
      <c r="Q384" s="30"/>
      <c r="R384" s="30"/>
      <c r="S384" s="30"/>
      <c r="T384" s="155">
        <f>IF($S$6="Exclude", SUMIFS(S385:S394, J385:J394, "&lt;&gt;Yes", G385:G394, "&lt;&gt;Yes"), SUMIFS(S385:S394, J385:J394, "&lt;&gt;Yes"))</f>
        <v>28</v>
      </c>
      <c r="U384" s="30"/>
      <c r="V384" s="30"/>
      <c r="W384" s="30"/>
      <c r="X384" s="31"/>
      <c r="Y384" s="32"/>
      <c r="Z384" s="32"/>
      <c r="AA384" s="32"/>
      <c r="AB384" s="219" t="s">
        <v>976</v>
      </c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34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t="shared" ref="M386:M393" ca="1" si="75">IFERROR(OFFSET(M386,-1,,1,1)+0.1,OFFSET(M386,-1,-1,1,1)&amp;".1")</f>
        <v>34.1</v>
      </c>
      <c r="N386" s="20" t="s">
        <v>903</v>
      </c>
      <c r="O386" s="20"/>
      <c r="P386" s="20"/>
      <c r="Q386" s="134"/>
      <c r="R386" s="127"/>
      <c r="S386" s="157">
        <f t="shared" ref="S386:S393" si="76">CEILING((IF(J386="Yes", 0, IF(H386="-",AA386,AA386+AA386*VLOOKUP(H386,BUFFERS_BY_TYPE,2,FALSE)))) +
   (IF(J386="Yes", 0, IF(H386="-",AA386,AA386+AA386*VLOOKUP(H386,BUFFERS_BY_TYPE,2,FALSE))))*VLOOKUP($S$5, SALES_CALL_SCALE_ARRAY, 2,FALSE),0.25)</f>
        <v>4</v>
      </c>
      <c r="T386" s="158"/>
      <c r="U386" s="21">
        <v>0</v>
      </c>
      <c r="V386" s="21">
        <v>1</v>
      </c>
      <c r="W386" s="21">
        <v>0</v>
      </c>
      <c r="X386" s="156">
        <v>4</v>
      </c>
      <c r="Y386" s="157">
        <f t="shared" ref="Y386:Y393" si="77"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4</v>
      </c>
      <c r="Z386" s="22"/>
      <c r="AA386" s="157">
        <f t="shared" ref="AA386:AA393" si="78">Y386+Y386*VLOOKUP(I386,EXTRAS_ARRAY,2,FALSE)</f>
        <v>4</v>
      </c>
      <c r="AB386" s="20"/>
      <c r="AC386" s="34"/>
      <c r="AD386" s="23" t="str">
        <f t="shared" ref="AD386:AD393" si="79"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75"/>
        <v>34.200000000000003</v>
      </c>
      <c r="N387" s="20" t="s">
        <v>904</v>
      </c>
      <c r="O387" s="20"/>
      <c r="P387" s="20"/>
      <c r="Q387" s="134"/>
      <c r="R387" s="127"/>
      <c r="S387" s="157">
        <f t="shared" si="76"/>
        <v>4</v>
      </c>
      <c r="T387" s="158"/>
      <c r="U387" s="21">
        <v>0</v>
      </c>
      <c r="V387" s="21">
        <v>1</v>
      </c>
      <c r="W387" s="21">
        <v>0</v>
      </c>
      <c r="X387" s="156">
        <v>4</v>
      </c>
      <c r="Y387" s="157">
        <f t="shared" si="77"/>
        <v>4</v>
      </c>
      <c r="Z387" s="22"/>
      <c r="AA387" s="157">
        <f t="shared" si="78"/>
        <v>4</v>
      </c>
      <c r="AB387" s="20"/>
      <c r="AC387" s="34"/>
      <c r="AD387" s="23" t="str">
        <f t="shared" si="79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75"/>
        <v>34.300000000000004</v>
      </c>
      <c r="N388" s="20" t="s">
        <v>905</v>
      </c>
      <c r="O388" s="20"/>
      <c r="P388" s="20"/>
      <c r="Q388" s="134"/>
      <c r="R388" s="127"/>
      <c r="S388" s="157">
        <f t="shared" si="76"/>
        <v>3</v>
      </c>
      <c r="T388" s="158"/>
      <c r="U388" s="21">
        <v>0</v>
      </c>
      <c r="V388" s="21">
        <v>1</v>
      </c>
      <c r="W388" s="21">
        <v>0</v>
      </c>
      <c r="X388" s="156">
        <v>3</v>
      </c>
      <c r="Y388" s="157">
        <f t="shared" si="77"/>
        <v>3</v>
      </c>
      <c r="Z388" s="22"/>
      <c r="AA388" s="157">
        <f t="shared" si="78"/>
        <v>3</v>
      </c>
      <c r="AB388" s="20"/>
      <c r="AC388" s="34"/>
      <c r="AD388" s="23" t="str">
        <f t="shared" si="79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75"/>
        <v>34.400000000000006</v>
      </c>
      <c r="N389" s="20" t="s">
        <v>906</v>
      </c>
      <c r="O389" s="20"/>
      <c r="P389" s="20"/>
      <c r="Q389" s="134"/>
      <c r="R389" s="127"/>
      <c r="S389" s="157">
        <f t="shared" si="76"/>
        <v>4</v>
      </c>
      <c r="T389" s="158"/>
      <c r="U389" s="21">
        <v>0</v>
      </c>
      <c r="V389" s="21">
        <v>1</v>
      </c>
      <c r="W389" s="21">
        <v>0</v>
      </c>
      <c r="X389" s="156">
        <v>4</v>
      </c>
      <c r="Y389" s="157">
        <f t="shared" si="77"/>
        <v>4</v>
      </c>
      <c r="Z389" s="22"/>
      <c r="AA389" s="157">
        <f t="shared" si="78"/>
        <v>4</v>
      </c>
      <c r="AB389" s="20"/>
      <c r="AC389" s="34"/>
      <c r="AD389" s="23" t="str">
        <f t="shared" si="79"/>
        <v/>
      </c>
    </row>
    <row r="390" spans="1:30" ht="15.5" hidden="1" outlineLevel="2" x14ac:dyDescent="0.35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>
        <f t="shared" ca="1" si="75"/>
        <v>34.500000000000007</v>
      </c>
      <c r="N390" s="20" t="s">
        <v>907</v>
      </c>
      <c r="O390" s="20"/>
      <c r="P390" s="20"/>
      <c r="Q390" s="134"/>
      <c r="R390" s="127"/>
      <c r="S390" s="157">
        <f t="shared" si="76"/>
        <v>3.5</v>
      </c>
      <c r="T390" s="158"/>
      <c r="U390" s="21">
        <v>0</v>
      </c>
      <c r="V390" s="21">
        <v>1</v>
      </c>
      <c r="W390" s="21">
        <v>0</v>
      </c>
      <c r="X390" s="156">
        <v>3.5</v>
      </c>
      <c r="Y390" s="157">
        <f t="shared" si="77"/>
        <v>3.5</v>
      </c>
      <c r="Z390" s="22"/>
      <c r="AA390" s="157">
        <f t="shared" si="78"/>
        <v>3.5</v>
      </c>
      <c r="AB390" s="20"/>
      <c r="AC390" s="34"/>
      <c r="AD390" s="23" t="str">
        <f t="shared" si="79"/>
        <v/>
      </c>
    </row>
    <row r="391" spans="1:30" ht="15.5" hidden="1" outlineLevel="2" x14ac:dyDescent="0.35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/>
      <c r="L391" s="19"/>
      <c r="M391" s="263">
        <f t="shared" ca="1" si="75"/>
        <v>34.600000000000009</v>
      </c>
      <c r="N391" s="20" t="s">
        <v>908</v>
      </c>
      <c r="O391" s="20"/>
      <c r="P391" s="20"/>
      <c r="Q391" s="134"/>
      <c r="R391" s="127"/>
      <c r="S391" s="157">
        <f t="shared" si="76"/>
        <v>4</v>
      </c>
      <c r="T391" s="158"/>
      <c r="U391" s="21">
        <v>0</v>
      </c>
      <c r="V391" s="21">
        <v>1</v>
      </c>
      <c r="W391" s="21">
        <v>0</v>
      </c>
      <c r="X391" s="156">
        <v>4</v>
      </c>
      <c r="Y391" s="157">
        <f t="shared" si="77"/>
        <v>4</v>
      </c>
      <c r="Z391" s="22"/>
      <c r="AA391" s="157">
        <f t="shared" si="78"/>
        <v>4</v>
      </c>
      <c r="AB391" s="20"/>
      <c r="AC391" s="34"/>
      <c r="AD391" s="23" t="str">
        <f t="shared" si="79"/>
        <v/>
      </c>
    </row>
    <row r="392" spans="1:30" ht="15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>
        <f t="shared" ca="1" si="75"/>
        <v>34.70000000000001</v>
      </c>
      <c r="N392" s="20" t="s">
        <v>909</v>
      </c>
      <c r="O392" s="20"/>
      <c r="P392" s="20"/>
      <c r="Q392" s="134"/>
      <c r="R392" s="127"/>
      <c r="S392" s="157">
        <f t="shared" si="76"/>
        <v>2.5</v>
      </c>
      <c r="T392" s="158"/>
      <c r="U392" s="21">
        <v>0</v>
      </c>
      <c r="V392" s="21">
        <v>1</v>
      </c>
      <c r="W392" s="21">
        <v>0</v>
      </c>
      <c r="X392" s="156">
        <v>2.5</v>
      </c>
      <c r="Y392" s="157">
        <f t="shared" si="77"/>
        <v>2.5</v>
      </c>
      <c r="Z392" s="22"/>
      <c r="AA392" s="157">
        <f t="shared" si="78"/>
        <v>2.5</v>
      </c>
      <c r="AB392" s="20"/>
      <c r="AC392" s="34"/>
      <c r="AD392" s="23" t="str">
        <f t="shared" si="79"/>
        <v/>
      </c>
    </row>
    <row r="393" spans="1:30" ht="15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>
        <f t="shared" ca="1" si="75"/>
        <v>34.800000000000011</v>
      </c>
      <c r="N393" s="20" t="s">
        <v>910</v>
      </c>
      <c r="O393" s="20"/>
      <c r="P393" s="20"/>
      <c r="Q393" s="134"/>
      <c r="R393" s="127"/>
      <c r="S393" s="157">
        <f t="shared" si="76"/>
        <v>3</v>
      </c>
      <c r="T393" s="158"/>
      <c r="U393" s="21">
        <v>0</v>
      </c>
      <c r="V393" s="21">
        <v>1</v>
      </c>
      <c r="W393" s="21">
        <v>0</v>
      </c>
      <c r="X393" s="156">
        <v>3</v>
      </c>
      <c r="Y393" s="157">
        <f t="shared" si="77"/>
        <v>3</v>
      </c>
      <c r="Z393" s="22"/>
      <c r="AA393" s="157">
        <f t="shared" si="78"/>
        <v>3</v>
      </c>
      <c r="AB393" s="20"/>
      <c r="AC393" s="34"/>
      <c r="AD393" s="23" t="str">
        <f t="shared" si="79"/>
        <v/>
      </c>
    </row>
    <row r="394" spans="1:30" s="9" customFormat="1" ht="7.5" hidden="1" customHeight="1" outlineLevel="2" x14ac:dyDescent="0.35">
      <c r="A394" s="86" t="s">
        <v>132</v>
      </c>
      <c r="B394" s="15"/>
      <c r="C394" s="72"/>
      <c r="D394" s="72"/>
      <c r="E394" s="72"/>
      <c r="F394" s="72"/>
      <c r="M394" s="252"/>
      <c r="T394" s="15"/>
      <c r="X394" s="15"/>
      <c r="AB394" s="10"/>
      <c r="AC394" s="10"/>
      <c r="AD394" s="10"/>
    </row>
    <row r="395" spans="1:30" s="14" customFormat="1" ht="15.5" outlineLevel="1" x14ac:dyDescent="0.35">
      <c r="A395" s="86" t="s">
        <v>100</v>
      </c>
      <c r="B395" s="18"/>
      <c r="C395" s="77"/>
      <c r="D395" s="77"/>
      <c r="E395" s="77"/>
      <c r="F395" s="76"/>
      <c r="G395" s="29"/>
      <c r="H395" s="29"/>
      <c r="I395" s="29"/>
      <c r="J395" s="29"/>
      <c r="K395" s="29"/>
      <c r="L395" s="17">
        <f ca="1">LOOKUP(1000,INDIRECT("L1:"&amp;CELL("address",INDIRECT("R[-1]C",FALSE))))+1</f>
        <v>35</v>
      </c>
      <c r="M395" s="301" t="s">
        <v>1144</v>
      </c>
      <c r="N395" s="301"/>
      <c r="O395" s="5"/>
      <c r="P395" s="30"/>
      <c r="Q395" s="30"/>
      <c r="R395" s="30"/>
      <c r="S395" s="30"/>
      <c r="T395" s="155">
        <f>IF($S$6="Exclude", SUMIFS(S396:S406, J396:J406, "&lt;&gt;Yes", G396:G406, "&lt;&gt;Yes"), SUMIFS(S396:S406, J396:J406, "&lt;&gt;Yes"))</f>
        <v>25</v>
      </c>
      <c r="U395" s="30"/>
      <c r="V395" s="30"/>
      <c r="W395" s="30"/>
      <c r="X395" s="31"/>
      <c r="Y395" s="32"/>
      <c r="Z395" s="32"/>
      <c r="AA395" s="32"/>
      <c r="AB395" s="219" t="s">
        <v>977</v>
      </c>
      <c r="AC395" s="33"/>
      <c r="AD395" s="23" t="str">
        <f>IF(M395="", "Error: Task name cannot be empty.", "")</f>
        <v/>
      </c>
    </row>
    <row r="396" spans="1:30" s="12" customFormat="1" ht="1.5" customHeight="1" outlineLevel="2" x14ac:dyDescent="0.35">
      <c r="A396" s="86" t="s">
        <v>101</v>
      </c>
      <c r="B396" s="18"/>
      <c r="C396" s="77"/>
      <c r="D396" s="77"/>
      <c r="E396" s="77"/>
      <c r="F396" s="76"/>
      <c r="G396" s="29"/>
      <c r="H396" s="29"/>
      <c r="I396" s="29"/>
      <c r="J396" s="29"/>
      <c r="K396" s="29"/>
      <c r="L396" s="163">
        <f ca="1">L395</f>
        <v>35</v>
      </c>
      <c r="M396" s="164" t="s">
        <v>105</v>
      </c>
      <c r="N396" s="161"/>
      <c r="O396" s="162"/>
      <c r="P396" s="30"/>
      <c r="Q396" s="30"/>
      <c r="R396" s="30"/>
      <c r="S396" s="30"/>
      <c r="T396" s="155"/>
      <c r="U396" s="30"/>
      <c r="V396" s="30"/>
      <c r="W396" s="30"/>
      <c r="X396" s="31"/>
      <c r="Y396" s="32"/>
      <c r="Z396" s="32"/>
      <c r="AA396" s="32"/>
      <c r="AB396" s="33"/>
      <c r="AC396" s="33"/>
      <c r="AD396" s="23"/>
    </row>
    <row r="397" spans="1:30" ht="15.5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 t="str">
        <f t="shared" ref="M397:M402" ca="1" si="80">IFERROR(OFFSET(M397,-1,,1,1)+0.1,OFFSET(M397,-1,-1,1,1)&amp;".1")</f>
        <v>35.1</v>
      </c>
      <c r="N397" s="20" t="s">
        <v>911</v>
      </c>
      <c r="O397" s="20"/>
      <c r="P397" s="20"/>
      <c r="Q397" s="134"/>
      <c r="R397" s="127"/>
      <c r="S397" s="157">
        <f t="shared" ref="S397:S402" si="81">CEILING((IF(J397="Yes", 0, IF(H397="-",AA397,AA397+AA397*VLOOKUP(H397,BUFFERS_BY_TYPE,2,FALSE)))) +
   (IF(J397="Yes", 0, IF(H397="-",AA397,AA397+AA397*VLOOKUP(H397,BUFFERS_BY_TYPE,2,FALSE))))*VLOOKUP($S$5, SALES_CALL_SCALE_ARRAY, 2,FALSE),0.25)</f>
        <v>2</v>
      </c>
      <c r="T397" s="158"/>
      <c r="U397" s="21">
        <v>0</v>
      </c>
      <c r="V397" s="21">
        <v>1</v>
      </c>
      <c r="W397" s="21">
        <v>0</v>
      </c>
      <c r="X397" s="156">
        <v>2</v>
      </c>
      <c r="Y397" s="157">
        <f t="shared" ref="Y397:Y402" si="82"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2</v>
      </c>
      <c r="Z397" s="22"/>
      <c r="AA397" s="157">
        <f t="shared" ref="AA397:AA402" si="83">Y397+Y397*VLOOKUP(I397,EXTRAS_ARRAY,2,FALSE)</f>
        <v>2</v>
      </c>
      <c r="AB397" s="20"/>
      <c r="AC397" s="34"/>
      <c r="AD397" s="23" t="str">
        <f t="shared" ref="AD397:AD402" si="84"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15.5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80"/>
        <v>35.200000000000003</v>
      </c>
      <c r="N398" s="20" t="s">
        <v>912</v>
      </c>
      <c r="O398" s="20"/>
      <c r="P398" s="20"/>
      <c r="Q398" s="134"/>
      <c r="R398" s="127"/>
      <c r="S398" s="157">
        <f t="shared" si="81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82"/>
        <v>2.5</v>
      </c>
      <c r="Z398" s="22"/>
      <c r="AA398" s="157">
        <f t="shared" si="83"/>
        <v>2.5</v>
      </c>
      <c r="AB398" s="20"/>
      <c r="AC398" s="34"/>
      <c r="AD398" s="23" t="str">
        <f t="shared" si="84"/>
        <v/>
      </c>
    </row>
    <row r="399" spans="1:30" ht="15.5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80"/>
        <v>35.300000000000004</v>
      </c>
      <c r="N399" s="20" t="s">
        <v>913</v>
      </c>
      <c r="O399" s="20"/>
      <c r="P399" s="20"/>
      <c r="Q399" s="134"/>
      <c r="R399" s="127"/>
      <c r="S399" s="157">
        <f t="shared" si="81"/>
        <v>3.5</v>
      </c>
      <c r="T399" s="158"/>
      <c r="U399" s="21">
        <v>0</v>
      </c>
      <c r="V399" s="21">
        <v>1</v>
      </c>
      <c r="W399" s="21">
        <v>0</v>
      </c>
      <c r="X399" s="156">
        <v>3.5</v>
      </c>
      <c r="Y399" s="157">
        <f t="shared" si="82"/>
        <v>3.5</v>
      </c>
      <c r="Z399" s="22"/>
      <c r="AA399" s="157">
        <f t="shared" si="83"/>
        <v>3.5</v>
      </c>
      <c r="AB399" s="20"/>
      <c r="AC399" s="34"/>
      <c r="AD399" s="23" t="str">
        <f t="shared" si="84"/>
        <v/>
      </c>
    </row>
    <row r="400" spans="1:30" ht="15.5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80"/>
        <v>35.400000000000006</v>
      </c>
      <c r="N400" s="20" t="s">
        <v>914</v>
      </c>
      <c r="O400" s="20"/>
      <c r="P400" s="20"/>
      <c r="Q400" s="134"/>
      <c r="R400" s="127"/>
      <c r="S400" s="157">
        <f t="shared" si="81"/>
        <v>3</v>
      </c>
      <c r="T400" s="158"/>
      <c r="U400" s="21">
        <v>0</v>
      </c>
      <c r="V400" s="21">
        <v>1</v>
      </c>
      <c r="W400" s="21">
        <v>0</v>
      </c>
      <c r="X400" s="156">
        <v>3</v>
      </c>
      <c r="Y400" s="157">
        <f t="shared" si="82"/>
        <v>3</v>
      </c>
      <c r="Z400" s="22"/>
      <c r="AA400" s="157">
        <f t="shared" si="83"/>
        <v>3</v>
      </c>
      <c r="AB400" s="20"/>
      <c r="AC400" s="34"/>
      <c r="AD400" s="23" t="str">
        <f t="shared" si="84"/>
        <v/>
      </c>
    </row>
    <row r="401" spans="1:30" ht="15.5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80"/>
        <v>35.500000000000007</v>
      </c>
      <c r="N401" s="20" t="s">
        <v>915</v>
      </c>
      <c r="O401" s="20"/>
      <c r="P401" s="20"/>
      <c r="Q401" s="134"/>
      <c r="R401" s="127"/>
      <c r="S401" s="157">
        <f t="shared" si="81"/>
        <v>3.5</v>
      </c>
      <c r="T401" s="158"/>
      <c r="U401" s="21">
        <v>0</v>
      </c>
      <c r="V401" s="21">
        <v>1</v>
      </c>
      <c r="W401" s="21">
        <v>0</v>
      </c>
      <c r="X401" s="156">
        <v>3.5</v>
      </c>
      <c r="Y401" s="157">
        <f t="shared" si="82"/>
        <v>3.5</v>
      </c>
      <c r="Z401" s="22"/>
      <c r="AA401" s="157">
        <f t="shared" si="83"/>
        <v>3.5</v>
      </c>
      <c r="AB401" s="20"/>
      <c r="AC401" s="34"/>
      <c r="AD401" s="23" t="str">
        <f t="shared" si="84"/>
        <v/>
      </c>
    </row>
    <row r="402" spans="1:30" ht="15.5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80"/>
        <v>35.600000000000009</v>
      </c>
      <c r="N402" s="20" t="s">
        <v>916</v>
      </c>
      <c r="O402" s="20"/>
      <c r="P402" s="20"/>
      <c r="Q402" s="134"/>
      <c r="R402" s="127"/>
      <c r="S402" s="157">
        <f t="shared" si="81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82"/>
        <v>3.5</v>
      </c>
      <c r="Z402" s="22"/>
      <c r="AA402" s="157">
        <f t="shared" si="83"/>
        <v>3.5</v>
      </c>
      <c r="AB402" s="20"/>
      <c r="AC402" s="34"/>
      <c r="AD402" s="23" t="str">
        <f t="shared" si="84"/>
        <v/>
      </c>
    </row>
    <row r="403" spans="1:30" ht="29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35.70000000000001</v>
      </c>
      <c r="N403" s="20" t="s">
        <v>1276</v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2.5</v>
      </c>
      <c r="T403" s="158"/>
      <c r="U403" s="21">
        <v>0</v>
      </c>
      <c r="V403" s="21">
        <v>1</v>
      </c>
      <c r="W403" s="21">
        <v>0</v>
      </c>
      <c r="X403" s="156">
        <v>2.5</v>
      </c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2.5</v>
      </c>
      <c r="Z403" s="22"/>
      <c r="AA403" s="157">
        <f>Y403+Y403*VLOOKUP(I403,EXTRAS_ARRAY,2,FALSE)</f>
        <v>2.5</v>
      </c>
      <c r="AB403" s="20"/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/>
      </c>
    </row>
    <row r="404" spans="1:30" ht="29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35.800000000000011</v>
      </c>
      <c r="N404" s="20" t="s">
        <v>1277</v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3</v>
      </c>
      <c r="T404" s="158"/>
      <c r="U404" s="21">
        <v>0</v>
      </c>
      <c r="V404" s="21">
        <v>1</v>
      </c>
      <c r="W404" s="21">
        <v>0</v>
      </c>
      <c r="X404" s="156">
        <v>3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3</v>
      </c>
      <c r="Z404" s="22"/>
      <c r="AA404" s="157">
        <f>Y404+Y404*VLOOKUP(I404,EXTRAS_ARRAY,2,FALSE)</f>
        <v>3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15.5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35.900000000000013</v>
      </c>
      <c r="N405" s="20" t="s">
        <v>1278</v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1.5</v>
      </c>
      <c r="T405" s="158"/>
      <c r="U405" s="21">
        <v>0</v>
      </c>
      <c r="V405" s="21">
        <v>1</v>
      </c>
      <c r="W405" s="21">
        <v>0</v>
      </c>
      <c r="X405" s="156">
        <v>1.5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1.5</v>
      </c>
      <c r="Z405" s="22"/>
      <c r="AA405" s="157">
        <f>Y405+Y405*VLOOKUP(I405,EXTRAS_ARRAY,2,FALSE)</f>
        <v>1.5</v>
      </c>
      <c r="AB405" s="20"/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s="9" customFormat="1" ht="7.5" customHeight="1" outlineLevel="2" x14ac:dyDescent="0.35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14" customFormat="1" ht="15.5" outlineLevel="1" collapsed="1" x14ac:dyDescent="0.35">
      <c r="A407" s="86" t="s">
        <v>100</v>
      </c>
      <c r="B407" s="18"/>
      <c r="C407" s="77"/>
      <c r="D407" s="77"/>
      <c r="E407" s="77"/>
      <c r="F407" s="76"/>
      <c r="G407" s="29"/>
      <c r="H407" s="29"/>
      <c r="I407" s="29"/>
      <c r="J407" s="29"/>
      <c r="K407" s="29"/>
      <c r="L407" s="17">
        <f ca="1">LOOKUP(1000,INDIRECT("L1:"&amp;CELL("address",INDIRECT("R[-1]C",FALSE))))+1</f>
        <v>36</v>
      </c>
      <c r="M407" s="301" t="s">
        <v>1145</v>
      </c>
      <c r="N407" s="301"/>
      <c r="O407" s="5"/>
      <c r="P407" s="30"/>
      <c r="Q407" s="30"/>
      <c r="R407" s="30"/>
      <c r="S407" s="30"/>
      <c r="T407" s="155">
        <f>IF($S$6="Exclude", SUMIFS(S408:S414, J408:J414, "&lt;&gt;Yes", G408:G414, "&lt;&gt;Yes"), SUMIFS(S408:S414, J408:J414, "&lt;&gt;Yes"))</f>
        <v>15</v>
      </c>
      <c r="U407" s="30"/>
      <c r="V407" s="30"/>
      <c r="W407" s="30"/>
      <c r="X407" s="31"/>
      <c r="Y407" s="32"/>
      <c r="Z407" s="32"/>
      <c r="AA407" s="32"/>
      <c r="AB407" s="219" t="s">
        <v>978</v>
      </c>
      <c r="AC407" s="33"/>
      <c r="AD407" s="23" t="str">
        <f>IF(M407="", "Error: Task name cannot be empty.", "")</f>
        <v/>
      </c>
    </row>
    <row r="408" spans="1:30" s="12" customFormat="1" ht="1.5" hidden="1" customHeight="1" outlineLevel="2" x14ac:dyDescent="0.35">
      <c r="A408" s="86" t="s">
        <v>101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63">
        <f ca="1">L407</f>
        <v>36</v>
      </c>
      <c r="M408" s="164" t="s">
        <v>105</v>
      </c>
      <c r="N408" s="161"/>
      <c r="O408" s="162"/>
      <c r="P408" s="30"/>
      <c r="Q408" s="30"/>
      <c r="R408" s="30"/>
      <c r="S408" s="30"/>
      <c r="T408" s="155"/>
      <c r="U408" s="30"/>
      <c r="V408" s="30"/>
      <c r="W408" s="30"/>
      <c r="X408" s="31"/>
      <c r="Y408" s="32"/>
      <c r="Z408" s="32"/>
      <c r="AA408" s="32"/>
      <c r="AB408" s="33"/>
      <c r="AC408" s="33"/>
      <c r="AD408" s="23"/>
    </row>
    <row r="409" spans="1:30" ht="15.5" hidden="1" outlineLevel="2" x14ac:dyDescent="0.35">
      <c r="A409" s="86" t="s">
        <v>0</v>
      </c>
      <c r="B409" s="18"/>
      <c r="C409" s="78"/>
      <c r="D409" s="78"/>
      <c r="E409" s="78"/>
      <c r="F409" s="79"/>
      <c r="G409" s="19" t="s">
        <v>23</v>
      </c>
      <c r="H409" s="19" t="s">
        <v>23</v>
      </c>
      <c r="I409" s="20" t="s">
        <v>23</v>
      </c>
      <c r="J409" s="19" t="s">
        <v>23</v>
      </c>
      <c r="K409" s="35"/>
      <c r="L409" s="19"/>
      <c r="M409" s="263" t="str">
        <f ca="1">IFERROR(OFFSET(M409,-1,,1,1)+0.1,OFFSET(M409,-1,-1,1,1)&amp;".1")</f>
        <v>36.1</v>
      </c>
      <c r="N409" s="20" t="s">
        <v>917</v>
      </c>
      <c r="O409" s="20"/>
      <c r="P409" s="20"/>
      <c r="Q409" s="134"/>
      <c r="R409" s="127"/>
      <c r="S409" s="157">
        <f>CEILING((IF(J409="Yes", 0, IF(H409="-",AA409,AA409+AA409*VLOOKUP(H409,BUFFERS_BY_TYPE,2,FALSE)))) +
   (IF(J409="Yes", 0, IF(H409="-",AA409,AA409+AA409*VLOOKUP(H409,BUFFERS_BY_TYPE,2,FALSE))))*VLOOKUP($S$5, SALES_CALL_SCALE_ARRAY, 2,FALSE),0.25)</f>
        <v>3</v>
      </c>
      <c r="T409" s="158"/>
      <c r="U409" s="21">
        <v>0</v>
      </c>
      <c r="V409" s="21">
        <v>1</v>
      </c>
      <c r="W409" s="21">
        <v>0</v>
      </c>
      <c r="X409" s="156">
        <v>3</v>
      </c>
      <c r="Y409" s="157">
        <f>CEILING((IF(P409=AS_DEV_EFFORT, DEV_EFFORT*Q409%,
                           IF(P409=AS_DURATION_EFFORT, (MANUAL_DURATION*5)*Q409%,
                                    (IF(Q409&lt;=1,X409,
                                          IF(SUM(U409:W409)=0,(Q409*X409),
                                               (((Q409*U409)*(X409+(X409*EXTRA_FOR_H)))+
                                               ((Q409*V409)*X409)+
                                               ((Q409*W409)*(X409-(X409*LESS_FOR_L)))
                                    )*IF(R409=0,1,R409))))))+Z409), 0.25)</f>
        <v>3</v>
      </c>
      <c r="Z409" s="22"/>
      <c r="AA409" s="157">
        <f>Y409+Y409*VLOOKUP(I409,EXTRAS_ARRAY,2,FALSE)</f>
        <v>3</v>
      </c>
      <c r="AB409" s="20"/>
      <c r="AC409" s="34"/>
      <c r="AD409" s="23" t="str">
        <f>IF(J409&lt;&gt;"Yes",
IF(S409&lt;=0,"Error: Effort value is not defined or is invalid.",
IF(AND(SUM(U409:W409)&gt;0,SUM(U409:W409)&lt;&gt;1),"Error: Complexity % distribution should sum to 100%.",
IF(AND(P409=AS_DEV_EFFORT,X409&lt;&gt;0),"Error: PDs should not be defined when defining as dev effort %.",
IF(AND(P409=AS_DURATION_EFFORT,X409&lt;&gt;0),"Error: PDs should not be defined when defining as duration effort %.","")))))</f>
        <v/>
      </c>
    </row>
    <row r="410" spans="1:30" ht="15.5" hidden="1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>
        <f ca="1">IFERROR(OFFSET(M410,-1,,1,1)+0.1,OFFSET(M410,-1,-1,1,1)&amp;".1")</f>
        <v>36.200000000000003</v>
      </c>
      <c r="N410" s="20" t="s">
        <v>918</v>
      </c>
      <c r="O410" s="20"/>
      <c r="P410" s="20"/>
      <c r="Q410" s="134"/>
      <c r="R410" s="127"/>
      <c r="S410" s="157">
        <f>CEILING((IF(J410="Yes", 0, IF(H410="-",AA410,AA410+AA410*VLOOKUP(H410,BUFFERS_BY_TYPE,2,FALSE)))) +
   (IF(J410="Yes", 0, IF(H410="-",AA410,AA410+AA410*VLOOKUP(H410,BUFFERS_BY_TYPE,2,FALSE))))*VLOOKUP($S$5, SALES_CALL_SCALE_ARRAY, 2,FALSE),0.25)</f>
        <v>3</v>
      </c>
      <c r="T410" s="158"/>
      <c r="U410" s="21">
        <v>0</v>
      </c>
      <c r="V410" s="21">
        <v>1</v>
      </c>
      <c r="W410" s="21">
        <v>0</v>
      </c>
      <c r="X410" s="156">
        <v>3</v>
      </c>
      <c r="Y410" s="157">
        <f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3</v>
      </c>
      <c r="Z410" s="22"/>
      <c r="AA410" s="157">
        <f>Y410+Y410*VLOOKUP(I410,EXTRAS_ARRAY,2,FALSE)</f>
        <v>3</v>
      </c>
      <c r="AB410" s="20"/>
      <c r="AC410" s="34"/>
      <c r="AD410" s="23" t="str">
        <f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hidden="1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ca="1">IFERROR(OFFSET(M411,-1,,1,1)+0.1,OFFSET(M411,-1,-1,1,1)&amp;".1")</f>
        <v>36.300000000000004</v>
      </c>
      <c r="N411" s="20" t="s">
        <v>919</v>
      </c>
      <c r="O411" s="20"/>
      <c r="P411" s="20"/>
      <c r="Q411" s="134"/>
      <c r="R411" s="127"/>
      <c r="S411" s="157">
        <f>CEILING((IF(J411="Yes", 0, IF(H411="-",AA411,AA411+AA411*VLOOKUP(H411,BUFFERS_BY_TYPE,2,FALSE)))) +
   (IF(J411="Yes", 0, IF(H411="-",AA411,AA411+AA411*VLOOKUP(H411,BUFFERS_BY_TYPE,2,FALSE))))*VLOOKUP($S$5, SALES_CALL_SCALE_ARRAY, 2,FALSE),0.25)</f>
        <v>3</v>
      </c>
      <c r="T411" s="158"/>
      <c r="U411" s="21">
        <v>0</v>
      </c>
      <c r="V411" s="21">
        <v>1</v>
      </c>
      <c r="W411" s="21">
        <v>0</v>
      </c>
      <c r="X411" s="156">
        <v>3</v>
      </c>
      <c r="Y411" s="157">
        <f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3</v>
      </c>
      <c r="Z411" s="22"/>
      <c r="AA411" s="157">
        <f>Y411+Y411*VLOOKUP(I411,EXTRAS_ARRAY,2,FALSE)</f>
        <v>3</v>
      </c>
      <c r="AB411" s="20"/>
      <c r="AC411" s="34"/>
      <c r="AD411" s="23" t="str">
        <f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15.5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ca="1">IFERROR(OFFSET(M412,-1,,1,1)+0.1,OFFSET(M412,-1,-1,1,1)&amp;".1")</f>
        <v>36.400000000000006</v>
      </c>
      <c r="N412" s="20" t="s">
        <v>920</v>
      </c>
      <c r="O412" s="20"/>
      <c r="P412" s="20"/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3</v>
      </c>
      <c r="Z412" s="22"/>
      <c r="AA412" s="157">
        <f>Y412+Y412*VLOOKUP(I412,EXTRAS_ARRAY,2,FALSE)</f>
        <v>3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15.5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36.500000000000007</v>
      </c>
      <c r="N413" s="20" t="s">
        <v>921</v>
      </c>
      <c r="O413" s="20"/>
      <c r="P413" s="20"/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3</v>
      </c>
      <c r="T413" s="158"/>
      <c r="U413" s="21">
        <v>0</v>
      </c>
      <c r="V413" s="21">
        <v>1</v>
      </c>
      <c r="W413" s="21">
        <v>0</v>
      </c>
      <c r="X413" s="156">
        <v>3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3</v>
      </c>
      <c r="Z413" s="22"/>
      <c r="AA413" s="157">
        <f>Y413+Y413*VLOOKUP(I413,EXTRAS_ARRAY,2,FALSE)</f>
        <v>3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5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5" outlineLevel="1" collapsed="1" x14ac:dyDescent="0.35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37</v>
      </c>
      <c r="M415" s="301" t="s">
        <v>1146</v>
      </c>
      <c r="N415" s="301"/>
      <c r="O415" s="5"/>
      <c r="P415" s="30"/>
      <c r="Q415" s="30"/>
      <c r="R415" s="30"/>
      <c r="S415" s="30"/>
      <c r="T415" s="155">
        <f>IF($S$6="Exclude", SUMIFS(S416:S424, J416:J424, "&lt;&gt;Yes", G416:G424, "&lt;&gt;Yes"), SUMIFS(S416:S424, J416:J424, "&lt;&gt;Yes"))</f>
        <v>12</v>
      </c>
      <c r="U415" s="30"/>
      <c r="V415" s="30"/>
      <c r="W415" s="30"/>
      <c r="X415" s="31"/>
      <c r="Y415" s="32"/>
      <c r="Z415" s="32"/>
      <c r="AA415" s="32"/>
      <c r="AB415" s="219" t="s">
        <v>979</v>
      </c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5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37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15.5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t="shared" ref="M417:M423" ca="1" si="85">IFERROR(OFFSET(M417,-1,,1,1)+0.1,OFFSET(M417,-1,-1,1,1)&amp;".1")</f>
        <v>37.1</v>
      </c>
      <c r="N417" s="20" t="s">
        <v>922</v>
      </c>
      <c r="O417" s="20"/>
      <c r="P417" s="20"/>
      <c r="Q417" s="134"/>
      <c r="R417" s="127"/>
      <c r="S417" s="157">
        <f t="shared" ref="S417:S423" si="86">CEILING((IF(J417="Yes", 0, IF(H417="-",AA417,AA417+AA417*VLOOKUP(H417,BUFFERS_BY_TYPE,2,FALSE)))) +
   (IF(J417="Yes", 0, IF(H417="-",AA417,AA417+AA417*VLOOKUP(H417,BUFFERS_BY_TYPE,2,FALSE))))*VLOOKUP($S$5, SALES_CALL_SCALE_ARRAY, 2,FALSE),0.25)</f>
        <v>1.5</v>
      </c>
      <c r="T417" s="158"/>
      <c r="U417" s="21">
        <v>0</v>
      </c>
      <c r="V417" s="21">
        <v>1</v>
      </c>
      <c r="W417" s="21">
        <v>0</v>
      </c>
      <c r="X417" s="156">
        <v>1.5</v>
      </c>
      <c r="Y417" s="157">
        <f t="shared" ref="Y417:Y423" si="87"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1.5</v>
      </c>
      <c r="Z417" s="22"/>
      <c r="AA417" s="157">
        <f t="shared" ref="AA417:AA423" si="88">Y417+Y417*VLOOKUP(I417,EXTRAS_ARRAY,2,FALSE)</f>
        <v>1.5</v>
      </c>
      <c r="AB417" s="20"/>
      <c r="AC417" s="34"/>
      <c r="AD417" s="23" t="str">
        <f t="shared" ref="AD417:AD423" si="89"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15.5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t="shared" ca="1" si="85"/>
        <v>37.200000000000003</v>
      </c>
      <c r="N418" s="20" t="s">
        <v>923</v>
      </c>
      <c r="O418" s="20"/>
      <c r="P418" s="20"/>
      <c r="Q418" s="134"/>
      <c r="R418" s="127"/>
      <c r="S418" s="157">
        <f t="shared" si="86"/>
        <v>2</v>
      </c>
      <c r="T418" s="158"/>
      <c r="U418" s="21">
        <v>0</v>
      </c>
      <c r="V418" s="21">
        <v>1</v>
      </c>
      <c r="W418" s="21">
        <v>0</v>
      </c>
      <c r="X418" s="156">
        <v>2</v>
      </c>
      <c r="Y418" s="157">
        <f t="shared" si="87"/>
        <v>2</v>
      </c>
      <c r="Z418" s="22"/>
      <c r="AA418" s="157">
        <f t="shared" si="88"/>
        <v>2</v>
      </c>
      <c r="AB418" s="20"/>
      <c r="AC418" s="34"/>
      <c r="AD418" s="23" t="str">
        <f t="shared" si="89"/>
        <v/>
      </c>
    </row>
    <row r="419" spans="1:30" ht="15.5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t="shared" ca="1" si="85"/>
        <v>37.300000000000004</v>
      </c>
      <c r="N419" s="20" t="s">
        <v>924</v>
      </c>
      <c r="O419" s="20"/>
      <c r="P419" s="20"/>
      <c r="Q419" s="134"/>
      <c r="R419" s="127"/>
      <c r="S419" s="157">
        <f t="shared" si="86"/>
        <v>1.5</v>
      </c>
      <c r="T419" s="158"/>
      <c r="U419" s="21">
        <v>0</v>
      </c>
      <c r="V419" s="21">
        <v>1</v>
      </c>
      <c r="W419" s="21">
        <v>0</v>
      </c>
      <c r="X419" s="156">
        <v>1.5</v>
      </c>
      <c r="Y419" s="157">
        <f t="shared" si="87"/>
        <v>1.5</v>
      </c>
      <c r="Z419" s="22"/>
      <c r="AA419" s="157">
        <f t="shared" si="88"/>
        <v>1.5</v>
      </c>
      <c r="AB419" s="20"/>
      <c r="AC419" s="34"/>
      <c r="AD419" s="23" t="str">
        <f t="shared" si="89"/>
        <v/>
      </c>
    </row>
    <row r="420" spans="1:30" ht="15.5" hidden="1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t="shared" ca="1" si="85"/>
        <v>37.400000000000006</v>
      </c>
      <c r="N420" s="20" t="s">
        <v>925</v>
      </c>
      <c r="O420" s="20"/>
      <c r="P420" s="20"/>
      <c r="Q420" s="134"/>
      <c r="R420" s="127"/>
      <c r="S420" s="157">
        <f t="shared" si="86"/>
        <v>2</v>
      </c>
      <c r="T420" s="158"/>
      <c r="U420" s="21">
        <v>0</v>
      </c>
      <c r="V420" s="21">
        <v>1</v>
      </c>
      <c r="W420" s="21">
        <v>0</v>
      </c>
      <c r="X420" s="156">
        <v>2</v>
      </c>
      <c r="Y420" s="157">
        <f t="shared" si="87"/>
        <v>2</v>
      </c>
      <c r="Z420" s="22"/>
      <c r="AA420" s="157">
        <f t="shared" si="88"/>
        <v>2</v>
      </c>
      <c r="AB420" s="20"/>
      <c r="AC420" s="34"/>
      <c r="AD420" s="23" t="str">
        <f t="shared" si="89"/>
        <v/>
      </c>
    </row>
    <row r="421" spans="1:30" ht="15.5" hidden="1" outlineLevel="2" x14ac:dyDescent="0.35">
      <c r="A421" s="86" t="s">
        <v>0</v>
      </c>
      <c r="B421" s="18"/>
      <c r="C421" s="78"/>
      <c r="D421" s="78"/>
      <c r="E421" s="78"/>
      <c r="F421" s="79"/>
      <c r="G421" s="19" t="s">
        <v>23</v>
      </c>
      <c r="H421" s="19" t="s">
        <v>23</v>
      </c>
      <c r="I421" s="20" t="s">
        <v>23</v>
      </c>
      <c r="J421" s="19" t="s">
        <v>23</v>
      </c>
      <c r="K421" s="35"/>
      <c r="L421" s="19"/>
      <c r="M421" s="263">
        <f t="shared" ca="1" si="85"/>
        <v>37.500000000000007</v>
      </c>
      <c r="N421" s="20" t="s">
        <v>926</v>
      </c>
      <c r="O421" s="20"/>
      <c r="P421" s="20"/>
      <c r="Q421" s="134"/>
      <c r="R421" s="127"/>
      <c r="S421" s="157">
        <f t="shared" si="86"/>
        <v>2</v>
      </c>
      <c r="T421" s="158"/>
      <c r="U421" s="21">
        <v>0</v>
      </c>
      <c r="V421" s="21">
        <v>1</v>
      </c>
      <c r="W421" s="21">
        <v>0</v>
      </c>
      <c r="X421" s="156">
        <v>2</v>
      </c>
      <c r="Y421" s="157">
        <f t="shared" si="87"/>
        <v>2</v>
      </c>
      <c r="Z421" s="22"/>
      <c r="AA421" s="157">
        <f t="shared" si="88"/>
        <v>2</v>
      </c>
      <c r="AB421" s="20"/>
      <c r="AC421" s="34"/>
      <c r="AD421" s="23" t="str">
        <f t="shared" si="89"/>
        <v/>
      </c>
    </row>
    <row r="422" spans="1:30" ht="15.5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>
        <f t="shared" ca="1" si="85"/>
        <v>37.600000000000009</v>
      </c>
      <c r="N422" s="20" t="s">
        <v>927</v>
      </c>
      <c r="O422" s="20"/>
      <c r="P422" s="20"/>
      <c r="Q422" s="134"/>
      <c r="R422" s="127"/>
      <c r="S422" s="157">
        <f t="shared" si="86"/>
        <v>1.5</v>
      </c>
      <c r="T422" s="158"/>
      <c r="U422" s="21">
        <v>0</v>
      </c>
      <c r="V422" s="21">
        <v>1</v>
      </c>
      <c r="W422" s="21">
        <v>0</v>
      </c>
      <c r="X422" s="156">
        <v>1.5</v>
      </c>
      <c r="Y422" s="157">
        <f t="shared" si="87"/>
        <v>1.5</v>
      </c>
      <c r="Z422" s="22"/>
      <c r="AA422" s="157">
        <f t="shared" si="88"/>
        <v>1.5</v>
      </c>
      <c r="AB422" s="20"/>
      <c r="AC422" s="34"/>
      <c r="AD422" s="23" t="str">
        <f t="shared" si="89"/>
        <v/>
      </c>
    </row>
    <row r="423" spans="1:30" ht="15.5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t="shared" ca="1" si="85"/>
        <v>37.70000000000001</v>
      </c>
      <c r="N423" s="20" t="s">
        <v>928</v>
      </c>
      <c r="O423" s="20"/>
      <c r="P423" s="20"/>
      <c r="Q423" s="134"/>
      <c r="R423" s="127"/>
      <c r="S423" s="157">
        <f t="shared" si="86"/>
        <v>1.5</v>
      </c>
      <c r="T423" s="158"/>
      <c r="U423" s="21">
        <v>0</v>
      </c>
      <c r="V423" s="21">
        <v>1</v>
      </c>
      <c r="W423" s="21">
        <v>0</v>
      </c>
      <c r="X423" s="156">
        <v>1.5</v>
      </c>
      <c r="Y423" s="157">
        <f t="shared" si="87"/>
        <v>1.5</v>
      </c>
      <c r="Z423" s="22"/>
      <c r="AA423" s="157">
        <f t="shared" si="88"/>
        <v>1.5</v>
      </c>
      <c r="AB423" s="20"/>
      <c r="AC423" s="34"/>
      <c r="AD423" s="23" t="str">
        <f t="shared" si="89"/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x14ac:dyDescent="0.35">
      <c r="A425" s="86" t="s">
        <v>107</v>
      </c>
      <c r="B425" s="18"/>
      <c r="C425" s="77"/>
      <c r="D425" s="77"/>
      <c r="E425" s="77"/>
      <c r="F425" s="76"/>
      <c r="G425" s="170"/>
      <c r="H425" s="170"/>
      <c r="I425" s="170"/>
      <c r="J425" s="170"/>
      <c r="K425" s="170"/>
      <c r="L425" s="85" t="s">
        <v>109</v>
      </c>
      <c r="M425" s="300" t="s">
        <v>459</v>
      </c>
      <c r="N425" s="300"/>
      <c r="O425" s="80"/>
      <c r="P425" s="81"/>
      <c r="Q425" s="81"/>
      <c r="R425" s="81"/>
      <c r="S425" s="291">
        <f>SUMGROUP(ROW(), "T")</f>
        <v>14</v>
      </c>
      <c r="T425" s="291"/>
      <c r="U425" s="292"/>
      <c r="V425" s="292"/>
      <c r="W425" s="292"/>
      <c r="X425" s="82"/>
      <c r="Y425" s="83"/>
      <c r="Z425" s="83"/>
      <c r="AA425" s="83"/>
      <c r="AB425" s="221"/>
      <c r="AC425" s="84"/>
      <c r="AD425" s="23" t="str">
        <f>IF(M425="", "Error: Module name cannot be empty.", "")</f>
        <v/>
      </c>
    </row>
    <row r="426" spans="1:30" s="14" customFormat="1" ht="15.5" outlineLevel="1" collapsed="1" x14ac:dyDescent="0.35">
      <c r="A426" s="86" t="s">
        <v>100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7">
        <f ca="1">LOOKUP(1000,INDIRECT("L1:"&amp;CELL("address",INDIRECT("R[-1]C",FALSE))))+1</f>
        <v>38</v>
      </c>
      <c r="M426" s="301" t="s">
        <v>1147</v>
      </c>
      <c r="N426" s="301"/>
      <c r="O426" s="5"/>
      <c r="P426" s="30"/>
      <c r="Q426" s="30"/>
      <c r="R426" s="30"/>
      <c r="S426" s="30"/>
      <c r="T426" s="155">
        <f>IF($S$6="Exclude", SUMIFS(S427:S431, J427:J431, "&lt;&gt;Yes", G427:G431, "&lt;&gt;Yes"), SUMIFS(S427:S431, J427:J431, "&lt;&gt;Yes"))</f>
        <v>14</v>
      </c>
      <c r="U426" s="30"/>
      <c r="V426" s="30"/>
      <c r="W426" s="30"/>
      <c r="X426" s="31"/>
      <c r="Y426" s="32"/>
      <c r="Z426" s="32"/>
      <c r="AA426" s="32"/>
      <c r="AB426" s="219" t="s">
        <v>980</v>
      </c>
      <c r="AC426" s="33"/>
      <c r="AD426" s="23" t="str">
        <f>IF(M426="", "Error: Task name cannot be empty.", "")</f>
        <v/>
      </c>
    </row>
    <row r="427" spans="1:30" s="12" customFormat="1" ht="1.5" hidden="1" customHeight="1" outlineLevel="2" x14ac:dyDescent="0.35">
      <c r="A427" s="86" t="s">
        <v>101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63">
        <f ca="1">L426</f>
        <v>38</v>
      </c>
      <c r="M427" s="164" t="s">
        <v>105</v>
      </c>
      <c r="N427" s="161"/>
      <c r="O427" s="162"/>
      <c r="P427" s="30"/>
      <c r="Q427" s="30"/>
      <c r="R427" s="30"/>
      <c r="S427" s="30"/>
      <c r="T427" s="155"/>
      <c r="U427" s="30"/>
      <c r="V427" s="30"/>
      <c r="W427" s="30"/>
      <c r="X427" s="31"/>
      <c r="Y427" s="32"/>
      <c r="Z427" s="32"/>
      <c r="AA427" s="32"/>
      <c r="AB427" s="33"/>
      <c r="AC427" s="33"/>
      <c r="AD427" s="23"/>
    </row>
    <row r="428" spans="1:30" ht="15.5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 t="str">
        <f ca="1">IFERROR(OFFSET(M428,-1,,1,1)+0.1,OFFSET(M428,-1,-1,1,1)&amp;".1")</f>
        <v>38.1</v>
      </c>
      <c r="N428" s="20" t="s">
        <v>1148</v>
      </c>
      <c r="O428" s="20"/>
      <c r="P428" s="20"/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5</v>
      </c>
      <c r="T428" s="158"/>
      <c r="U428" s="21">
        <v>0</v>
      </c>
      <c r="V428" s="21">
        <v>1</v>
      </c>
      <c r="W428" s="21">
        <v>0</v>
      </c>
      <c r="X428" s="156">
        <v>5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5</v>
      </c>
      <c r="Z428" s="22"/>
      <c r="AA428" s="157">
        <f>Y428+Y428*VLOOKUP(I428,EXTRAS_ARRAY,2,FALSE)</f>
        <v>5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43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 t="s">
        <v>483</v>
      </c>
      <c r="L429" s="19"/>
      <c r="M429" s="263">
        <f ca="1">IFERROR(OFFSET(M429,-1,,1,1)+0.1,OFFSET(M429,-1,-1,1,1)&amp;".1")</f>
        <v>38.200000000000003</v>
      </c>
      <c r="N429" s="20" t="s">
        <v>1149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5</v>
      </c>
      <c r="T429" s="158"/>
      <c r="U429" s="21">
        <v>0</v>
      </c>
      <c r="V429" s="21">
        <v>1</v>
      </c>
      <c r="W429" s="21">
        <v>0</v>
      </c>
      <c r="X429" s="156">
        <v>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5</v>
      </c>
      <c r="Z429" s="22"/>
      <c r="AA429" s="157">
        <f>Y429+Y429*VLOOKUP(I429,EXTRAS_ARRAY,2,FALSE)</f>
        <v>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15.5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38.300000000000004</v>
      </c>
      <c r="N430" s="20" t="s">
        <v>1150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4</v>
      </c>
      <c r="T430" s="158"/>
      <c r="U430" s="21">
        <v>0</v>
      </c>
      <c r="V430" s="21">
        <v>1</v>
      </c>
      <c r="W430" s="21">
        <v>0</v>
      </c>
      <c r="X430" s="156">
        <v>4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4</v>
      </c>
      <c r="Z430" s="22"/>
      <c r="AA430" s="157">
        <f>Y430+Y430*VLOOKUP(I430,EXTRAS_ARRAY,2,FALSE)</f>
        <v>4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s="9" customFormat="1" ht="7.5" hidden="1" customHeight="1" outlineLevel="2" x14ac:dyDescent="0.35">
      <c r="A431" s="86" t="s">
        <v>132</v>
      </c>
      <c r="B431" s="15"/>
      <c r="C431" s="72"/>
      <c r="D431" s="72"/>
      <c r="E431" s="72"/>
      <c r="F431" s="72"/>
      <c r="M431" s="252"/>
      <c r="T431" s="15"/>
      <c r="X431" s="15"/>
      <c r="AB431" s="10"/>
      <c r="AC431" s="10"/>
      <c r="AD431" s="10"/>
    </row>
    <row r="432" spans="1:30" s="9" customFormat="1" ht="3" customHeight="1" outlineLevel="1" x14ac:dyDescent="0.35">
      <c r="A432" s="86" t="s">
        <v>102</v>
      </c>
      <c r="C432" s="72"/>
      <c r="D432" s="72"/>
      <c r="E432" s="72"/>
      <c r="F432" s="72"/>
      <c r="G432" s="25"/>
      <c r="H432" s="25"/>
      <c r="I432" s="25"/>
      <c r="J432" s="25"/>
      <c r="K432" s="25"/>
      <c r="L432" s="56"/>
      <c r="M432" s="264"/>
      <c r="N432" s="57"/>
      <c r="O432" s="57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7"/>
      <c r="AC432" s="57"/>
      <c r="AD432" s="10"/>
    </row>
    <row r="433" spans="1:30" s="14" customFormat="1" ht="18.5" x14ac:dyDescent="0.35">
      <c r="A433" s="86" t="s">
        <v>98</v>
      </c>
      <c r="B433" s="12"/>
      <c r="C433" s="73"/>
      <c r="D433" s="73"/>
      <c r="E433" s="73"/>
      <c r="F433" s="72"/>
      <c r="G433" s="52"/>
      <c r="H433" s="52"/>
      <c r="I433" s="52"/>
      <c r="J433" s="52"/>
      <c r="K433" s="52"/>
      <c r="L433" s="52" t="s">
        <v>70</v>
      </c>
      <c r="M433" s="261" t="s">
        <v>74</v>
      </c>
      <c r="N433" s="53"/>
      <c r="O433" s="54"/>
      <c r="P433" s="55"/>
      <c r="Q433" s="55"/>
      <c r="R433" s="55"/>
      <c r="S433" s="302">
        <f>CEILING(SUMIF(J434:J470, "&lt;&gt;Yes", T434:T470),1)</f>
        <v>111</v>
      </c>
      <c r="T433" s="302"/>
      <c r="U433" s="55"/>
      <c r="V433" s="55"/>
      <c r="W433" s="55"/>
      <c r="X433" s="55"/>
      <c r="Y433" s="55"/>
      <c r="Z433" s="55"/>
      <c r="AA433" s="55"/>
      <c r="AB433" s="55"/>
      <c r="AC433" s="55"/>
      <c r="AD433" s="13"/>
    </row>
    <row r="434" spans="1:30" s="9" customFormat="1" ht="3" customHeight="1" outlineLevel="1" x14ac:dyDescent="0.35">
      <c r="A434" s="86" t="s">
        <v>99</v>
      </c>
      <c r="B434" s="15"/>
      <c r="C434" s="72"/>
      <c r="D434" s="72"/>
      <c r="E434" s="72"/>
      <c r="F434" s="72"/>
      <c r="G434" s="25"/>
      <c r="H434" s="25"/>
      <c r="I434" s="25"/>
      <c r="J434" s="25"/>
      <c r="K434" s="25"/>
      <c r="L434" s="26">
        <v>0</v>
      </c>
      <c r="M434" s="262"/>
      <c r="N434" s="25"/>
      <c r="O434" s="25"/>
      <c r="P434" s="25"/>
      <c r="Q434" s="25"/>
      <c r="R434" s="25"/>
      <c r="S434" s="25"/>
      <c r="T434" s="27"/>
      <c r="U434" s="25"/>
      <c r="V434" s="25"/>
      <c r="W434" s="25"/>
      <c r="X434" s="27"/>
      <c r="Y434" s="25"/>
      <c r="Z434" s="25"/>
      <c r="AA434" s="25"/>
      <c r="AB434" s="28"/>
      <c r="AC434" s="28"/>
      <c r="AD434" s="10"/>
    </row>
    <row r="435" spans="1:30" s="14" customFormat="1" ht="15.5" outlineLevel="1" x14ac:dyDescent="0.35">
      <c r="A435" s="86" t="s">
        <v>107</v>
      </c>
      <c r="B435" s="18"/>
      <c r="C435" s="77"/>
      <c r="D435" s="77"/>
      <c r="E435" s="77"/>
      <c r="F435" s="76"/>
      <c r="G435" s="170"/>
      <c r="H435" s="170"/>
      <c r="I435" s="170"/>
      <c r="J435" s="170"/>
      <c r="K435" s="170"/>
      <c r="L435" s="85" t="s">
        <v>109</v>
      </c>
      <c r="M435" s="300" t="s">
        <v>1151</v>
      </c>
      <c r="N435" s="300"/>
      <c r="O435" s="80"/>
      <c r="P435" s="81"/>
      <c r="Q435" s="81"/>
      <c r="R435" s="81"/>
      <c r="S435" s="291">
        <f>SUMGROUP(ROW(), "T")</f>
        <v>10.75</v>
      </c>
      <c r="T435" s="291"/>
      <c r="U435" s="292"/>
      <c r="V435" s="292"/>
      <c r="W435" s="292"/>
      <c r="X435" s="82"/>
      <c r="Y435" s="83"/>
      <c r="Z435" s="83"/>
      <c r="AA435" s="83"/>
      <c r="AB435" s="221"/>
      <c r="AC435" s="84"/>
      <c r="AD435" s="23" t="str">
        <f>IF(M435="", "Error: Module name cannot be empty.", "")</f>
        <v/>
      </c>
    </row>
    <row r="436" spans="1:30" s="14" customFormat="1" ht="15.5" outlineLevel="1" collapsed="1" x14ac:dyDescent="0.35">
      <c r="A436" s="86" t="s">
        <v>100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7">
        <f ca="1">LOOKUP(1000,INDIRECT("L1:"&amp;CELL("address",INDIRECT("R[-1]C",FALSE))))+1</f>
        <v>1</v>
      </c>
      <c r="M436" s="301" t="s">
        <v>484</v>
      </c>
      <c r="N436" s="301"/>
      <c r="O436" s="5"/>
      <c r="P436" s="30"/>
      <c r="Q436" s="30"/>
      <c r="R436" s="30"/>
      <c r="S436" s="30"/>
      <c r="T436" s="155">
        <f>IF($S$6="Exclude", SUMIFS(S437:S440, J437:J440, "&lt;&gt;Yes", G437:G440, "&lt;&gt;Yes"), SUMIFS(S437:S440, J437:J440, "&lt;&gt;Yes"))</f>
        <v>10.75</v>
      </c>
      <c r="U436" s="30"/>
      <c r="V436" s="30"/>
      <c r="W436" s="30"/>
      <c r="X436" s="31"/>
      <c r="Y436" s="32"/>
      <c r="Z436" s="32"/>
      <c r="AA436" s="32"/>
      <c r="AB436" s="219"/>
      <c r="AC436" s="33"/>
      <c r="AD436" s="23" t="str">
        <f>IF(M436="", "Error: Task name cannot be empty.", "")</f>
        <v/>
      </c>
    </row>
    <row r="437" spans="1:30" s="12" customFormat="1" ht="1.5" hidden="1" customHeight="1" outlineLevel="2" x14ac:dyDescent="0.35">
      <c r="A437" s="86" t="s">
        <v>101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63">
        <f ca="1">L436</f>
        <v>1</v>
      </c>
      <c r="M437" s="164" t="s">
        <v>105</v>
      </c>
      <c r="N437" s="161"/>
      <c r="O437" s="162"/>
      <c r="P437" s="30"/>
      <c r="Q437" s="30"/>
      <c r="R437" s="30"/>
      <c r="S437" s="30"/>
      <c r="T437" s="155"/>
      <c r="U437" s="30"/>
      <c r="V437" s="30"/>
      <c r="W437" s="30"/>
      <c r="X437" s="31"/>
      <c r="Y437" s="32"/>
      <c r="Z437" s="32"/>
      <c r="AA437" s="32"/>
      <c r="AB437" s="33"/>
      <c r="AC437" s="33"/>
      <c r="AD437" s="23"/>
    </row>
    <row r="438" spans="1:30" ht="87" hidden="1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 t="str">
        <f ca="1">IFERROR(OFFSET(M438,-1,,1,1)+0.1,OFFSET(M438,-1,-1,1,1)&amp;".1")</f>
        <v>1.1</v>
      </c>
      <c r="N438" s="20" t="s">
        <v>929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5</v>
      </c>
      <c r="T438" s="158"/>
      <c r="U438" s="21">
        <v>0.2</v>
      </c>
      <c r="V438" s="21">
        <v>0.5</v>
      </c>
      <c r="W438" s="21">
        <v>0.3</v>
      </c>
      <c r="X438" s="156">
        <v>5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5</v>
      </c>
      <c r="Z438" s="22"/>
      <c r="AA438" s="157">
        <f>Y438+Y438*VLOOKUP(I438,EXTRAS_ARRAY,2,FALSE)</f>
        <v>5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16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1.2000000000000002</v>
      </c>
      <c r="N439" s="20" t="s">
        <v>930</v>
      </c>
      <c r="O439" s="20"/>
      <c r="P439" s="20" t="s">
        <v>485</v>
      </c>
      <c r="Q439" s="134">
        <f>Total_Use_Cases</f>
        <v>27</v>
      </c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5.75</v>
      </c>
      <c r="T439" s="158"/>
      <c r="U439" s="21">
        <v>0.2</v>
      </c>
      <c r="V439" s="21">
        <v>0.5</v>
      </c>
      <c r="W439" s="21">
        <v>0.3</v>
      </c>
      <c r="X439" s="156">
        <v>0.2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5.75</v>
      </c>
      <c r="Z439" s="22">
        <v>7.9000000000000001E-2</v>
      </c>
      <c r="AA439" s="157">
        <f>Y439+Y439*VLOOKUP(I439,EXTRAS_ARRAY,2,FALSE)</f>
        <v>5.75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5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14" customFormat="1" ht="15.5" outlineLevel="1" x14ac:dyDescent="0.35">
      <c r="A441" s="86" t="s">
        <v>107</v>
      </c>
      <c r="B441" s="18"/>
      <c r="C441" s="77"/>
      <c r="D441" s="77"/>
      <c r="E441" s="77"/>
      <c r="F441" s="76"/>
      <c r="G441" s="170"/>
      <c r="H441" s="170"/>
      <c r="I441" s="170"/>
      <c r="J441" s="170"/>
      <c r="K441" s="170"/>
      <c r="L441" s="85" t="s">
        <v>109</v>
      </c>
      <c r="M441" s="300" t="s">
        <v>1152</v>
      </c>
      <c r="N441" s="300"/>
      <c r="O441" s="80"/>
      <c r="P441" s="81"/>
      <c r="Q441" s="81"/>
      <c r="R441" s="81"/>
      <c r="S441" s="291">
        <f>SUMGROUP(ROW(), "T")</f>
        <v>99.75</v>
      </c>
      <c r="T441" s="291"/>
      <c r="U441" s="292"/>
      <c r="V441" s="292"/>
      <c r="W441" s="292"/>
      <c r="X441" s="82"/>
      <c r="Y441" s="83"/>
      <c r="Z441" s="83"/>
      <c r="AA441" s="83"/>
      <c r="AB441" s="221"/>
      <c r="AC441" s="84"/>
      <c r="AD441" s="23" t="str">
        <f>IF(M441="", "Error: Module name cannot be empty.", "")</f>
        <v/>
      </c>
    </row>
    <row r="442" spans="1:30" s="14" customFormat="1" ht="15.5" outlineLevel="1" collapsed="1" x14ac:dyDescent="0.35">
      <c r="A442" s="86" t="s">
        <v>100</v>
      </c>
      <c r="B442" s="18"/>
      <c r="C442" s="77"/>
      <c r="D442" s="77"/>
      <c r="E442" s="77"/>
      <c r="F442" s="76"/>
      <c r="G442" s="29"/>
      <c r="H442" s="29"/>
      <c r="I442" s="29"/>
      <c r="J442" s="29"/>
      <c r="K442" s="29"/>
      <c r="L442" s="17">
        <f ca="1">LOOKUP(1000,INDIRECT("L1:"&amp;CELL("address",INDIRECT("R[-1]C",FALSE))))+1</f>
        <v>2</v>
      </c>
      <c r="M442" s="301" t="s">
        <v>452</v>
      </c>
      <c r="N442" s="301"/>
      <c r="O442" s="5"/>
      <c r="P442" s="30"/>
      <c r="Q442" s="30"/>
      <c r="R442" s="30"/>
      <c r="S442" s="30"/>
      <c r="T442" s="155">
        <f>IF($S$6="Exclude", SUMIFS(S443:S448, J443:J448, "&lt;&gt;Yes", G443:G448, "&lt;&gt;Yes"), SUMIFS(S443:S448, J443:J448, "&lt;&gt;Yes"))</f>
        <v>31.25</v>
      </c>
      <c r="U442" s="30"/>
      <c r="V442" s="30"/>
      <c r="W442" s="30"/>
      <c r="X442" s="31"/>
      <c r="Y442" s="32"/>
      <c r="Z442" s="32"/>
      <c r="AA442" s="32"/>
      <c r="AB442" s="219"/>
      <c r="AC442" s="33"/>
      <c r="AD442" s="23" t="str">
        <f>IF(M442="", "Error: Task name cannot be empty.", "")</f>
        <v/>
      </c>
    </row>
    <row r="443" spans="1:30" s="12" customFormat="1" ht="1.5" hidden="1" customHeight="1" outlineLevel="2" x14ac:dyDescent="0.35">
      <c r="A443" s="86" t="s">
        <v>101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63">
        <f ca="1">L442</f>
        <v>2</v>
      </c>
      <c r="M443" s="164" t="s">
        <v>105</v>
      </c>
      <c r="N443" s="161"/>
      <c r="O443" s="162"/>
      <c r="P443" s="30"/>
      <c r="Q443" s="30"/>
      <c r="R443" s="30"/>
      <c r="S443" s="30"/>
      <c r="T443" s="155"/>
      <c r="U443" s="30"/>
      <c r="V443" s="30"/>
      <c r="W443" s="30"/>
      <c r="X443" s="31"/>
      <c r="Y443" s="32"/>
      <c r="Z443" s="32"/>
      <c r="AA443" s="32"/>
      <c r="AB443" s="33"/>
      <c r="AC443" s="33"/>
      <c r="AD443" s="23"/>
    </row>
    <row r="444" spans="1:30" ht="72.5" hidden="1" outlineLevel="2" x14ac:dyDescent="0.35">
      <c r="A444" s="86" t="s">
        <v>0</v>
      </c>
      <c r="B444" s="18"/>
      <c r="C444" s="78"/>
      <c r="D444" s="78"/>
      <c r="E444" s="78"/>
      <c r="F444" s="79"/>
      <c r="G444" s="19" t="s">
        <v>23</v>
      </c>
      <c r="H444" s="19" t="s">
        <v>23</v>
      </c>
      <c r="I444" s="20" t="s">
        <v>23</v>
      </c>
      <c r="J444" s="19" t="s">
        <v>23</v>
      </c>
      <c r="K444" s="35"/>
      <c r="L444" s="19"/>
      <c r="M444" s="263" t="str">
        <f ca="1">IFERROR(OFFSET(M444,-1,,1,1)+0.1,OFFSET(M444,-1,-1,1,1)&amp;".1")</f>
        <v>2.1</v>
      </c>
      <c r="N444" s="20" t="s">
        <v>931</v>
      </c>
      <c r="O444" s="20"/>
      <c r="P444" s="20"/>
      <c r="Q444" s="134"/>
      <c r="R444" s="127"/>
      <c r="S444" s="157">
        <f>CEILING((IF(J444="Yes", 0, IF(H444="-",AA444,AA444+AA444*VLOOKUP(H444,BUFFERS_BY_TYPE,2,FALSE)))) +
   (IF(J444="Yes", 0, IF(H444="-",AA444,AA444+AA444*VLOOKUP(H444,BUFFERS_BY_TYPE,2,FALSE))))*VLOOKUP($S$5, SALES_CALL_SCALE_ARRAY, 2,FALSE),0.25)</f>
        <v>6</v>
      </c>
      <c r="T444" s="158"/>
      <c r="U444" s="21">
        <v>0</v>
      </c>
      <c r="V444" s="21">
        <v>1</v>
      </c>
      <c r="W444" s="21">
        <v>0</v>
      </c>
      <c r="X444" s="156">
        <v>6</v>
      </c>
      <c r="Y444" s="157">
        <f>CEILING((IF(P444=AS_DEV_EFFORT, DEV_EFFORT*Q444%,
                           IF(P444=AS_DURATION_EFFORT, (MANUAL_DURATION*5)*Q444%,
                                    (IF(Q444&lt;=1,X444,
                                          IF(SUM(U444:W444)=0,(Q444*X444),
                                               (((Q444*U444)*(X444+(X444*EXTRA_FOR_H)))+
                                               ((Q444*V444)*X444)+
                                               ((Q444*W444)*(X444-(X444*LESS_FOR_L)))
                                    )*IF(R444=0,1,R444))))))+Z444), 0.25)</f>
        <v>6</v>
      </c>
      <c r="Z444" s="22"/>
      <c r="AA444" s="157">
        <f>Y444+Y444*VLOOKUP(I444,EXTRAS_ARRAY,2,FALSE)</f>
        <v>6</v>
      </c>
      <c r="AB444" s="20"/>
      <c r="AC444" s="34"/>
      <c r="AD444" s="23" t="str">
        <f>IF(J444&lt;&gt;"Yes",
IF(S444&lt;=0,"Error: Effort value is not defined or is invalid.",
IF(AND(SUM(U444:W444)&gt;0,SUM(U444:W444)&lt;&gt;1),"Error: Complexity % distribution should sum to 100%.",
IF(AND(P444=AS_DEV_EFFORT,X444&lt;&gt;0),"Error: PDs should not be defined when defining as dev effort %.",
IF(AND(P444=AS_DURATION_EFFORT,X444&lt;&gt;0),"Error: PDs should not be defined when defining as duration effort %.","")))))</f>
        <v/>
      </c>
    </row>
    <row r="445" spans="1:30" ht="130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 t="s">
        <v>1153</v>
      </c>
      <c r="L445" s="19"/>
      <c r="M445" s="263">
        <f ca="1">IFERROR(OFFSET(M445,-1,,1,1)+0.1,OFFSET(M445,-1,-1,1,1)&amp;".1")</f>
        <v>2.2000000000000002</v>
      </c>
      <c r="N445" s="20" t="s">
        <v>932</v>
      </c>
      <c r="O445" s="20" t="s">
        <v>1154</v>
      </c>
      <c r="P445" s="20">
        <f>Total_Use_Cases * R445</f>
        <v>135</v>
      </c>
      <c r="Q445" s="134">
        <f>Total_Use_Cases</f>
        <v>27</v>
      </c>
      <c r="R445" s="127">
        <v>5</v>
      </c>
      <c r="S445" s="157">
        <f>CEILING((IF(J445="Yes", 0, IF(H445="-",AA445,AA445+AA445*VLOOKUP(H445,BUFFERS_BY_TYPE,2,FALSE)))) +
   (IF(J445="Yes", 0, IF(H445="-",AA445,AA445+AA445*VLOOKUP(H445,BUFFERS_BY_TYPE,2,FALSE))))*VLOOKUP($S$5, SALES_CALL_SCALE_ARRAY, 2,FALSE),0.25)</f>
        <v>20.25</v>
      </c>
      <c r="T445" s="158"/>
      <c r="U445" s="21">
        <v>0.15</v>
      </c>
      <c r="V445" s="21">
        <v>0.5</v>
      </c>
      <c r="W445" s="21">
        <v>0.35</v>
      </c>
      <c r="X445" s="156">
        <v>0.15</v>
      </c>
      <c r="Y445" s="157">
        <f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20.25</v>
      </c>
      <c r="Z445" s="22">
        <v>0.224</v>
      </c>
      <c r="AA445" s="157">
        <f>Y445+Y445*VLOOKUP(I445,EXTRAS_ARRAY,2,FALSE)</f>
        <v>20.25</v>
      </c>
      <c r="AB445" s="20"/>
      <c r="AC445" s="34"/>
      <c r="AD445" s="23" t="str">
        <f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01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6</v>
      </c>
      <c r="K446" s="35" t="s">
        <v>1155</v>
      </c>
      <c r="L446" s="19"/>
      <c r="M446" s="263">
        <f ca="1">IFERROR(OFFSET(M446,-1,,1,1)+0.1,OFFSET(M446,-1,-1,1,1)&amp;".1")</f>
        <v>2.3000000000000003</v>
      </c>
      <c r="N446" s="20" t="s">
        <v>933</v>
      </c>
      <c r="O446" s="20" t="s">
        <v>1156</v>
      </c>
      <c r="P446" s="20">
        <f>Total_Use_Cases * R446 * 50%</f>
        <v>67.5</v>
      </c>
      <c r="Q446" s="134">
        <f>Total_Use_Cases</f>
        <v>27</v>
      </c>
      <c r="R446" s="127">
        <v>5</v>
      </c>
      <c r="S446" s="157">
        <f>CEILING((IF(J446="Yes", 0, IF(H446="-",AA446,AA446+AA446*VLOOKUP(H446,BUFFERS_BY_TYPE,2,FALSE)))) +
   (IF(J446="Yes", 0, IF(H446="-",AA446,AA446+AA446*VLOOKUP(H446,BUFFERS_BY_TYPE,2,FALSE))))*VLOOKUP($S$5, SALES_CALL_SCALE_ARRAY, 2,FALSE),0.25)</f>
        <v>0</v>
      </c>
      <c r="T446" s="158"/>
      <c r="U446" s="21">
        <v>0.15</v>
      </c>
      <c r="V446" s="21">
        <v>0.5</v>
      </c>
      <c r="W446" s="21">
        <v>0.35</v>
      </c>
      <c r="X446" s="156">
        <v>0.1</v>
      </c>
      <c r="Y446" s="157">
        <f>CEILING((IF(P446=AS_DEV_EFFORT, DEV_EFFORT*Q446%,
                           IF(P446=AS_DURATION_EFFORT, (MANUAL_DURATION*5)*Q446%,
                                    (IF(Q446&lt;=1,X446,
                                          IF(SUM(U446:W446)=0,(Q446*X446),
                                               (((Q446*U446)*(X446+(X446*EXTRA_FOR_H)))+
                                               ((Q446*V446)*X446)+
                                               ((Q446*W446)*(X446-(X446*LESS_FOR_L)))
                                    )*IF(R446=0,1,R446))))))+Z446), 0.25)</f>
        <v>10.5</v>
      </c>
      <c r="Z446" s="22">
        <v>-2.851</v>
      </c>
      <c r="AA446" s="157">
        <f>Y446+Y446*VLOOKUP(I446,EXTRAS_ARRAY,2,FALSE)</f>
        <v>10.5</v>
      </c>
      <c r="AB446" s="20"/>
      <c r="AC446" s="34"/>
      <c r="AD446" s="23" t="b">
        <f>IF(J446&lt;&gt;"Yes",
IF(S446&lt;=0,"Error: Effort value is not defined or is invalid.",
IF(AND(SUM(U446:W446)&gt;0,SUM(U446:W446)&lt;&gt;1),"Error: Complexity % distribution should sum to 100%.",
IF(AND(P446=AS_DEV_EFFORT,X446&lt;&gt;0),"Error: PDs should not be defined when defining as dev effort %.",
IF(AND(P446=AS_DURATION_EFFORT,X446&lt;&gt;0),"Error: PDs should not be defined when defining as duration effort %.","")))))</f>
        <v>0</v>
      </c>
    </row>
    <row r="447" spans="1:30" ht="72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ca="1">IFERROR(OFFSET(M447,-1,,1,1)+0.1,OFFSET(M447,-1,-1,1,1)&amp;".1")</f>
        <v>2.4000000000000004</v>
      </c>
      <c r="N447" s="20" t="s">
        <v>934</v>
      </c>
      <c r="O447" s="20"/>
      <c r="P447" s="20"/>
      <c r="Q447" s="134"/>
      <c r="R447" s="127"/>
      <c r="S447" s="157">
        <f>CEILING((IF(J447="Yes", 0, IF(H447="-",AA447,AA447+AA447*VLOOKUP(H447,BUFFERS_BY_TYPE,2,FALSE)))) +
   (IF(J447="Yes", 0, IF(H447="-",AA447,AA447+AA447*VLOOKUP(H447,BUFFERS_BY_TYPE,2,FALSE))))*VLOOKUP($S$5, SALES_CALL_SCALE_ARRAY, 2,FALSE),0.25)</f>
        <v>5</v>
      </c>
      <c r="T447" s="158"/>
      <c r="U447" s="21">
        <v>0</v>
      </c>
      <c r="V447" s="21">
        <v>1</v>
      </c>
      <c r="W447" s="21">
        <v>0</v>
      </c>
      <c r="X447" s="156">
        <v>5</v>
      </c>
      <c r="Y447" s="157">
        <f>CEILING((IF(P447=AS_DEV_EFFORT, DEV_EFFORT*Q447%,
                           IF(P447=AS_DURATION_EFFORT, (MANUAL_DURATION*5)*Q447%,
                                    (IF(Q447&lt;=1,X447,
                                          IF(SUM(U447:W447)=0,(Q447*X447),
                                               (((Q447*U447)*(X447+(X447*EXTRA_FOR_H)))+
                                               ((Q447*V447)*X447)+
                                               ((Q447*W447)*(X447-(X447*LESS_FOR_L)))
                                    )*IF(R447=0,1,R447))))))+Z447), 0.25)</f>
        <v>5</v>
      </c>
      <c r="Z447" s="22"/>
      <c r="AA447" s="157">
        <f>Y447+Y447*VLOOKUP(I447,EXTRAS_ARRAY,2,FALSE)</f>
        <v>5</v>
      </c>
      <c r="AB447" s="20"/>
      <c r="AC447" s="34"/>
      <c r="AD447" s="23" t="str">
        <f>IF(J447&lt;&gt;"Yes",
IF(S447&lt;=0,"Error: Effort value is not defined or is invalid.",
IF(AND(SUM(U447:W447)&gt;0,SUM(U447:W447)&lt;&gt;1),"Error: Complexity % distribution should sum to 100%.",
IF(AND(P447=AS_DEV_EFFORT,X447&lt;&gt;0),"Error: PDs should not be defined when defining as dev effort %.",
IF(AND(P447=AS_DURATION_EFFORT,X447&lt;&gt;0),"Error: PDs should not be defined when defining as duration effort %.","")))))</f>
        <v/>
      </c>
    </row>
    <row r="448" spans="1:30" s="9" customFormat="1" ht="7.5" hidden="1" customHeight="1" outlineLevel="2" x14ac:dyDescent="0.35">
      <c r="A448" s="86" t="s">
        <v>132</v>
      </c>
      <c r="B448" s="15"/>
      <c r="C448" s="72"/>
      <c r="D448" s="72"/>
      <c r="E448" s="72"/>
      <c r="F448" s="72"/>
      <c r="M448" s="252"/>
      <c r="T448" s="15"/>
      <c r="X448" s="15"/>
      <c r="AB448" s="10"/>
      <c r="AC448" s="10"/>
      <c r="AD448" s="10"/>
    </row>
    <row r="449" spans="1:30" s="14" customFormat="1" ht="15.5" outlineLevel="1" collapsed="1" x14ac:dyDescent="0.35">
      <c r="A449" s="86" t="s">
        <v>100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7">
        <f ca="1">LOOKUP(1000,INDIRECT("L1:"&amp;CELL("address",INDIRECT("R[-1]C",FALSE))))+1</f>
        <v>3</v>
      </c>
      <c r="M449" s="301" t="s">
        <v>455</v>
      </c>
      <c r="N449" s="301"/>
      <c r="O449" s="5"/>
      <c r="P449" s="30"/>
      <c r="Q449" s="30"/>
      <c r="R449" s="30"/>
      <c r="S449" s="30"/>
      <c r="T449" s="155">
        <f>IF($S$6="Exclude", SUMIFS(S450:S453, J450:J453, "&lt;&gt;Yes", G450:G453, "&lt;&gt;Yes"), SUMIFS(S450:S453, J450:J453, "&lt;&gt;Yes"))</f>
        <v>33</v>
      </c>
      <c r="U449" s="30"/>
      <c r="V449" s="30"/>
      <c r="W449" s="30"/>
      <c r="X449" s="31"/>
      <c r="Y449" s="32"/>
      <c r="Z449" s="32"/>
      <c r="AA449" s="32"/>
      <c r="AB449" s="219"/>
      <c r="AC449" s="33"/>
      <c r="AD449" s="23" t="str">
        <f>IF(M449="", "Error: Task name cannot be empty.", "")</f>
        <v/>
      </c>
    </row>
    <row r="450" spans="1:30" s="12" customFormat="1" ht="1.5" hidden="1" customHeight="1" outlineLevel="2" x14ac:dyDescent="0.35">
      <c r="A450" s="86" t="s">
        <v>101</v>
      </c>
      <c r="B450" s="18"/>
      <c r="C450" s="77"/>
      <c r="D450" s="77"/>
      <c r="E450" s="77"/>
      <c r="F450" s="76"/>
      <c r="G450" s="29"/>
      <c r="H450" s="29"/>
      <c r="I450" s="29"/>
      <c r="J450" s="29"/>
      <c r="K450" s="29"/>
      <c r="L450" s="163">
        <f ca="1">L449</f>
        <v>3</v>
      </c>
      <c r="M450" s="164" t="s">
        <v>105</v>
      </c>
      <c r="N450" s="161"/>
      <c r="O450" s="162"/>
      <c r="P450" s="30"/>
      <c r="Q450" s="30"/>
      <c r="R450" s="30"/>
      <c r="S450" s="30"/>
      <c r="T450" s="155"/>
      <c r="U450" s="30"/>
      <c r="V450" s="30"/>
      <c r="W450" s="30"/>
      <c r="X450" s="31"/>
      <c r="Y450" s="32"/>
      <c r="Z450" s="32"/>
      <c r="AA450" s="32"/>
      <c r="AB450" s="33"/>
      <c r="AC450" s="33"/>
      <c r="AD450" s="23"/>
    </row>
    <row r="451" spans="1:30" ht="72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 t="str">
        <f ca="1">IFERROR(OFFSET(M451,-1,,1,1)+0.1,OFFSET(M451,-1,-1,1,1)&amp;".1")</f>
        <v>3.1</v>
      </c>
      <c r="N451" s="20" t="s">
        <v>935</v>
      </c>
      <c r="O451" s="20"/>
      <c r="P451" s="20"/>
      <c r="Q451" s="134"/>
      <c r="R451" s="127"/>
      <c r="S451" s="157">
        <f>CEILING((IF(J451="Yes", 0, IF(H451="-",AA451,AA451+AA451*VLOOKUP(H451,BUFFERS_BY_TYPE,2,FALSE)))) +
   (IF(J451="Yes", 0, IF(H451="-",AA451,AA451+AA451*VLOOKUP(H451,BUFFERS_BY_TYPE,2,FALSE))))*VLOOKUP($S$5, SALES_CALL_SCALE_ARRAY, 2,FALSE),0.25)</f>
        <v>8</v>
      </c>
      <c r="T451" s="158"/>
      <c r="U451" s="21">
        <v>0</v>
      </c>
      <c r="V451" s="21">
        <v>1</v>
      </c>
      <c r="W451" s="21">
        <v>0</v>
      </c>
      <c r="X451" s="156">
        <v>8</v>
      </c>
      <c r="Y451" s="157">
        <f>CEILING((IF(P451=AS_DEV_EFFORT, DEV_EFFORT*Q451%,
                           IF(P451=AS_DURATION_EFFORT, (MANUAL_DURATION*5)*Q451%,
                                    (IF(Q451&lt;=1,X451,
                                          IF(SUM(U451:W451)=0,(Q451*X451),
                                               (((Q451*U451)*(X451+(X451*EXTRA_FOR_H)))+
                                               ((Q451*V451)*X451)+
                                               ((Q451*W451)*(X451-(X451*LESS_FOR_L)))
                                    )*IF(R451=0,1,R451))))))+Z451), 0.25)</f>
        <v>8</v>
      </c>
      <c r="Z451" s="22"/>
      <c r="AA451" s="157">
        <f>Y451+Y451*VLOOKUP(I451,EXTRAS_ARRAY,2,FALSE)</f>
        <v>8</v>
      </c>
      <c r="AB451" s="20"/>
      <c r="AC451" s="34"/>
      <c r="AD451" s="23" t="str">
        <f>IF(J451&lt;&gt;"Yes",
IF(S451&lt;=0,"Error: Effort value is not defined or is invalid.",
IF(AND(SUM(U451:W451)&gt;0,SUM(U451:W451)&lt;&gt;1),"Error: Complexity % distribution should sum to 100%.",
IF(AND(P451=AS_DEV_EFFORT,X451&lt;&gt;0),"Error: PDs should not be defined when defining as dev effort %.",
IF(AND(P451=AS_DURATION_EFFORT,X451&lt;&gt;0),"Error: PDs should not be defined when defining as duration effort %.","")))))</f>
        <v/>
      </c>
    </row>
    <row r="452" spans="1:30" ht="116" hidden="1" outlineLevel="2" x14ac:dyDescent="0.35">
      <c r="A452" s="86" t="s">
        <v>0</v>
      </c>
      <c r="B452" s="18"/>
      <c r="C452" s="78"/>
      <c r="D452" s="78"/>
      <c r="E452" s="78"/>
      <c r="F452" s="79"/>
      <c r="G452" s="19" t="s">
        <v>23</v>
      </c>
      <c r="H452" s="19" t="s">
        <v>23</v>
      </c>
      <c r="I452" s="20" t="s">
        <v>23</v>
      </c>
      <c r="J452" s="19" t="s">
        <v>23</v>
      </c>
      <c r="K452" s="35" t="s">
        <v>487</v>
      </c>
      <c r="L452" s="19"/>
      <c r="M452" s="263">
        <f ca="1">IFERROR(OFFSET(M452,-1,,1,1)+0.1,OFFSET(M452,-1,-1,1,1)&amp;".1")</f>
        <v>3.2</v>
      </c>
      <c r="N452" s="20" t="s">
        <v>936</v>
      </c>
      <c r="O452" s="20" t="s">
        <v>486</v>
      </c>
      <c r="P452" s="251">
        <v>0.75</v>
      </c>
      <c r="Q452" s="134">
        <f>Total_Test_Cases * P452</f>
        <v>101.25</v>
      </c>
      <c r="R452" s="127"/>
      <c r="S452" s="157">
        <f>CEILING((IF(J452="Yes", 0, IF(H452="-",AA452,AA452+AA452*VLOOKUP(H452,BUFFERS_BY_TYPE,2,FALSE)))) +
   (IF(J452="Yes", 0, IF(H452="-",AA452,AA452+AA452*VLOOKUP(H452,BUFFERS_BY_TYPE,2,FALSE))))*VLOOKUP($S$5, SALES_CALL_SCALE_ARRAY, 2,FALSE),0.25)</f>
        <v>25</v>
      </c>
      <c r="T452" s="158"/>
      <c r="U452" s="21">
        <v>0.2</v>
      </c>
      <c r="V452" s="21">
        <v>0.6</v>
      </c>
      <c r="W452" s="21">
        <v>0.2</v>
      </c>
      <c r="X452" s="156">
        <v>0.25</v>
      </c>
      <c r="Y452" s="157">
        <f>CEILING((IF(P452=AS_DEV_EFFORT, DEV_EFFORT*Q452%,
                           IF(P452=AS_DURATION_EFFORT, (MANUAL_DURATION*5)*Q452%,
                                    (IF(Q452&lt;=1,X452,
                                          IF(SUM(U452:W452)=0,(Q452*X452),
                                               (((Q452*U452)*(X452+(X452*EXTRA_FOR_H)))+
                                               ((Q452*V452)*X452)+
                                               ((Q452*W452)*(X452-(X452*LESS_FOR_L)))
                                    )*IF(R452=0,1,R452))))))+Z452), 0.25)</f>
        <v>25</v>
      </c>
      <c r="Z452" s="22">
        <v>-1.6259999999999999</v>
      </c>
      <c r="AA452" s="157">
        <f>Y452+Y452*VLOOKUP(I452,EXTRAS_ARRAY,2,FALSE)</f>
        <v>25</v>
      </c>
      <c r="AB452" s="20"/>
      <c r="AC452" s="34"/>
      <c r="AD452" s="23" t="str">
        <f>IF(J452&lt;&gt;"Yes",
IF(S452&lt;=0,"Error: Effort value is not defined or is invalid.",
IF(AND(SUM(U452:W452)&gt;0,SUM(U452:W452)&lt;&gt;1),"Error: Complexity % distribution should sum to 100%.",
IF(AND(P452=AS_DEV_EFFORT,X452&lt;&gt;0),"Error: PDs should not be defined when defining as dev effort %.",
IF(AND(P452=AS_DURATION_EFFORT,X452&lt;&gt;0),"Error: PDs should not be defined when defining as duration effort %.","")))))</f>
        <v/>
      </c>
    </row>
    <row r="453" spans="1:30" s="9" customFormat="1" ht="7.5" hidden="1" customHeight="1" outlineLevel="2" x14ac:dyDescent="0.35">
      <c r="A453" s="86" t="s">
        <v>132</v>
      </c>
      <c r="B453" s="15"/>
      <c r="C453" s="72"/>
      <c r="D453" s="72"/>
      <c r="E453" s="72"/>
      <c r="F453" s="72"/>
      <c r="M453" s="252"/>
      <c r="T453" s="15"/>
      <c r="X453" s="15"/>
      <c r="AB453" s="10"/>
      <c r="AC453" s="10"/>
      <c r="AD453" s="10"/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4</v>
      </c>
      <c r="M454" s="301" t="s">
        <v>456</v>
      </c>
      <c r="N454" s="301"/>
      <c r="O454" s="5"/>
      <c r="P454" s="30"/>
      <c r="Q454" s="30"/>
      <c r="R454" s="30"/>
      <c r="S454" s="30"/>
      <c r="T454" s="155">
        <f>IF($S$6="Exclude", SUMIFS(S455:S460, J455:J460, "&lt;&gt;Yes", G455:G460, "&lt;&gt;Yes"), SUMIFS(S455:S460, J455:J460, "&lt;&gt;Yes"))</f>
        <v>18.5</v>
      </c>
      <c r="U454" s="30"/>
      <c r="V454" s="30"/>
      <c r="W454" s="30"/>
      <c r="X454" s="31"/>
      <c r="Y454" s="32"/>
      <c r="Z454" s="32"/>
      <c r="AA454" s="32"/>
      <c r="AB454" s="219"/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4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58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4.1</v>
      </c>
      <c r="N456" s="20" t="s">
        <v>937</v>
      </c>
      <c r="O456" s="20"/>
      <c r="P456" s="20" t="s">
        <v>457</v>
      </c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58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/>
      <c r="L457" s="19"/>
      <c r="M457" s="263">
        <f ca="1">IFERROR(OFFSET(M457,-1,,1,1)+0.1,OFFSET(M457,-1,-1,1,1)&amp;".1")</f>
        <v>4.1999999999999993</v>
      </c>
      <c r="N457" s="20" t="s">
        <v>938</v>
      </c>
      <c r="O457" s="20"/>
      <c r="P457" s="20" t="s">
        <v>454</v>
      </c>
      <c r="Q457" s="134">
        <f>Total_Test_Cases * 15%</f>
        <v>20.25</v>
      </c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4.75</v>
      </c>
      <c r="T457" s="158"/>
      <c r="U457" s="21">
        <v>0</v>
      </c>
      <c r="V457" s="21">
        <v>1</v>
      </c>
      <c r="W457" s="21">
        <v>0</v>
      </c>
      <c r="X457" s="156">
        <v>0.3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4.75</v>
      </c>
      <c r="Z457" s="22">
        <v>-1.401</v>
      </c>
      <c r="AA457" s="157">
        <f>Y457+Y457*VLOOKUP(I457,EXTRAS_ARRAY,2,FALSE)</f>
        <v>4.75</v>
      </c>
      <c r="AB457" s="20" t="s">
        <v>488</v>
      </c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72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4.2999999999999989</v>
      </c>
      <c r="N458" s="20" t="s">
        <v>939</v>
      </c>
      <c r="O458" s="20"/>
      <c r="P458" s="20" t="s">
        <v>454</v>
      </c>
      <c r="Q458" s="134">
        <f>Total_Test_Cases * 15%</f>
        <v>20.25</v>
      </c>
      <c r="R458" s="127">
        <v>3</v>
      </c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4.75</v>
      </c>
      <c r="T458" s="158"/>
      <c r="U458" s="21">
        <v>0</v>
      </c>
      <c r="V458" s="21">
        <v>1</v>
      </c>
      <c r="W458" s="21">
        <v>0</v>
      </c>
      <c r="X458" s="156">
        <v>0.1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4.75</v>
      </c>
      <c r="Z458" s="22">
        <v>-1.401</v>
      </c>
      <c r="AA458" s="157">
        <f>Y458+Y458*VLOOKUP(I458,EXTRAS_ARRAY,2,FALSE)</f>
        <v>4.75</v>
      </c>
      <c r="AB458" s="20" t="s">
        <v>1279</v>
      </c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ht="72.5" hidden="1" outlineLevel="2" x14ac:dyDescent="0.35">
      <c r="A459" s="86" t="s">
        <v>0</v>
      </c>
      <c r="B459" s="18"/>
      <c r="C459" s="78"/>
      <c r="D459" s="78"/>
      <c r="E459" s="78"/>
      <c r="F459" s="79"/>
      <c r="G459" s="19" t="s">
        <v>23</v>
      </c>
      <c r="H459" s="19" t="s">
        <v>23</v>
      </c>
      <c r="I459" s="20" t="s">
        <v>23</v>
      </c>
      <c r="J459" s="19" t="s">
        <v>23</v>
      </c>
      <c r="K459" s="35"/>
      <c r="L459" s="19"/>
      <c r="M459" s="263">
        <f ca="1">IFERROR(OFFSET(M459,-1,,1,1)+0.1,OFFSET(M459,-1,-1,1,1)&amp;".1")</f>
        <v>4.3999999999999986</v>
      </c>
      <c r="N459" s="20" t="s">
        <v>940</v>
      </c>
      <c r="O459" s="20"/>
      <c r="P459" s="20"/>
      <c r="Q459" s="134"/>
      <c r="R459" s="127"/>
      <c r="S459" s="157">
        <f>CEILING((IF(J459="Yes", 0, IF(H459="-",AA459,AA459+AA459*VLOOKUP(H459,BUFFERS_BY_TYPE,2,FALSE)))) +
   (IF(J459="Yes", 0, IF(H459="-",AA459,AA459+AA459*VLOOKUP(H459,BUFFERS_BY_TYPE,2,FALSE))))*VLOOKUP($S$5, SALES_CALL_SCALE_ARRAY, 2,FALSE),0.25)</f>
        <v>4</v>
      </c>
      <c r="T459" s="158"/>
      <c r="U459" s="21">
        <v>0</v>
      </c>
      <c r="V459" s="21">
        <v>1</v>
      </c>
      <c r="W459" s="21">
        <v>0</v>
      </c>
      <c r="X459" s="156">
        <v>4</v>
      </c>
      <c r="Y459" s="157">
        <f>CEILING((IF(P459=AS_DEV_EFFORT, DEV_EFFORT*Q459%,
                           IF(P459=AS_DURATION_EFFORT, (MANUAL_DURATION*5)*Q459%,
                                    (IF(Q459&lt;=1,X459,
                                          IF(SUM(U459:W459)=0,(Q459*X459),
                                               (((Q459*U459)*(X459+(X459*EXTRA_FOR_H)))+
                                               ((Q459*V459)*X459)+
                                               ((Q459*W459)*(X459-(X459*LESS_FOR_L)))
                                    )*IF(R459=0,1,R459))))))+Z459), 0.25)</f>
        <v>4</v>
      </c>
      <c r="Z459" s="22"/>
      <c r="AA459" s="157">
        <f>Y459+Y459*VLOOKUP(I459,EXTRAS_ARRAY,2,FALSE)</f>
        <v>4</v>
      </c>
      <c r="AB459" s="20"/>
      <c r="AC459" s="34"/>
      <c r="AD459" s="23" t="str">
        <f>IF(J459&lt;&gt;"Yes",
IF(S459&lt;=0,"Error: Effort value is not defined or is invalid.",
IF(AND(SUM(U459:W459)&gt;0,SUM(U459:W459)&lt;&gt;1),"Error: Complexity % distribution should sum to 100%.",
IF(AND(P459=AS_DEV_EFFORT,X459&lt;&gt;0),"Error: PDs should not be defined when defining as dev effort %.",
IF(AND(P459=AS_DURATION_EFFORT,X459&lt;&gt;0),"Error: PDs should not be defined when defining as duration effort %.","")))))</f>
        <v/>
      </c>
    </row>
    <row r="460" spans="1:30" s="9" customFormat="1" ht="7.5" hidden="1" customHeight="1" outlineLevel="2" x14ac:dyDescent="0.35">
      <c r="A460" s="86" t="s">
        <v>132</v>
      </c>
      <c r="B460" s="15"/>
      <c r="C460" s="72"/>
      <c r="D460" s="72"/>
      <c r="E460" s="72"/>
      <c r="F460" s="72"/>
      <c r="M460" s="252"/>
      <c r="T460" s="15"/>
      <c r="X460" s="15"/>
      <c r="AB460" s="10"/>
      <c r="AC460" s="10"/>
      <c r="AD460" s="10"/>
    </row>
    <row r="461" spans="1:30" s="14" customFormat="1" ht="15.5" outlineLevel="1" x14ac:dyDescent="0.35">
      <c r="A461" s="86" t="s">
        <v>100</v>
      </c>
      <c r="B461" s="18"/>
      <c r="C461" s="77"/>
      <c r="D461" s="77"/>
      <c r="E461" s="77"/>
      <c r="F461" s="76"/>
      <c r="G461" s="29"/>
      <c r="H461" s="29"/>
      <c r="I461" s="29"/>
      <c r="J461" s="29"/>
      <c r="K461" s="29"/>
      <c r="L461" s="17">
        <f ca="1">LOOKUP(1000,INDIRECT("L1:"&amp;CELL("address",INDIRECT("R[-1]C",FALSE))))+1</f>
        <v>5</v>
      </c>
      <c r="M461" s="301" t="s">
        <v>458</v>
      </c>
      <c r="N461" s="301"/>
      <c r="O461" s="5"/>
      <c r="P461" s="30"/>
      <c r="Q461" s="30"/>
      <c r="R461" s="30"/>
      <c r="S461" s="30"/>
      <c r="T461" s="155">
        <f>IF($S$6="Exclude", SUMIFS(S462:S469, J462:J469, "&lt;&gt;Yes", G462:G469, "&lt;&gt;Yes"), SUMIFS(S462:S469, J462:J469, "&lt;&gt;Yes"))</f>
        <v>17</v>
      </c>
      <c r="U461" s="30"/>
      <c r="V461" s="30"/>
      <c r="W461" s="30"/>
      <c r="X461" s="31"/>
      <c r="Y461" s="32"/>
      <c r="Z461" s="32"/>
      <c r="AA461" s="32"/>
      <c r="AB461" s="219"/>
      <c r="AC461" s="33"/>
      <c r="AD461" s="23" t="str">
        <f>IF(M461="", "Error: Task name cannot be empty.", "")</f>
        <v/>
      </c>
    </row>
    <row r="462" spans="1:30" s="12" customFormat="1" ht="1.5" customHeight="1" outlineLevel="2" x14ac:dyDescent="0.35">
      <c r="A462" s="86" t="s">
        <v>101</v>
      </c>
      <c r="B462" s="18"/>
      <c r="C462" s="77"/>
      <c r="D462" s="77"/>
      <c r="E462" s="77"/>
      <c r="F462" s="76"/>
      <c r="G462" s="29"/>
      <c r="H462" s="29"/>
      <c r="I462" s="29"/>
      <c r="J462" s="29"/>
      <c r="K462" s="29"/>
      <c r="L462" s="163">
        <f ca="1">L461</f>
        <v>5</v>
      </c>
      <c r="M462" s="164" t="s">
        <v>105</v>
      </c>
      <c r="N462" s="161"/>
      <c r="O462" s="162"/>
      <c r="P462" s="30"/>
      <c r="Q462" s="30"/>
      <c r="R462" s="30"/>
      <c r="S462" s="30"/>
      <c r="T462" s="155"/>
      <c r="U462" s="30"/>
      <c r="V462" s="30"/>
      <c r="W462" s="30"/>
      <c r="X462" s="31"/>
      <c r="Y462" s="32"/>
      <c r="Z462" s="32"/>
      <c r="AA462" s="32"/>
      <c r="AB462" s="33"/>
      <c r="AC462" s="33"/>
      <c r="AD462" s="23"/>
    </row>
    <row r="463" spans="1:30" ht="58" outlineLevel="2" x14ac:dyDescent="0.35">
      <c r="A463" s="86" t="s">
        <v>0</v>
      </c>
      <c r="B463" s="18"/>
      <c r="C463" s="78"/>
      <c r="D463" s="78"/>
      <c r="E463" s="78"/>
      <c r="F463" s="79"/>
      <c r="G463" s="19" t="s">
        <v>23</v>
      </c>
      <c r="H463" s="19" t="s">
        <v>23</v>
      </c>
      <c r="I463" s="20" t="s">
        <v>23</v>
      </c>
      <c r="J463" s="19" t="s">
        <v>23</v>
      </c>
      <c r="K463" s="35"/>
      <c r="L463" s="19"/>
      <c r="M463" s="263" t="str">
        <f t="shared" ref="M463:M466" ca="1" si="90">IFERROR(OFFSET(M463,-1,,1,1)+0.1,OFFSET(M463,-1,-1,1,1)&amp;".1")</f>
        <v>5.1</v>
      </c>
      <c r="N463" s="20" t="s">
        <v>941</v>
      </c>
      <c r="O463" s="20"/>
      <c r="P463" s="20" t="s">
        <v>489</v>
      </c>
      <c r="Q463" s="134">
        <f>Total_Screens</f>
        <v>18</v>
      </c>
      <c r="R463" s="127">
        <v>3</v>
      </c>
      <c r="S463" s="157">
        <f t="shared" ref="S463:S466" si="91">CEILING((IF(J463="Yes", 0, IF(H463="-",AA463,AA463+AA463*VLOOKUP(H463,BUFFERS_BY_TYPE,2,FALSE)))) +
   (IF(J463="Yes", 0, IF(H463="-",AA463,AA463+AA463*VLOOKUP(H463,BUFFERS_BY_TYPE,2,FALSE))))*VLOOKUP($S$5, SALES_CALL_SCALE_ARRAY, 2,FALSE),0.25)</f>
        <v>2.5</v>
      </c>
      <c r="T463" s="158"/>
      <c r="U463" s="21">
        <v>0</v>
      </c>
      <c r="V463" s="21">
        <v>1</v>
      </c>
      <c r="W463" s="21">
        <v>0</v>
      </c>
      <c r="X463" s="156">
        <v>0.05</v>
      </c>
      <c r="Y463" s="157">
        <f t="shared" ref="Y463:Y466" si="92">CEILING((IF(P463=AS_DEV_EFFORT, DEV_EFFORT*Q463%,
                           IF(P463=AS_DURATION_EFFORT, (MANUAL_DURATION*5)*Q463%,
                                    (IF(Q463&lt;=1,X463,
                                          IF(SUM(U463:W463)=0,(Q463*X463),
                                               (((Q463*U463)*(X463+(X463*EXTRA_FOR_H)))+
                                               ((Q463*V463)*X463)+
                                               ((Q463*W463)*(X463-(X463*LESS_FOR_L)))
                                    )*IF(R463=0,1,R463))))))+Z463), 0.25)</f>
        <v>2.5</v>
      </c>
      <c r="Z463" s="22">
        <v>-0.20100000000000001</v>
      </c>
      <c r="AA463" s="157">
        <f t="shared" ref="AA463:AA466" si="93">Y463+Y463*VLOOKUP(I463,EXTRAS_ARRAY,2,FALSE)</f>
        <v>2.5</v>
      </c>
      <c r="AB463" s="20"/>
      <c r="AC463" s="34"/>
      <c r="AD463" s="23" t="str">
        <f t="shared" ref="AD463:AD466" si="94">IF(J463&lt;&gt;"Yes",
IF(S463&lt;=0,"Error: Effort value is not defined or is invalid.",
IF(AND(SUM(U463:W463)&gt;0,SUM(U463:W463)&lt;&gt;1),"Error: Complexity % distribution should sum to 100%.",
IF(AND(P463=AS_DEV_EFFORT,X463&lt;&gt;0),"Error: PDs should not be defined when defining as dev effort %.",
IF(AND(P463=AS_DURATION_EFFORT,X463&lt;&gt;0),"Error: PDs should not be defined when defining as duration effort %.","")))))</f>
        <v/>
      </c>
    </row>
    <row r="464" spans="1:30" ht="58" outlineLevel="2" x14ac:dyDescent="0.35">
      <c r="A464" s="86" t="s">
        <v>0</v>
      </c>
      <c r="B464" s="18"/>
      <c r="C464" s="78"/>
      <c r="D464" s="78"/>
      <c r="E464" s="78"/>
      <c r="F464" s="79"/>
      <c r="G464" s="19" t="s">
        <v>23</v>
      </c>
      <c r="H464" s="19" t="s">
        <v>23</v>
      </c>
      <c r="I464" s="20" t="s">
        <v>23</v>
      </c>
      <c r="J464" s="19" t="s">
        <v>23</v>
      </c>
      <c r="K464" s="35"/>
      <c r="L464" s="19"/>
      <c r="M464" s="263">
        <f t="shared" ca="1" si="90"/>
        <v>5.1999999999999993</v>
      </c>
      <c r="N464" s="20" t="s">
        <v>942</v>
      </c>
      <c r="O464" s="20"/>
      <c r="P464" s="20" t="s">
        <v>490</v>
      </c>
      <c r="Q464" s="134">
        <f>Total_Screens</f>
        <v>18</v>
      </c>
      <c r="R464" s="127">
        <v>3</v>
      </c>
      <c r="S464" s="157">
        <f t="shared" si="91"/>
        <v>2.5</v>
      </c>
      <c r="T464" s="158"/>
      <c r="U464" s="21">
        <v>0</v>
      </c>
      <c r="V464" s="21">
        <v>1</v>
      </c>
      <c r="W464" s="21">
        <v>0</v>
      </c>
      <c r="X464" s="156">
        <v>0.05</v>
      </c>
      <c r="Y464" s="157">
        <f t="shared" si="92"/>
        <v>2.5</v>
      </c>
      <c r="Z464" s="22">
        <v>-0.20100000000000001</v>
      </c>
      <c r="AA464" s="157">
        <f t="shared" si="93"/>
        <v>2.5</v>
      </c>
      <c r="AB464" s="20"/>
      <c r="AC464" s="34"/>
      <c r="AD464" s="23" t="str">
        <f t="shared" si="94"/>
        <v/>
      </c>
    </row>
    <row r="465" spans="1:30" ht="58" outlineLevel="2" x14ac:dyDescent="0.35">
      <c r="A465" s="86" t="s">
        <v>0</v>
      </c>
      <c r="B465" s="18"/>
      <c r="C465" s="78"/>
      <c r="D465" s="78"/>
      <c r="E465" s="78"/>
      <c r="F465" s="79"/>
      <c r="G465" s="19" t="s">
        <v>6</v>
      </c>
      <c r="H465" s="19" t="s">
        <v>23</v>
      </c>
      <c r="I465" s="20" t="s">
        <v>23</v>
      </c>
      <c r="J465" s="19" t="s">
        <v>23</v>
      </c>
      <c r="K465" s="35"/>
      <c r="L465" s="19"/>
      <c r="M465" s="263">
        <f t="shared" ca="1" si="90"/>
        <v>5.2999999999999989</v>
      </c>
      <c r="N465" s="20" t="s">
        <v>943</v>
      </c>
      <c r="O465" s="20"/>
      <c r="P465" s="20" t="s">
        <v>493</v>
      </c>
      <c r="Q465" s="134"/>
      <c r="R465" s="127"/>
      <c r="S465" s="157">
        <f t="shared" si="91"/>
        <v>2.5</v>
      </c>
      <c r="T465" s="158"/>
      <c r="U465" s="21">
        <v>0</v>
      </c>
      <c r="V465" s="21">
        <v>1</v>
      </c>
      <c r="W465" s="21">
        <v>0</v>
      </c>
      <c r="X465" s="156">
        <v>2.5</v>
      </c>
      <c r="Y465" s="157">
        <f t="shared" si="92"/>
        <v>2.5</v>
      </c>
      <c r="Z465" s="22"/>
      <c r="AA465" s="157">
        <f t="shared" si="93"/>
        <v>2.5</v>
      </c>
      <c r="AB465" s="20"/>
      <c r="AC465" s="34"/>
      <c r="AD465" s="23" t="str">
        <f t="shared" si="94"/>
        <v/>
      </c>
    </row>
    <row r="466" spans="1:30" ht="72.5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6</v>
      </c>
      <c r="H466" s="19" t="s">
        <v>23</v>
      </c>
      <c r="I466" s="20" t="s">
        <v>23</v>
      </c>
      <c r="J466" s="19" t="s">
        <v>23</v>
      </c>
      <c r="K466" s="35"/>
      <c r="L466" s="19"/>
      <c r="M466" s="263">
        <f t="shared" ca="1" si="90"/>
        <v>5.3999999999999986</v>
      </c>
      <c r="N466" s="20" t="s">
        <v>944</v>
      </c>
      <c r="O466" s="20"/>
      <c r="P466" s="20" t="s">
        <v>493</v>
      </c>
      <c r="Q466" s="134"/>
      <c r="R466" s="127"/>
      <c r="S466" s="157">
        <f t="shared" si="91"/>
        <v>2.5</v>
      </c>
      <c r="T466" s="158"/>
      <c r="U466" s="21">
        <v>0</v>
      </c>
      <c r="V466" s="21">
        <v>1</v>
      </c>
      <c r="W466" s="21">
        <v>0</v>
      </c>
      <c r="X466" s="156">
        <v>2.5</v>
      </c>
      <c r="Y466" s="157">
        <f t="shared" si="92"/>
        <v>2.5</v>
      </c>
      <c r="Z466" s="22"/>
      <c r="AA466" s="157">
        <f t="shared" si="93"/>
        <v>2.5</v>
      </c>
      <c r="AB466" s="20"/>
      <c r="AC466" s="34"/>
      <c r="AD466" s="23" t="str">
        <f t="shared" si="94"/>
        <v/>
      </c>
    </row>
    <row r="467" spans="1:30" ht="101.5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5.4999999999999982</v>
      </c>
      <c r="N467" s="20" t="s">
        <v>1196</v>
      </c>
      <c r="O467" s="20"/>
      <c r="P467" s="20"/>
      <c r="Q467" s="134"/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4</v>
      </c>
      <c r="T467" s="158"/>
      <c r="U467" s="21">
        <v>0</v>
      </c>
      <c r="V467" s="21">
        <v>1</v>
      </c>
      <c r="W467" s="21">
        <v>0</v>
      </c>
      <c r="X467" s="156">
        <v>4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4</v>
      </c>
      <c r="Z467" s="22"/>
      <c r="AA467" s="157">
        <f>Y467+Y467*VLOOKUP(I467,EXTRAS_ARRAY,2,FALSE)</f>
        <v>4</v>
      </c>
      <c r="AB467" s="20" t="s">
        <v>1197</v>
      </c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ht="72.5" outlineLevel="2" x14ac:dyDescent="0.35">
      <c r="A468" s="86" t="s">
        <v>0</v>
      </c>
      <c r="B468" s="18"/>
      <c r="C468" s="78"/>
      <c r="D468" s="78"/>
      <c r="E468" s="78"/>
      <c r="F468" s="79"/>
      <c r="G468" s="19" t="s">
        <v>23</v>
      </c>
      <c r="H468" s="19" t="s">
        <v>23</v>
      </c>
      <c r="I468" s="20" t="s">
        <v>23</v>
      </c>
      <c r="J468" s="19" t="s">
        <v>23</v>
      </c>
      <c r="K468" s="35"/>
      <c r="L468" s="19"/>
      <c r="M468" s="263">
        <f ca="1">IFERROR(OFFSET(M468,-1,,1,1)+0.1,OFFSET(M468,-1,-1,1,1)&amp;".1")</f>
        <v>5.5999999999999979</v>
      </c>
      <c r="N468" s="20" t="s">
        <v>1280</v>
      </c>
      <c r="O468" s="20"/>
      <c r="P468" s="20"/>
      <c r="Q468" s="134"/>
      <c r="R468" s="127"/>
      <c r="S468" s="157">
        <f>CEILING((IF(J468="Yes", 0, IF(H468="-",AA468,AA468+AA468*VLOOKUP(H468,BUFFERS_BY_TYPE,2,FALSE)))) +
   (IF(J468="Yes", 0, IF(H468="-",AA468,AA468+AA468*VLOOKUP(H468,BUFFERS_BY_TYPE,2,FALSE))))*VLOOKUP($S$5, SALES_CALL_SCALE_ARRAY, 2,FALSE),0.25)</f>
        <v>3</v>
      </c>
      <c r="T468" s="158"/>
      <c r="U468" s="21">
        <v>0</v>
      </c>
      <c r="V468" s="21">
        <v>1</v>
      </c>
      <c r="W468" s="21">
        <v>0</v>
      </c>
      <c r="X468" s="156">
        <v>3</v>
      </c>
      <c r="Y468" s="157">
        <f>CEILING((IF(P468=AS_DEV_EFFORT, DEV_EFFORT*Q468%,
                           IF(P468=AS_DURATION_EFFORT, (MANUAL_DURATION*5)*Q468%,
                                    (IF(Q468&lt;=1,X468,
                                          IF(SUM(U468:W468)=0,(Q468*X468),
                                               (((Q468*U468)*(X468+(X468*EXTRA_FOR_H)))+
                                               ((Q468*V468)*X468)+
                                               ((Q468*W468)*(X468-(X468*LESS_FOR_L)))
                                    )*IF(R468=0,1,R468))))))+Z468), 0.25)</f>
        <v>3</v>
      </c>
      <c r="Z468" s="22"/>
      <c r="AA468" s="157">
        <f>Y468+Y468*VLOOKUP(I468,EXTRAS_ARRAY,2,FALSE)</f>
        <v>3</v>
      </c>
      <c r="AB468" s="20" t="s">
        <v>1281</v>
      </c>
      <c r="AC468" s="34"/>
      <c r="AD468" s="23" t="str">
        <f>IF(J468&lt;&gt;"Yes",
IF(S468&lt;=0,"Error: Effort value is not defined or is invalid.",
IF(AND(SUM(U468:W468)&gt;0,SUM(U468:W468)&lt;&gt;1),"Error: Complexity % distribution should sum to 100%.",
IF(AND(P468=AS_DEV_EFFORT,X468&lt;&gt;0),"Error: PDs should not be defined when defining as dev effort %.",
IF(AND(P468=AS_DURATION_EFFORT,X468&lt;&gt;0),"Error: PDs should not be defined when defining as duration effort %.","")))))</f>
        <v/>
      </c>
    </row>
    <row r="469" spans="1:30" s="9" customFormat="1" ht="7.5" customHeight="1" outlineLevel="2" x14ac:dyDescent="0.35">
      <c r="A469" s="86" t="s">
        <v>132</v>
      </c>
      <c r="B469" s="15"/>
      <c r="C469" s="72"/>
      <c r="D469" s="72"/>
      <c r="E469" s="72"/>
      <c r="F469" s="72"/>
      <c r="M469" s="252"/>
      <c r="T469" s="15"/>
      <c r="X469" s="15"/>
      <c r="AB469" s="10"/>
      <c r="AC469" s="10"/>
      <c r="AD469" s="10"/>
    </row>
    <row r="470" spans="1:30" s="9" customFormat="1" ht="3" customHeight="1" outlineLevel="1" x14ac:dyDescent="0.35">
      <c r="A470" s="86" t="s">
        <v>102</v>
      </c>
      <c r="C470" s="72"/>
      <c r="D470" s="72"/>
      <c r="E470" s="72"/>
      <c r="F470" s="72"/>
      <c r="G470" s="25"/>
      <c r="H470" s="25"/>
      <c r="I470" s="25"/>
      <c r="J470" s="25"/>
      <c r="K470" s="25"/>
      <c r="L470" s="56"/>
      <c r="M470" s="264"/>
      <c r="N470" s="57"/>
      <c r="O470" s="57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7"/>
      <c r="AC470" s="57"/>
      <c r="AD470" s="10"/>
    </row>
    <row r="471" spans="1:30" s="14" customFormat="1" ht="18.5" collapsed="1" x14ac:dyDescent="0.35">
      <c r="A471" s="86" t="s">
        <v>98</v>
      </c>
      <c r="B471" s="12"/>
      <c r="C471" s="73"/>
      <c r="D471" s="73"/>
      <c r="E471" s="73"/>
      <c r="F471" s="72"/>
      <c r="G471" s="52"/>
      <c r="H471" s="52"/>
      <c r="I471" s="52"/>
      <c r="J471" s="52"/>
      <c r="K471" s="52"/>
      <c r="L471" s="52" t="s">
        <v>71</v>
      </c>
      <c r="M471" s="261" t="s">
        <v>75</v>
      </c>
      <c r="N471" s="53"/>
      <c r="O471" s="54"/>
      <c r="P471" s="55"/>
      <c r="Q471" s="55"/>
      <c r="R471" s="55"/>
      <c r="S471" s="302">
        <f>CEILING(SUMIF(J472:J498, "&lt;&gt;Yes", T472:T498),1)</f>
        <v>122</v>
      </c>
      <c r="T471" s="302"/>
      <c r="U471" s="55"/>
      <c r="V471" s="55"/>
      <c r="W471" s="55"/>
      <c r="X471" s="55"/>
      <c r="Y471" s="55"/>
      <c r="Z471" s="55"/>
      <c r="AA471" s="55"/>
      <c r="AB471" s="55"/>
      <c r="AC471" s="55"/>
      <c r="AD471" s="13"/>
    </row>
    <row r="472" spans="1:30" s="9" customFormat="1" ht="3" hidden="1" customHeight="1" outlineLevel="1" x14ac:dyDescent="0.35">
      <c r="A472" s="86" t="s">
        <v>99</v>
      </c>
      <c r="B472" s="15"/>
      <c r="C472" s="72"/>
      <c r="D472" s="72"/>
      <c r="E472" s="72"/>
      <c r="F472" s="72"/>
      <c r="G472" s="25"/>
      <c r="H472" s="25"/>
      <c r="I472" s="25"/>
      <c r="J472" s="25"/>
      <c r="K472" s="25"/>
      <c r="L472" s="26">
        <v>0</v>
      </c>
      <c r="M472" s="262"/>
      <c r="N472" s="25"/>
      <c r="O472" s="25"/>
      <c r="P472" s="25"/>
      <c r="Q472" s="25"/>
      <c r="R472" s="25"/>
      <c r="S472" s="25"/>
      <c r="T472" s="27"/>
      <c r="U472" s="25"/>
      <c r="V472" s="25"/>
      <c r="W472" s="25"/>
      <c r="X472" s="27"/>
      <c r="Y472" s="25"/>
      <c r="Z472" s="25"/>
      <c r="AA472" s="25"/>
      <c r="AB472" s="28"/>
      <c r="AC472" s="28"/>
      <c r="AD472" s="10"/>
    </row>
    <row r="473" spans="1:30" s="14" customFormat="1" ht="15.5" hidden="1" outlineLevel="1" collapsed="1" x14ac:dyDescent="0.35">
      <c r="A473" s="86" t="s">
        <v>100</v>
      </c>
      <c r="B473" s="18"/>
      <c r="C473" s="77"/>
      <c r="D473" s="77"/>
      <c r="E473" s="77"/>
      <c r="F473" s="76"/>
      <c r="G473" s="29"/>
      <c r="H473" s="29"/>
      <c r="I473" s="29"/>
      <c r="J473" s="29"/>
      <c r="K473" s="29"/>
      <c r="L473" s="17">
        <f ca="1">LOOKUP(1000,INDIRECT("L1:"&amp;CELL("address",INDIRECT("R[-1]C",FALSE))))+1</f>
        <v>1</v>
      </c>
      <c r="M473" s="301" t="s">
        <v>460</v>
      </c>
      <c r="N473" s="301"/>
      <c r="O473" s="5"/>
      <c r="P473" s="30"/>
      <c r="Q473" s="30"/>
      <c r="R473" s="30"/>
      <c r="S473" s="30"/>
      <c r="T473" s="155">
        <f>IF($S$6="Exclude", SUMIFS(S474:S477, J474:J477, "&lt;&gt;Yes", G474:G477, "&lt;&gt;Yes"), SUMIFS(S474:S477, J474:J477, "&lt;&gt;Yes"))</f>
        <v>15</v>
      </c>
      <c r="U473" s="30"/>
      <c r="V473" s="30"/>
      <c r="W473" s="30"/>
      <c r="X473" s="31"/>
      <c r="Y473" s="32"/>
      <c r="Z473" s="32"/>
      <c r="AA473" s="32"/>
      <c r="AB473" s="219"/>
      <c r="AC473" s="33"/>
      <c r="AD473" s="23" t="str">
        <f>IF(M473="", "Error: Task name cannot be empty.", "")</f>
        <v/>
      </c>
    </row>
    <row r="474" spans="1:30" s="12" customFormat="1" ht="1.5" hidden="1" customHeight="1" outlineLevel="2" x14ac:dyDescent="0.35">
      <c r="A474" s="86" t="s">
        <v>101</v>
      </c>
      <c r="B474" s="18"/>
      <c r="C474" s="77"/>
      <c r="D474" s="77"/>
      <c r="E474" s="77"/>
      <c r="F474" s="76"/>
      <c r="G474" s="29"/>
      <c r="H474" s="29"/>
      <c r="I474" s="29"/>
      <c r="J474" s="29"/>
      <c r="K474" s="29"/>
      <c r="L474" s="163">
        <f ca="1">L473</f>
        <v>1</v>
      </c>
      <c r="M474" s="164" t="s">
        <v>105</v>
      </c>
      <c r="N474" s="161"/>
      <c r="O474" s="162"/>
      <c r="P474" s="30"/>
      <c r="Q474" s="30"/>
      <c r="R474" s="30"/>
      <c r="S474" s="30"/>
      <c r="T474" s="155"/>
      <c r="U474" s="30"/>
      <c r="V474" s="30"/>
      <c r="W474" s="30"/>
      <c r="X474" s="31"/>
      <c r="Y474" s="32"/>
      <c r="Z474" s="32"/>
      <c r="AA474" s="32"/>
      <c r="AB474" s="33"/>
      <c r="AC474" s="33"/>
      <c r="AD474" s="23"/>
    </row>
    <row r="475" spans="1:30" ht="116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 t="str">
        <f ca="1">IFERROR(OFFSET(M475,-1,,1,1)+0.1,OFFSET(M475,-1,-1,1,1)&amp;".1")</f>
        <v>1.1</v>
      </c>
      <c r="N475" s="20" t="s">
        <v>958</v>
      </c>
      <c r="O475" s="20"/>
      <c r="P475" s="20" t="s">
        <v>463</v>
      </c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7.5</v>
      </c>
      <c r="T475" s="158"/>
      <c r="U475" s="21">
        <v>0</v>
      </c>
      <c r="V475" s="21">
        <v>1</v>
      </c>
      <c r="W475" s="21">
        <v>0</v>
      </c>
      <c r="X475" s="156">
        <v>7.5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7.5</v>
      </c>
      <c r="Z475" s="22"/>
      <c r="AA475" s="157">
        <f>Y475+Y475*VLOOKUP(I475,EXTRAS_ARRAY,2,FALSE)</f>
        <v>7.5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ht="87" hidden="1" outlineLevel="2" x14ac:dyDescent="0.35">
      <c r="A476" s="86" t="s">
        <v>0</v>
      </c>
      <c r="B476" s="18"/>
      <c r="C476" s="78"/>
      <c r="D476" s="78"/>
      <c r="E476" s="78"/>
      <c r="F476" s="79"/>
      <c r="G476" s="19" t="s">
        <v>23</v>
      </c>
      <c r="H476" s="19" t="s">
        <v>23</v>
      </c>
      <c r="I476" s="20" t="s">
        <v>23</v>
      </c>
      <c r="J476" s="19" t="s">
        <v>23</v>
      </c>
      <c r="K476" s="35"/>
      <c r="L476" s="19"/>
      <c r="M476" s="263">
        <f ca="1">IFERROR(OFFSET(M476,-1,,1,1)+0.1,OFFSET(M476,-1,-1,1,1)&amp;".1")</f>
        <v>1.2000000000000002</v>
      </c>
      <c r="N476" s="20" t="s">
        <v>959</v>
      </c>
      <c r="O476" s="20"/>
      <c r="P476" s="20" t="s">
        <v>462</v>
      </c>
      <c r="Q476" s="134"/>
      <c r="R476" s="127"/>
      <c r="S476" s="157">
        <f>CEILING((IF(J476="Yes", 0, IF(H476="-",AA476,AA476+AA476*VLOOKUP(H476,BUFFERS_BY_TYPE,2,FALSE)))) +
   (IF(J476="Yes", 0, IF(H476="-",AA476,AA476+AA476*VLOOKUP(H476,BUFFERS_BY_TYPE,2,FALSE))))*VLOOKUP($S$5, SALES_CALL_SCALE_ARRAY, 2,FALSE),0.25)</f>
        <v>7.5</v>
      </c>
      <c r="T476" s="158"/>
      <c r="U476" s="21">
        <v>0</v>
      </c>
      <c r="V476" s="21">
        <v>1</v>
      </c>
      <c r="W476" s="21">
        <v>0</v>
      </c>
      <c r="X476" s="156">
        <v>7.5</v>
      </c>
      <c r="Y476" s="157">
        <f>CEILING((IF(P476=AS_DEV_EFFORT, DEV_EFFORT*Q476%,
                           IF(P476=AS_DURATION_EFFORT, (MANUAL_DURATION*5)*Q476%,
                                    (IF(Q476&lt;=1,X476,
                                          IF(SUM(U476:W476)=0,(Q476*X476),
                                               (((Q476*U476)*(X476+(X476*EXTRA_FOR_H)))+
                                               ((Q476*V476)*X476)+
                                               ((Q476*W476)*(X476-(X476*LESS_FOR_L)))
                                    )*IF(R476=0,1,R476))))))+Z476), 0.25)</f>
        <v>7.5</v>
      </c>
      <c r="Z476" s="22"/>
      <c r="AA476" s="157">
        <f>Y476+Y476*VLOOKUP(I476,EXTRAS_ARRAY,2,FALSE)</f>
        <v>7.5</v>
      </c>
      <c r="AB476" s="20"/>
      <c r="AC476" s="34"/>
      <c r="AD476" s="23" t="str">
        <f>IF(J476&lt;&gt;"Yes",
IF(S476&lt;=0,"Error: Effort value is not defined or is invalid.",
IF(AND(SUM(U476:W476)&gt;0,SUM(U476:W476)&lt;&gt;1),"Error: Complexity % distribution should sum to 100%.",
IF(AND(P476=AS_DEV_EFFORT,X476&lt;&gt;0),"Error: PDs should not be defined when defining as dev effort %.",
IF(AND(P476=AS_DURATION_EFFORT,X476&lt;&gt;0),"Error: PDs should not be defined when defining as duration effort %.","")))))</f>
        <v/>
      </c>
    </row>
    <row r="477" spans="1:30" s="9" customFormat="1" ht="7.5" hidden="1" customHeight="1" outlineLevel="2" x14ac:dyDescent="0.35">
      <c r="A477" s="86" t="s">
        <v>132</v>
      </c>
      <c r="B477" s="15"/>
      <c r="C477" s="72"/>
      <c r="D477" s="72"/>
      <c r="E477" s="72"/>
      <c r="F477" s="72"/>
      <c r="M477" s="252"/>
      <c r="T477" s="15"/>
      <c r="X477" s="15"/>
      <c r="AB477" s="10"/>
      <c r="AC477" s="10"/>
      <c r="AD477" s="10"/>
    </row>
    <row r="478" spans="1:30" s="14" customFormat="1" ht="15.5" hidden="1" outlineLevel="1" collapsed="1" x14ac:dyDescent="0.35">
      <c r="A478" s="86" t="s">
        <v>100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7">
        <f ca="1">LOOKUP(1000,INDIRECT("L1:"&amp;CELL("address",INDIRECT("R[-1]C",FALSE))))+1</f>
        <v>2</v>
      </c>
      <c r="M478" s="301" t="s">
        <v>461</v>
      </c>
      <c r="N478" s="301"/>
      <c r="O478" s="5"/>
      <c r="P478" s="30"/>
      <c r="Q478" s="30"/>
      <c r="R478" s="30"/>
      <c r="S478" s="30"/>
      <c r="T478" s="155">
        <f>IF($S$6="Exclude", SUMIFS(S479:S483, J479:J483, "&lt;&gt;Yes", G479:G483, "&lt;&gt;Yes"), SUMIFS(S479:S483, J479:J483, "&lt;&gt;Yes"))</f>
        <v>55</v>
      </c>
      <c r="U478" s="30"/>
      <c r="V478" s="30"/>
      <c r="W478" s="30"/>
      <c r="X478" s="31"/>
      <c r="Y478" s="32"/>
      <c r="Z478" s="32"/>
      <c r="AA478" s="32"/>
      <c r="AB478" s="219"/>
      <c r="AC478" s="33"/>
      <c r="AD478" s="23" t="str">
        <f>IF(M478="", "Error: Task name cannot be empty.", "")</f>
        <v/>
      </c>
    </row>
    <row r="479" spans="1:30" s="12" customFormat="1" ht="1.5" hidden="1" customHeight="1" outlineLevel="2" x14ac:dyDescent="0.35">
      <c r="A479" s="86" t="s">
        <v>101</v>
      </c>
      <c r="B479" s="18"/>
      <c r="C479" s="77"/>
      <c r="D479" s="77"/>
      <c r="E479" s="77"/>
      <c r="F479" s="76"/>
      <c r="G479" s="29"/>
      <c r="H479" s="29"/>
      <c r="I479" s="29"/>
      <c r="J479" s="29"/>
      <c r="K479" s="29"/>
      <c r="L479" s="163">
        <f ca="1">L478</f>
        <v>2</v>
      </c>
      <c r="M479" s="164" t="s">
        <v>105</v>
      </c>
      <c r="N479" s="161"/>
      <c r="O479" s="162"/>
      <c r="P479" s="30"/>
      <c r="Q479" s="30"/>
      <c r="R479" s="30"/>
      <c r="S479" s="30"/>
      <c r="T479" s="155"/>
      <c r="U479" s="30"/>
      <c r="V479" s="30"/>
      <c r="W479" s="30"/>
      <c r="X479" s="31"/>
      <c r="Y479" s="32"/>
      <c r="Z479" s="32"/>
      <c r="AA479" s="32"/>
      <c r="AB479" s="33"/>
      <c r="AC479" s="33"/>
      <c r="AD479" s="23"/>
    </row>
    <row r="480" spans="1:30" ht="87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/>
      <c r="L480" s="19"/>
      <c r="M480" s="263" t="str">
        <f ca="1">IFERROR(OFFSET(M480,-1,,1,1)+0.1,OFFSET(M480,-1,-1,1,1)&amp;".1")</f>
        <v>2.1</v>
      </c>
      <c r="N480" s="20" t="s">
        <v>960</v>
      </c>
      <c r="O480" s="20"/>
      <c r="P480" s="20"/>
      <c r="Q480" s="134"/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20</v>
      </c>
      <c r="T480" s="158"/>
      <c r="U480" s="21">
        <v>0</v>
      </c>
      <c r="V480" s="21">
        <v>1</v>
      </c>
      <c r="W480" s="21">
        <v>0</v>
      </c>
      <c r="X480" s="156">
        <v>20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20</v>
      </c>
      <c r="Z480" s="22"/>
      <c r="AA480" s="157">
        <f>Y480+Y480*VLOOKUP(I480,EXTRAS_ARRAY,2,FALSE)</f>
        <v>20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ht="87" hidden="1" outlineLevel="2" x14ac:dyDescent="0.35">
      <c r="A481" s="86" t="s">
        <v>0</v>
      </c>
      <c r="B481" s="18"/>
      <c r="C481" s="78"/>
      <c r="D481" s="78"/>
      <c r="E481" s="78"/>
      <c r="F481" s="79"/>
      <c r="G481" s="19" t="s">
        <v>23</v>
      </c>
      <c r="H481" s="19" t="s">
        <v>23</v>
      </c>
      <c r="I481" s="20" t="s">
        <v>23</v>
      </c>
      <c r="J481" s="19" t="s">
        <v>23</v>
      </c>
      <c r="K481" s="35"/>
      <c r="L481" s="19"/>
      <c r="M481" s="263">
        <f ca="1">IFERROR(OFFSET(M481,-1,,1,1)+0.1,OFFSET(M481,-1,-1,1,1)&amp;".1")</f>
        <v>2.2000000000000002</v>
      </c>
      <c r="N481" s="20" t="s">
        <v>961</v>
      </c>
      <c r="O481" s="20"/>
      <c r="P481" s="20" t="s">
        <v>968</v>
      </c>
      <c r="Q481" s="134"/>
      <c r="R481" s="127"/>
      <c r="S481" s="157">
        <f>CEILING((IF(J481="Yes", 0, IF(H481="-",AA481,AA481+AA481*VLOOKUP(H481,BUFFERS_BY_TYPE,2,FALSE)))) +
   (IF(J481="Yes", 0, IF(H481="-",AA481,AA481+AA481*VLOOKUP(H481,BUFFERS_BY_TYPE,2,FALSE))))*VLOOKUP($S$5, SALES_CALL_SCALE_ARRAY, 2,FALSE),0.25)</f>
        <v>20</v>
      </c>
      <c r="T481" s="158"/>
      <c r="U481" s="21">
        <v>0</v>
      </c>
      <c r="V481" s="21">
        <v>1</v>
      </c>
      <c r="W481" s="21">
        <v>0</v>
      </c>
      <c r="X481" s="156">
        <v>20</v>
      </c>
      <c r="Y481" s="157">
        <f>CEILING((IF(P481=AS_DEV_EFFORT, DEV_EFFORT*Q481%,
                           IF(P481=AS_DURATION_EFFORT, (MANUAL_DURATION*5)*Q481%,
                                    (IF(Q481&lt;=1,X481,
                                          IF(SUM(U481:W481)=0,(Q481*X481),
                                               (((Q481*U481)*(X481+(X481*EXTRA_FOR_H)))+
                                               ((Q481*V481)*X481)+
                                               ((Q481*W481)*(X481-(X481*LESS_FOR_L)))
                                    )*IF(R481=0,1,R481))))))+Z481), 0.25)</f>
        <v>20</v>
      </c>
      <c r="Z481" s="22"/>
      <c r="AA481" s="157">
        <f>Y481+Y481*VLOOKUP(I481,EXTRAS_ARRAY,2,FALSE)</f>
        <v>20</v>
      </c>
      <c r="AB481" s="20"/>
      <c r="AC481" s="34"/>
      <c r="AD481" s="23" t="str">
        <f>IF(J481&lt;&gt;"Yes",
IF(S481&lt;=0,"Error: Effort value is not defined or is invalid.",
IF(AND(SUM(U481:W481)&gt;0,SUM(U481:W481)&lt;&gt;1),"Error: Complexity % distribution should sum to 100%.",
IF(AND(P481=AS_DEV_EFFORT,X481&lt;&gt;0),"Error: PDs should not be defined when defining as dev effort %.",
IF(AND(P481=AS_DURATION_EFFORT,X481&lt;&gt;0),"Error: PDs should not be defined when defining as duration effort %.","")))))</f>
        <v/>
      </c>
    </row>
    <row r="482" spans="1:30" ht="87" hidden="1" outlineLevel="2" x14ac:dyDescent="0.35">
      <c r="A482" s="86" t="s">
        <v>0</v>
      </c>
      <c r="B482" s="18"/>
      <c r="C482" s="78"/>
      <c r="D482" s="78"/>
      <c r="E482" s="78"/>
      <c r="F482" s="79"/>
      <c r="G482" s="19" t="s">
        <v>23</v>
      </c>
      <c r="H482" s="19" t="s">
        <v>23</v>
      </c>
      <c r="I482" s="20" t="s">
        <v>23</v>
      </c>
      <c r="J482" s="19" t="s">
        <v>23</v>
      </c>
      <c r="K482" s="35"/>
      <c r="L482" s="19"/>
      <c r="M482" s="263">
        <f ca="1">IFERROR(OFFSET(M482,-1,,1,1)+0.1,OFFSET(M482,-1,-1,1,1)&amp;".1")</f>
        <v>2.3000000000000003</v>
      </c>
      <c r="N482" s="20" t="s">
        <v>1157</v>
      </c>
      <c r="O482" s="20"/>
      <c r="P482" s="20"/>
      <c r="Q482" s="134"/>
      <c r="R482" s="127"/>
      <c r="S482" s="157">
        <f>CEILING((IF(J482="Yes", 0, IF(H482="-",AA482,AA482+AA482*VLOOKUP(H482,BUFFERS_BY_TYPE,2,FALSE)))) +
   (IF(J482="Yes", 0, IF(H482="-",AA482,AA482+AA482*VLOOKUP(H482,BUFFERS_BY_TYPE,2,FALSE))))*VLOOKUP($S$5, SALES_CALL_SCALE_ARRAY, 2,FALSE),0.25)</f>
        <v>15</v>
      </c>
      <c r="T482" s="158"/>
      <c r="U482" s="21">
        <v>0</v>
      </c>
      <c r="V482" s="21">
        <v>1</v>
      </c>
      <c r="W482" s="21">
        <v>0</v>
      </c>
      <c r="X482" s="156">
        <v>15</v>
      </c>
      <c r="Y482" s="157">
        <f>CEILING((IF(P482=AS_DEV_EFFORT, DEV_EFFORT*Q482%,
                           IF(P482=AS_DURATION_EFFORT, (MANUAL_DURATION*5)*Q482%,
                                    (IF(Q482&lt;=1,X482,
                                          IF(SUM(U482:W482)=0,(Q482*X482),
                                               (((Q482*U482)*(X482+(X482*EXTRA_FOR_H)))+
                                               ((Q482*V482)*X482)+
                                               ((Q482*W482)*(X482-(X482*LESS_FOR_L)))
                                    )*IF(R482=0,1,R482))))))+Z482), 0.25)</f>
        <v>15</v>
      </c>
      <c r="Z482" s="22"/>
      <c r="AA482" s="157">
        <f>Y482+Y482*VLOOKUP(I482,EXTRAS_ARRAY,2,FALSE)</f>
        <v>15</v>
      </c>
      <c r="AB482" s="20"/>
      <c r="AC482" s="34"/>
      <c r="AD482" s="23" t="str">
        <f>IF(J482&lt;&gt;"Yes",
IF(S482&lt;=0,"Error: Effort value is not defined or is invalid.",
IF(AND(SUM(U482:W482)&gt;0,SUM(U482:W482)&lt;&gt;1),"Error: Complexity % distribution should sum to 100%.",
IF(AND(P482=AS_DEV_EFFORT,X482&lt;&gt;0),"Error: PDs should not be defined when defining as dev effort %.",
IF(AND(P482=AS_DURATION_EFFORT,X482&lt;&gt;0),"Error: PDs should not be defined when defining as duration effort %.","")))))</f>
        <v/>
      </c>
    </row>
    <row r="483" spans="1:30" s="9" customFormat="1" ht="7.5" hidden="1" customHeight="1" outlineLevel="2" x14ac:dyDescent="0.35">
      <c r="A483" s="86" t="s">
        <v>132</v>
      </c>
      <c r="B483" s="15"/>
      <c r="C483" s="72"/>
      <c r="D483" s="72"/>
      <c r="E483" s="72"/>
      <c r="F483" s="72"/>
      <c r="M483" s="252"/>
      <c r="T483" s="15"/>
      <c r="X483" s="15"/>
      <c r="AB483" s="10"/>
      <c r="AC483" s="10"/>
      <c r="AD483" s="10"/>
    </row>
    <row r="484" spans="1:30" s="14" customFormat="1" ht="15.5" hidden="1" outlineLevel="1" collapsed="1" x14ac:dyDescent="0.35">
      <c r="A484" s="86" t="s">
        <v>100</v>
      </c>
      <c r="B484" s="18"/>
      <c r="C484" s="77"/>
      <c r="D484" s="77"/>
      <c r="E484" s="77"/>
      <c r="F484" s="76"/>
      <c r="G484" s="29"/>
      <c r="H484" s="29"/>
      <c r="I484" s="29"/>
      <c r="J484" s="29"/>
      <c r="K484" s="29"/>
      <c r="L484" s="17">
        <f ca="1">LOOKUP(1000,INDIRECT("L1:"&amp;CELL("address",INDIRECT("R[-1]C",FALSE))))+1</f>
        <v>3</v>
      </c>
      <c r="M484" s="301" t="s">
        <v>464</v>
      </c>
      <c r="N484" s="301"/>
      <c r="O484" s="5"/>
      <c r="P484" s="30"/>
      <c r="Q484" s="30"/>
      <c r="R484" s="30"/>
      <c r="S484" s="30"/>
      <c r="T484" s="155">
        <f>IF($S$6="Exclude", SUMIFS(S485:S490, J485:J490, "&lt;&gt;Yes", G485:G490, "&lt;&gt;Yes"), SUMIFS(S485:S490, J485:J490, "&lt;&gt;Yes"))</f>
        <v>27</v>
      </c>
      <c r="U484" s="30"/>
      <c r="V484" s="30"/>
      <c r="W484" s="30"/>
      <c r="X484" s="31"/>
      <c r="Y484" s="32"/>
      <c r="Z484" s="32"/>
      <c r="AA484" s="32"/>
      <c r="AB484" s="219"/>
      <c r="AC484" s="33"/>
      <c r="AD484" s="23" t="str">
        <f>IF(M484="", "Error: Task name cannot be empty.", "")</f>
        <v/>
      </c>
    </row>
    <row r="485" spans="1:30" s="12" customFormat="1" ht="1.5" hidden="1" customHeight="1" outlineLevel="2" x14ac:dyDescent="0.35">
      <c r="A485" s="86" t="s">
        <v>101</v>
      </c>
      <c r="B485" s="18"/>
      <c r="C485" s="77"/>
      <c r="D485" s="77"/>
      <c r="E485" s="77"/>
      <c r="F485" s="76"/>
      <c r="G485" s="29"/>
      <c r="H485" s="29"/>
      <c r="I485" s="29"/>
      <c r="J485" s="29"/>
      <c r="K485" s="29"/>
      <c r="L485" s="163">
        <f ca="1">L484</f>
        <v>3</v>
      </c>
      <c r="M485" s="164" t="s">
        <v>105</v>
      </c>
      <c r="N485" s="161"/>
      <c r="O485" s="162"/>
      <c r="P485" s="30"/>
      <c r="Q485" s="30"/>
      <c r="R485" s="30"/>
      <c r="S485" s="30"/>
      <c r="T485" s="155"/>
      <c r="U485" s="30"/>
      <c r="V485" s="30"/>
      <c r="W485" s="30"/>
      <c r="X485" s="31"/>
      <c r="Y485" s="32"/>
      <c r="Z485" s="32"/>
      <c r="AA485" s="32"/>
      <c r="AB485" s="33"/>
      <c r="AC485" s="33"/>
      <c r="AD485" s="23"/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 t="str">
        <f ca="1">IFERROR(OFFSET(M486,-1,,1,1)+0.1,OFFSET(M486,-1,-1,1,1)&amp;".1")</f>
        <v>3.1</v>
      </c>
      <c r="N486" s="20" t="s">
        <v>962</v>
      </c>
      <c r="O486" s="20"/>
      <c r="P486" s="20"/>
      <c r="Q486" s="134"/>
      <c r="R486" s="127"/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8</v>
      </c>
      <c r="T486" s="158"/>
      <c r="U486" s="21">
        <v>0</v>
      </c>
      <c r="V486" s="21">
        <v>1</v>
      </c>
      <c r="W486" s="21">
        <v>0</v>
      </c>
      <c r="X486" s="156">
        <v>8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8</v>
      </c>
      <c r="Z486" s="22"/>
      <c r="AA486" s="157">
        <f>Y486+Y486*VLOOKUP(I486,EXTRAS_ARRAY,2,FALSE)</f>
        <v>8</v>
      </c>
      <c r="AB486" s="20"/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58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3.2</v>
      </c>
      <c r="N487" s="20" t="s">
        <v>1198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2</v>
      </c>
      <c r="T487" s="158"/>
      <c r="U487" s="21">
        <v>0</v>
      </c>
      <c r="V487" s="21">
        <v>1</v>
      </c>
      <c r="W487" s="21">
        <v>0</v>
      </c>
      <c r="X487" s="156">
        <v>2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2</v>
      </c>
      <c r="Z487" s="22"/>
      <c r="AA487" s="157">
        <f>Y487+Y487*VLOOKUP(I487,EXTRAS_ARRAY,2,FALSE)</f>
        <v>2</v>
      </c>
      <c r="AB487" s="20" t="s">
        <v>1199</v>
      </c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ht="116" hidden="1" outlineLevel="2" x14ac:dyDescent="0.35">
      <c r="A488" s="86" t="s">
        <v>0</v>
      </c>
      <c r="B488" s="18"/>
      <c r="C488" s="78"/>
      <c r="D488" s="78"/>
      <c r="E488" s="78"/>
      <c r="F488" s="79"/>
      <c r="G488" s="19" t="s">
        <v>23</v>
      </c>
      <c r="H488" s="19" t="s">
        <v>23</v>
      </c>
      <c r="I488" s="20" t="s">
        <v>23</v>
      </c>
      <c r="J488" s="19" t="s">
        <v>23</v>
      </c>
      <c r="K488" s="35"/>
      <c r="L488" s="19"/>
      <c r="M488" s="263">
        <f ca="1">IFERROR(OFFSET(M488,-1,,1,1)+0.1,OFFSET(M488,-1,-1,1,1)&amp;".1")</f>
        <v>3.3000000000000003</v>
      </c>
      <c r="N488" s="20" t="s">
        <v>963</v>
      </c>
      <c r="O488" s="20"/>
      <c r="P488" s="20"/>
      <c r="Q488" s="134">
        <v>1</v>
      </c>
      <c r="R488" s="127"/>
      <c r="S488" s="157">
        <f>CEILING((IF(J488="Yes", 0, IF(H488="-",AA488,AA488+AA488*VLOOKUP(H488,BUFFERS_BY_TYPE,2,FALSE)))) +
   (IF(J488="Yes", 0, IF(H488="-",AA488,AA488+AA488*VLOOKUP(H488,BUFFERS_BY_TYPE,2,FALSE))))*VLOOKUP($S$5, SALES_CALL_SCALE_ARRAY, 2,FALSE),0.25)</f>
        <v>9</v>
      </c>
      <c r="T488" s="158"/>
      <c r="U488" s="21">
        <v>0</v>
      </c>
      <c r="V488" s="21">
        <v>1</v>
      </c>
      <c r="W488" s="21">
        <v>0</v>
      </c>
      <c r="X488" s="156">
        <v>9</v>
      </c>
      <c r="Y488" s="157">
        <f>CEILING((IF(P488=AS_DEV_EFFORT, DEV_EFFORT*Q488%,
                           IF(P488=AS_DURATION_EFFORT, (MANUAL_DURATION*5)*Q488%,
                                    (IF(Q488&lt;=1,X488,
                                          IF(SUM(U488:W488)=0,(Q488*X488),
                                               (((Q488*U488)*(X488+(X488*EXTRA_FOR_H)))+
                                               ((Q488*V488)*X488)+
                                               ((Q488*W488)*(X488-(X488*LESS_FOR_L)))
                                    )*IF(R488=0,1,R488))))))+Z488), 0.25)</f>
        <v>9</v>
      </c>
      <c r="Z488" s="22"/>
      <c r="AA488" s="157">
        <f>Y488+Y488*VLOOKUP(I488,EXTRAS_ARRAY,2,FALSE)</f>
        <v>9</v>
      </c>
      <c r="AB488" s="20"/>
      <c r="AC488" s="34"/>
      <c r="AD488" s="23" t="str">
        <f>IF(J488&lt;&gt;"Yes",
IF(S488&lt;=0,"Error: Effort value is not defined or is invalid.",
IF(AND(SUM(U488:W488)&gt;0,SUM(U488:W488)&lt;&gt;1),"Error: Complexity % distribution should sum to 100%.",
IF(AND(P488=AS_DEV_EFFORT,X488&lt;&gt;0),"Error: PDs should not be defined when defining as dev effort %.",
IF(AND(P488=AS_DURATION_EFFORT,X488&lt;&gt;0),"Error: PDs should not be defined when defining as duration effort %.","")))))</f>
        <v/>
      </c>
    </row>
    <row r="489" spans="1:30" ht="101.5" hidden="1" outlineLevel="2" x14ac:dyDescent="0.35">
      <c r="A489" s="86" t="s">
        <v>0</v>
      </c>
      <c r="B489" s="18"/>
      <c r="C489" s="78"/>
      <c r="D489" s="78"/>
      <c r="E489" s="78"/>
      <c r="F489" s="79"/>
      <c r="G489" s="19" t="s">
        <v>23</v>
      </c>
      <c r="H489" s="19" t="s">
        <v>23</v>
      </c>
      <c r="I489" s="20" t="s">
        <v>23</v>
      </c>
      <c r="J489" s="19" t="s">
        <v>23</v>
      </c>
      <c r="K489" s="35"/>
      <c r="L489" s="19"/>
      <c r="M489" s="263">
        <f ca="1">IFERROR(OFFSET(M489,-1,,1,1)+0.1,OFFSET(M489,-1,-1,1,1)&amp;".1")</f>
        <v>3.4000000000000004</v>
      </c>
      <c r="N489" s="20" t="s">
        <v>1158</v>
      </c>
      <c r="O489" s="20"/>
      <c r="P489" s="20"/>
      <c r="Q489" s="134"/>
      <c r="R489" s="127"/>
      <c r="S489" s="157">
        <f>CEILING((IF(J489="Yes", 0, IF(H489="-",AA489,AA489+AA489*VLOOKUP(H489,BUFFERS_BY_TYPE,2,FALSE)))) +
   (IF(J489="Yes", 0, IF(H489="-",AA489,AA489+AA489*VLOOKUP(H489,BUFFERS_BY_TYPE,2,FALSE))))*VLOOKUP($S$5, SALES_CALL_SCALE_ARRAY, 2,FALSE),0.25)</f>
        <v>8</v>
      </c>
      <c r="T489" s="158"/>
      <c r="U489" s="21">
        <v>0</v>
      </c>
      <c r="V489" s="21">
        <v>1</v>
      </c>
      <c r="W489" s="21">
        <v>0</v>
      </c>
      <c r="X489" s="156">
        <v>8</v>
      </c>
      <c r="Y489" s="157">
        <f>CEILING((IF(P489=AS_DEV_EFFORT, DEV_EFFORT*Q489%,
                           IF(P489=AS_DURATION_EFFORT, (MANUAL_DURATION*5)*Q489%,
                                    (IF(Q489&lt;=1,X489,
                                          IF(SUM(U489:W489)=0,(Q489*X489),
                                               (((Q489*U489)*(X489+(X489*EXTRA_FOR_H)))+
                                               ((Q489*V489)*X489)+
                                               ((Q489*W489)*(X489-(X489*LESS_FOR_L)))
                                    )*IF(R489=0,1,R489))))))+Z489), 0.25)</f>
        <v>8</v>
      </c>
      <c r="Z489" s="22"/>
      <c r="AA489" s="157">
        <f>Y489+Y489*VLOOKUP(I489,EXTRAS_ARRAY,2,FALSE)</f>
        <v>8</v>
      </c>
      <c r="AB489" s="20" t="s">
        <v>1159</v>
      </c>
      <c r="AC489" s="34"/>
      <c r="AD489" s="23" t="str">
        <f>IF(J489&lt;&gt;"Yes",
IF(S489&lt;=0,"Error: Effort value is not defined or is invalid.",
IF(AND(SUM(U489:W489)&gt;0,SUM(U489:W489)&lt;&gt;1),"Error: Complexity % distribution should sum to 100%.",
IF(AND(P489=AS_DEV_EFFORT,X489&lt;&gt;0),"Error: PDs should not be defined when defining as dev effort %.",
IF(AND(P489=AS_DURATION_EFFORT,X489&lt;&gt;0),"Error: PDs should not be defined when defining as duration effort %.","")))))</f>
        <v/>
      </c>
    </row>
    <row r="490" spans="1:30" s="9" customFormat="1" ht="7.5" hidden="1" customHeight="1" outlineLevel="2" x14ac:dyDescent="0.35">
      <c r="A490" s="86" t="s">
        <v>132</v>
      </c>
      <c r="B490" s="15"/>
      <c r="C490" s="72"/>
      <c r="D490" s="72"/>
      <c r="E490" s="72"/>
      <c r="F490" s="72"/>
      <c r="M490" s="252"/>
      <c r="T490" s="15"/>
      <c r="X490" s="15"/>
      <c r="AB490" s="10"/>
      <c r="AC490" s="10"/>
      <c r="AD490" s="10"/>
    </row>
    <row r="491" spans="1:30" s="14" customFormat="1" ht="15.5" hidden="1" outlineLevel="1" collapsed="1" x14ac:dyDescent="0.35">
      <c r="A491" s="86" t="s">
        <v>100</v>
      </c>
      <c r="B491" s="18"/>
      <c r="C491" s="77"/>
      <c r="D491" s="77"/>
      <c r="E491" s="77"/>
      <c r="F491" s="76"/>
      <c r="G491" s="29"/>
      <c r="H491" s="29"/>
      <c r="I491" s="29"/>
      <c r="J491" s="29"/>
      <c r="K491" s="29"/>
      <c r="L491" s="17">
        <f ca="1">LOOKUP(1000,INDIRECT("L1:"&amp;CELL("address",INDIRECT("R[-1]C",FALSE))))+1</f>
        <v>4</v>
      </c>
      <c r="M491" s="301" t="s">
        <v>465</v>
      </c>
      <c r="N491" s="301"/>
      <c r="O491" s="5"/>
      <c r="P491" s="30"/>
      <c r="Q491" s="30"/>
      <c r="R491" s="30"/>
      <c r="S491" s="30"/>
      <c r="T491" s="155">
        <f>IF($S$6="Exclude", SUMIFS(S492:S497, J492:J497, "&lt;&gt;Yes", G492:G497, "&lt;&gt;Yes"), SUMIFS(S492:S497, J492:J497, "&lt;&gt;Yes"))</f>
        <v>25</v>
      </c>
      <c r="U491" s="30"/>
      <c r="V491" s="30"/>
      <c r="W491" s="30"/>
      <c r="X491" s="31"/>
      <c r="Y491" s="32"/>
      <c r="Z491" s="32"/>
      <c r="AA491" s="32"/>
      <c r="AB491" s="219"/>
      <c r="AC491" s="33"/>
      <c r="AD491" s="23" t="str">
        <f>IF(M491="", "Error: Task name cannot be empty.", "")</f>
        <v/>
      </c>
    </row>
    <row r="492" spans="1:30" s="12" customFormat="1" ht="1.5" hidden="1" customHeight="1" outlineLevel="2" x14ac:dyDescent="0.35">
      <c r="A492" s="86" t="s">
        <v>101</v>
      </c>
      <c r="B492" s="18"/>
      <c r="C492" s="77"/>
      <c r="D492" s="77"/>
      <c r="E492" s="77"/>
      <c r="F492" s="76"/>
      <c r="G492" s="29"/>
      <c r="H492" s="29"/>
      <c r="I492" s="29"/>
      <c r="J492" s="29"/>
      <c r="K492" s="29"/>
      <c r="L492" s="163">
        <f ca="1">L491</f>
        <v>4</v>
      </c>
      <c r="M492" s="164" t="s">
        <v>105</v>
      </c>
      <c r="N492" s="161"/>
      <c r="O492" s="162"/>
      <c r="P492" s="30"/>
      <c r="Q492" s="30"/>
      <c r="R492" s="30"/>
      <c r="S492" s="30"/>
      <c r="T492" s="155"/>
      <c r="U492" s="30"/>
      <c r="V492" s="30"/>
      <c r="W492" s="30"/>
      <c r="X492" s="31"/>
      <c r="Y492" s="32"/>
      <c r="Z492" s="32"/>
      <c r="AA492" s="32"/>
      <c r="AB492" s="33"/>
      <c r="AC492" s="33"/>
      <c r="AD492" s="23"/>
    </row>
    <row r="493" spans="1:30" ht="72.5" hidden="1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23</v>
      </c>
      <c r="H493" s="19" t="s">
        <v>23</v>
      </c>
      <c r="I493" s="20" t="s">
        <v>23</v>
      </c>
      <c r="J493" s="19" t="s">
        <v>23</v>
      </c>
      <c r="K493" s="35"/>
      <c r="L493" s="19"/>
      <c r="M493" s="263" t="str">
        <f ca="1">IFERROR(OFFSET(M493,-1,,1,1)+0.1,OFFSET(M493,-1,-1,1,1)&amp;".1")</f>
        <v>4.1</v>
      </c>
      <c r="N493" s="20" t="s">
        <v>964</v>
      </c>
      <c r="O493" s="20"/>
      <c r="P493" s="20"/>
      <c r="Q493" s="134"/>
      <c r="R493" s="127"/>
      <c r="S493" s="157">
        <f>CEILING((IF(J493="Yes", 0, IF(H493="-",AA493,AA493+AA493*VLOOKUP(H493,BUFFERS_BY_TYPE,2,FALSE)))) +
   (IF(J493="Yes", 0, IF(H493="-",AA493,AA493+AA493*VLOOKUP(H493,BUFFERS_BY_TYPE,2,FALSE))))*VLOOKUP($S$5, SALES_CALL_SCALE_ARRAY, 2,FALSE),0.25)</f>
        <v>6</v>
      </c>
      <c r="T493" s="158"/>
      <c r="U493" s="21">
        <v>0</v>
      </c>
      <c r="V493" s="21">
        <v>1</v>
      </c>
      <c r="W493" s="21">
        <v>0</v>
      </c>
      <c r="X493" s="156">
        <v>6</v>
      </c>
      <c r="Y493" s="157">
        <f>CEILING((IF(P493=AS_DEV_EFFORT, DEV_EFFORT*Q493%,
                           IF(P493=AS_DURATION_EFFORT, (MANUAL_DURATION*5)*Q493%,
                                    (IF(Q493&lt;=1,X493,
                                          IF(SUM(U493:W493)=0,(Q493*X493),
                                               (((Q493*U493)*(X493+(X493*EXTRA_FOR_H)))+
                                               ((Q493*V493)*X493)+
                                               ((Q493*W493)*(X493-(X493*LESS_FOR_L)))
                                    )*IF(R493=0,1,R493))))))+Z493), 0.25)</f>
        <v>6</v>
      </c>
      <c r="Z493" s="22"/>
      <c r="AA493" s="157">
        <f>Y493+Y493*VLOOKUP(I493,EXTRAS_ARRAY,2,FALSE)</f>
        <v>6</v>
      </c>
      <c r="AB493" s="20"/>
      <c r="AC493" s="34"/>
      <c r="AD493" s="23" t="str">
        <f>IF(J493&lt;&gt;"Yes",
IF(S493&lt;=0,"Error: Effort value is not defined or is invalid.",
IF(AND(SUM(U493:W493)&gt;0,SUM(U493:W493)&lt;&gt;1),"Error: Complexity % distribution should sum to 100%.",
IF(AND(P493=AS_DEV_EFFORT,X493&lt;&gt;0),"Error: PDs should not be defined when defining as dev effort %.",
IF(AND(P493=AS_DURATION_EFFORT,X493&lt;&gt;0),"Error: PDs should not be defined when defining as duration effort %.","")))))</f>
        <v/>
      </c>
    </row>
    <row r="494" spans="1:30" ht="72.5" hidden="1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23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ca="1">IFERROR(OFFSET(M494,-1,,1,1)+0.1,OFFSET(M494,-1,-1,1,1)&amp;".1")</f>
        <v>4.1999999999999993</v>
      </c>
      <c r="N494" s="20" t="s">
        <v>965</v>
      </c>
      <c r="O494" s="20"/>
      <c r="P494" s="20"/>
      <c r="Q494" s="134"/>
      <c r="R494" s="127"/>
      <c r="S494" s="157">
        <f>CEILING((IF(J494="Yes", 0, IF(H494="-",AA494,AA494+AA494*VLOOKUP(H494,BUFFERS_BY_TYPE,2,FALSE)))) +
   (IF(J494="Yes", 0, IF(H494="-",AA494,AA494+AA494*VLOOKUP(H494,BUFFERS_BY_TYPE,2,FALSE))))*VLOOKUP($S$5, SALES_CALL_SCALE_ARRAY, 2,FALSE),0.25)</f>
        <v>6</v>
      </c>
      <c r="T494" s="158"/>
      <c r="U494" s="21">
        <v>0</v>
      </c>
      <c r="V494" s="21">
        <v>1</v>
      </c>
      <c r="W494" s="21">
        <v>0</v>
      </c>
      <c r="X494" s="156">
        <v>6</v>
      </c>
      <c r="Y494" s="157">
        <f>CEILING((IF(P494=AS_DEV_EFFORT, DEV_EFFORT*Q494%,
                           IF(P494=AS_DURATION_EFFORT, (MANUAL_DURATION*5)*Q494%,
                                    (IF(Q494&lt;=1,X494,
                                          IF(SUM(U494:W494)=0,(Q494*X494),
                                               (((Q494*U494)*(X494+(X494*EXTRA_FOR_H)))+
                                               ((Q494*V494)*X494)+
                                               ((Q494*W494)*(X494-(X494*LESS_FOR_L)))
                                    )*IF(R494=0,1,R494))))))+Z494), 0.25)</f>
        <v>6</v>
      </c>
      <c r="Z494" s="22"/>
      <c r="AA494" s="157">
        <f>Y494+Y494*VLOOKUP(I494,EXTRAS_ARRAY,2,FALSE)</f>
        <v>6</v>
      </c>
      <c r="AB494" s="20"/>
      <c r="AC494" s="34"/>
      <c r="AD494" s="23" t="str">
        <f>IF(J494&lt;&gt;"Yes",
IF(S494&lt;=0,"Error: Effort value is not defined or is invalid.",
IF(AND(SUM(U494:W494)&gt;0,SUM(U494:W494)&lt;&gt;1),"Error: Complexity % distribution should sum to 100%.",
IF(AND(P494=AS_DEV_EFFORT,X494&lt;&gt;0),"Error: PDs should not be defined when defining as dev effort %.",
IF(AND(P494=AS_DURATION_EFFORT,X494&lt;&gt;0),"Error: PDs should not be defined when defining as duration effort %.","")))))</f>
        <v/>
      </c>
    </row>
    <row r="495" spans="1:30" ht="87" hidden="1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4.2999999999999989</v>
      </c>
      <c r="N495" s="20" t="s">
        <v>966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7</v>
      </c>
      <c r="T495" s="158"/>
      <c r="U495" s="21">
        <v>0</v>
      </c>
      <c r="V495" s="21">
        <v>1</v>
      </c>
      <c r="W495" s="21">
        <v>0</v>
      </c>
      <c r="X495" s="156">
        <v>7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7</v>
      </c>
      <c r="Z495" s="22"/>
      <c r="AA495" s="157">
        <f>Y495+Y495*VLOOKUP(I495,EXTRAS_ARRAY,2,FALSE)</f>
        <v>7</v>
      </c>
      <c r="AB495" s="20"/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hidden="1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4.3999999999999986</v>
      </c>
      <c r="N496" s="20" t="s">
        <v>967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6</v>
      </c>
      <c r="T496" s="158"/>
      <c r="U496" s="21">
        <v>0</v>
      </c>
      <c r="V496" s="21">
        <v>1</v>
      </c>
      <c r="W496" s="21">
        <v>0</v>
      </c>
      <c r="X496" s="156">
        <v>6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6</v>
      </c>
      <c r="Z496" s="22"/>
      <c r="AA496" s="157">
        <f>Y496+Y496*VLOOKUP(I496,EXTRAS_ARRAY,2,FALSE)</f>
        <v>6</v>
      </c>
      <c r="AB496" s="20"/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s="9" customFormat="1" ht="7.5" hidden="1" customHeight="1" outlineLevel="2" x14ac:dyDescent="0.35">
      <c r="A497" s="86" t="s">
        <v>132</v>
      </c>
      <c r="B497" s="15"/>
      <c r="C497" s="72"/>
      <c r="D497" s="72"/>
      <c r="E497" s="72"/>
      <c r="F497" s="72"/>
      <c r="M497" s="252"/>
      <c r="T497" s="15"/>
      <c r="X497" s="15"/>
      <c r="AB497" s="10"/>
      <c r="AC497" s="10"/>
      <c r="AD497" s="10"/>
    </row>
    <row r="498" spans="1:30" s="9" customFormat="1" ht="3" hidden="1" customHeight="1" outlineLevel="1" x14ac:dyDescent="0.35">
      <c r="A498" s="86" t="s">
        <v>102</v>
      </c>
      <c r="C498" s="72"/>
      <c r="D498" s="72"/>
      <c r="E498" s="72"/>
      <c r="F498" s="72"/>
      <c r="G498" s="25"/>
      <c r="H498" s="25"/>
      <c r="I498" s="25"/>
      <c r="J498" s="25"/>
      <c r="K498" s="25"/>
      <c r="L498" s="56"/>
      <c r="M498" s="264"/>
      <c r="N498" s="57"/>
      <c r="O498" s="57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7"/>
      <c r="AC498" s="57"/>
      <c r="AD498" s="10"/>
    </row>
    <row r="499" spans="1:30" s="14" customFormat="1" ht="18.5" collapsed="1" x14ac:dyDescent="0.35">
      <c r="A499" s="86" t="s">
        <v>98</v>
      </c>
      <c r="B499" s="12"/>
      <c r="C499" s="73"/>
      <c r="D499" s="73"/>
      <c r="E499" s="73"/>
      <c r="F499" s="72"/>
      <c r="G499" s="52"/>
      <c r="H499" s="52"/>
      <c r="I499" s="52"/>
      <c r="J499" s="52"/>
      <c r="K499" s="52"/>
      <c r="L499" s="52" t="s">
        <v>83</v>
      </c>
      <c r="M499" s="261" t="s">
        <v>76</v>
      </c>
      <c r="N499" s="53"/>
      <c r="O499" s="54"/>
      <c r="P499" s="55"/>
      <c r="Q499" s="55"/>
      <c r="R499" s="55"/>
      <c r="S499" s="315">
        <f>CEILING(SUMIF(J500:J505, "&lt;&gt;Yes", T500:T505),1)</f>
        <v>81</v>
      </c>
      <c r="T499" s="315"/>
      <c r="U499" s="55"/>
      <c r="V499" s="55"/>
      <c r="W499" s="55"/>
      <c r="X499" s="55"/>
      <c r="Y499" s="55"/>
      <c r="Z499" s="55"/>
      <c r="AA499" s="55"/>
      <c r="AB499" s="55"/>
      <c r="AC499" s="55"/>
      <c r="AD499" s="13"/>
    </row>
    <row r="500" spans="1:30" s="9" customFormat="1" ht="3" hidden="1" customHeight="1" outlineLevel="1" x14ac:dyDescent="0.35">
      <c r="A500" s="86" t="s">
        <v>99</v>
      </c>
      <c r="B500" s="15"/>
      <c r="C500" s="72"/>
      <c r="D500" s="72"/>
      <c r="E500" s="72"/>
      <c r="F500" s="72"/>
      <c r="G500" s="25"/>
      <c r="H500" s="25"/>
      <c r="I500" s="25"/>
      <c r="J500" s="25"/>
      <c r="K500" s="25"/>
      <c r="L500" s="26">
        <v>0</v>
      </c>
      <c r="M500" s="262"/>
      <c r="N500" s="25"/>
      <c r="O500" s="25"/>
      <c r="P500" s="25"/>
      <c r="Q500" s="25"/>
      <c r="R500" s="25"/>
      <c r="S500" s="25"/>
      <c r="T500" s="27"/>
      <c r="U500" s="25"/>
      <c r="V500" s="25"/>
      <c r="W500" s="25"/>
      <c r="X500" s="27"/>
      <c r="Y500" s="25"/>
      <c r="Z500" s="25"/>
      <c r="AA500" s="25"/>
      <c r="AB500" s="28"/>
      <c r="AC500" s="28"/>
      <c r="AD500" s="10"/>
    </row>
    <row r="501" spans="1:30" s="14" customFormat="1" ht="15.5" hidden="1" outlineLevel="1" x14ac:dyDescent="0.35">
      <c r="A501" s="86" t="s">
        <v>100</v>
      </c>
      <c r="B501" s="18"/>
      <c r="C501" s="77"/>
      <c r="D501" s="77"/>
      <c r="E501" s="77"/>
      <c r="F501" s="76"/>
      <c r="G501" s="29"/>
      <c r="H501" s="29"/>
      <c r="I501" s="29"/>
      <c r="J501" s="29"/>
      <c r="K501" s="29"/>
      <c r="L501" s="17">
        <f ca="1">LOOKUP(1000,INDIRECT("L1:"&amp;CELL("address",INDIRECT("R[-1]C",FALSE))))+1</f>
        <v>1</v>
      </c>
      <c r="M501" s="301" t="s">
        <v>471</v>
      </c>
      <c r="N501" s="301"/>
      <c r="O501" s="5"/>
      <c r="P501" s="30"/>
      <c r="Q501" s="30"/>
      <c r="R501" s="30"/>
      <c r="S501" s="30"/>
      <c r="T501" s="155">
        <f>IF($S$6="Exclude", SUMIFS(S502:S504, J502:J504, "&lt;&gt;Yes", G502:G504, "&lt;&gt;Yes"), SUMIFS(S502:S504, J502:J504, "&lt;&gt;Yes"))</f>
        <v>80.5</v>
      </c>
      <c r="U501" s="30"/>
      <c r="V501" s="30"/>
      <c r="W501" s="30"/>
      <c r="X501" s="31"/>
      <c r="Y501" s="32"/>
      <c r="Z501" s="32"/>
      <c r="AA501" s="32"/>
      <c r="AB501" s="219"/>
      <c r="AC501" s="33"/>
      <c r="AD501" s="23" t="str">
        <f>IF(M501="", "Error: Task name cannot be empty.", "")</f>
        <v/>
      </c>
    </row>
    <row r="502" spans="1:30" s="12" customFormat="1" ht="1.5" hidden="1" customHeight="1" outlineLevel="2" x14ac:dyDescent="0.35">
      <c r="A502" s="86" t="s">
        <v>101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63">
        <f ca="1">L501</f>
        <v>1</v>
      </c>
      <c r="M502" s="164" t="s">
        <v>105</v>
      </c>
      <c r="N502" s="161"/>
      <c r="O502" s="162"/>
      <c r="P502" s="30"/>
      <c r="Q502" s="30"/>
      <c r="R502" s="30"/>
      <c r="S502" s="30"/>
      <c r="T502" s="155"/>
      <c r="U502" s="30"/>
      <c r="V502" s="30"/>
      <c r="W502" s="30"/>
      <c r="X502" s="31"/>
      <c r="Y502" s="32"/>
      <c r="Z502" s="32"/>
      <c r="AA502" s="32"/>
      <c r="AB502" s="33"/>
      <c r="AC502" s="33"/>
      <c r="AD502" s="23"/>
    </row>
    <row r="503" spans="1:30" ht="15.5" hidden="1" outlineLevel="2" x14ac:dyDescent="0.35">
      <c r="A503" s="86" t="s">
        <v>0</v>
      </c>
      <c r="B503" s="18"/>
      <c r="C503" s="78"/>
      <c r="D503" s="78"/>
      <c r="E503" s="78"/>
      <c r="F503" s="79"/>
      <c r="G503" s="19" t="s">
        <v>23</v>
      </c>
      <c r="H503" s="19" t="s">
        <v>23</v>
      </c>
      <c r="I503" s="20" t="s">
        <v>23</v>
      </c>
      <c r="J503" s="19" t="s">
        <v>23</v>
      </c>
      <c r="K503" s="35"/>
      <c r="L503" s="19"/>
      <c r="M503" s="263" t="str">
        <f ca="1">IFERROR(OFFSET(M503,-1,,1,1)+0.1,OFFSET(M503,-1,-1,1,1)&amp;".1")</f>
        <v>1.1</v>
      </c>
      <c r="N503" s="20" t="s">
        <v>472</v>
      </c>
      <c r="O503" s="20" t="s">
        <v>473</v>
      </c>
      <c r="P503" s="251">
        <v>7.8600000000000003E-2</v>
      </c>
      <c r="Q503" s="134"/>
      <c r="R503" s="127"/>
      <c r="S503" s="157">
        <f>CEILING((IF(J503="Yes", 0, IF(H503="-",AA503,AA503+AA503*VLOOKUP(H503,BUFFERS_BY_TYPE,2,FALSE)))) +
   (IF(J503="Yes", 0, IF(H503="-",AA503,AA503+AA503*VLOOKUP(H503,BUFFERS_BY_TYPE,2,FALSE))))*VLOOKUP($S$5, SALES_CALL_SCALE_ARRAY, 2,FALSE),0.25)</f>
        <v>80.5</v>
      </c>
      <c r="T503" s="158"/>
      <c r="U503" s="21">
        <v>0</v>
      </c>
      <c r="V503" s="21">
        <v>1</v>
      </c>
      <c r="W503" s="21">
        <v>0</v>
      </c>
      <c r="X503" s="156">
        <f>(REQ_EFFORT+DESIGN_EFFORT+DEV_EFFORT+QA_EFFORT+UAT_EFFORT) * P503</f>
        <v>80.407800000000009</v>
      </c>
      <c r="Y503" s="157">
        <f>CEILING((IF(P503=AS_DEV_EFFORT, DEV_EFFORT*Q503%,
                           IF(P503=AS_DURATION_EFFORT, (MANUAL_DURATION*5)*Q503%,
                                    (IF(Q503&lt;=1,X503,
                                          IF(SUM(U503:W503)=0,(Q503*X503),
                                               (((Q503*U503)*(X503+(X503*EXTRA_FOR_H)))+
                                               ((Q503*V503)*X503)+
                                               ((Q503*W503)*(X503-(X503*LESS_FOR_L)))
                                    )*IF(R503=0,1,R503))))))+Z503), 0.25)</f>
        <v>80.5</v>
      </c>
      <c r="Z503" s="22">
        <v>4.4999999999999998E-2</v>
      </c>
      <c r="AA503" s="157">
        <f>Y503+Y503*VLOOKUP(I503,EXTRAS_ARRAY,2,FALSE)</f>
        <v>80.5</v>
      </c>
      <c r="AB503" s="20"/>
      <c r="AC503" s="34"/>
      <c r="AD503" s="23" t="str">
        <f>IF(J503&lt;&gt;"Yes",
IF(S503&lt;=0,"Error: Effort value is not defined or is invalid.",
IF(AND(SUM(U503:W503)&gt;0,SUM(U503:W503)&lt;&gt;1),"Error: Complexity % distribution should sum to 100%.",
IF(AND(P503=AS_DEV_EFFORT,X503&lt;&gt;0),"Error: PDs should not be defined when defining as dev effort %.",
IF(AND(P503=AS_DURATION_EFFORT,X503&lt;&gt;0),"Error: PDs should not be defined when defining as duration effort %.","")))))</f>
        <v/>
      </c>
    </row>
    <row r="504" spans="1:30" s="9" customFormat="1" ht="7.5" hidden="1" customHeight="1" outlineLevel="2" x14ac:dyDescent="0.35">
      <c r="A504" s="86" t="s">
        <v>132</v>
      </c>
      <c r="B504" s="15"/>
      <c r="C504" s="72"/>
      <c r="D504" s="72"/>
      <c r="E504" s="72"/>
      <c r="F504" s="72"/>
      <c r="M504" s="252"/>
      <c r="T504" s="15"/>
      <c r="X504" s="15"/>
      <c r="AB504" s="10"/>
      <c r="AC504" s="10"/>
      <c r="AD504" s="10"/>
    </row>
    <row r="505" spans="1:30" s="9" customFormat="1" ht="3" hidden="1" customHeight="1" outlineLevel="1" x14ac:dyDescent="0.35">
      <c r="A505" s="86" t="s">
        <v>102</v>
      </c>
      <c r="C505" s="72"/>
      <c r="D505" s="72"/>
      <c r="E505" s="72"/>
      <c r="F505" s="72"/>
      <c r="G505" s="25"/>
      <c r="H505" s="25"/>
      <c r="I505" s="25"/>
      <c r="J505" s="25"/>
      <c r="K505" s="25"/>
      <c r="L505" s="56"/>
      <c r="M505" s="264"/>
      <c r="N505" s="57"/>
      <c r="O505" s="57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7"/>
      <c r="AC505" s="57"/>
      <c r="AD505" s="10"/>
    </row>
    <row r="506" spans="1:30" s="9" customFormat="1" ht="20.25" customHeight="1" x14ac:dyDescent="0.35">
      <c r="A506" s="86" t="s">
        <v>103</v>
      </c>
      <c r="C506" s="72"/>
      <c r="D506" s="72"/>
      <c r="E506" s="72"/>
      <c r="F506" s="72"/>
      <c r="G506" s="40"/>
      <c r="H506" s="40"/>
      <c r="I506" s="40"/>
      <c r="J506" s="40"/>
      <c r="K506" s="40"/>
      <c r="L506" s="136"/>
      <c r="M506" s="258"/>
      <c r="N506" s="40"/>
      <c r="O506" s="40"/>
      <c r="P506" s="40"/>
      <c r="Q506" s="40"/>
      <c r="R506" s="40"/>
      <c r="S506" s="316">
        <f>TOTAL_EFFORT</f>
        <v>1104</v>
      </c>
      <c r="T506" s="316"/>
      <c r="U506" s="40"/>
      <c r="V506" s="40"/>
      <c r="W506" s="40"/>
      <c r="X506" s="40"/>
      <c r="Y506" s="40"/>
      <c r="Z506" s="40"/>
      <c r="AA506" s="40"/>
      <c r="AB506" s="135"/>
      <c r="AC506" s="40"/>
      <c r="AD506" s="10"/>
    </row>
    <row r="507" spans="1:30" s="9" customFormat="1" x14ac:dyDescent="0.35">
      <c r="A507" s="86"/>
      <c r="C507" s="74"/>
      <c r="D507" s="74"/>
      <c r="E507" s="74"/>
      <c r="F507" s="72"/>
      <c r="M507" s="252"/>
      <c r="N507" s="10"/>
      <c r="O507" s="10"/>
      <c r="AB507" s="10"/>
      <c r="AC507" s="10"/>
      <c r="AD507" s="10"/>
    </row>
    <row r="508" spans="1:30" s="9" customFormat="1" ht="20.25" customHeight="1" x14ac:dyDescent="0.35">
      <c r="A508" s="86"/>
      <c r="C508" s="72"/>
      <c r="D508" s="72"/>
      <c r="E508" s="72"/>
      <c r="F508" s="72"/>
      <c r="G508" s="293" t="s">
        <v>48</v>
      </c>
      <c r="H508" s="293"/>
      <c r="I508" s="165"/>
      <c r="J508" s="40"/>
      <c r="K508" s="40"/>
      <c r="L508" s="36"/>
      <c r="M508" s="265" t="s">
        <v>154</v>
      </c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10"/>
    </row>
    <row r="509" spans="1:30" s="9" customFormat="1" outlineLevel="1" x14ac:dyDescent="0.35">
      <c r="A509" s="86"/>
      <c r="C509" s="74"/>
      <c r="D509" s="74"/>
      <c r="E509" s="74"/>
      <c r="F509" s="72"/>
      <c r="G509" s="25"/>
      <c r="H509" s="25"/>
      <c r="I509" s="25"/>
      <c r="J509" s="25"/>
      <c r="K509" s="25"/>
      <c r="L509" s="25"/>
      <c r="M509" s="262"/>
      <c r="N509" s="28"/>
      <c r="O509" s="28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8"/>
      <c r="AC509" s="28"/>
      <c r="AD509" s="10"/>
    </row>
    <row r="510" spans="1:30" s="9" customFormat="1" ht="15" customHeight="1" outlineLevel="1" x14ac:dyDescent="0.35">
      <c r="A510" s="86"/>
      <c r="C510" s="74"/>
      <c r="D510" s="74"/>
      <c r="E510" s="74"/>
      <c r="F510" s="72"/>
      <c r="G510" s="25"/>
      <c r="H510" s="25"/>
      <c r="I510" s="25"/>
      <c r="J510" s="25"/>
      <c r="K510" s="25"/>
      <c r="L510" s="25"/>
      <c r="M510" s="318" t="s">
        <v>444</v>
      </c>
      <c r="N510" s="318"/>
      <c r="O510" s="318"/>
      <c r="P510" s="318"/>
      <c r="Q510" s="318"/>
      <c r="R510" s="318"/>
      <c r="S510" s="318"/>
      <c r="T510" s="318"/>
      <c r="U510" s="28"/>
      <c r="V510" s="28"/>
      <c r="W510" s="28"/>
      <c r="X510" s="25"/>
      <c r="Y510" s="25"/>
      <c r="Z510" s="25"/>
      <c r="AA510" s="25"/>
      <c r="AB510" s="28"/>
      <c r="AC510" s="28"/>
      <c r="AD510" s="10"/>
    </row>
    <row r="511" spans="1:30" s="9" customFormat="1" outlineLevel="1" x14ac:dyDescent="0.35">
      <c r="A511" s="86"/>
      <c r="C511" s="74"/>
      <c r="D511" s="74"/>
      <c r="E511" s="74"/>
      <c r="F511" s="72"/>
      <c r="G511" s="25"/>
      <c r="H511" s="25"/>
      <c r="I511" s="25"/>
      <c r="J511" s="25"/>
      <c r="K511" s="25"/>
      <c r="L511" s="25"/>
      <c r="M511" s="318"/>
      <c r="N511" s="318"/>
      <c r="O511" s="318"/>
      <c r="P511" s="318"/>
      <c r="Q511" s="318"/>
      <c r="R511" s="318"/>
      <c r="S511" s="318"/>
      <c r="T511" s="318"/>
      <c r="U511" s="28"/>
      <c r="V511" s="28"/>
      <c r="W511" s="28"/>
      <c r="X511" s="25"/>
      <c r="Y511" s="25"/>
      <c r="Z511" s="25"/>
      <c r="AA511" s="25"/>
      <c r="AB511" s="28"/>
      <c r="AC511" s="28"/>
      <c r="AD511" s="10"/>
    </row>
    <row r="512" spans="1:30" s="9" customFormat="1" ht="3.75" customHeight="1" outlineLevel="1" x14ac:dyDescent="0.35">
      <c r="A512" s="86"/>
      <c r="C512" s="74"/>
      <c r="D512" s="74"/>
      <c r="E512" s="74"/>
      <c r="F512" s="72"/>
      <c r="G512" s="25"/>
      <c r="H512" s="25"/>
      <c r="I512" s="25"/>
      <c r="J512" s="25"/>
      <c r="K512" s="25"/>
      <c r="L512" s="25"/>
      <c r="M512" s="262"/>
      <c r="N512" s="28"/>
      <c r="O512" s="28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8"/>
      <c r="AC512" s="28"/>
      <c r="AD512" s="10"/>
    </row>
    <row r="513" spans="1:30" s="9" customFormat="1" ht="15.5" outlineLevel="1" x14ac:dyDescent="0.35">
      <c r="A513" s="86"/>
      <c r="C513" s="74"/>
      <c r="D513" s="74"/>
      <c r="E513" s="74"/>
      <c r="F513" s="72"/>
      <c r="G513" s="25"/>
      <c r="H513" s="25"/>
      <c r="I513" s="25"/>
      <c r="J513" s="25"/>
      <c r="K513" s="25"/>
      <c r="L513" s="25"/>
      <c r="M513" s="266" t="s">
        <v>153</v>
      </c>
      <c r="N513" s="184" t="s">
        <v>3</v>
      </c>
      <c r="O513" s="188" t="s">
        <v>59</v>
      </c>
      <c r="P513" s="187" t="str">
        <f>"Cost ("&amp;CHOSEN_CURRENCY&amp;")"</f>
        <v>Cost (USD)</v>
      </c>
      <c r="Q513" s="25"/>
      <c r="R513" s="220" t="s">
        <v>437</v>
      </c>
      <c r="S513" s="58" t="s">
        <v>443</v>
      </c>
      <c r="T513" s="230" t="s">
        <v>445</v>
      </c>
      <c r="U513" s="25"/>
      <c r="V513" s="25"/>
      <c r="W513" s="25"/>
      <c r="X513" s="25"/>
      <c r="Y513" s="25"/>
      <c r="Z513" s="25"/>
      <c r="AA513" s="25"/>
      <c r="AB513" s="28"/>
      <c r="AC513" s="28"/>
      <c r="AD513" s="10"/>
    </row>
    <row r="514" spans="1:30" s="9" customFormat="1" ht="3" customHeight="1" outlineLevel="1" x14ac:dyDescent="0.35">
      <c r="A514" s="86"/>
      <c r="C514" s="74"/>
      <c r="D514" s="74"/>
      <c r="E514" s="74"/>
      <c r="F514" s="72"/>
      <c r="G514" s="25"/>
      <c r="H514" s="25"/>
      <c r="I514" s="25"/>
      <c r="J514" s="25"/>
      <c r="K514" s="25"/>
      <c r="L514" s="25"/>
      <c r="M514" s="267"/>
      <c r="N514" s="245"/>
      <c r="O514" s="245"/>
      <c r="P514" s="244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8"/>
      <c r="AC514" s="28"/>
      <c r="AD514" s="10"/>
    </row>
    <row r="515" spans="1:30" s="9" customFormat="1" outlineLevel="1" x14ac:dyDescent="0.35">
      <c r="A515" s="86"/>
      <c r="C515" s="74"/>
      <c r="D515" s="74"/>
      <c r="E515" s="74"/>
      <c r="F515" s="72"/>
      <c r="G515" s="25"/>
      <c r="H515" s="25"/>
      <c r="I515" s="25"/>
      <c r="J515" s="25"/>
      <c r="K515" s="25"/>
      <c r="L515" s="25"/>
      <c r="M515" s="262"/>
      <c r="N515" s="28"/>
      <c r="O515" s="28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8"/>
      <c r="AC515" s="28"/>
      <c r="AD515" s="10"/>
    </row>
    <row r="516" spans="1:30" s="348" customFormat="1" ht="29" outlineLevel="1" x14ac:dyDescent="0.35">
      <c r="A516" s="86"/>
      <c r="C516" s="349"/>
      <c r="D516" s="349"/>
      <c r="E516" s="349"/>
      <c r="F516" s="72"/>
      <c r="G516" s="350"/>
      <c r="H516" s="350"/>
      <c r="I516" s="350"/>
      <c r="J516" s="350"/>
      <c r="K516" s="350"/>
      <c r="L516" s="350"/>
      <c r="M516" s="351">
        <v>1</v>
      </c>
      <c r="N516" s="352" t="s">
        <v>987</v>
      </c>
      <c r="O516" s="353">
        <v>13.8</v>
      </c>
      <c r="P516" s="354">
        <v>3096</v>
      </c>
      <c r="Q516" s="350"/>
      <c r="R516" s="350"/>
      <c r="S516" s="350"/>
      <c r="T516" s="350"/>
      <c r="U516" s="350"/>
      <c r="V516" s="350"/>
      <c r="W516" s="350"/>
      <c r="X516" s="350"/>
      <c r="Y516" s="350"/>
      <c r="Z516" s="350"/>
      <c r="AA516" s="350"/>
      <c r="AB516" s="352"/>
      <c r="AC516" s="352"/>
      <c r="AD516" s="355"/>
    </row>
    <row r="517" spans="1:30" s="282" customFormat="1" outlineLevel="1" x14ac:dyDescent="0.35">
      <c r="A517" s="281"/>
      <c r="C517" s="283"/>
      <c r="D517" s="283"/>
      <c r="E517" s="283"/>
      <c r="F517" s="284"/>
      <c r="G517" s="285"/>
      <c r="H517" s="285"/>
      <c r="I517" s="285"/>
      <c r="J517" s="285"/>
      <c r="K517" s="285"/>
      <c r="L517" s="285"/>
      <c r="M517" s="286" t="s">
        <v>109</v>
      </c>
      <c r="N517" s="287" t="s">
        <v>878</v>
      </c>
      <c r="O517" s="288">
        <v>200.4</v>
      </c>
      <c r="P517" s="289">
        <v>44892.5</v>
      </c>
      <c r="Q517" s="285"/>
      <c r="R517" s="285"/>
      <c r="S517" s="285"/>
      <c r="T517" s="285"/>
      <c r="U517" s="285"/>
      <c r="V517" s="285"/>
      <c r="W517" s="285"/>
      <c r="X517" s="285"/>
      <c r="Y517" s="285"/>
      <c r="Z517" s="285"/>
      <c r="AA517" s="285"/>
      <c r="AB517" s="287"/>
      <c r="AC517" s="287"/>
      <c r="AD517" s="290"/>
    </row>
    <row r="518" spans="1:30" s="348" customFormat="1" ht="29" outlineLevel="1" x14ac:dyDescent="0.35">
      <c r="A518" s="86"/>
      <c r="C518" s="349"/>
      <c r="D518" s="349"/>
      <c r="E518" s="349"/>
      <c r="F518" s="72"/>
      <c r="G518" s="350"/>
      <c r="H518" s="350"/>
      <c r="I518" s="350"/>
      <c r="J518" s="350"/>
      <c r="K518" s="350"/>
      <c r="L518" s="350"/>
      <c r="M518" s="351">
        <v>2</v>
      </c>
      <c r="N518" s="352" t="s">
        <v>991</v>
      </c>
      <c r="O518" s="353">
        <v>27.6</v>
      </c>
      <c r="P518" s="354">
        <v>6192.1</v>
      </c>
      <c r="Q518" s="350"/>
      <c r="R518" s="350"/>
      <c r="S518" s="350"/>
      <c r="T518" s="350"/>
      <c r="U518" s="350"/>
      <c r="V518" s="350"/>
      <c r="W518" s="350"/>
      <c r="X518" s="350"/>
      <c r="Y518" s="350"/>
      <c r="Z518" s="350"/>
      <c r="AA518" s="350"/>
      <c r="AB518" s="352"/>
      <c r="AC518" s="352"/>
      <c r="AD518" s="355"/>
    </row>
    <row r="519" spans="1:30" s="348" customFormat="1" outlineLevel="1" x14ac:dyDescent="0.35">
      <c r="A519" s="86"/>
      <c r="C519" s="349"/>
      <c r="D519" s="349"/>
      <c r="E519" s="349"/>
      <c r="F519" s="72"/>
      <c r="G519" s="350"/>
      <c r="H519" s="350"/>
      <c r="I519" s="350"/>
      <c r="J519" s="350"/>
      <c r="K519" s="350"/>
      <c r="L519" s="350"/>
      <c r="M519" s="351">
        <v>3</v>
      </c>
      <c r="N519" s="352" t="s">
        <v>998</v>
      </c>
      <c r="O519" s="353">
        <v>38</v>
      </c>
      <c r="P519" s="354">
        <v>8514.1</v>
      </c>
      <c r="Q519" s="350"/>
      <c r="R519" s="350"/>
      <c r="S519" s="350"/>
      <c r="T519" s="350"/>
      <c r="U519" s="350"/>
      <c r="V519" s="350"/>
      <c r="W519" s="350"/>
      <c r="X519" s="350"/>
      <c r="Y519" s="350"/>
      <c r="Z519" s="350"/>
      <c r="AA519" s="350"/>
      <c r="AB519" s="352"/>
      <c r="AC519" s="352"/>
      <c r="AD519" s="355"/>
    </row>
    <row r="520" spans="1:30" s="348" customFormat="1" ht="29" outlineLevel="1" x14ac:dyDescent="0.35">
      <c r="A520" s="86"/>
      <c r="C520" s="349"/>
      <c r="D520" s="349"/>
      <c r="E520" s="349"/>
      <c r="F520" s="72"/>
      <c r="G520" s="350"/>
      <c r="H520" s="350"/>
      <c r="I520" s="350"/>
      <c r="J520" s="350"/>
      <c r="K520" s="350"/>
      <c r="L520" s="350"/>
      <c r="M520" s="351">
        <v>4</v>
      </c>
      <c r="N520" s="352" t="s">
        <v>1006</v>
      </c>
      <c r="O520" s="353">
        <v>31.1</v>
      </c>
      <c r="P520" s="354">
        <v>6966.1</v>
      </c>
      <c r="Q520" s="350"/>
      <c r="R520" s="350"/>
      <c r="S520" s="350"/>
      <c r="T520" s="350"/>
      <c r="U520" s="350"/>
      <c r="V520" s="350"/>
      <c r="W520" s="350"/>
      <c r="X520" s="350"/>
      <c r="Y520" s="350"/>
      <c r="Z520" s="350"/>
      <c r="AA520" s="350"/>
      <c r="AB520" s="352"/>
      <c r="AC520" s="352"/>
      <c r="AD520" s="355"/>
    </row>
    <row r="521" spans="1:30" s="348" customFormat="1" outlineLevel="1" x14ac:dyDescent="0.35">
      <c r="A521" s="86"/>
      <c r="C521" s="349"/>
      <c r="D521" s="349"/>
      <c r="E521" s="349"/>
      <c r="F521" s="72"/>
      <c r="G521" s="350"/>
      <c r="H521" s="350"/>
      <c r="I521" s="350"/>
      <c r="J521" s="350"/>
      <c r="K521" s="350"/>
      <c r="L521" s="350"/>
      <c r="M521" s="351">
        <v>5</v>
      </c>
      <c r="N521" s="352" t="s">
        <v>1012</v>
      </c>
      <c r="O521" s="353">
        <v>20.7</v>
      </c>
      <c r="P521" s="354">
        <v>4644.1000000000004</v>
      </c>
      <c r="Q521" s="350"/>
      <c r="R521" s="350"/>
      <c r="S521" s="350"/>
      <c r="T521" s="350"/>
      <c r="U521" s="350"/>
      <c r="V521" s="350"/>
      <c r="W521" s="350"/>
      <c r="X521" s="350"/>
      <c r="Y521" s="350"/>
      <c r="Z521" s="350"/>
      <c r="AA521" s="350"/>
      <c r="AB521" s="352"/>
      <c r="AC521" s="352"/>
      <c r="AD521" s="355"/>
    </row>
    <row r="522" spans="1:30" s="348" customFormat="1" ht="29" outlineLevel="1" x14ac:dyDescent="0.35">
      <c r="A522" s="86"/>
      <c r="C522" s="349"/>
      <c r="D522" s="349"/>
      <c r="E522" s="349"/>
      <c r="F522" s="72"/>
      <c r="G522" s="350"/>
      <c r="H522" s="350"/>
      <c r="I522" s="350"/>
      <c r="J522" s="350"/>
      <c r="K522" s="350"/>
      <c r="L522" s="350"/>
      <c r="M522" s="351">
        <v>6</v>
      </c>
      <c r="N522" s="352" t="s">
        <v>1019</v>
      </c>
      <c r="O522" s="353">
        <v>27.6</v>
      </c>
      <c r="P522" s="354">
        <v>6192.1</v>
      </c>
      <c r="Q522" s="350"/>
      <c r="R522" s="350"/>
      <c r="S522" s="350"/>
      <c r="T522" s="350"/>
      <c r="U522" s="350"/>
      <c r="V522" s="350"/>
      <c r="W522" s="350"/>
      <c r="X522" s="350"/>
      <c r="Y522" s="350"/>
      <c r="Z522" s="350"/>
      <c r="AA522" s="350"/>
      <c r="AB522" s="352"/>
      <c r="AC522" s="352"/>
      <c r="AD522" s="355"/>
    </row>
    <row r="523" spans="1:30" s="348" customFormat="1" ht="29" outlineLevel="1" x14ac:dyDescent="0.35">
      <c r="A523" s="86"/>
      <c r="C523" s="349"/>
      <c r="D523" s="349"/>
      <c r="E523" s="349"/>
      <c r="F523" s="72"/>
      <c r="G523" s="350"/>
      <c r="H523" s="350"/>
      <c r="I523" s="350"/>
      <c r="J523" s="350"/>
      <c r="K523" s="350"/>
      <c r="L523" s="350"/>
      <c r="M523" s="351">
        <v>7</v>
      </c>
      <c r="N523" s="352" t="s">
        <v>1186</v>
      </c>
      <c r="O523" s="353">
        <v>35.4</v>
      </c>
      <c r="P523" s="354">
        <v>7933.6</v>
      </c>
      <c r="Q523" s="350"/>
      <c r="R523" s="350"/>
      <c r="S523" s="350"/>
      <c r="T523" s="350"/>
      <c r="U523" s="350"/>
      <c r="V523" s="350"/>
      <c r="W523" s="350"/>
      <c r="X523" s="350"/>
      <c r="Y523" s="350"/>
      <c r="Z523" s="350"/>
      <c r="AA523" s="350"/>
      <c r="AB523" s="352"/>
      <c r="AC523" s="352"/>
      <c r="AD523" s="355"/>
    </row>
    <row r="524" spans="1:30" s="348" customFormat="1" ht="43.5" outlineLevel="1" x14ac:dyDescent="0.35">
      <c r="A524" s="86"/>
      <c r="C524" s="349"/>
      <c r="D524" s="349"/>
      <c r="E524" s="349"/>
      <c r="F524" s="72"/>
      <c r="G524" s="350"/>
      <c r="H524" s="350"/>
      <c r="I524" s="350"/>
      <c r="J524" s="350"/>
      <c r="K524" s="350"/>
      <c r="L524" s="350"/>
      <c r="M524" s="351">
        <v>8</v>
      </c>
      <c r="N524" s="352" t="s">
        <v>1226</v>
      </c>
      <c r="O524" s="353">
        <v>19.899999999999999</v>
      </c>
      <c r="P524" s="354">
        <v>4450.6000000000004</v>
      </c>
      <c r="Q524" s="350"/>
      <c r="R524" s="350"/>
      <c r="S524" s="350"/>
      <c r="T524" s="350"/>
      <c r="U524" s="350"/>
      <c r="V524" s="350"/>
      <c r="W524" s="350"/>
      <c r="X524" s="350"/>
      <c r="Y524" s="350"/>
      <c r="Z524" s="350"/>
      <c r="AA524" s="350"/>
      <c r="AB524" s="352"/>
      <c r="AC524" s="352"/>
      <c r="AD524" s="355"/>
    </row>
    <row r="525" spans="1:30" s="282" customFormat="1" outlineLevel="1" x14ac:dyDescent="0.35">
      <c r="A525" s="281"/>
      <c r="C525" s="283"/>
      <c r="D525" s="283"/>
      <c r="E525" s="283"/>
      <c r="F525" s="284"/>
      <c r="G525" s="285"/>
      <c r="H525" s="285"/>
      <c r="I525" s="285"/>
      <c r="J525" s="285"/>
      <c r="K525" s="285"/>
      <c r="L525" s="285"/>
      <c r="M525" s="286" t="s">
        <v>109</v>
      </c>
      <c r="N525" s="287" t="s">
        <v>1025</v>
      </c>
      <c r="O525" s="288">
        <v>158.9</v>
      </c>
      <c r="P525" s="289">
        <v>35604.400000000001</v>
      </c>
      <c r="Q525" s="285"/>
      <c r="R525" s="285"/>
      <c r="S525" s="285"/>
      <c r="T525" s="285"/>
      <c r="U525" s="285"/>
      <c r="V525" s="285"/>
      <c r="W525" s="285"/>
      <c r="X525" s="285"/>
      <c r="Y525" s="285"/>
      <c r="Z525" s="285"/>
      <c r="AA525" s="285"/>
      <c r="AB525" s="287"/>
      <c r="AC525" s="287"/>
      <c r="AD525" s="290"/>
    </row>
    <row r="526" spans="1:30" s="348" customFormat="1" ht="29" outlineLevel="1" x14ac:dyDescent="0.35">
      <c r="A526" s="86"/>
      <c r="C526" s="349"/>
      <c r="D526" s="349"/>
      <c r="E526" s="349"/>
      <c r="F526" s="72"/>
      <c r="G526" s="350"/>
      <c r="H526" s="350"/>
      <c r="I526" s="350"/>
      <c r="J526" s="350"/>
      <c r="K526" s="350"/>
      <c r="L526" s="350"/>
      <c r="M526" s="351">
        <v>9</v>
      </c>
      <c r="N526" s="352" t="s">
        <v>1026</v>
      </c>
      <c r="O526" s="353">
        <v>31.1</v>
      </c>
      <c r="P526" s="354">
        <v>6966.1</v>
      </c>
      <c r="Q526" s="350"/>
      <c r="R526" s="350"/>
      <c r="S526" s="350"/>
      <c r="T526" s="350"/>
      <c r="U526" s="350"/>
      <c r="V526" s="350"/>
      <c r="W526" s="350"/>
      <c r="X526" s="350"/>
      <c r="Y526" s="350"/>
      <c r="Z526" s="350"/>
      <c r="AA526" s="350"/>
      <c r="AB526" s="352"/>
      <c r="AC526" s="352"/>
      <c r="AD526" s="355"/>
    </row>
    <row r="527" spans="1:30" s="348" customFormat="1" ht="29" outlineLevel="1" x14ac:dyDescent="0.35">
      <c r="A527" s="86"/>
      <c r="C527" s="349"/>
      <c r="D527" s="349"/>
      <c r="E527" s="349"/>
      <c r="F527" s="72"/>
      <c r="G527" s="350"/>
      <c r="H527" s="350"/>
      <c r="I527" s="350"/>
      <c r="J527" s="350"/>
      <c r="K527" s="350"/>
      <c r="L527" s="350"/>
      <c r="M527" s="351">
        <v>10</v>
      </c>
      <c r="N527" s="352" t="s">
        <v>1033</v>
      </c>
      <c r="O527" s="353">
        <v>25.9</v>
      </c>
      <c r="P527" s="354">
        <v>5805.1</v>
      </c>
      <c r="Q527" s="350"/>
      <c r="R527" s="350"/>
      <c r="S527" s="350"/>
      <c r="T527" s="350"/>
      <c r="U527" s="350"/>
      <c r="V527" s="350"/>
      <c r="W527" s="350"/>
      <c r="X527" s="350"/>
      <c r="Y527" s="350"/>
      <c r="Z527" s="350"/>
      <c r="AA527" s="350"/>
      <c r="AB527" s="352"/>
      <c r="AC527" s="352"/>
      <c r="AD527" s="355"/>
    </row>
    <row r="528" spans="1:30" s="348" customFormat="1" outlineLevel="1" x14ac:dyDescent="0.35">
      <c r="A528" s="86"/>
      <c r="C528" s="349"/>
      <c r="D528" s="349"/>
      <c r="E528" s="349"/>
      <c r="F528" s="72"/>
      <c r="G528" s="350"/>
      <c r="H528" s="350"/>
      <c r="I528" s="350"/>
      <c r="J528" s="350"/>
      <c r="K528" s="350"/>
      <c r="L528" s="350"/>
      <c r="M528" s="351">
        <v>11</v>
      </c>
      <c r="N528" s="352" t="s">
        <v>1040</v>
      </c>
      <c r="O528" s="353">
        <v>25.9</v>
      </c>
      <c r="P528" s="354">
        <v>5805.1</v>
      </c>
      <c r="Q528" s="350"/>
      <c r="R528" s="350"/>
      <c r="S528" s="350"/>
      <c r="T528" s="350"/>
      <c r="U528" s="350"/>
      <c r="V528" s="350"/>
      <c r="W528" s="350"/>
      <c r="X528" s="350"/>
      <c r="Y528" s="350"/>
      <c r="Z528" s="350"/>
      <c r="AA528" s="350"/>
      <c r="AB528" s="352"/>
      <c r="AC528" s="352"/>
      <c r="AD528" s="355"/>
    </row>
    <row r="529" spans="1:30" s="348" customFormat="1" ht="29" outlineLevel="1" x14ac:dyDescent="0.35">
      <c r="A529" s="86"/>
      <c r="C529" s="349"/>
      <c r="D529" s="349"/>
      <c r="E529" s="349"/>
      <c r="F529" s="72"/>
      <c r="G529" s="350"/>
      <c r="H529" s="350"/>
      <c r="I529" s="350"/>
      <c r="J529" s="350"/>
      <c r="K529" s="350"/>
      <c r="L529" s="350"/>
      <c r="M529" s="351">
        <v>12</v>
      </c>
      <c r="N529" s="352" t="s">
        <v>1046</v>
      </c>
      <c r="O529" s="353">
        <v>31.1</v>
      </c>
      <c r="P529" s="354">
        <v>6966.1</v>
      </c>
      <c r="Q529" s="350"/>
      <c r="R529" s="350"/>
      <c r="S529" s="350"/>
      <c r="T529" s="350"/>
      <c r="U529" s="350"/>
      <c r="V529" s="350"/>
      <c r="W529" s="350"/>
      <c r="X529" s="350"/>
      <c r="Y529" s="350"/>
      <c r="Z529" s="350"/>
      <c r="AA529" s="350"/>
      <c r="AB529" s="352"/>
      <c r="AC529" s="352"/>
      <c r="AD529" s="355"/>
    </row>
    <row r="530" spans="1:30" s="348" customFormat="1" ht="29" outlineLevel="1" x14ac:dyDescent="0.35">
      <c r="A530" s="86"/>
      <c r="C530" s="349"/>
      <c r="D530" s="349"/>
      <c r="E530" s="349"/>
      <c r="F530" s="72"/>
      <c r="G530" s="350"/>
      <c r="H530" s="350"/>
      <c r="I530" s="350"/>
      <c r="J530" s="350"/>
      <c r="K530" s="350"/>
      <c r="L530" s="350"/>
      <c r="M530" s="351">
        <v>13</v>
      </c>
      <c r="N530" s="352" t="s">
        <v>1051</v>
      </c>
      <c r="O530" s="353">
        <v>20.7</v>
      </c>
      <c r="P530" s="354">
        <v>4644.1000000000004</v>
      </c>
      <c r="Q530" s="350"/>
      <c r="R530" s="350"/>
      <c r="S530" s="350"/>
      <c r="T530" s="350"/>
      <c r="U530" s="350"/>
      <c r="V530" s="350"/>
      <c r="W530" s="350"/>
      <c r="X530" s="350"/>
      <c r="Y530" s="350"/>
      <c r="Z530" s="350"/>
      <c r="AA530" s="350"/>
      <c r="AB530" s="352"/>
      <c r="AC530" s="352"/>
      <c r="AD530" s="355"/>
    </row>
    <row r="531" spans="1:30" s="348" customFormat="1" ht="29" outlineLevel="1" x14ac:dyDescent="0.35">
      <c r="A531" s="86"/>
      <c r="C531" s="349"/>
      <c r="D531" s="349"/>
      <c r="E531" s="349"/>
      <c r="F531" s="72"/>
      <c r="G531" s="350"/>
      <c r="H531" s="350"/>
      <c r="I531" s="350"/>
      <c r="J531" s="350"/>
      <c r="K531" s="350"/>
      <c r="L531" s="350"/>
      <c r="M531" s="351">
        <v>14</v>
      </c>
      <c r="N531" s="352" t="s">
        <v>1233</v>
      </c>
      <c r="O531" s="353">
        <v>24.2</v>
      </c>
      <c r="P531" s="354">
        <v>5418.1</v>
      </c>
      <c r="Q531" s="350"/>
      <c r="R531" s="350"/>
      <c r="S531" s="350"/>
      <c r="T531" s="350"/>
      <c r="U531" s="350"/>
      <c r="V531" s="350"/>
      <c r="W531" s="350"/>
      <c r="X531" s="350"/>
      <c r="Y531" s="350"/>
      <c r="Z531" s="350"/>
      <c r="AA531" s="350"/>
      <c r="AB531" s="352"/>
      <c r="AC531" s="352"/>
      <c r="AD531" s="355"/>
    </row>
    <row r="532" spans="1:30" s="282" customFormat="1" outlineLevel="1" x14ac:dyDescent="0.35">
      <c r="A532" s="281"/>
      <c r="C532" s="283"/>
      <c r="D532" s="283"/>
      <c r="E532" s="283"/>
      <c r="F532" s="284"/>
      <c r="G532" s="285"/>
      <c r="H532" s="285"/>
      <c r="I532" s="285"/>
      <c r="J532" s="285"/>
      <c r="K532" s="285"/>
      <c r="L532" s="285"/>
      <c r="M532" s="286" t="s">
        <v>109</v>
      </c>
      <c r="N532" s="287" t="s">
        <v>881</v>
      </c>
      <c r="O532" s="288">
        <v>150.30000000000001</v>
      </c>
      <c r="P532" s="289">
        <v>33669.4</v>
      </c>
      <c r="Q532" s="285"/>
      <c r="R532" s="285"/>
      <c r="S532" s="285"/>
      <c r="T532" s="285"/>
      <c r="U532" s="285"/>
      <c r="V532" s="285"/>
      <c r="W532" s="285"/>
      <c r="X532" s="285"/>
      <c r="Y532" s="285"/>
      <c r="Z532" s="285"/>
      <c r="AA532" s="285"/>
      <c r="AB532" s="287"/>
      <c r="AC532" s="287"/>
      <c r="AD532" s="290"/>
    </row>
    <row r="533" spans="1:30" s="348" customFormat="1" outlineLevel="1" x14ac:dyDescent="0.35">
      <c r="A533" s="86"/>
      <c r="C533" s="349"/>
      <c r="D533" s="349"/>
      <c r="E533" s="349"/>
      <c r="F533" s="72"/>
      <c r="G533" s="350"/>
      <c r="H533" s="350"/>
      <c r="I533" s="350"/>
      <c r="J533" s="350"/>
      <c r="K533" s="350"/>
      <c r="L533" s="350"/>
      <c r="M533" s="351">
        <v>15</v>
      </c>
      <c r="N533" s="352" t="s">
        <v>1058</v>
      </c>
      <c r="O533" s="353">
        <v>48.4</v>
      </c>
      <c r="P533" s="354">
        <v>10836.1</v>
      </c>
      <c r="Q533" s="350"/>
      <c r="R533" s="350"/>
      <c r="S533" s="350"/>
      <c r="T533" s="350"/>
      <c r="U533" s="350"/>
      <c r="V533" s="350"/>
      <c r="W533" s="350"/>
      <c r="X533" s="350"/>
      <c r="Y533" s="350"/>
      <c r="Z533" s="350"/>
      <c r="AA533" s="350"/>
      <c r="AB533" s="352"/>
      <c r="AC533" s="352"/>
      <c r="AD533" s="355"/>
    </row>
    <row r="534" spans="1:30" s="348" customFormat="1" ht="29" outlineLevel="1" x14ac:dyDescent="0.35">
      <c r="A534" s="86"/>
      <c r="C534" s="349"/>
      <c r="D534" s="349"/>
      <c r="E534" s="349"/>
      <c r="F534" s="72"/>
      <c r="G534" s="350"/>
      <c r="H534" s="350"/>
      <c r="I534" s="350"/>
      <c r="J534" s="350"/>
      <c r="K534" s="350"/>
      <c r="L534" s="350"/>
      <c r="M534" s="351">
        <v>16</v>
      </c>
      <c r="N534" s="352" t="s">
        <v>1065</v>
      </c>
      <c r="O534" s="353">
        <v>38</v>
      </c>
      <c r="P534" s="354">
        <v>8514.1</v>
      </c>
      <c r="Q534" s="350"/>
      <c r="R534" s="350"/>
      <c r="S534" s="350"/>
      <c r="T534" s="350"/>
      <c r="U534" s="350"/>
      <c r="V534" s="350"/>
      <c r="W534" s="350"/>
      <c r="X534" s="350"/>
      <c r="Y534" s="350"/>
      <c r="Z534" s="350"/>
      <c r="AA534" s="350"/>
      <c r="AB534" s="352"/>
      <c r="AC534" s="352"/>
      <c r="AD534" s="355"/>
    </row>
    <row r="535" spans="1:30" s="348" customFormat="1" outlineLevel="1" x14ac:dyDescent="0.35">
      <c r="A535" s="86"/>
      <c r="C535" s="349"/>
      <c r="D535" s="349"/>
      <c r="E535" s="349"/>
      <c r="F535" s="72"/>
      <c r="G535" s="350"/>
      <c r="H535" s="350"/>
      <c r="I535" s="350"/>
      <c r="J535" s="350"/>
      <c r="K535" s="350"/>
      <c r="L535" s="350"/>
      <c r="M535" s="351">
        <v>17</v>
      </c>
      <c r="N535" s="352" t="s">
        <v>1073</v>
      </c>
      <c r="O535" s="353">
        <v>24.2</v>
      </c>
      <c r="P535" s="354">
        <v>5418.1</v>
      </c>
      <c r="Q535" s="350"/>
      <c r="R535" s="350"/>
      <c r="S535" s="350"/>
      <c r="T535" s="350"/>
      <c r="U535" s="350"/>
      <c r="V535" s="350"/>
      <c r="W535" s="350"/>
      <c r="X535" s="350"/>
      <c r="Y535" s="350"/>
      <c r="Z535" s="350"/>
      <c r="AA535" s="350"/>
      <c r="AB535" s="352"/>
      <c r="AC535" s="352"/>
      <c r="AD535" s="355"/>
    </row>
    <row r="536" spans="1:30" s="348" customFormat="1" ht="29" outlineLevel="1" x14ac:dyDescent="0.35">
      <c r="A536" s="86"/>
      <c r="C536" s="349"/>
      <c r="D536" s="349"/>
      <c r="E536" s="349"/>
      <c r="F536" s="72"/>
      <c r="G536" s="350"/>
      <c r="H536" s="350"/>
      <c r="I536" s="350"/>
      <c r="J536" s="350"/>
      <c r="K536" s="350"/>
      <c r="L536" s="350"/>
      <c r="M536" s="351">
        <v>18</v>
      </c>
      <c r="N536" s="352" t="s">
        <v>1241</v>
      </c>
      <c r="O536" s="353">
        <v>22.5</v>
      </c>
      <c r="P536" s="354">
        <v>5031.1000000000004</v>
      </c>
      <c r="Q536" s="350"/>
      <c r="R536" s="350"/>
      <c r="S536" s="350"/>
      <c r="T536" s="350"/>
      <c r="U536" s="350"/>
      <c r="V536" s="350"/>
      <c r="W536" s="350"/>
      <c r="X536" s="350"/>
      <c r="Y536" s="350"/>
      <c r="Z536" s="350"/>
      <c r="AA536" s="350"/>
      <c r="AB536" s="352"/>
      <c r="AC536" s="352"/>
      <c r="AD536" s="355"/>
    </row>
    <row r="537" spans="1:30" s="348" customFormat="1" ht="29" outlineLevel="1" x14ac:dyDescent="0.35">
      <c r="A537" s="86"/>
      <c r="C537" s="349"/>
      <c r="D537" s="349"/>
      <c r="E537" s="349"/>
      <c r="F537" s="72"/>
      <c r="G537" s="350"/>
      <c r="H537" s="350"/>
      <c r="I537" s="350"/>
      <c r="J537" s="350"/>
      <c r="K537" s="350"/>
      <c r="L537" s="350"/>
      <c r="M537" s="351">
        <v>19</v>
      </c>
      <c r="N537" s="352" t="s">
        <v>1248</v>
      </c>
      <c r="O537" s="353">
        <v>17.3</v>
      </c>
      <c r="P537" s="354">
        <v>3870</v>
      </c>
      <c r="Q537" s="350"/>
      <c r="R537" s="350"/>
      <c r="S537" s="350"/>
      <c r="T537" s="350"/>
      <c r="U537" s="350"/>
      <c r="V537" s="350"/>
      <c r="W537" s="350"/>
      <c r="X537" s="350"/>
      <c r="Y537" s="350"/>
      <c r="Z537" s="350"/>
      <c r="AA537" s="350"/>
      <c r="AB537" s="352"/>
      <c r="AC537" s="352"/>
      <c r="AD537" s="355"/>
    </row>
    <row r="538" spans="1:30" s="282" customFormat="1" outlineLevel="1" x14ac:dyDescent="0.35">
      <c r="A538" s="281"/>
      <c r="C538" s="283"/>
      <c r="D538" s="283"/>
      <c r="E538" s="283"/>
      <c r="F538" s="284"/>
      <c r="G538" s="285"/>
      <c r="H538" s="285"/>
      <c r="I538" s="285"/>
      <c r="J538" s="285"/>
      <c r="K538" s="285"/>
      <c r="L538" s="285"/>
      <c r="M538" s="286" t="s">
        <v>109</v>
      </c>
      <c r="N538" s="287" t="s">
        <v>882</v>
      </c>
      <c r="O538" s="288">
        <v>158.9</v>
      </c>
      <c r="P538" s="289">
        <v>35604.400000000001</v>
      </c>
      <c r="Q538" s="285"/>
      <c r="R538" s="285"/>
      <c r="S538" s="285"/>
      <c r="T538" s="285"/>
      <c r="U538" s="285"/>
      <c r="V538" s="285"/>
      <c r="W538" s="285"/>
      <c r="X538" s="285"/>
      <c r="Y538" s="285"/>
      <c r="Z538" s="285"/>
      <c r="AA538" s="285"/>
      <c r="AB538" s="287"/>
      <c r="AC538" s="287"/>
      <c r="AD538" s="290"/>
    </row>
    <row r="539" spans="1:30" s="348" customFormat="1" ht="29" outlineLevel="1" x14ac:dyDescent="0.35">
      <c r="A539" s="86"/>
      <c r="C539" s="349"/>
      <c r="D539" s="349"/>
      <c r="E539" s="349"/>
      <c r="F539" s="72"/>
      <c r="G539" s="350"/>
      <c r="H539" s="350"/>
      <c r="I539" s="350"/>
      <c r="J539" s="350"/>
      <c r="K539" s="350"/>
      <c r="L539" s="350"/>
      <c r="M539" s="351">
        <v>20</v>
      </c>
      <c r="N539" s="352" t="s">
        <v>1080</v>
      </c>
      <c r="O539" s="353">
        <v>37.1</v>
      </c>
      <c r="P539" s="354">
        <v>8320.6</v>
      </c>
      <c r="Q539" s="350"/>
      <c r="R539" s="350"/>
      <c r="S539" s="350"/>
      <c r="T539" s="350"/>
      <c r="U539" s="350"/>
      <c r="V539" s="350"/>
      <c r="W539" s="350"/>
      <c r="X539" s="350"/>
      <c r="Y539" s="350"/>
      <c r="Z539" s="350"/>
      <c r="AA539" s="350"/>
      <c r="AB539" s="352"/>
      <c r="AC539" s="352"/>
      <c r="AD539" s="355"/>
    </row>
    <row r="540" spans="1:30" s="348" customFormat="1" outlineLevel="1" x14ac:dyDescent="0.35">
      <c r="A540" s="86"/>
      <c r="C540" s="349"/>
      <c r="D540" s="349"/>
      <c r="E540" s="349"/>
      <c r="F540" s="72"/>
      <c r="G540" s="350"/>
      <c r="H540" s="350"/>
      <c r="I540" s="350"/>
      <c r="J540" s="350"/>
      <c r="K540" s="350"/>
      <c r="L540" s="350"/>
      <c r="M540" s="351">
        <v>21</v>
      </c>
      <c r="N540" s="352" t="s">
        <v>1085</v>
      </c>
      <c r="O540" s="353">
        <v>27.6</v>
      </c>
      <c r="P540" s="354">
        <v>6192.1</v>
      </c>
      <c r="Q540" s="350"/>
      <c r="R540" s="350"/>
      <c r="S540" s="350"/>
      <c r="T540" s="350"/>
      <c r="U540" s="350"/>
      <c r="V540" s="350"/>
      <c r="W540" s="350"/>
      <c r="X540" s="350"/>
      <c r="Y540" s="350"/>
      <c r="Z540" s="350"/>
      <c r="AA540" s="350"/>
      <c r="AB540" s="352"/>
      <c r="AC540" s="352"/>
      <c r="AD540" s="355"/>
    </row>
    <row r="541" spans="1:30" s="348" customFormat="1" outlineLevel="1" x14ac:dyDescent="0.35">
      <c r="A541" s="86"/>
      <c r="C541" s="349"/>
      <c r="D541" s="349"/>
      <c r="E541" s="349"/>
      <c r="F541" s="72"/>
      <c r="G541" s="350"/>
      <c r="H541" s="350"/>
      <c r="I541" s="350"/>
      <c r="J541" s="350"/>
      <c r="K541" s="350"/>
      <c r="L541" s="350"/>
      <c r="M541" s="351">
        <v>22</v>
      </c>
      <c r="N541" s="352" t="s">
        <v>1091</v>
      </c>
      <c r="O541" s="353">
        <v>46.6</v>
      </c>
      <c r="P541" s="354">
        <v>10449.1</v>
      </c>
      <c r="Q541" s="350"/>
      <c r="R541" s="350"/>
      <c r="S541" s="350"/>
      <c r="T541" s="350"/>
      <c r="U541" s="350"/>
      <c r="V541" s="350"/>
      <c r="W541" s="350"/>
      <c r="X541" s="350"/>
      <c r="Y541" s="350"/>
      <c r="Z541" s="350"/>
      <c r="AA541" s="350"/>
      <c r="AB541" s="352"/>
      <c r="AC541" s="352"/>
      <c r="AD541" s="355"/>
    </row>
    <row r="542" spans="1:30" s="348" customFormat="1" ht="29" outlineLevel="1" x14ac:dyDescent="0.35">
      <c r="A542" s="86"/>
      <c r="C542" s="349"/>
      <c r="D542" s="349"/>
      <c r="E542" s="349"/>
      <c r="F542" s="72"/>
      <c r="G542" s="350"/>
      <c r="H542" s="350"/>
      <c r="I542" s="350"/>
      <c r="J542" s="350"/>
      <c r="K542" s="350"/>
      <c r="L542" s="350"/>
      <c r="M542" s="351">
        <v>23</v>
      </c>
      <c r="N542" s="352" t="s">
        <v>1097</v>
      </c>
      <c r="O542" s="353">
        <v>47.5</v>
      </c>
      <c r="P542" s="354">
        <v>10642.6</v>
      </c>
      <c r="Q542" s="350"/>
      <c r="R542" s="350"/>
      <c r="S542" s="350"/>
      <c r="T542" s="350"/>
      <c r="U542" s="350"/>
      <c r="V542" s="350"/>
      <c r="W542" s="350"/>
      <c r="X542" s="350"/>
      <c r="Y542" s="350"/>
      <c r="Z542" s="350"/>
      <c r="AA542" s="350"/>
      <c r="AB542" s="352"/>
      <c r="AC542" s="352"/>
      <c r="AD542" s="355"/>
    </row>
    <row r="543" spans="1:30" s="282" customFormat="1" outlineLevel="1" x14ac:dyDescent="0.35">
      <c r="A543" s="281"/>
      <c r="C543" s="283"/>
      <c r="D543" s="283"/>
      <c r="E543" s="283"/>
      <c r="F543" s="284"/>
      <c r="G543" s="285"/>
      <c r="H543" s="285"/>
      <c r="I543" s="285"/>
      <c r="J543" s="285"/>
      <c r="K543" s="285"/>
      <c r="L543" s="285"/>
      <c r="M543" s="286" t="s">
        <v>109</v>
      </c>
      <c r="N543" s="287" t="s">
        <v>1103</v>
      </c>
      <c r="O543" s="288">
        <v>40.6</v>
      </c>
      <c r="P543" s="289">
        <v>9094.6</v>
      </c>
      <c r="Q543" s="285"/>
      <c r="R543" s="285"/>
      <c r="S543" s="285"/>
      <c r="T543" s="285"/>
      <c r="U543" s="285"/>
      <c r="V543" s="285"/>
      <c r="W543" s="285"/>
      <c r="X543" s="285"/>
      <c r="Y543" s="285"/>
      <c r="Z543" s="285"/>
      <c r="AA543" s="285"/>
      <c r="AB543" s="287"/>
      <c r="AC543" s="287"/>
      <c r="AD543" s="290"/>
    </row>
    <row r="544" spans="1:30" s="348" customFormat="1" ht="29" outlineLevel="1" x14ac:dyDescent="0.35">
      <c r="A544" s="86"/>
      <c r="C544" s="349"/>
      <c r="D544" s="349"/>
      <c r="E544" s="349"/>
      <c r="F544" s="72"/>
      <c r="G544" s="350"/>
      <c r="H544" s="350"/>
      <c r="I544" s="350"/>
      <c r="J544" s="350"/>
      <c r="K544" s="350"/>
      <c r="L544" s="350"/>
      <c r="M544" s="351">
        <v>24</v>
      </c>
      <c r="N544" s="352" t="s">
        <v>1104</v>
      </c>
      <c r="O544" s="353">
        <v>24.2</v>
      </c>
      <c r="P544" s="354">
        <v>5418.1</v>
      </c>
      <c r="Q544" s="350"/>
      <c r="R544" s="350"/>
      <c r="S544" s="350"/>
      <c r="T544" s="350"/>
      <c r="U544" s="350"/>
      <c r="V544" s="350"/>
      <c r="W544" s="350"/>
      <c r="X544" s="350"/>
      <c r="Y544" s="350"/>
      <c r="Z544" s="350"/>
      <c r="AA544" s="350"/>
      <c r="AB544" s="352"/>
      <c r="AC544" s="352"/>
      <c r="AD544" s="355"/>
    </row>
    <row r="545" spans="1:30" s="348" customFormat="1" outlineLevel="1" x14ac:dyDescent="0.35">
      <c r="A545" s="86"/>
      <c r="C545" s="349"/>
      <c r="D545" s="349"/>
      <c r="E545" s="349"/>
      <c r="F545" s="72"/>
      <c r="G545" s="350"/>
      <c r="H545" s="350"/>
      <c r="I545" s="350"/>
      <c r="J545" s="350"/>
      <c r="K545" s="350"/>
      <c r="L545" s="350"/>
      <c r="M545" s="351">
        <v>25</v>
      </c>
      <c r="N545" s="352" t="s">
        <v>1111</v>
      </c>
      <c r="O545" s="353">
        <v>16.399999999999999</v>
      </c>
      <c r="P545" s="354">
        <v>3676.5</v>
      </c>
      <c r="Q545" s="350"/>
      <c r="R545" s="350"/>
      <c r="S545" s="350"/>
      <c r="T545" s="350"/>
      <c r="U545" s="350"/>
      <c r="V545" s="350"/>
      <c r="W545" s="350"/>
      <c r="X545" s="350"/>
      <c r="Y545" s="350"/>
      <c r="Z545" s="350"/>
      <c r="AA545" s="350"/>
      <c r="AB545" s="352"/>
      <c r="AC545" s="352"/>
      <c r="AD545" s="355"/>
    </row>
    <row r="546" spans="1:30" s="282" customFormat="1" outlineLevel="1" x14ac:dyDescent="0.35">
      <c r="A546" s="281"/>
      <c r="C546" s="283"/>
      <c r="D546" s="283"/>
      <c r="E546" s="283"/>
      <c r="F546" s="284"/>
      <c r="G546" s="285"/>
      <c r="H546" s="285"/>
      <c r="I546" s="285"/>
      <c r="J546" s="285"/>
      <c r="K546" s="285"/>
      <c r="L546" s="285"/>
      <c r="M546" s="286" t="s">
        <v>109</v>
      </c>
      <c r="N546" s="287" t="s">
        <v>884</v>
      </c>
      <c r="O546" s="288">
        <v>115.8</v>
      </c>
      <c r="P546" s="289">
        <v>25929.3</v>
      </c>
      <c r="Q546" s="285"/>
      <c r="R546" s="285"/>
      <c r="S546" s="285"/>
      <c r="T546" s="285"/>
      <c r="U546" s="285"/>
      <c r="V546" s="285"/>
      <c r="W546" s="285"/>
      <c r="X546" s="285"/>
      <c r="Y546" s="285"/>
      <c r="Z546" s="285"/>
      <c r="AA546" s="285"/>
      <c r="AB546" s="287"/>
      <c r="AC546" s="287"/>
      <c r="AD546" s="290"/>
    </row>
    <row r="547" spans="1:30" s="348" customFormat="1" ht="29" outlineLevel="1" x14ac:dyDescent="0.35">
      <c r="A547" s="86"/>
      <c r="C547" s="349"/>
      <c r="D547" s="349"/>
      <c r="E547" s="349"/>
      <c r="F547" s="72"/>
      <c r="G547" s="350"/>
      <c r="H547" s="350"/>
      <c r="I547" s="350"/>
      <c r="J547" s="350"/>
      <c r="K547" s="350"/>
      <c r="L547" s="350"/>
      <c r="M547" s="351">
        <v>26</v>
      </c>
      <c r="N547" s="352" t="s">
        <v>1113</v>
      </c>
      <c r="O547" s="353">
        <v>24.2</v>
      </c>
      <c r="P547" s="354">
        <v>5418.1</v>
      </c>
      <c r="Q547" s="350"/>
      <c r="R547" s="350"/>
      <c r="S547" s="350"/>
      <c r="T547" s="350"/>
      <c r="U547" s="350"/>
      <c r="V547" s="350"/>
      <c r="W547" s="350"/>
      <c r="X547" s="350"/>
      <c r="Y547" s="350"/>
      <c r="Z547" s="350"/>
      <c r="AA547" s="350"/>
      <c r="AB547" s="352"/>
      <c r="AC547" s="352"/>
      <c r="AD547" s="355"/>
    </row>
    <row r="548" spans="1:30" s="348" customFormat="1" outlineLevel="1" x14ac:dyDescent="0.35">
      <c r="A548" s="86"/>
      <c r="C548" s="349"/>
      <c r="D548" s="349"/>
      <c r="E548" s="349"/>
      <c r="F548" s="72"/>
      <c r="G548" s="350"/>
      <c r="H548" s="350"/>
      <c r="I548" s="350"/>
      <c r="J548" s="350"/>
      <c r="K548" s="350"/>
      <c r="L548" s="350"/>
      <c r="M548" s="351">
        <v>27</v>
      </c>
      <c r="N548" s="352" t="s">
        <v>1119</v>
      </c>
      <c r="O548" s="353">
        <v>27.6</v>
      </c>
      <c r="P548" s="354">
        <v>6192.1</v>
      </c>
      <c r="Q548" s="350"/>
      <c r="R548" s="350"/>
      <c r="S548" s="350"/>
      <c r="T548" s="350"/>
      <c r="U548" s="350"/>
      <c r="V548" s="350"/>
      <c r="W548" s="350"/>
      <c r="X548" s="350"/>
      <c r="Y548" s="350"/>
      <c r="Z548" s="350"/>
      <c r="AA548" s="350"/>
      <c r="AB548" s="352"/>
      <c r="AC548" s="352"/>
      <c r="AD548" s="355"/>
    </row>
    <row r="549" spans="1:30" s="348" customFormat="1" outlineLevel="1" x14ac:dyDescent="0.35">
      <c r="A549" s="86"/>
      <c r="C549" s="349"/>
      <c r="D549" s="349"/>
      <c r="E549" s="349"/>
      <c r="F549" s="72"/>
      <c r="G549" s="350"/>
      <c r="H549" s="350"/>
      <c r="I549" s="350"/>
      <c r="J549" s="350"/>
      <c r="K549" s="350"/>
      <c r="L549" s="350"/>
      <c r="M549" s="351">
        <v>28</v>
      </c>
      <c r="N549" s="352" t="s">
        <v>1124</v>
      </c>
      <c r="O549" s="353">
        <v>22.5</v>
      </c>
      <c r="P549" s="354">
        <v>5031.1000000000004</v>
      </c>
      <c r="Q549" s="350"/>
      <c r="R549" s="350"/>
      <c r="S549" s="350"/>
      <c r="T549" s="350"/>
      <c r="U549" s="350"/>
      <c r="V549" s="350"/>
      <c r="W549" s="350"/>
      <c r="X549" s="350"/>
      <c r="Y549" s="350"/>
      <c r="Z549" s="350"/>
      <c r="AA549" s="350"/>
      <c r="AB549" s="352"/>
      <c r="AC549" s="352"/>
      <c r="AD549" s="355"/>
    </row>
    <row r="550" spans="1:30" s="348" customFormat="1" outlineLevel="1" x14ac:dyDescent="0.35">
      <c r="A550" s="86"/>
      <c r="C550" s="349"/>
      <c r="D550" s="349"/>
      <c r="E550" s="349"/>
      <c r="F550" s="72"/>
      <c r="G550" s="350"/>
      <c r="H550" s="350"/>
      <c r="I550" s="350"/>
      <c r="J550" s="350"/>
      <c r="K550" s="350"/>
      <c r="L550" s="350"/>
      <c r="M550" s="351">
        <v>29</v>
      </c>
      <c r="N550" s="352" t="s">
        <v>1127</v>
      </c>
      <c r="O550" s="353">
        <v>17.3</v>
      </c>
      <c r="P550" s="354">
        <v>3870</v>
      </c>
      <c r="Q550" s="350"/>
      <c r="R550" s="350"/>
      <c r="S550" s="350"/>
      <c r="T550" s="350"/>
      <c r="U550" s="350"/>
      <c r="V550" s="350"/>
      <c r="W550" s="350"/>
      <c r="X550" s="350"/>
      <c r="Y550" s="350"/>
      <c r="Z550" s="350"/>
      <c r="AA550" s="350"/>
      <c r="AB550" s="352"/>
      <c r="AC550" s="352"/>
      <c r="AD550" s="355"/>
    </row>
    <row r="551" spans="1:30" s="348" customFormat="1" ht="29" outlineLevel="1" x14ac:dyDescent="0.35">
      <c r="A551" s="86"/>
      <c r="C551" s="349"/>
      <c r="D551" s="349"/>
      <c r="E551" s="349"/>
      <c r="F551" s="72"/>
      <c r="G551" s="350"/>
      <c r="H551" s="350"/>
      <c r="I551" s="350"/>
      <c r="J551" s="350"/>
      <c r="K551" s="350"/>
      <c r="L551" s="350"/>
      <c r="M551" s="351">
        <v>30</v>
      </c>
      <c r="N551" s="352" t="s">
        <v>1130</v>
      </c>
      <c r="O551" s="353">
        <v>24.2</v>
      </c>
      <c r="P551" s="354">
        <v>5418.1</v>
      </c>
      <c r="Q551" s="350"/>
      <c r="R551" s="350"/>
      <c r="S551" s="350"/>
      <c r="T551" s="350"/>
      <c r="U551" s="350"/>
      <c r="V551" s="350"/>
      <c r="W551" s="350"/>
      <c r="X551" s="350"/>
      <c r="Y551" s="350"/>
      <c r="Z551" s="350"/>
      <c r="AA551" s="350"/>
      <c r="AB551" s="352"/>
      <c r="AC551" s="352"/>
      <c r="AD551" s="355"/>
    </row>
    <row r="552" spans="1:30" s="282" customFormat="1" outlineLevel="1" x14ac:dyDescent="0.35">
      <c r="A552" s="281"/>
      <c r="C552" s="283"/>
      <c r="D552" s="283"/>
      <c r="E552" s="283"/>
      <c r="F552" s="284"/>
      <c r="G552" s="285"/>
      <c r="H552" s="285"/>
      <c r="I552" s="285"/>
      <c r="J552" s="285"/>
      <c r="K552" s="285"/>
      <c r="L552" s="285"/>
      <c r="M552" s="286" t="s">
        <v>109</v>
      </c>
      <c r="N552" s="287" t="s">
        <v>885</v>
      </c>
      <c r="O552" s="288">
        <v>241</v>
      </c>
      <c r="P552" s="289">
        <v>53987.199999999997</v>
      </c>
      <c r="Q552" s="285"/>
      <c r="R552" s="285"/>
      <c r="S552" s="285"/>
      <c r="T552" s="285"/>
      <c r="U552" s="285"/>
      <c r="V552" s="285"/>
      <c r="W552" s="285"/>
      <c r="X552" s="285"/>
      <c r="Y552" s="285"/>
      <c r="Z552" s="285"/>
      <c r="AA552" s="285"/>
      <c r="AB552" s="287"/>
      <c r="AC552" s="287"/>
      <c r="AD552" s="290"/>
    </row>
    <row r="553" spans="1:30" s="348" customFormat="1" ht="29" outlineLevel="1" x14ac:dyDescent="0.35">
      <c r="A553" s="86"/>
      <c r="C553" s="349"/>
      <c r="D553" s="349"/>
      <c r="E553" s="349"/>
      <c r="F553" s="72"/>
      <c r="G553" s="350"/>
      <c r="H553" s="350"/>
      <c r="I553" s="350"/>
      <c r="J553" s="350"/>
      <c r="K553" s="350"/>
      <c r="L553" s="350"/>
      <c r="M553" s="351">
        <v>31</v>
      </c>
      <c r="N553" s="352" t="s">
        <v>1133</v>
      </c>
      <c r="O553" s="353">
        <v>20.7</v>
      </c>
      <c r="P553" s="354">
        <v>4644.1000000000004</v>
      </c>
      <c r="Q553" s="350"/>
      <c r="R553" s="350"/>
      <c r="S553" s="350"/>
      <c r="T553" s="350"/>
      <c r="U553" s="350"/>
      <c r="V553" s="350"/>
      <c r="W553" s="350"/>
      <c r="X553" s="350"/>
      <c r="Y553" s="350"/>
      <c r="Z553" s="350"/>
      <c r="AA553" s="350"/>
      <c r="AB553" s="352"/>
      <c r="AC553" s="352"/>
      <c r="AD553" s="355"/>
    </row>
    <row r="554" spans="1:30" s="348" customFormat="1" ht="29" outlineLevel="1" x14ac:dyDescent="0.35">
      <c r="A554" s="86"/>
      <c r="C554" s="349"/>
      <c r="D554" s="349"/>
      <c r="E554" s="349"/>
      <c r="F554" s="72"/>
      <c r="G554" s="350"/>
      <c r="H554" s="350"/>
      <c r="I554" s="350"/>
      <c r="J554" s="350"/>
      <c r="K554" s="350"/>
      <c r="L554" s="350"/>
      <c r="M554" s="351">
        <v>32</v>
      </c>
      <c r="N554" s="352" t="s">
        <v>1135</v>
      </c>
      <c r="O554" s="353">
        <v>27.6</v>
      </c>
      <c r="P554" s="354">
        <v>6192.1</v>
      </c>
      <c r="Q554" s="350"/>
      <c r="R554" s="350"/>
      <c r="S554" s="350"/>
      <c r="T554" s="350"/>
      <c r="U554" s="350"/>
      <c r="V554" s="350"/>
      <c r="W554" s="350"/>
      <c r="X554" s="350"/>
      <c r="Y554" s="350"/>
      <c r="Z554" s="350"/>
      <c r="AA554" s="350"/>
      <c r="AB554" s="352"/>
      <c r="AC554" s="352"/>
      <c r="AD554" s="355"/>
    </row>
    <row r="555" spans="1:30" s="348" customFormat="1" outlineLevel="1" x14ac:dyDescent="0.35">
      <c r="A555" s="86"/>
      <c r="C555" s="349"/>
      <c r="D555" s="349"/>
      <c r="E555" s="349"/>
      <c r="F555" s="72"/>
      <c r="G555" s="350"/>
      <c r="H555" s="350"/>
      <c r="I555" s="350"/>
      <c r="J555" s="350"/>
      <c r="K555" s="350"/>
      <c r="L555" s="350"/>
      <c r="M555" s="351">
        <v>33</v>
      </c>
      <c r="N555" s="352" t="s">
        <v>1141</v>
      </c>
      <c r="O555" s="353">
        <v>54.4</v>
      </c>
      <c r="P555" s="354">
        <v>12190.6</v>
      </c>
      <c r="Q555" s="350"/>
      <c r="R555" s="350"/>
      <c r="S555" s="350"/>
      <c r="T555" s="350"/>
      <c r="U555" s="350"/>
      <c r="V555" s="350"/>
      <c r="W555" s="350"/>
      <c r="X555" s="350"/>
      <c r="Y555" s="350"/>
      <c r="Z555" s="350"/>
      <c r="AA555" s="350"/>
      <c r="AB555" s="352"/>
      <c r="AC555" s="352"/>
      <c r="AD555" s="355"/>
    </row>
    <row r="556" spans="1:30" s="348" customFormat="1" outlineLevel="1" x14ac:dyDescent="0.35">
      <c r="A556" s="86"/>
      <c r="C556" s="349"/>
      <c r="D556" s="349"/>
      <c r="E556" s="349"/>
      <c r="F556" s="72"/>
      <c r="G556" s="350"/>
      <c r="H556" s="350"/>
      <c r="I556" s="350"/>
      <c r="J556" s="350"/>
      <c r="K556" s="350"/>
      <c r="L556" s="350"/>
      <c r="M556" s="351">
        <v>34</v>
      </c>
      <c r="N556" s="352" t="s">
        <v>1143</v>
      </c>
      <c r="O556" s="353">
        <v>48.4</v>
      </c>
      <c r="P556" s="354">
        <v>10836.1</v>
      </c>
      <c r="Q556" s="350"/>
      <c r="R556" s="350"/>
      <c r="S556" s="350"/>
      <c r="T556" s="350"/>
      <c r="U556" s="350"/>
      <c r="V556" s="350"/>
      <c r="W556" s="350"/>
      <c r="X556" s="350"/>
      <c r="Y556" s="350"/>
      <c r="Z556" s="350"/>
      <c r="AA556" s="350"/>
      <c r="AB556" s="352"/>
      <c r="AC556" s="352"/>
      <c r="AD556" s="355"/>
    </row>
    <row r="557" spans="1:30" s="348" customFormat="1" outlineLevel="1" x14ac:dyDescent="0.35">
      <c r="A557" s="86"/>
      <c r="C557" s="349"/>
      <c r="D557" s="349"/>
      <c r="E557" s="349"/>
      <c r="F557" s="72"/>
      <c r="G557" s="350"/>
      <c r="H557" s="350"/>
      <c r="I557" s="350"/>
      <c r="J557" s="350"/>
      <c r="K557" s="350"/>
      <c r="L557" s="350"/>
      <c r="M557" s="351">
        <v>35</v>
      </c>
      <c r="N557" s="352" t="s">
        <v>1144</v>
      </c>
      <c r="O557" s="353">
        <v>43.2</v>
      </c>
      <c r="P557" s="354">
        <v>9675.1</v>
      </c>
      <c r="Q557" s="350"/>
      <c r="R557" s="350"/>
      <c r="S557" s="350"/>
      <c r="T557" s="350"/>
      <c r="U557" s="350"/>
      <c r="V557" s="350"/>
      <c r="W557" s="350"/>
      <c r="X557" s="350"/>
      <c r="Y557" s="350"/>
      <c r="Z557" s="350"/>
      <c r="AA557" s="350"/>
      <c r="AB557" s="352"/>
      <c r="AC557" s="352"/>
      <c r="AD557" s="355"/>
    </row>
    <row r="558" spans="1:30" s="348" customFormat="1" outlineLevel="1" x14ac:dyDescent="0.35">
      <c r="A558" s="86"/>
      <c r="C558" s="349"/>
      <c r="D558" s="349"/>
      <c r="E558" s="349"/>
      <c r="F558" s="72"/>
      <c r="G558" s="350"/>
      <c r="H558" s="350"/>
      <c r="I558" s="350"/>
      <c r="J558" s="350"/>
      <c r="K558" s="350"/>
      <c r="L558" s="350"/>
      <c r="M558" s="351">
        <v>36</v>
      </c>
      <c r="N558" s="352" t="s">
        <v>1145</v>
      </c>
      <c r="O558" s="353">
        <v>25.9</v>
      </c>
      <c r="P558" s="354">
        <v>5805.1</v>
      </c>
      <c r="Q558" s="350"/>
      <c r="R558" s="350"/>
      <c r="S558" s="350"/>
      <c r="T558" s="350"/>
      <c r="U558" s="350"/>
      <c r="V558" s="350"/>
      <c r="W558" s="350"/>
      <c r="X558" s="350"/>
      <c r="Y558" s="350"/>
      <c r="Z558" s="350"/>
      <c r="AA558" s="350"/>
      <c r="AB558" s="352"/>
      <c r="AC558" s="352"/>
      <c r="AD558" s="355"/>
    </row>
    <row r="559" spans="1:30" s="348" customFormat="1" outlineLevel="1" x14ac:dyDescent="0.35">
      <c r="A559" s="86"/>
      <c r="C559" s="349"/>
      <c r="D559" s="349"/>
      <c r="E559" s="349"/>
      <c r="F559" s="72"/>
      <c r="G559" s="350"/>
      <c r="H559" s="350"/>
      <c r="I559" s="350"/>
      <c r="J559" s="350"/>
      <c r="K559" s="350"/>
      <c r="L559" s="350"/>
      <c r="M559" s="351">
        <v>37</v>
      </c>
      <c r="N559" s="352" t="s">
        <v>1146</v>
      </c>
      <c r="O559" s="353">
        <v>20.7</v>
      </c>
      <c r="P559" s="354">
        <v>4644.1000000000004</v>
      </c>
      <c r="Q559" s="350"/>
      <c r="R559" s="350"/>
      <c r="S559" s="350"/>
      <c r="T559" s="350"/>
      <c r="U559" s="350"/>
      <c r="V559" s="350"/>
      <c r="W559" s="350"/>
      <c r="X559" s="350"/>
      <c r="Y559" s="350"/>
      <c r="Z559" s="350"/>
      <c r="AA559" s="350"/>
      <c r="AB559" s="352"/>
      <c r="AC559" s="352"/>
      <c r="AD559" s="355"/>
    </row>
    <row r="560" spans="1:30" s="282" customFormat="1" outlineLevel="1" x14ac:dyDescent="0.35">
      <c r="A560" s="281"/>
      <c r="C560" s="283"/>
      <c r="D560" s="283"/>
      <c r="E560" s="283"/>
      <c r="F560" s="284"/>
      <c r="G560" s="285"/>
      <c r="H560" s="285"/>
      <c r="I560" s="285"/>
      <c r="J560" s="285"/>
      <c r="K560" s="285"/>
      <c r="L560" s="285"/>
      <c r="M560" s="286" t="s">
        <v>109</v>
      </c>
      <c r="N560" s="287" t="s">
        <v>459</v>
      </c>
      <c r="O560" s="288">
        <v>24.2</v>
      </c>
      <c r="P560" s="289">
        <v>5418.1</v>
      </c>
      <c r="Q560" s="285"/>
      <c r="R560" s="285"/>
      <c r="S560" s="285"/>
      <c r="T560" s="285"/>
      <c r="U560" s="285"/>
      <c r="V560" s="285"/>
      <c r="W560" s="285"/>
      <c r="X560" s="285"/>
      <c r="Y560" s="285"/>
      <c r="Z560" s="285"/>
      <c r="AA560" s="285"/>
      <c r="AB560" s="287"/>
      <c r="AC560" s="287"/>
      <c r="AD560" s="290"/>
    </row>
    <row r="561" spans="1:30" s="348" customFormat="1" outlineLevel="1" x14ac:dyDescent="0.35">
      <c r="A561" s="86"/>
      <c r="C561" s="349"/>
      <c r="D561" s="349"/>
      <c r="E561" s="349"/>
      <c r="F561" s="72"/>
      <c r="G561" s="350"/>
      <c r="H561" s="350"/>
      <c r="I561" s="350"/>
      <c r="J561" s="350"/>
      <c r="K561" s="350"/>
      <c r="L561" s="350"/>
      <c r="M561" s="351">
        <v>38</v>
      </c>
      <c r="N561" s="352" t="s">
        <v>1147</v>
      </c>
      <c r="O561" s="353">
        <v>24.2</v>
      </c>
      <c r="P561" s="354">
        <v>5418.1</v>
      </c>
      <c r="Q561" s="350"/>
      <c r="R561" s="350"/>
      <c r="S561" s="350"/>
      <c r="T561" s="350"/>
      <c r="U561" s="350"/>
      <c r="V561" s="350"/>
      <c r="W561" s="350"/>
      <c r="X561" s="350"/>
      <c r="Y561" s="350"/>
      <c r="Z561" s="350"/>
      <c r="AA561" s="350"/>
      <c r="AB561" s="352"/>
      <c r="AC561" s="352"/>
      <c r="AD561" s="355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8"/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8"/>
      <c r="AC562" s="28"/>
      <c r="AD562" s="10"/>
    </row>
    <row r="563" spans="1:30" s="9" customFormat="1" ht="3" customHeigh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7"/>
      <c r="N563" s="245"/>
      <c r="O563" s="245"/>
      <c r="P563" s="244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8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8"/>
      <c r="N564" s="185"/>
      <c r="O564" s="186">
        <f>TOTAL_EFFORT</f>
        <v>1104</v>
      </c>
      <c r="P564" s="186">
        <f>TOTAL_COST</f>
        <v>247296</v>
      </c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8"/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ht="20.25" customHeight="1" outlineLevel="1" x14ac:dyDescent="0.35">
      <c r="A566" s="86"/>
      <c r="C566" s="72"/>
      <c r="D566" s="72"/>
      <c r="E566" s="72"/>
      <c r="F566" s="72"/>
      <c r="G566" s="40"/>
      <c r="H566" s="40"/>
      <c r="I566" s="40"/>
      <c r="J566" s="40"/>
      <c r="K566" s="40"/>
      <c r="L566" s="40"/>
      <c r="M566" s="258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10"/>
    </row>
    <row r="567" spans="1:30" ht="15" customHeight="1" x14ac:dyDescent="0.35">
      <c r="F567" s="72"/>
    </row>
    <row r="568" spans="1:30" s="9" customFormat="1" ht="20.25" customHeight="1" collapsed="1" x14ac:dyDescent="0.35">
      <c r="A568" s="86"/>
      <c r="C568" s="72"/>
      <c r="D568" s="72"/>
      <c r="E568" s="72"/>
      <c r="F568" s="72"/>
      <c r="G568" s="293" t="s">
        <v>48</v>
      </c>
      <c r="H568" s="293"/>
      <c r="I568" s="165"/>
      <c r="J568" s="40"/>
      <c r="K568" s="40"/>
      <c r="L568" s="36"/>
      <c r="M568" s="265" t="s">
        <v>111</v>
      </c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10"/>
    </row>
    <row r="569" spans="1:30" hidden="1" outlineLevel="1" x14ac:dyDescent="0.35">
      <c r="F569" s="72"/>
      <c r="G569" s="58"/>
      <c r="H569" s="58"/>
      <c r="I569" s="58"/>
      <c r="J569" s="58"/>
      <c r="K569" s="58"/>
      <c r="L569" s="58"/>
      <c r="M569" s="270"/>
      <c r="N569" s="59"/>
      <c r="O569" s="59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9"/>
      <c r="AC569" s="28"/>
    </row>
    <row r="570" spans="1:30" hidden="1" outlineLevel="1" x14ac:dyDescent="0.35">
      <c r="F570" s="72"/>
      <c r="G570" s="58">
        <v>1</v>
      </c>
      <c r="H570" s="58"/>
      <c r="I570" s="58"/>
      <c r="J570" s="58"/>
      <c r="K570" s="58"/>
      <c r="L570" s="58"/>
      <c r="M570" s="270"/>
      <c r="N570" s="59"/>
      <c r="O570" s="59"/>
      <c r="P570" s="58"/>
      <c r="Q570" s="297" t="s">
        <v>79</v>
      </c>
      <c r="R570" s="297"/>
      <c r="S570" s="297"/>
      <c r="T570" s="297"/>
      <c r="U570" s="297"/>
      <c r="V570" s="297"/>
      <c r="W570" s="232"/>
      <c r="X570" s="58"/>
      <c r="Y570" s="58"/>
      <c r="Z570" s="58"/>
      <c r="AA570" s="58"/>
      <c r="AB570" s="59"/>
      <c r="AC570" s="28"/>
    </row>
    <row r="571" spans="1:30" ht="15" hidden="1" customHeight="1" outlineLevel="1" x14ac:dyDescent="0.35">
      <c r="B571" s="9" t="str">
        <f>IF(OR(COUNTBLANK(Q571:W571)&lt;&gt;0,SUM(Q571:W571)=0), ".", "")</f>
        <v/>
      </c>
      <c r="F571" s="72"/>
      <c r="G571" s="58">
        <v>2</v>
      </c>
      <c r="H571" s="58"/>
      <c r="I571" s="58"/>
      <c r="J571" s="58"/>
      <c r="K571" s="58"/>
      <c r="L571" s="58"/>
      <c r="M571" s="270"/>
      <c r="N571" s="59"/>
      <c r="O571" s="295" t="s">
        <v>29</v>
      </c>
      <c r="P571" s="295" t="s">
        <v>94</v>
      </c>
      <c r="Q571" s="50">
        <f t="shared" ref="Q571:V571" si="95">28 * 8</f>
        <v>224</v>
      </c>
      <c r="R571" s="50">
        <f t="shared" si="95"/>
        <v>224</v>
      </c>
      <c r="S571" s="50">
        <f t="shared" si="95"/>
        <v>224</v>
      </c>
      <c r="T571" s="50">
        <f t="shared" si="95"/>
        <v>224</v>
      </c>
      <c r="U571" s="50">
        <f t="shared" si="95"/>
        <v>224</v>
      </c>
      <c r="V571" s="50">
        <f t="shared" si="95"/>
        <v>224</v>
      </c>
      <c r="W571" s="319" t="str">
        <f>CHOSEN_CURRENCY</f>
        <v>USD</v>
      </c>
      <c r="X571" s="295"/>
      <c r="Y571" s="58"/>
      <c r="Z571" s="58"/>
      <c r="AA571" s="58"/>
      <c r="AB571" s="59" t="s">
        <v>1160</v>
      </c>
      <c r="AC571" s="28"/>
    </row>
    <row r="572" spans="1:30" ht="15" hidden="1" customHeight="1" outlineLevel="1" x14ac:dyDescent="0.35">
      <c r="F572" s="72"/>
      <c r="G572" s="58">
        <v>3</v>
      </c>
      <c r="H572" s="58"/>
      <c r="I572" s="58"/>
      <c r="J572" s="58"/>
      <c r="K572" s="58"/>
      <c r="L572" s="58"/>
      <c r="M572" s="270"/>
      <c r="N572" s="59"/>
      <c r="O572" s="296"/>
      <c r="P572" s="296"/>
      <c r="Q572" s="271" t="s">
        <v>8</v>
      </c>
      <c r="R572" s="271" t="s">
        <v>9</v>
      </c>
      <c r="S572" s="271" t="s">
        <v>10</v>
      </c>
      <c r="T572" s="271" t="s">
        <v>12</v>
      </c>
      <c r="U572" s="271" t="s">
        <v>11</v>
      </c>
      <c r="V572" s="272" t="s">
        <v>13</v>
      </c>
      <c r="W572" s="320"/>
      <c r="X572" s="296"/>
      <c r="Y572" s="58"/>
      <c r="Z572" s="58"/>
      <c r="AA572" s="58"/>
      <c r="AB572" s="59" t="s">
        <v>1161</v>
      </c>
      <c r="AC572" s="28"/>
    </row>
    <row r="573" spans="1:30" ht="15" hidden="1" customHeight="1" outlineLevel="1" x14ac:dyDescent="0.35">
      <c r="B573" s="9" t="str">
        <f t="shared" ref="B573:B578" si="96">IF(SUM(Q573:V573)&lt;&gt;1,".","")</f>
        <v/>
      </c>
      <c r="F573" s="72"/>
      <c r="G573" s="58">
        <v>4</v>
      </c>
      <c r="H573" s="58"/>
      <c r="I573" s="58"/>
      <c r="J573" s="58"/>
      <c r="K573" s="58"/>
      <c r="L573" s="62" t="s">
        <v>84</v>
      </c>
      <c r="M573" s="262" t="str">
        <f>$L$12</f>
        <v>A</v>
      </c>
      <c r="N573" s="28" t="str">
        <f>$M$12</f>
        <v>Discovery / Requirement Analysis</v>
      </c>
      <c r="O573" s="60">
        <f>S12</f>
        <v>75</v>
      </c>
      <c r="P573" s="94">
        <f>ROUND(REQ_EFFORT/5,0)</f>
        <v>15</v>
      </c>
      <c r="Q573" s="95">
        <v>0.3</v>
      </c>
      <c r="R573" s="246">
        <v>0.05</v>
      </c>
      <c r="S573" s="42">
        <v>0.1</v>
      </c>
      <c r="T573" s="42">
        <v>0.4</v>
      </c>
      <c r="U573" s="42">
        <v>0.15</v>
      </c>
      <c r="V573" s="43"/>
      <c r="W573" s="321">
        <f t="shared" ref="W573:W578" si="97">(($O573*Q573)*Q$571)+(($O573*R573)*R$571)+(($O573*S573)*S$571)+(($O573*T573)*T$571)+(($O573*U573)*U$571)+(($O573*V573)*V$571)</f>
        <v>16800</v>
      </c>
      <c r="X573" s="322"/>
      <c r="Y573" s="58"/>
      <c r="Z573" s="58"/>
      <c r="AA573" s="58"/>
      <c r="AB573" s="59" t="s">
        <v>1162</v>
      </c>
      <c r="AC573" s="28"/>
    </row>
    <row r="574" spans="1:30" hidden="1" outlineLevel="1" x14ac:dyDescent="0.35">
      <c r="B574" s="9" t="str">
        <f t="shared" si="96"/>
        <v/>
      </c>
      <c r="F574" s="72"/>
      <c r="G574" s="58">
        <v>5</v>
      </c>
      <c r="H574" s="58"/>
      <c r="I574" s="58"/>
      <c r="J574" s="58"/>
      <c r="K574" s="58"/>
      <c r="L574" s="62" t="s">
        <v>85</v>
      </c>
      <c r="M574" s="262" t="str">
        <f>$L$64</f>
        <v>B</v>
      </c>
      <c r="N574" s="28" t="str">
        <f>$M$64</f>
        <v>System Design, Framework and Test Cases</v>
      </c>
      <c r="O574" s="60">
        <f>S64</f>
        <v>76</v>
      </c>
      <c r="P574" s="94">
        <f>ROUND(DESIGN_EFFORT/5,0)</f>
        <v>15</v>
      </c>
      <c r="Q574" s="42"/>
      <c r="R574" s="247">
        <v>0.2</v>
      </c>
      <c r="S574" s="41">
        <v>0.1</v>
      </c>
      <c r="T574" s="42">
        <v>0.7</v>
      </c>
      <c r="U574" s="41"/>
      <c r="V574" s="44"/>
      <c r="W574" s="321">
        <f t="shared" si="97"/>
        <v>17024</v>
      </c>
      <c r="X574" s="322"/>
      <c r="Y574" s="58"/>
      <c r="Z574" s="58"/>
      <c r="AA574" s="58"/>
      <c r="AB574" s="59"/>
      <c r="AC574" s="28"/>
    </row>
    <row r="575" spans="1:30" hidden="1" outlineLevel="1" x14ac:dyDescent="0.35">
      <c r="B575" s="9" t="str">
        <f t="shared" si="96"/>
        <v/>
      </c>
      <c r="F575" s="72"/>
      <c r="G575" s="58">
        <v>6</v>
      </c>
      <c r="H575" s="58"/>
      <c r="I575" s="58"/>
      <c r="J575" s="58"/>
      <c r="K575" s="58"/>
      <c r="L575" s="62" t="s">
        <v>87</v>
      </c>
      <c r="M575" s="262" t="str">
        <f>$L$94</f>
        <v>C</v>
      </c>
      <c r="N575" s="28" t="str">
        <f>$M$94</f>
        <v>Development and Unit Testing</v>
      </c>
      <c r="O575" s="60">
        <f>S94</f>
        <v>639</v>
      </c>
      <c r="P575" s="94">
        <f>ROUND(DEV_EFFORT/5,0)</f>
        <v>128</v>
      </c>
      <c r="Q575" s="42">
        <v>0.05</v>
      </c>
      <c r="R575" s="246">
        <v>0.1</v>
      </c>
      <c r="S575" s="41">
        <v>0.05</v>
      </c>
      <c r="T575" s="95">
        <v>0.75</v>
      </c>
      <c r="U575" s="42">
        <v>0.05</v>
      </c>
      <c r="V575" s="44"/>
      <c r="W575" s="321">
        <f t="shared" si="97"/>
        <v>143136</v>
      </c>
      <c r="X575" s="322"/>
      <c r="Y575" s="58"/>
      <c r="Z575" s="58"/>
      <c r="AA575" s="58"/>
      <c r="AB575" s="59"/>
      <c r="AC575" s="28"/>
    </row>
    <row r="576" spans="1:30" hidden="1" outlineLevel="1" x14ac:dyDescent="0.35">
      <c r="B576" s="9" t="str">
        <f t="shared" si="96"/>
        <v/>
      </c>
      <c r="F576" s="72"/>
      <c r="G576" s="58">
        <v>7</v>
      </c>
      <c r="H576" s="58"/>
      <c r="I576" s="58"/>
      <c r="J576" s="58"/>
      <c r="K576" s="58"/>
      <c r="L576" s="62" t="s">
        <v>11</v>
      </c>
      <c r="M576" s="262" t="str">
        <f>$L$433</f>
        <v>D</v>
      </c>
      <c r="N576" s="28" t="str">
        <f>$M$433</f>
        <v>System Testing and Stabilization</v>
      </c>
      <c r="O576" s="60">
        <f>S433</f>
        <v>111</v>
      </c>
      <c r="P576" s="94">
        <f>ROUND(QA_EFFORT/5,0)</f>
        <v>22</v>
      </c>
      <c r="Q576" s="42">
        <v>0.05</v>
      </c>
      <c r="R576" s="246">
        <v>0.05</v>
      </c>
      <c r="S576" s="41">
        <v>0.05</v>
      </c>
      <c r="T576" s="41">
        <v>0.55000000000000004</v>
      </c>
      <c r="U576" s="95">
        <v>0.3</v>
      </c>
      <c r="V576" s="44"/>
      <c r="W576" s="321">
        <f t="shared" si="97"/>
        <v>24864</v>
      </c>
      <c r="X576" s="322"/>
      <c r="Y576" s="58"/>
      <c r="Z576" s="58"/>
      <c r="AA576" s="58"/>
      <c r="AB576" s="59"/>
      <c r="AC576" s="28"/>
    </row>
    <row r="577" spans="2:29" hidden="1" outlineLevel="1" x14ac:dyDescent="0.35">
      <c r="B577" s="9" t="str">
        <f t="shared" si="96"/>
        <v/>
      </c>
      <c r="F577" s="72"/>
      <c r="G577" s="58">
        <v>8</v>
      </c>
      <c r="H577" s="58"/>
      <c r="I577" s="58"/>
      <c r="J577" s="58"/>
      <c r="K577" s="58"/>
      <c r="L577" s="62" t="s">
        <v>86</v>
      </c>
      <c r="M577" s="262" t="str">
        <f>$L$471</f>
        <v>E</v>
      </c>
      <c r="N577" s="28" t="str">
        <f>$M$471</f>
        <v>Deployment, UAT and Documentation</v>
      </c>
      <c r="O577" s="60">
        <f>S471</f>
        <v>122</v>
      </c>
      <c r="P577" s="94">
        <f>ROUND(UAT_EFFORT/5,0)</f>
        <v>24</v>
      </c>
      <c r="Q577" s="42">
        <v>0.25</v>
      </c>
      <c r="R577" s="246">
        <v>0.05</v>
      </c>
      <c r="S577" s="41">
        <v>0.1</v>
      </c>
      <c r="T577" s="95">
        <v>0.45</v>
      </c>
      <c r="U577" s="41">
        <v>0.15</v>
      </c>
      <c r="V577" s="44"/>
      <c r="W577" s="321">
        <f t="shared" si="97"/>
        <v>27328.000000000004</v>
      </c>
      <c r="X577" s="322"/>
      <c r="Y577" s="58"/>
      <c r="Z577" s="58"/>
      <c r="AA577" s="58"/>
      <c r="AB577" s="59"/>
      <c r="AC577" s="28"/>
    </row>
    <row r="578" spans="2:29" hidden="1" outlineLevel="1" x14ac:dyDescent="0.35">
      <c r="B578" s="9" t="str">
        <f t="shared" si="96"/>
        <v/>
      </c>
      <c r="F578" s="72"/>
      <c r="G578" s="58">
        <v>9</v>
      </c>
      <c r="H578" s="58"/>
      <c r="I578" s="58"/>
      <c r="J578" s="58"/>
      <c r="K578" s="58"/>
      <c r="L578" s="62" t="s">
        <v>76</v>
      </c>
      <c r="M578" s="262" t="str">
        <f>$L$499</f>
        <v>F</v>
      </c>
      <c r="N578" s="28" t="str">
        <f>$M$499</f>
        <v>Others</v>
      </c>
      <c r="O578" s="60">
        <f>S499</f>
        <v>81</v>
      </c>
      <c r="P578" s="94">
        <f>ROUND(OTHER_EFFORT/5,0)</f>
        <v>16</v>
      </c>
      <c r="Q578" s="42"/>
      <c r="R578" s="246">
        <v>0.2</v>
      </c>
      <c r="S578" s="95">
        <v>0.8</v>
      </c>
      <c r="T578" s="42"/>
      <c r="U578" s="42"/>
      <c r="V578" s="44"/>
      <c r="W578" s="323">
        <f t="shared" si="97"/>
        <v>18144</v>
      </c>
      <c r="X578" s="324"/>
      <c r="Y578" s="58"/>
      <c r="Z578" s="58"/>
      <c r="AA578" s="58"/>
      <c r="AB578" s="59"/>
      <c r="AC578" s="28"/>
    </row>
    <row r="579" spans="2:29" ht="21" hidden="1" outlineLevel="1" x14ac:dyDescent="0.35">
      <c r="F579" s="72"/>
      <c r="G579" s="58">
        <v>10</v>
      </c>
      <c r="H579" s="58"/>
      <c r="I579" s="58"/>
      <c r="J579" s="58"/>
      <c r="K579" s="58"/>
      <c r="L579" s="58"/>
      <c r="M579" s="270"/>
      <c r="N579" s="59"/>
      <c r="O579" s="238">
        <f>SUM(O573:O578)</f>
        <v>1104</v>
      </c>
      <c r="P579" s="239">
        <f>SUM(P573:P578)</f>
        <v>220</v>
      </c>
      <c r="Q579" s="326" t="s">
        <v>116</v>
      </c>
      <c r="R579" s="326"/>
      <c r="S579" s="326"/>
      <c r="T579" s="326"/>
      <c r="U579" s="326"/>
      <c r="V579" s="326"/>
      <c r="W579" s="325">
        <f>SUM(W573:W578)</f>
        <v>247296</v>
      </c>
      <c r="X579" s="325"/>
      <c r="Y579" s="58"/>
      <c r="Z579" s="58"/>
      <c r="AA579" s="58"/>
      <c r="AB579" s="59"/>
      <c r="AC579" s="28"/>
    </row>
    <row r="580" spans="2:29" hidden="1" outlineLevel="1" x14ac:dyDescent="0.35">
      <c r="F580" s="72"/>
      <c r="G580" s="58"/>
      <c r="H580" s="58"/>
      <c r="I580" s="58"/>
      <c r="J580" s="58"/>
      <c r="K580" s="58"/>
      <c r="L580" s="58"/>
      <c r="M580" s="270"/>
      <c r="N580" s="59"/>
      <c r="O580" s="59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9"/>
      <c r="AC580" s="28"/>
    </row>
    <row r="581" spans="2:29" ht="15" hidden="1" customHeight="1" outlineLevel="1" x14ac:dyDescent="0.35">
      <c r="F581" s="72"/>
      <c r="G581" s="58"/>
      <c r="H581" s="58"/>
      <c r="I581" s="58"/>
      <c r="J581" s="58"/>
      <c r="K581" s="58"/>
      <c r="L581" s="58"/>
      <c r="M581" s="270"/>
      <c r="N581" s="59"/>
      <c r="O581" s="59"/>
      <c r="P581" s="58"/>
      <c r="Q581" s="294" t="s">
        <v>114</v>
      </c>
      <c r="R581" s="294"/>
      <c r="S581" s="294"/>
      <c r="T581" s="294"/>
      <c r="U581" s="294"/>
      <c r="V581" s="294"/>
      <c r="W581" s="327" t="s">
        <v>446</v>
      </c>
      <c r="X581" s="327"/>
      <c r="Y581" s="58"/>
      <c r="Z581" s="58"/>
      <c r="AA581" s="58"/>
      <c r="AB581" s="59"/>
      <c r="AC581" s="28"/>
    </row>
    <row r="582" spans="2:29" ht="15" hidden="1" customHeight="1" outlineLevel="1" x14ac:dyDescent="0.35">
      <c r="F582" s="72"/>
      <c r="G582" s="58"/>
      <c r="H582" s="58"/>
      <c r="I582" s="58"/>
      <c r="J582" s="58"/>
      <c r="K582" s="58"/>
      <c r="L582" s="58"/>
      <c r="M582" s="262"/>
      <c r="N582" s="28"/>
      <c r="O582" s="97" t="s">
        <v>112</v>
      </c>
      <c r="P582" s="98" t="s">
        <v>113</v>
      </c>
      <c r="Q582" s="271" t="s">
        <v>8</v>
      </c>
      <c r="R582" s="271" t="s">
        <v>9</v>
      </c>
      <c r="S582" s="271" t="s">
        <v>10</v>
      </c>
      <c r="T582" s="271" t="s">
        <v>12</v>
      </c>
      <c r="U582" s="271" t="s">
        <v>11</v>
      </c>
      <c r="V582" s="272" t="s">
        <v>13</v>
      </c>
      <c r="W582" s="327"/>
      <c r="X582" s="327"/>
      <c r="Y582" s="58"/>
      <c r="Z582" s="93"/>
      <c r="AA582" s="93"/>
      <c r="AB582" s="93"/>
      <c r="AC582" s="93"/>
    </row>
    <row r="583" spans="2:29" ht="15" hidden="1" customHeight="1" outlineLevel="1" x14ac:dyDescent="0.35">
      <c r="F583" s="72"/>
      <c r="G583" s="58"/>
      <c r="H583" s="58"/>
      <c r="I583" s="58"/>
      <c r="J583" s="58"/>
      <c r="K583" s="58"/>
      <c r="L583" s="58"/>
      <c r="M583" s="262" t="str">
        <f>$L$12</f>
        <v>A</v>
      </c>
      <c r="N583" s="28" t="str">
        <f>$M$12</f>
        <v>Discovery / Requirement Analysis</v>
      </c>
      <c r="O583" s="102">
        <v>46328</v>
      </c>
      <c r="P583" s="99">
        <f>O583+(((P573*REQ_BA_PERCENT)/REQ_BA_COUNT)*7)</f>
        <v>46359.5</v>
      </c>
      <c r="Q583" s="96">
        <v>1</v>
      </c>
      <c r="R583" s="203">
        <v>0.2</v>
      </c>
      <c r="S583" s="92">
        <v>0.3</v>
      </c>
      <c r="T583" s="92">
        <v>1.5</v>
      </c>
      <c r="U583" s="92">
        <v>0.5</v>
      </c>
      <c r="V583" s="51"/>
      <c r="W583" s="236">
        <v>0</v>
      </c>
      <c r="X583" s="58"/>
      <c r="Y583" s="317" t="s">
        <v>1163</v>
      </c>
      <c r="Z583" s="317"/>
      <c r="AA583" s="317"/>
      <c r="AB583" s="59"/>
      <c r="AC583" s="28"/>
    </row>
    <row r="584" spans="2:29" hidden="1" outlineLevel="1" x14ac:dyDescent="0.35">
      <c r="F584" s="72"/>
      <c r="G584" s="58"/>
      <c r="H584" s="58"/>
      <c r="I584" s="58"/>
      <c r="J584" s="58"/>
      <c r="K584" s="58"/>
      <c r="L584" s="58"/>
      <c r="M584" s="262" t="str">
        <f>$L$64</f>
        <v>B</v>
      </c>
      <c r="N584" s="28" t="str">
        <f>$M$64</f>
        <v>System Design, Framework and Test Cases</v>
      </c>
      <c r="O584" s="100">
        <f>O583+((P583-O583)*W583)+1</f>
        <v>46329</v>
      </c>
      <c r="P584" s="99">
        <f>O584+(((P574*DESIGN_TA_PERCENT)/DESIGN_TA_COUNT)*7)</f>
        <v>46359</v>
      </c>
      <c r="Q584" s="92"/>
      <c r="R584" s="204">
        <v>0.7</v>
      </c>
      <c r="S584" s="92">
        <v>0.4</v>
      </c>
      <c r="T584" s="92">
        <v>2.5</v>
      </c>
      <c r="U584" s="92"/>
      <c r="V584" s="51"/>
      <c r="W584" s="237">
        <v>0.85</v>
      </c>
      <c r="X584" s="58"/>
      <c r="Y584" s="317"/>
      <c r="Z584" s="317"/>
      <c r="AA584" s="317"/>
      <c r="AB584" s="59"/>
      <c r="AC584" s="28"/>
    </row>
    <row r="585" spans="2:29" hidden="1" outlineLevel="1" x14ac:dyDescent="0.35">
      <c r="F585" s="72"/>
      <c r="G585" s="58"/>
      <c r="H585" s="58"/>
      <c r="I585" s="58"/>
      <c r="J585" s="58"/>
      <c r="K585" s="58"/>
      <c r="L585" s="58"/>
      <c r="M585" s="262" t="str">
        <f>$L$94</f>
        <v>C</v>
      </c>
      <c r="N585" s="28" t="str">
        <f>$M$94</f>
        <v>Development and Unit Testing</v>
      </c>
      <c r="O585" s="100">
        <f>O584+((P584-O584)*W584)+1</f>
        <v>46355.5</v>
      </c>
      <c r="P585" s="99">
        <f>O585+(((P575*DEV_DEV_PERCENT)/DEV_DEV_COUNT)*7)</f>
        <v>46532.34210526316</v>
      </c>
      <c r="Q585" s="92">
        <v>0.3</v>
      </c>
      <c r="R585" s="203">
        <v>0.5</v>
      </c>
      <c r="S585" s="92">
        <v>0.3</v>
      </c>
      <c r="T585" s="96">
        <v>3.8</v>
      </c>
      <c r="U585" s="92">
        <v>0.3</v>
      </c>
      <c r="V585" s="51"/>
      <c r="W585" s="236">
        <v>0.75</v>
      </c>
      <c r="X585" s="58"/>
      <c r="Y585" s="317"/>
      <c r="Z585" s="317"/>
      <c r="AA585" s="317"/>
      <c r="AB585" s="59"/>
      <c r="AC585" s="28"/>
    </row>
    <row r="586" spans="2:29" hidden="1" outlineLevel="1" x14ac:dyDescent="0.35">
      <c r="F586" s="72"/>
      <c r="G586" s="58"/>
      <c r="H586" s="58"/>
      <c r="I586" s="58"/>
      <c r="J586" s="58"/>
      <c r="K586" s="58"/>
      <c r="L586" s="58"/>
      <c r="M586" s="262" t="str">
        <f>$L$433</f>
        <v>D</v>
      </c>
      <c r="N586" s="28" t="str">
        <f>$M$433</f>
        <v>System Testing and Stabilization</v>
      </c>
      <c r="O586" s="100">
        <f>O585+((P585-O585)*W585)+1</f>
        <v>46489.131578947374</v>
      </c>
      <c r="P586" s="99">
        <f>O586+(((P576*TESTING_QA_PERCENT)/TESTING_QA_COUNT)*7)</f>
        <v>46535.331578947371</v>
      </c>
      <c r="Q586" s="92">
        <v>0.1</v>
      </c>
      <c r="R586" s="203">
        <v>0.2</v>
      </c>
      <c r="S586" s="92">
        <v>0.2</v>
      </c>
      <c r="T586" s="92">
        <v>1.7</v>
      </c>
      <c r="U586" s="96">
        <v>1</v>
      </c>
      <c r="V586" s="233"/>
      <c r="W586" s="236">
        <v>0.3</v>
      </c>
      <c r="X586" s="58"/>
      <c r="Y586" s="317"/>
      <c r="Z586" s="317"/>
      <c r="AA586" s="317"/>
      <c r="AB586" s="59"/>
      <c r="AC586" s="28"/>
    </row>
    <row r="587" spans="2:29" hidden="1" outlineLevel="1" x14ac:dyDescent="0.35">
      <c r="F587" s="72"/>
      <c r="G587" s="58"/>
      <c r="H587" s="58"/>
      <c r="I587" s="58"/>
      <c r="J587" s="58"/>
      <c r="K587" s="58"/>
      <c r="L587" s="58"/>
      <c r="M587" s="262" t="str">
        <f>$L$471</f>
        <v>E</v>
      </c>
      <c r="N587" s="28" t="str">
        <f>$M$471</f>
        <v>Deployment, UAT and Documentation</v>
      </c>
      <c r="O587" s="100">
        <f>O586+((P586-O586)*W586)+1</f>
        <v>46503.991578947374</v>
      </c>
      <c r="P587" s="99">
        <f>O587+(((P577*UAT_DEV_PERCENT)/UAT_DEV_COUNT)*7)</f>
        <v>46598.491578947374</v>
      </c>
      <c r="Q587" s="92">
        <v>0.4</v>
      </c>
      <c r="R587" s="203">
        <v>0.1</v>
      </c>
      <c r="S587" s="92">
        <v>0.2</v>
      </c>
      <c r="T587" s="96">
        <v>0.8</v>
      </c>
      <c r="U587" s="92">
        <v>0.3</v>
      </c>
      <c r="V587" s="51"/>
      <c r="W587" s="236">
        <v>0.15</v>
      </c>
      <c r="X587" s="58"/>
      <c r="Y587" s="317"/>
      <c r="Z587" s="317"/>
      <c r="AA587" s="317"/>
      <c r="AB587" s="59"/>
      <c r="AC587" s="28"/>
    </row>
    <row r="588" spans="2:29" hidden="1" outlineLevel="1" x14ac:dyDescent="0.35">
      <c r="F588" s="72"/>
      <c r="G588" s="58"/>
      <c r="H588" s="58"/>
      <c r="I588" s="58"/>
      <c r="J588" s="58"/>
      <c r="K588" s="58"/>
      <c r="L588" s="58"/>
      <c r="M588" s="262" t="str">
        <f>$L$499</f>
        <v>F</v>
      </c>
      <c r="N588" s="28" t="str">
        <f>$M$499</f>
        <v>Others</v>
      </c>
      <c r="O588" s="101">
        <f>O587+((P587-O587)*W587)+1</f>
        <v>46519.166578947377</v>
      </c>
      <c r="P588" s="108">
        <f>O588+(((P578*OTHER_TL_PERCENT)/OTHER_TL_COUNT)*7)</f>
        <v>46608.766578947376</v>
      </c>
      <c r="Q588" s="109"/>
      <c r="R588" s="205">
        <v>0.3</v>
      </c>
      <c r="S588" s="110">
        <v>1</v>
      </c>
      <c r="T588" s="109"/>
      <c r="U588" s="109"/>
      <c r="V588" s="111"/>
      <c r="W588" s="234"/>
      <c r="X588" s="58"/>
      <c r="Y588" s="58"/>
      <c r="Z588" s="58"/>
      <c r="AA588" s="58"/>
      <c r="AB588" s="59"/>
      <c r="AC588" s="28"/>
    </row>
    <row r="589" spans="2:29" ht="15.5" hidden="1" outlineLevel="1" x14ac:dyDescent="0.35">
      <c r="F589" s="72"/>
      <c r="G589" s="58">
        <v>1</v>
      </c>
      <c r="H589" s="58"/>
      <c r="I589" s="58"/>
      <c r="J589" s="58"/>
      <c r="K589" s="58"/>
      <c r="L589" s="25"/>
      <c r="M589" s="262"/>
      <c r="N589" s="25"/>
      <c r="O589" s="105" t="s">
        <v>118</v>
      </c>
      <c r="P589" s="114">
        <f>NETWORKDAYS(START_DATE,AUTOMATED_END_DATE)/5</f>
        <v>40.200000000000003</v>
      </c>
      <c r="Q589" s="113" t="s">
        <v>94</v>
      </c>
      <c r="R589" s="112"/>
      <c r="S589" s="107" t="s">
        <v>117</v>
      </c>
      <c r="T589" s="303">
        <f>AUTOMATED_END_DATE</f>
        <v>46608.766578947376</v>
      </c>
      <c r="U589" s="303"/>
      <c r="V589" s="235"/>
      <c r="W589" s="235"/>
      <c r="X589" s="235"/>
      <c r="Y589" s="25"/>
      <c r="Z589" s="25"/>
      <c r="AA589" s="25"/>
      <c r="AB589" s="28"/>
      <c r="AC589" s="28"/>
    </row>
    <row r="590" spans="2:29" ht="15.5" hidden="1" outlineLevel="1" x14ac:dyDescent="0.35">
      <c r="F590" s="72"/>
      <c r="G590" s="58">
        <v>2</v>
      </c>
      <c r="H590" s="58"/>
      <c r="I590" s="58"/>
      <c r="J590" s="58"/>
      <c r="K590" s="58"/>
      <c r="L590" s="25"/>
      <c r="M590" s="262"/>
      <c r="N590" s="25"/>
      <c r="O590" s="105" t="s">
        <v>119</v>
      </c>
      <c r="P590" s="114">
        <f>NETWORKDAYS(START_DATE,MANUAL_END_DATE)/5</f>
        <v>35</v>
      </c>
      <c r="Q590" s="113" t="s">
        <v>94</v>
      </c>
      <c r="R590" s="106"/>
      <c r="S590" s="107" t="s">
        <v>117</v>
      </c>
      <c r="T590" s="303">
        <f>MANUAL_END_DATE</f>
        <v>46570</v>
      </c>
      <c r="U590" s="303"/>
      <c r="V590" s="235"/>
      <c r="W590" s="235"/>
      <c r="X590" s="235"/>
      <c r="Y590" s="25"/>
      <c r="Z590" s="25"/>
      <c r="AA590" s="25"/>
      <c r="AB590" s="28"/>
      <c r="AC590" s="28"/>
    </row>
    <row r="591" spans="2:29" ht="15" hidden="1" customHeight="1" outlineLevel="1" x14ac:dyDescent="0.35">
      <c r="F591" s="72"/>
      <c r="G591" s="58"/>
      <c r="H591" s="58"/>
      <c r="I591" s="58"/>
      <c r="J591" s="58"/>
      <c r="K591" s="58"/>
      <c r="L591" s="25"/>
      <c r="M591" s="262"/>
      <c r="N591" s="25"/>
      <c r="O591" s="103"/>
      <c r="P591" s="61"/>
      <c r="Q591" s="104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</row>
    <row r="592" spans="2:29" hidden="1" outlineLevel="1" x14ac:dyDescent="0.35">
      <c r="F592" s="72"/>
      <c r="G592" s="58">
        <v>3</v>
      </c>
      <c r="H592" s="58"/>
      <c r="I592" s="58"/>
      <c r="J592" s="58"/>
      <c r="K592" s="58"/>
      <c r="L592" s="25"/>
      <c r="M592" s="262"/>
      <c r="N592" s="28"/>
      <c r="O592" s="28"/>
      <c r="P592" s="25"/>
      <c r="Q592" s="25"/>
      <c r="R592" s="25"/>
      <c r="S592" s="69" t="s">
        <v>115</v>
      </c>
      <c r="T592" s="70" t="s">
        <v>92</v>
      </c>
      <c r="U592" s="25"/>
      <c r="V592" s="25"/>
      <c r="W592" s="25"/>
      <c r="X592" s="25"/>
      <c r="Y592" s="25"/>
      <c r="Z592" s="25"/>
      <c r="AA592" s="25"/>
      <c r="AB592" s="28"/>
      <c r="AC592" s="28"/>
    </row>
    <row r="593" spans="1:30" hidden="1" outlineLevel="1" x14ac:dyDescent="0.35">
      <c r="F593" s="72"/>
      <c r="G593" s="58"/>
      <c r="H593" s="58"/>
      <c r="I593" s="58"/>
      <c r="J593" s="58"/>
      <c r="K593" s="58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</row>
    <row r="594" spans="1:30" s="9" customFormat="1" ht="20.25" hidden="1" customHeight="1" outlineLevel="1" x14ac:dyDescent="0.35">
      <c r="A594" s="86"/>
      <c r="C594" s="72"/>
      <c r="D594" s="72"/>
      <c r="E594" s="72"/>
      <c r="F594" s="72"/>
      <c r="G594" s="40"/>
      <c r="H594" s="40"/>
      <c r="I594" s="40"/>
      <c r="J594" s="40"/>
      <c r="K594" s="40"/>
      <c r="L594" s="40"/>
      <c r="M594" s="258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10"/>
    </row>
    <row r="595" spans="1:30" s="9" customFormat="1" x14ac:dyDescent="0.35">
      <c r="A595" s="86"/>
      <c r="C595" s="74"/>
      <c r="D595" s="74"/>
      <c r="E595" s="74"/>
      <c r="F595" s="72"/>
      <c r="M595" s="252"/>
      <c r="N595" s="10"/>
      <c r="O595" s="10"/>
      <c r="AB595" s="10"/>
      <c r="AC595" s="10"/>
      <c r="AD595" s="10"/>
    </row>
    <row r="596" spans="1:30" s="9" customFormat="1" ht="20.25" customHeight="1" collapsed="1" x14ac:dyDescent="0.35">
      <c r="A596" s="86"/>
      <c r="C596" s="72"/>
      <c r="D596" s="72"/>
      <c r="E596" s="72"/>
      <c r="F596" s="72"/>
      <c r="G596" s="293" t="s">
        <v>48</v>
      </c>
      <c r="H596" s="293"/>
      <c r="I596" s="165"/>
      <c r="J596" s="40"/>
      <c r="K596" s="40"/>
      <c r="L596" s="36"/>
      <c r="M596" s="265" t="s">
        <v>185</v>
      </c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200" t="str">
        <f>TEMPLATE_NAME&amp;" "&amp;TEMPLATE_VER</f>
        <v>AG Estimation Template -  Version 2.0.4</v>
      </c>
      <c r="AC596" s="36"/>
      <c r="AD596" s="10"/>
    </row>
    <row r="597" spans="1:30" s="9" customFormat="1" hidden="1" outlineLevel="1" x14ac:dyDescent="0.35">
      <c r="A597" s="86"/>
      <c r="C597" s="74"/>
      <c r="D597" s="74"/>
      <c r="E597" s="74"/>
      <c r="F597" s="72"/>
      <c r="G597" s="25"/>
      <c r="H597" s="25"/>
      <c r="I597" s="25"/>
      <c r="J597" s="25"/>
      <c r="K597" s="25"/>
      <c r="L597" s="25"/>
      <c r="M597" s="262"/>
      <c r="N597" s="28"/>
      <c r="O597" s="28"/>
      <c r="P597" s="25"/>
      <c r="Q597" s="25"/>
      <c r="R597" s="25"/>
      <c r="S597" s="25"/>
      <c r="T597" s="25"/>
      <c r="U597" s="25"/>
      <c r="V597" s="25"/>
      <c r="W597" s="25"/>
      <c r="X597" s="25"/>
      <c r="Y597" s="25"/>
      <c r="Z597" s="25"/>
      <c r="AA597" s="25"/>
      <c r="AB597" s="28"/>
      <c r="AC597" s="28"/>
      <c r="AD597" s="10"/>
    </row>
    <row r="598" spans="1:30" s="9" customFormat="1" ht="15" hidden="1" customHeight="1" outlineLevel="1" x14ac:dyDescent="0.35">
      <c r="A598" s="86"/>
      <c r="C598" s="74"/>
      <c r="D598" s="74"/>
      <c r="E598" s="74"/>
      <c r="F598" s="72"/>
      <c r="G598" s="25"/>
      <c r="H598" s="25"/>
      <c r="I598" s="25"/>
      <c r="J598" s="25"/>
      <c r="K598" s="25"/>
      <c r="L598" s="25"/>
      <c r="M598" s="262"/>
      <c r="N598" s="132" t="s">
        <v>130</v>
      </c>
      <c r="O598" s="28"/>
      <c r="P598" s="25"/>
      <c r="Q598" s="25"/>
      <c r="R598" s="25"/>
      <c r="S598" s="25"/>
      <c r="T598" s="25"/>
      <c r="U598" s="25"/>
      <c r="V598" s="25"/>
      <c r="W598" s="25"/>
      <c r="X598" s="25"/>
      <c r="Y598" s="25"/>
      <c r="Z598" s="25"/>
      <c r="AA598" s="25"/>
      <c r="AB598" s="28"/>
      <c r="AC598" s="28"/>
      <c r="AD598" s="10"/>
    </row>
    <row r="599" spans="1:30" s="9" customFormat="1" ht="14.25" hidden="1" customHeight="1" outlineLevel="1" x14ac:dyDescent="0.35">
      <c r="A599" s="86"/>
      <c r="C599" s="72"/>
      <c r="D599" s="72"/>
      <c r="E599" s="72"/>
      <c r="F599" s="72"/>
      <c r="G599" s="25"/>
      <c r="H599" s="25"/>
      <c r="I599" s="25"/>
      <c r="J599" s="25"/>
      <c r="K599" s="25"/>
      <c r="L599" s="25"/>
      <c r="M599" s="262"/>
      <c r="N599" s="146" t="s">
        <v>5</v>
      </c>
      <c r="O599" s="145" t="s">
        <v>1164</v>
      </c>
      <c r="P599" s="172"/>
      <c r="Q599" s="172"/>
      <c r="R599" s="145"/>
      <c r="S599" s="172"/>
      <c r="T599" s="172"/>
      <c r="U599" s="172"/>
      <c r="V599" s="172"/>
      <c r="W599" s="172"/>
      <c r="X599" s="25"/>
      <c r="Y599" s="25"/>
      <c r="Z599" s="25"/>
      <c r="AA599" s="25"/>
      <c r="AB599" s="25"/>
      <c r="AC599" s="28"/>
      <c r="AD599" s="10"/>
    </row>
    <row r="600" spans="1:30" s="9" customFormat="1" ht="14.25" hidden="1" customHeight="1" outlineLevel="1" x14ac:dyDescent="0.35">
      <c r="A600" s="86"/>
      <c r="C600" s="72"/>
      <c r="D600" s="72"/>
      <c r="E600" s="72"/>
      <c r="F600" s="72"/>
      <c r="G600" s="25"/>
      <c r="H600" s="25"/>
      <c r="I600" s="25"/>
      <c r="J600" s="25"/>
      <c r="K600" s="25"/>
      <c r="L600" s="25"/>
      <c r="M600" s="262"/>
      <c r="N600" s="146" t="s">
        <v>30</v>
      </c>
      <c r="O600" s="145" t="s">
        <v>762</v>
      </c>
      <c r="P600" s="172"/>
      <c r="Q600" s="172"/>
      <c r="R600" s="172"/>
      <c r="S600" s="172"/>
      <c r="T600" s="172"/>
      <c r="U600" s="172"/>
      <c r="V600" s="172"/>
      <c r="W600" s="172"/>
      <c r="X600" s="25"/>
      <c r="Y600" s="25"/>
      <c r="Z600" s="25"/>
      <c r="AA600" s="25"/>
      <c r="AB600" s="25"/>
      <c r="AC600" s="28"/>
      <c r="AD600" s="10"/>
    </row>
    <row r="601" spans="1:30" s="9" customFormat="1" ht="14.25" hidden="1" customHeight="1" outlineLevel="1" x14ac:dyDescent="0.35">
      <c r="A601" s="86"/>
      <c r="C601" s="72"/>
      <c r="D601" s="72"/>
      <c r="E601" s="72"/>
      <c r="F601" s="72"/>
      <c r="G601" s="25"/>
      <c r="H601" s="25"/>
      <c r="I601" s="25"/>
      <c r="J601" s="25"/>
      <c r="K601" s="25"/>
      <c r="L601" s="25"/>
      <c r="M601" s="262"/>
      <c r="N601" s="146" t="s">
        <v>36</v>
      </c>
      <c r="O601" s="145" t="s">
        <v>41</v>
      </c>
      <c r="P601" s="172"/>
      <c r="Q601" s="172"/>
      <c r="R601" s="172"/>
      <c r="S601" s="130"/>
      <c r="T601" s="130"/>
      <c r="U601" s="130"/>
      <c r="V601" s="172"/>
      <c r="W601" s="172"/>
      <c r="X601" s="25"/>
      <c r="Y601" s="25"/>
      <c r="Z601" s="25"/>
      <c r="AA601" s="25"/>
      <c r="AB601" s="25"/>
      <c r="AC601" s="28"/>
      <c r="AD601" s="10"/>
    </row>
    <row r="602" spans="1:30" s="9" customFormat="1" ht="14.25" hidden="1" customHeight="1" outlineLevel="1" x14ac:dyDescent="0.35">
      <c r="A602" s="86"/>
      <c r="C602" s="72"/>
      <c r="D602" s="72"/>
      <c r="E602" s="72"/>
      <c r="F602" s="72"/>
      <c r="G602" s="25"/>
      <c r="H602" s="25"/>
      <c r="I602" s="25"/>
      <c r="J602" s="25"/>
      <c r="K602" s="25"/>
      <c r="L602" s="25"/>
      <c r="M602" s="262"/>
      <c r="N602" s="146" t="s">
        <v>31</v>
      </c>
      <c r="O602" s="145" t="s">
        <v>32</v>
      </c>
      <c r="P602" s="172"/>
      <c r="Q602" s="172"/>
      <c r="R602" s="172"/>
      <c r="S602" s="130"/>
      <c r="T602" s="130"/>
      <c r="U602" s="130"/>
      <c r="V602" s="172"/>
      <c r="W602" s="172"/>
      <c r="X602" s="25"/>
      <c r="Y602" s="25"/>
      <c r="Z602" s="25"/>
      <c r="AA602" s="25"/>
      <c r="AB602" s="25"/>
      <c r="AC602" s="28"/>
      <c r="AD602" s="10"/>
    </row>
    <row r="603" spans="1:30" s="9" customFormat="1" ht="14.25" hidden="1" customHeight="1" outlineLevel="1" x14ac:dyDescent="0.35">
      <c r="A603" s="86"/>
      <c r="C603" s="72"/>
      <c r="D603" s="72"/>
      <c r="E603" s="72"/>
      <c r="F603" s="72"/>
      <c r="G603" s="25"/>
      <c r="H603" s="25"/>
      <c r="I603" s="25"/>
      <c r="J603" s="25"/>
      <c r="K603" s="25"/>
      <c r="L603" s="25"/>
      <c r="M603" s="262"/>
      <c r="N603" s="146" t="s">
        <v>56</v>
      </c>
      <c r="O603" s="145" t="s">
        <v>969</v>
      </c>
      <c r="P603" s="172"/>
      <c r="Q603" s="172"/>
      <c r="R603" s="172"/>
      <c r="S603" s="130"/>
      <c r="T603" s="130"/>
      <c r="U603" s="130"/>
      <c r="V603" s="172"/>
      <c r="W603" s="172"/>
      <c r="X603" s="25"/>
      <c r="Y603" s="25"/>
      <c r="Z603" s="25"/>
      <c r="AA603" s="25"/>
      <c r="AB603" s="25"/>
      <c r="AC603" s="28"/>
      <c r="AD603" s="10"/>
    </row>
    <row r="604" spans="1:30" s="9" customFormat="1" ht="14.25" hidden="1" customHeight="1" outlineLevel="1" x14ac:dyDescent="0.35">
      <c r="A604" s="86"/>
      <c r="C604" s="72"/>
      <c r="D604" s="72"/>
      <c r="E604" s="72"/>
      <c r="F604" s="72"/>
      <c r="G604" s="25"/>
      <c r="H604" s="25"/>
      <c r="I604" s="25"/>
      <c r="J604" s="25"/>
      <c r="K604" s="25"/>
      <c r="L604" s="25"/>
      <c r="M604" s="262"/>
      <c r="N604" s="146" t="s">
        <v>67</v>
      </c>
      <c r="O604" s="145" t="s">
        <v>23</v>
      </c>
      <c r="P604" s="172"/>
      <c r="Q604" s="172"/>
      <c r="R604" s="145"/>
      <c r="S604" s="130"/>
      <c r="T604" s="130"/>
      <c r="U604" s="130"/>
      <c r="V604" s="172"/>
      <c r="W604" s="172"/>
      <c r="X604" s="25"/>
      <c r="Y604" s="25"/>
      <c r="Z604" s="25"/>
      <c r="AA604" s="25"/>
      <c r="AB604" s="25"/>
      <c r="AC604" s="28"/>
      <c r="AD604" s="10"/>
    </row>
    <row r="605" spans="1:30" s="9" customFormat="1" ht="14.25" hidden="1" customHeight="1" outlineLevel="1" x14ac:dyDescent="0.35">
      <c r="A605" s="86"/>
      <c r="C605" s="72"/>
      <c r="D605" s="72"/>
      <c r="E605" s="72"/>
      <c r="F605" s="72"/>
      <c r="G605" s="25"/>
      <c r="H605" s="25"/>
      <c r="I605" s="25"/>
      <c r="J605" s="25"/>
      <c r="K605" s="25"/>
      <c r="L605" s="25"/>
      <c r="M605" s="262"/>
      <c r="N605" s="146" t="s">
        <v>4</v>
      </c>
      <c r="O605" s="145" t="s">
        <v>18</v>
      </c>
      <c r="P605" s="172"/>
      <c r="Q605" s="172"/>
      <c r="R605" s="172"/>
      <c r="S605" s="130"/>
      <c r="T605" s="130"/>
      <c r="U605" s="130"/>
      <c r="V605" s="172"/>
      <c r="W605" s="172"/>
      <c r="X605" s="25"/>
      <c r="Y605" s="25"/>
      <c r="Z605" s="25"/>
      <c r="AA605" s="25"/>
      <c r="AB605" s="25"/>
      <c r="AC605" s="28"/>
      <c r="AD605" s="10"/>
    </row>
    <row r="606" spans="1:30" s="9" customFormat="1" ht="14.25" hidden="1" customHeight="1" outlineLevel="1" x14ac:dyDescent="0.35">
      <c r="A606" s="86"/>
      <c r="C606" s="72"/>
      <c r="D606" s="72"/>
      <c r="E606" s="72"/>
      <c r="F606" s="72"/>
      <c r="G606" s="25"/>
      <c r="H606" s="25"/>
      <c r="I606" s="25"/>
      <c r="J606" s="25"/>
      <c r="K606" s="25"/>
      <c r="L606" s="25"/>
      <c r="M606" s="262"/>
      <c r="N606" s="146" t="s">
        <v>26</v>
      </c>
      <c r="O606" s="145" t="s">
        <v>25</v>
      </c>
      <c r="P606" s="172"/>
      <c r="Q606" s="172"/>
      <c r="R606" s="172"/>
      <c r="S606" s="130"/>
      <c r="T606" s="130"/>
      <c r="U606" s="130"/>
      <c r="V606" s="172"/>
      <c r="W606" s="172"/>
      <c r="X606" s="25"/>
      <c r="Y606" s="25"/>
      <c r="Z606" s="25"/>
      <c r="AA606" s="25"/>
      <c r="AB606" s="25"/>
      <c r="AC606" s="28"/>
      <c r="AD606" s="10"/>
    </row>
    <row r="607" spans="1:30" s="9" customFormat="1" ht="14.25" hidden="1" customHeight="1" outlineLevel="1" x14ac:dyDescent="0.35">
      <c r="A607" s="86"/>
      <c r="C607" s="72"/>
      <c r="D607" s="72"/>
      <c r="E607" s="72"/>
      <c r="F607" s="72"/>
      <c r="G607" s="25"/>
      <c r="H607" s="25"/>
      <c r="I607" s="25"/>
      <c r="J607" s="25"/>
      <c r="K607" s="25"/>
      <c r="L607" s="25"/>
      <c r="M607" s="262"/>
      <c r="N607" s="146"/>
      <c r="O607" s="25"/>
      <c r="P607" s="25"/>
      <c r="Q607" s="25"/>
      <c r="R607" s="25"/>
      <c r="S607" s="129"/>
      <c r="T607" s="129"/>
      <c r="U607" s="129"/>
      <c r="V607" s="129"/>
      <c r="W607" s="129"/>
      <c r="X607" s="25"/>
      <c r="Y607" s="25"/>
      <c r="Z607" s="25"/>
      <c r="AA607" s="25"/>
      <c r="AB607" s="129"/>
      <c r="AC607" s="28"/>
      <c r="AD607" s="10"/>
    </row>
    <row r="608" spans="1:30" s="9" customFormat="1" ht="15" hidden="1" customHeight="1" outlineLevel="1" x14ac:dyDescent="0.35">
      <c r="A608" s="86"/>
      <c r="C608" s="74"/>
      <c r="D608" s="74"/>
      <c r="E608" s="74"/>
      <c r="F608" s="72"/>
      <c r="G608" s="25"/>
      <c r="H608" s="25"/>
      <c r="I608" s="25"/>
      <c r="J608" s="25"/>
      <c r="K608" s="25"/>
      <c r="L608" s="25"/>
      <c r="M608" s="262"/>
      <c r="N608" s="298" t="str">
        <f>"Total effort is "&amp;TEXT(TOTAL_EFFORT,"##,##,###")&amp;" PDs. How much up or down it can safely be without being way off?"</f>
        <v>Total effort is 1,104 PDs. How much up or down it can safely be without being way off?</v>
      </c>
      <c r="O608" s="132" t="s">
        <v>128</v>
      </c>
      <c r="P608" s="132" t="s">
        <v>129</v>
      </c>
      <c r="Q608" s="25"/>
      <c r="R608" s="25"/>
      <c r="S608" s="129"/>
      <c r="T608" s="129"/>
      <c r="U608" s="129"/>
      <c r="V608" s="129"/>
      <c r="W608" s="129"/>
      <c r="X608" s="25"/>
      <c r="Y608" s="25"/>
      <c r="Z608" s="25"/>
      <c r="AA608" s="25"/>
      <c r="AB608" s="28"/>
      <c r="AC608" s="28"/>
      <c r="AD608" s="10"/>
    </row>
    <row r="609" spans="1:30" s="9" customFormat="1" ht="15" hidden="1" customHeight="1" outlineLevel="1" x14ac:dyDescent="0.35">
      <c r="A609" s="86"/>
      <c r="C609" s="74"/>
      <c r="D609" s="74"/>
      <c r="E609" s="74"/>
      <c r="F609" s="72"/>
      <c r="G609" s="25"/>
      <c r="H609" s="25"/>
      <c r="I609" s="25"/>
      <c r="J609" s="25"/>
      <c r="K609" s="25"/>
      <c r="L609" s="25"/>
      <c r="M609" s="262"/>
      <c r="N609" s="298"/>
      <c r="O609" s="141">
        <v>-0.2</v>
      </c>
      <c r="P609" s="142">
        <v>0.2</v>
      </c>
      <c r="Q609" s="25"/>
      <c r="R609" s="25"/>
      <c r="S609" s="129"/>
      <c r="T609" s="129"/>
      <c r="U609" s="129"/>
      <c r="V609" s="129"/>
      <c r="W609" s="129"/>
      <c r="X609" s="25"/>
      <c r="Y609" s="25"/>
      <c r="Z609" s="25"/>
      <c r="AA609" s="25"/>
      <c r="AB609" s="28"/>
      <c r="AC609" s="28"/>
      <c r="AD609" s="10"/>
    </row>
    <row r="610" spans="1:30" s="9" customFormat="1" hidden="1" outlineLevel="1" x14ac:dyDescent="0.35">
      <c r="A610" s="86"/>
      <c r="C610" s="74"/>
      <c r="D610" s="74"/>
      <c r="E610" s="74"/>
      <c r="F610" s="72"/>
      <c r="G610" s="25"/>
      <c r="H610" s="25"/>
      <c r="I610" s="25"/>
      <c r="J610" s="25"/>
      <c r="K610" s="25"/>
      <c r="L610" s="25"/>
      <c r="M610" s="262"/>
      <c r="N610" s="298"/>
      <c r="O610" s="28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AA610" s="25"/>
      <c r="AB610" s="28"/>
      <c r="AC610" s="28"/>
      <c r="AD610" s="10"/>
    </row>
    <row r="611" spans="1:30" s="9" customFormat="1" hidden="1" outlineLevel="1" x14ac:dyDescent="0.35">
      <c r="A611" s="86"/>
      <c r="C611" s="74"/>
      <c r="D611" s="74"/>
      <c r="E611" s="74"/>
      <c r="F611" s="72"/>
      <c r="G611" s="25"/>
      <c r="H611" s="25"/>
      <c r="I611" s="25"/>
      <c r="J611" s="25"/>
      <c r="K611" s="25"/>
      <c r="L611" s="25"/>
      <c r="M611" s="262"/>
      <c r="N611" s="149" t="s">
        <v>447</v>
      </c>
      <c r="O611" s="129"/>
      <c r="P611" s="150" t="s">
        <v>96</v>
      </c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8"/>
      <c r="AC611" s="28"/>
      <c r="AD611" s="10"/>
    </row>
    <row r="612" spans="1:30" s="9" customFormat="1" hidden="1" outlineLevel="1" x14ac:dyDescent="0.35">
      <c r="A612" s="86"/>
      <c r="C612" s="74"/>
      <c r="D612" s="74"/>
      <c r="E612" s="74"/>
      <c r="F612" s="72"/>
      <c r="G612" s="25"/>
      <c r="H612" s="25"/>
      <c r="I612" s="25"/>
      <c r="J612" s="25"/>
      <c r="K612" s="25"/>
      <c r="L612" s="25"/>
      <c r="M612" s="262"/>
      <c r="N612" s="240" t="s">
        <v>156</v>
      </c>
      <c r="O612" s="25"/>
      <c r="P612" s="148" t="s">
        <v>78</v>
      </c>
      <c r="Q612" s="131" t="s">
        <v>190</v>
      </c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8"/>
      <c r="AD612" s="10"/>
    </row>
    <row r="613" spans="1:30" s="9" customFormat="1" hidden="1" outlineLevel="1" x14ac:dyDescent="0.35">
      <c r="A613" s="86"/>
      <c r="C613" s="74"/>
      <c r="D613" s="74"/>
      <c r="E613" s="74"/>
      <c r="F613" s="72"/>
      <c r="G613" s="25"/>
      <c r="H613" s="25"/>
      <c r="I613" s="25"/>
      <c r="J613" s="25"/>
      <c r="K613" s="25"/>
      <c r="L613" s="25"/>
      <c r="M613" s="262"/>
      <c r="N613" s="240" t="s">
        <v>169</v>
      </c>
      <c r="O613" s="25"/>
      <c r="P613" s="148" t="s">
        <v>97</v>
      </c>
      <c r="Q613" s="131" t="s">
        <v>189</v>
      </c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8"/>
      <c r="AD613" s="10"/>
    </row>
    <row r="614" spans="1:30" s="9" customFormat="1" hidden="1" outlineLevel="1" x14ac:dyDescent="0.35">
      <c r="A614" s="86"/>
      <c r="C614" s="74"/>
      <c r="D614" s="74"/>
      <c r="E614" s="74"/>
      <c r="F614" s="72"/>
      <c r="G614" s="25"/>
      <c r="H614" s="25"/>
      <c r="I614" s="25"/>
      <c r="J614" s="25"/>
      <c r="K614" s="25"/>
      <c r="L614" s="25"/>
      <c r="M614" s="262"/>
      <c r="N614" s="240" t="s">
        <v>170</v>
      </c>
      <c r="O614" s="25"/>
      <c r="P614" s="25"/>
      <c r="Q614" s="25"/>
      <c r="R614" s="25"/>
      <c r="S614" s="25"/>
      <c r="T614" s="25"/>
      <c r="U614" s="148"/>
      <c r="V614" s="25"/>
      <c r="W614" s="25"/>
      <c r="X614" s="25"/>
      <c r="Y614" s="25"/>
      <c r="Z614" s="25"/>
      <c r="AA614" s="25"/>
      <c r="AB614" s="25"/>
      <c r="AC614" s="28"/>
      <c r="AD614" s="10"/>
    </row>
    <row r="615" spans="1:30" s="9" customFormat="1" ht="15" hidden="1" customHeight="1" outlineLevel="1" x14ac:dyDescent="0.35">
      <c r="A615" s="86"/>
      <c r="C615" s="74"/>
      <c r="D615" s="74"/>
      <c r="E615" s="74"/>
      <c r="F615" s="72"/>
      <c r="G615" s="25"/>
      <c r="H615" s="25"/>
      <c r="I615" s="25"/>
      <c r="J615" s="25"/>
      <c r="K615" s="25"/>
      <c r="L615" s="25"/>
      <c r="M615" s="262"/>
      <c r="N615" s="240" t="s">
        <v>171</v>
      </c>
      <c r="O615" s="25"/>
      <c r="P615" s="25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8"/>
      <c r="AD615" s="10"/>
    </row>
    <row r="616" spans="1:30" s="9" customFormat="1" hidden="1" outlineLevel="1" x14ac:dyDescent="0.35">
      <c r="A616" s="86"/>
      <c r="C616" s="74"/>
      <c r="D616" s="74"/>
      <c r="E616" s="74"/>
      <c r="F616" s="72"/>
      <c r="G616" s="25"/>
      <c r="H616" s="25"/>
      <c r="I616" s="25"/>
      <c r="J616" s="25"/>
      <c r="K616" s="25"/>
      <c r="L616" s="25"/>
      <c r="M616" s="262"/>
      <c r="N616" s="240" t="s">
        <v>172</v>
      </c>
      <c r="O616" s="25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8"/>
      <c r="AD616" s="10"/>
    </row>
    <row r="617" spans="1:30" s="9" customFormat="1" hidden="1" outlineLevel="1" x14ac:dyDescent="0.35">
      <c r="A617" s="86"/>
      <c r="C617" s="74"/>
      <c r="D617" s="74"/>
      <c r="E617" s="74"/>
      <c r="F617" s="72"/>
      <c r="G617" s="25"/>
      <c r="H617" s="25"/>
      <c r="I617" s="25"/>
      <c r="J617" s="25"/>
      <c r="K617" s="25"/>
      <c r="L617" s="25"/>
      <c r="M617" s="262"/>
      <c r="N617" s="240" t="s">
        <v>173</v>
      </c>
      <c r="O617" s="25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8"/>
      <c r="AD617" s="10"/>
    </row>
    <row r="618" spans="1:30" s="9" customFormat="1" hidden="1" outlineLevel="1" x14ac:dyDescent="0.35">
      <c r="A618" s="86"/>
      <c r="C618" s="74"/>
      <c r="D618" s="74"/>
      <c r="E618" s="74"/>
      <c r="F618" s="72"/>
      <c r="G618" s="25"/>
      <c r="H618" s="25"/>
      <c r="I618" s="25"/>
      <c r="J618" s="25"/>
      <c r="K618" s="25"/>
      <c r="L618" s="25"/>
      <c r="M618" s="262"/>
      <c r="N618" s="240" t="s">
        <v>174</v>
      </c>
      <c r="O618" s="25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8"/>
      <c r="AD618" s="10"/>
    </row>
    <row r="619" spans="1:30" s="9" customFormat="1" hidden="1" outlineLevel="1" x14ac:dyDescent="0.35">
      <c r="A619" s="86"/>
      <c r="C619" s="74"/>
      <c r="D619" s="74"/>
      <c r="E619" s="74"/>
      <c r="F619" s="72"/>
      <c r="G619" s="25"/>
      <c r="H619" s="25"/>
      <c r="I619" s="25"/>
      <c r="J619" s="25"/>
      <c r="K619" s="25"/>
      <c r="L619" s="25"/>
      <c r="M619" s="262"/>
      <c r="N619" s="240" t="s">
        <v>155</v>
      </c>
      <c r="O619" s="28"/>
      <c r="P619" s="131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8"/>
      <c r="AD619" s="10"/>
    </row>
    <row r="620" spans="1:30" s="9" customFormat="1" hidden="1" outlineLevel="1" x14ac:dyDescent="0.35">
      <c r="A620" s="86"/>
      <c r="C620" s="74"/>
      <c r="D620" s="74"/>
      <c r="E620" s="74"/>
      <c r="F620" s="72"/>
      <c r="G620" s="25"/>
      <c r="H620" s="25"/>
      <c r="I620" s="25"/>
      <c r="J620" s="25"/>
      <c r="K620" s="25"/>
      <c r="L620" s="25"/>
      <c r="M620" s="262"/>
      <c r="N620" s="240" t="s">
        <v>158</v>
      </c>
      <c r="O620" s="28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8"/>
      <c r="AD620" s="10"/>
    </row>
    <row r="621" spans="1:30" s="9" customFormat="1" hidden="1" outlineLevel="1" x14ac:dyDescent="0.35">
      <c r="A621" s="86"/>
      <c r="C621" s="74"/>
      <c r="D621" s="74"/>
      <c r="E621" s="74"/>
      <c r="F621" s="72"/>
      <c r="G621" s="25"/>
      <c r="H621" s="25"/>
      <c r="I621" s="25"/>
      <c r="J621" s="25"/>
      <c r="K621" s="25"/>
      <c r="L621" s="25"/>
      <c r="M621" s="262"/>
      <c r="N621" s="240" t="s">
        <v>160</v>
      </c>
      <c r="O621" s="28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8"/>
      <c r="AD621" s="10"/>
    </row>
    <row r="622" spans="1:30" s="9" customFormat="1" hidden="1" outlineLevel="1" x14ac:dyDescent="0.35">
      <c r="A622" s="86"/>
      <c r="C622" s="74"/>
      <c r="D622" s="74"/>
      <c r="E622" s="74"/>
      <c r="F622" s="72"/>
      <c r="G622" s="25"/>
      <c r="H622" s="25"/>
      <c r="I622" s="25"/>
      <c r="J622" s="25"/>
      <c r="K622" s="25"/>
      <c r="L622" s="25"/>
      <c r="M622" s="262"/>
      <c r="N622" s="240" t="s">
        <v>159</v>
      </c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8"/>
      <c r="AD622" s="10"/>
    </row>
    <row r="623" spans="1:30" s="9" customFormat="1" hidden="1" outlineLevel="1" x14ac:dyDescent="0.35">
      <c r="A623" s="86"/>
      <c r="C623" s="74"/>
      <c r="D623" s="74"/>
      <c r="E623" s="74"/>
      <c r="F623" s="72"/>
      <c r="G623" s="25"/>
      <c r="H623" s="25"/>
      <c r="I623" s="25"/>
      <c r="J623" s="25"/>
      <c r="K623" s="25"/>
      <c r="L623" s="25"/>
      <c r="M623" s="262"/>
      <c r="N623" s="240" t="s">
        <v>161</v>
      </c>
      <c r="O623" s="28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8"/>
      <c r="AD623" s="10"/>
    </row>
    <row r="624" spans="1:30" s="9" customFormat="1" hidden="1" outlineLevel="1" x14ac:dyDescent="0.35">
      <c r="A624" s="86"/>
      <c r="C624" s="74"/>
      <c r="D624" s="74"/>
      <c r="E624" s="74"/>
      <c r="F624" s="72"/>
      <c r="G624" s="25"/>
      <c r="H624" s="25"/>
      <c r="I624" s="25"/>
      <c r="J624" s="25"/>
      <c r="K624" s="25"/>
      <c r="L624" s="25"/>
      <c r="M624" s="262"/>
      <c r="N624" s="240" t="s">
        <v>162</v>
      </c>
      <c r="O624" s="28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8"/>
      <c r="AD624" s="10"/>
    </row>
    <row r="625" spans="1:30" s="9" customFormat="1" hidden="1" outlineLevel="1" x14ac:dyDescent="0.35">
      <c r="A625" s="86"/>
      <c r="C625" s="74"/>
      <c r="D625" s="74"/>
      <c r="E625" s="74"/>
      <c r="F625" s="72"/>
      <c r="G625" s="25"/>
      <c r="H625" s="25"/>
      <c r="I625" s="25"/>
      <c r="J625" s="25"/>
      <c r="K625" s="25"/>
      <c r="L625" s="25"/>
      <c r="M625" s="262"/>
      <c r="N625" s="240" t="s">
        <v>163</v>
      </c>
      <c r="O625" s="28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8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40" t="s">
        <v>157</v>
      </c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8"/>
      <c r="AD626" s="10"/>
    </row>
    <row r="627" spans="1:30" s="9" customFormat="1" hidden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240" t="s">
        <v>164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8"/>
      <c r="AD627" s="10"/>
    </row>
    <row r="628" spans="1:30" s="9" customFormat="1" hidden="1" outlineLevel="1" x14ac:dyDescent="0.35">
      <c r="A628" s="86"/>
      <c r="C628" s="74"/>
      <c r="D628" s="74"/>
      <c r="E628" s="74"/>
      <c r="F628" s="72"/>
      <c r="G628" s="25"/>
      <c r="H628" s="25"/>
      <c r="I628" s="25"/>
      <c r="J628" s="25"/>
      <c r="K628" s="25"/>
      <c r="L628" s="25"/>
      <c r="M628" s="262"/>
      <c r="N628" s="240" t="s">
        <v>165</v>
      </c>
      <c r="O628" s="28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8"/>
      <c r="AD628" s="10"/>
    </row>
    <row r="629" spans="1:30" s="9" customFormat="1" hidden="1" outlineLevel="1" x14ac:dyDescent="0.35">
      <c r="A629" s="86"/>
      <c r="C629" s="74"/>
      <c r="D629" s="74"/>
      <c r="E629" s="74"/>
      <c r="F629" s="72"/>
      <c r="G629" s="25"/>
      <c r="H629" s="25"/>
      <c r="I629" s="25"/>
      <c r="J629" s="25"/>
      <c r="K629" s="25"/>
      <c r="L629" s="25"/>
      <c r="M629" s="262"/>
      <c r="N629" s="240" t="s">
        <v>166</v>
      </c>
      <c r="O629" s="28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8"/>
      <c r="AD629" s="10"/>
    </row>
    <row r="630" spans="1:30" s="9" customFormat="1" hidden="1" outlineLevel="1" x14ac:dyDescent="0.35">
      <c r="A630" s="86"/>
      <c r="C630" s="74"/>
      <c r="D630" s="74"/>
      <c r="E630" s="74"/>
      <c r="F630" s="72"/>
      <c r="G630" s="25"/>
      <c r="H630" s="25"/>
      <c r="I630" s="25"/>
      <c r="J630" s="25"/>
      <c r="K630" s="25"/>
      <c r="L630" s="25"/>
      <c r="M630" s="262"/>
      <c r="N630" s="240" t="s">
        <v>167</v>
      </c>
      <c r="O630" s="28"/>
      <c r="P630" s="25"/>
      <c r="Q630" s="25"/>
      <c r="R630" s="25"/>
      <c r="S630" s="25"/>
      <c r="T630" s="25"/>
      <c r="U630" s="25"/>
      <c r="V630" s="25"/>
      <c r="W630" s="25"/>
      <c r="X630" s="25"/>
      <c r="Y630" s="25"/>
      <c r="Z630" s="25"/>
      <c r="AA630" s="25"/>
      <c r="AB630" s="25"/>
      <c r="AC630" s="28"/>
      <c r="AD630" s="10"/>
    </row>
    <row r="631" spans="1:30" s="9" customFormat="1" hidden="1" outlineLevel="1" x14ac:dyDescent="0.35">
      <c r="A631" s="86"/>
      <c r="C631" s="74"/>
      <c r="D631" s="74"/>
      <c r="E631" s="74"/>
      <c r="F631" s="72"/>
      <c r="G631" s="25"/>
      <c r="H631" s="25"/>
      <c r="I631" s="25"/>
      <c r="J631" s="25"/>
      <c r="K631" s="25"/>
      <c r="L631" s="25"/>
      <c r="M631" s="262"/>
      <c r="N631" s="240" t="s">
        <v>168</v>
      </c>
      <c r="O631" s="28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8"/>
      <c r="AD631" s="10"/>
    </row>
    <row r="632" spans="1:30" s="9" customFormat="1" hidden="1" outlineLevel="1" x14ac:dyDescent="0.35">
      <c r="A632" s="86"/>
      <c r="C632" s="74"/>
      <c r="D632" s="74"/>
      <c r="E632" s="74"/>
      <c r="F632" s="72"/>
      <c r="G632" s="25"/>
      <c r="H632" s="25"/>
      <c r="I632" s="25"/>
      <c r="J632" s="25"/>
      <c r="K632" s="25"/>
      <c r="L632" s="25"/>
      <c r="M632" s="262"/>
      <c r="N632" s="129"/>
      <c r="O632" s="28"/>
      <c r="P632" s="25"/>
      <c r="Q632" s="25"/>
      <c r="R632" s="25"/>
      <c r="S632" s="25"/>
      <c r="T632" s="25"/>
      <c r="U632" s="25"/>
      <c r="V632" s="25"/>
      <c r="W632" s="25"/>
      <c r="X632" s="25"/>
      <c r="Y632" s="25"/>
      <c r="Z632" s="25"/>
      <c r="AA632" s="25"/>
      <c r="AB632" s="25"/>
      <c r="AC632" s="28"/>
      <c r="AD632" s="10"/>
    </row>
    <row r="633" spans="1:30" s="9" customFormat="1" ht="15" hidden="1" customHeight="1" outlineLevel="1" x14ac:dyDescent="0.3">
      <c r="A633" s="86"/>
      <c r="C633" s="74"/>
      <c r="D633" s="74"/>
      <c r="E633" s="74"/>
      <c r="F633" s="72"/>
      <c r="G633" s="25"/>
      <c r="H633" s="25"/>
      <c r="I633" s="25"/>
      <c r="J633" s="25"/>
      <c r="K633" s="25"/>
      <c r="L633" s="25"/>
      <c r="M633" s="262"/>
      <c r="N633" s="153" t="s">
        <v>77</v>
      </c>
      <c r="O633" s="153" t="s">
        <v>144</v>
      </c>
      <c r="P633" s="25"/>
      <c r="Q633" s="171"/>
      <c r="R633" s="171"/>
      <c r="S633" s="25"/>
      <c r="T633" s="25"/>
      <c r="U633" s="25"/>
      <c r="V633" s="25"/>
      <c r="W633" s="25"/>
      <c r="X633" s="25"/>
      <c r="Y633" s="25"/>
      <c r="Z633" s="25"/>
      <c r="AA633" s="25"/>
      <c r="AB633" s="28"/>
      <c r="AC633" s="28"/>
      <c r="AD633" s="10"/>
    </row>
    <row r="634" spans="1:30" s="9" customFormat="1" ht="15" hidden="1" customHeight="1" outlineLevel="1" x14ac:dyDescent="0.35">
      <c r="A634" s="86"/>
      <c r="C634" s="74"/>
      <c r="D634" s="74"/>
      <c r="E634" s="74"/>
      <c r="F634" s="72"/>
      <c r="G634" s="25"/>
      <c r="H634" s="25"/>
      <c r="I634" s="25"/>
      <c r="J634" s="25"/>
      <c r="K634" s="25"/>
      <c r="L634" s="25"/>
      <c r="M634" s="262"/>
      <c r="N634" s="147" t="s">
        <v>65</v>
      </c>
      <c r="O634" s="152">
        <v>0.5</v>
      </c>
      <c r="P634" s="299" t="s">
        <v>140</v>
      </c>
      <c r="Q634" s="299"/>
      <c r="R634" s="299"/>
      <c r="S634" s="25"/>
      <c r="T634" s="25"/>
      <c r="U634" s="25"/>
      <c r="V634" s="25"/>
      <c r="W634" s="25"/>
      <c r="X634" s="25"/>
      <c r="Y634" s="25"/>
      <c r="Z634" s="25"/>
      <c r="AA634" s="25"/>
      <c r="AB634" s="28"/>
      <c r="AC634" s="28"/>
      <c r="AD634" s="10"/>
    </row>
    <row r="635" spans="1:30" s="9" customFormat="1" hidden="1" outlineLevel="1" x14ac:dyDescent="0.35">
      <c r="A635" s="86"/>
      <c r="C635" s="74"/>
      <c r="D635" s="74"/>
      <c r="E635" s="74"/>
      <c r="F635" s="72"/>
      <c r="G635" s="25"/>
      <c r="H635" s="25"/>
      <c r="I635" s="25"/>
      <c r="J635" s="25"/>
      <c r="K635" s="25"/>
      <c r="L635" s="25"/>
      <c r="M635" s="262"/>
      <c r="N635" s="147" t="s">
        <v>66</v>
      </c>
      <c r="O635" s="152">
        <v>0.25</v>
      </c>
      <c r="P635" s="299"/>
      <c r="Q635" s="299"/>
      <c r="R635" s="299"/>
      <c r="S635" s="25"/>
      <c r="T635" s="25"/>
      <c r="U635" s="25"/>
      <c r="V635" s="25"/>
      <c r="W635" s="25"/>
      <c r="X635" s="25"/>
      <c r="Y635" s="25"/>
      <c r="Z635" s="25"/>
      <c r="AA635" s="25"/>
      <c r="AB635" s="28"/>
      <c r="AC635" s="28"/>
      <c r="AD635" s="10"/>
    </row>
    <row r="636" spans="1:30" s="9" customFormat="1" hidden="1" outlineLevel="1" x14ac:dyDescent="0.35">
      <c r="A636" s="86"/>
      <c r="C636" s="74"/>
      <c r="D636" s="74"/>
      <c r="E636" s="74"/>
      <c r="F636" s="72"/>
      <c r="G636" s="25"/>
      <c r="H636" s="25"/>
      <c r="I636" s="25"/>
      <c r="J636" s="25"/>
      <c r="K636" s="25"/>
      <c r="L636" s="25"/>
      <c r="M636" s="262"/>
      <c r="N636" s="28"/>
      <c r="O636" s="28"/>
      <c r="P636" s="299"/>
      <c r="Q636" s="299"/>
      <c r="R636" s="299"/>
      <c r="S636" s="25"/>
      <c r="T636" s="25"/>
      <c r="U636" s="25"/>
      <c r="V636" s="25"/>
      <c r="W636" s="25"/>
      <c r="X636" s="25"/>
      <c r="Y636" s="25"/>
      <c r="Z636" s="25"/>
      <c r="AA636" s="25"/>
      <c r="AB636" s="28"/>
      <c r="AC636" s="28"/>
      <c r="AD636" s="10"/>
    </row>
    <row r="637" spans="1:30" s="9" customFormat="1" hidden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28"/>
      <c r="O637" s="28"/>
      <c r="P637" s="299"/>
      <c r="Q637" s="299"/>
      <c r="R637" s="299"/>
      <c r="S637" s="25"/>
      <c r="T637" s="25"/>
      <c r="U637" s="25"/>
      <c r="V637" s="25"/>
      <c r="W637" s="25"/>
      <c r="X637" s="25"/>
      <c r="Y637" s="25"/>
      <c r="Z637" s="25"/>
      <c r="AA637" s="25"/>
      <c r="AB637" s="28"/>
      <c r="AC637" s="28"/>
      <c r="AD637" s="10"/>
    </row>
    <row r="638" spans="1:30" s="9" customFormat="1" hidden="1" outlineLevel="1" x14ac:dyDescent="0.3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149" t="s">
        <v>133</v>
      </c>
      <c r="O638" s="153" t="s">
        <v>144</v>
      </c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248" t="s">
        <v>23</v>
      </c>
      <c r="O639" s="249">
        <v>0</v>
      </c>
      <c r="P639" s="299" t="s">
        <v>141</v>
      </c>
      <c r="Q639" s="299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t="15" hidden="1" customHeight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248" t="s">
        <v>134</v>
      </c>
      <c r="O640" s="249">
        <v>0.25</v>
      </c>
      <c r="P640" s="299"/>
      <c r="Q640" s="299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48" t="s">
        <v>135</v>
      </c>
      <c r="O641" s="250">
        <v>0.1</v>
      </c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8"/>
      <c r="AC641" s="28"/>
      <c r="AD641" s="10"/>
    </row>
    <row r="642" spans="1:30" s="9" customFormat="1" hidden="1" outlineLevel="1" x14ac:dyDescent="0.35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248" t="s">
        <v>136</v>
      </c>
      <c r="O642" s="250">
        <v>0</v>
      </c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8"/>
      <c r="AC642" s="28"/>
      <c r="AD642" s="10"/>
    </row>
    <row r="643" spans="1:30" s="9" customFormat="1" hidden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248" t="s">
        <v>137</v>
      </c>
      <c r="O643" s="250">
        <v>0</v>
      </c>
      <c r="P643" s="25"/>
      <c r="Q643" s="2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8"/>
      <c r="AC643" s="28"/>
      <c r="AD643" s="10"/>
    </row>
    <row r="644" spans="1:30" s="9" customFormat="1" hidden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248" t="s">
        <v>138</v>
      </c>
      <c r="O644" s="250">
        <v>0</v>
      </c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8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28"/>
      <c r="O645" s="28"/>
      <c r="P645" s="25"/>
      <c r="Q645" s="2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8"/>
      <c r="AC645" s="28"/>
      <c r="AD645" s="10"/>
    </row>
    <row r="646" spans="1:30" s="9" customFormat="1" hidden="1" outlineLevel="1" x14ac:dyDescent="0.3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149" t="s">
        <v>142</v>
      </c>
      <c r="O646" s="153" t="s">
        <v>144</v>
      </c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8"/>
      <c r="AC646" s="28"/>
      <c r="AD646" s="10"/>
    </row>
    <row r="647" spans="1:30" s="9" customFormat="1" ht="15" hidden="1" customHeight="1" outlineLevel="1" x14ac:dyDescent="0.35">
      <c r="A647" s="86"/>
      <c r="C647" s="74"/>
      <c r="D647" s="74"/>
      <c r="E647" s="74"/>
      <c r="F647" s="72"/>
      <c r="G647" s="25"/>
      <c r="H647" s="25"/>
      <c r="I647" s="25"/>
      <c r="J647" s="25"/>
      <c r="K647" s="25"/>
      <c r="L647" s="25"/>
      <c r="M647" s="262"/>
      <c r="N647" s="147" t="str">
        <f>Lists!B46</f>
        <v>Low</v>
      </c>
      <c r="O647" s="152">
        <v>0.1</v>
      </c>
      <c r="P647" s="299" t="s">
        <v>143</v>
      </c>
      <c r="Q647" s="299"/>
      <c r="R647" s="25"/>
      <c r="S647" s="25"/>
      <c r="T647" s="25"/>
      <c r="U647" s="25"/>
      <c r="V647" s="25"/>
      <c r="W647" s="25"/>
      <c r="X647" s="25"/>
      <c r="Y647" s="25"/>
      <c r="Z647" s="25"/>
      <c r="AA647" s="25"/>
      <c r="AB647" s="28"/>
      <c r="AC647" s="28"/>
      <c r="AD647" s="10"/>
    </row>
    <row r="648" spans="1:30" s="9" customFormat="1" hidden="1" outlineLevel="1" x14ac:dyDescent="0.35">
      <c r="A648" s="86"/>
      <c r="C648" s="74"/>
      <c r="D648" s="74"/>
      <c r="E648" s="74"/>
      <c r="F648" s="72"/>
      <c r="G648" s="25"/>
      <c r="H648" s="25"/>
      <c r="I648" s="25"/>
      <c r="J648" s="25"/>
      <c r="K648" s="25"/>
      <c r="L648" s="25"/>
      <c r="M648" s="262"/>
      <c r="N648" s="147" t="str">
        <f>Lists!B47</f>
        <v>Medium</v>
      </c>
      <c r="O648" s="152">
        <v>0.15</v>
      </c>
      <c r="P648" s="299"/>
      <c r="Q648" s="299"/>
      <c r="R648" s="25"/>
      <c r="S648" s="25"/>
      <c r="T648" s="25"/>
      <c r="U648" s="25"/>
      <c r="V648" s="25"/>
      <c r="W648" s="25"/>
      <c r="X648" s="25"/>
      <c r="Y648" s="25"/>
      <c r="Z648" s="25"/>
      <c r="AA648" s="25"/>
      <c r="AB648" s="28"/>
      <c r="AC648" s="28"/>
      <c r="AD648" s="10"/>
    </row>
    <row r="649" spans="1:30" s="9" customFormat="1" hidden="1" outlineLevel="1" x14ac:dyDescent="0.35">
      <c r="A649" s="86"/>
      <c r="C649" s="74"/>
      <c r="D649" s="74"/>
      <c r="E649" s="74"/>
      <c r="F649" s="72"/>
      <c r="G649" s="25"/>
      <c r="H649" s="25"/>
      <c r="I649" s="25"/>
      <c r="J649" s="25"/>
      <c r="K649" s="25"/>
      <c r="L649" s="25"/>
      <c r="M649" s="262"/>
      <c r="N649" s="147" t="str">
        <f>Lists!B48</f>
        <v>High</v>
      </c>
      <c r="O649" s="152">
        <v>0.2</v>
      </c>
      <c r="P649" s="299"/>
      <c r="Q649" s="299"/>
      <c r="R649" s="25"/>
      <c r="S649" s="25"/>
      <c r="T649" s="25"/>
      <c r="U649" s="25"/>
      <c r="V649" s="25"/>
      <c r="W649" s="25"/>
      <c r="X649" s="25"/>
      <c r="Y649" s="25"/>
      <c r="Z649" s="25"/>
      <c r="AA649" s="25"/>
      <c r="AB649" s="28"/>
      <c r="AC649" s="28"/>
      <c r="AD649" s="10"/>
    </row>
    <row r="650" spans="1:30" s="9" customFormat="1" hidden="1" outlineLevel="1" x14ac:dyDescent="0.35">
      <c r="A650" s="86"/>
      <c r="C650" s="74"/>
      <c r="D650" s="74"/>
      <c r="E650" s="74"/>
      <c r="F650" s="72"/>
      <c r="G650" s="25"/>
      <c r="H650" s="25"/>
      <c r="I650" s="25"/>
      <c r="J650" s="25"/>
      <c r="K650" s="25"/>
      <c r="L650" s="25"/>
      <c r="M650" s="262"/>
      <c r="N650" s="28"/>
      <c r="O650" s="28"/>
      <c r="P650" s="25"/>
      <c r="Q650" s="25"/>
      <c r="R650" s="25"/>
      <c r="S650" s="25"/>
      <c r="T650" s="25"/>
      <c r="U650" s="25"/>
      <c r="V650" s="25"/>
      <c r="W650" s="25"/>
      <c r="X650" s="25"/>
      <c r="Y650" s="25"/>
      <c r="Z650" s="25"/>
      <c r="AA650" s="25"/>
      <c r="AB650" s="28"/>
      <c r="AC650" s="28"/>
      <c r="AD650" s="10"/>
    </row>
    <row r="651" spans="1:30" s="9" customFormat="1" ht="20.25" hidden="1" customHeight="1" outlineLevel="1" x14ac:dyDescent="0.35">
      <c r="A651" s="86"/>
      <c r="C651" s="72"/>
      <c r="D651" s="72"/>
      <c r="E651" s="72"/>
      <c r="F651" s="72"/>
      <c r="G651" s="40"/>
      <c r="H651" s="40"/>
      <c r="I651" s="40"/>
      <c r="J651" s="40"/>
      <c r="K651" s="40"/>
      <c r="L651" s="40"/>
      <c r="M651" s="258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10"/>
    </row>
    <row r="652" spans="1:30" x14ac:dyDescent="0.35">
      <c r="F652" s="72"/>
    </row>
    <row r="716" spans="1:30" s="9" customFormat="1" ht="20.25" customHeight="1" x14ac:dyDescent="0.35">
      <c r="A716" s="86"/>
      <c r="C716" s="72"/>
      <c r="D716" s="72"/>
      <c r="E716" s="72"/>
      <c r="F716" s="72"/>
      <c r="G716" s="293" t="s">
        <v>48</v>
      </c>
      <c r="H716" s="293"/>
      <c r="I716" s="165"/>
      <c r="J716" s="40"/>
      <c r="K716" s="40"/>
      <c r="L716" s="36"/>
      <c r="M716" s="265" t="s">
        <v>125</v>
      </c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10"/>
    </row>
    <row r="717" spans="1:30" hidden="1" x14ac:dyDescent="0.35"/>
    <row r="718" spans="1:30" s="14" customFormat="1" ht="18.5" hidden="1" collapsed="1" x14ac:dyDescent="0.35">
      <c r="A718" s="86" t="s">
        <v>98</v>
      </c>
      <c r="B718" s="18"/>
      <c r="C718" s="75"/>
      <c r="D718" s="75"/>
      <c r="E718" s="75"/>
      <c r="F718" s="75"/>
      <c r="G718" s="52"/>
      <c r="H718" s="52"/>
      <c r="I718" s="52"/>
      <c r="J718" s="52"/>
      <c r="K718" s="52"/>
      <c r="L718" s="52" t="s">
        <v>105</v>
      </c>
      <c r="M718" s="261" t="s">
        <v>106</v>
      </c>
      <c r="N718" s="53"/>
      <c r="O718" s="54"/>
      <c r="P718" s="55"/>
      <c r="Q718" s="55"/>
      <c r="R718" s="55"/>
      <c r="S718" s="302">
        <f>CEILING(SUMIFS(T719:T724, J719:J724, "&lt;&gt;Yes", A719:A724,"T1"),1)</f>
        <v>0</v>
      </c>
      <c r="T718" s="302"/>
      <c r="U718" s="55"/>
      <c r="V718" s="55"/>
      <c r="W718" s="55"/>
      <c r="X718" s="55"/>
      <c r="Y718" s="55"/>
      <c r="Z718" s="55"/>
      <c r="AA718" s="55"/>
      <c r="AB718" s="55"/>
      <c r="AC718" s="55"/>
      <c r="AD718" s="23" t="str">
        <f>IF(M718="", "Section name cannot be empty.", "")</f>
        <v/>
      </c>
    </row>
    <row r="719" spans="1:30" s="9" customFormat="1" ht="1.5" hidden="1" customHeight="1" outlineLevel="1" x14ac:dyDescent="0.35">
      <c r="A719" s="86" t="s">
        <v>99</v>
      </c>
      <c r="B719" s="15"/>
      <c r="C719" s="72"/>
      <c r="D719" s="72"/>
      <c r="E719" s="72"/>
      <c r="F719" s="72"/>
      <c r="G719" s="25"/>
      <c r="H719" s="25"/>
      <c r="I719" s="25"/>
      <c r="J719" s="25"/>
      <c r="K719" s="25"/>
      <c r="L719" s="26">
        <v>0</v>
      </c>
      <c r="M719" s="262"/>
      <c r="N719" s="25"/>
      <c r="O719" s="25"/>
      <c r="P719" s="25"/>
      <c r="Q719" s="25"/>
      <c r="R719" s="25"/>
      <c r="S719" s="25"/>
      <c r="T719" s="27"/>
      <c r="U719" s="25"/>
      <c r="V719" s="25"/>
      <c r="W719" s="25"/>
      <c r="X719" s="27"/>
      <c r="Y719" s="25"/>
      <c r="Z719" s="25"/>
      <c r="AA719" s="25"/>
      <c r="AB719" s="28"/>
      <c r="AC719" s="28"/>
      <c r="AD719" s="10"/>
    </row>
    <row r="720" spans="1:30" s="14" customFormat="1" ht="15.5" hidden="1" outlineLevel="1" x14ac:dyDescent="0.35">
      <c r="A720" s="86" t="s">
        <v>100</v>
      </c>
      <c r="B720" s="18"/>
      <c r="C720" s="77"/>
      <c r="D720" s="77"/>
      <c r="E720" s="77"/>
      <c r="F720" s="76"/>
      <c r="G720" s="29"/>
      <c r="H720" s="29"/>
      <c r="I720" s="29"/>
      <c r="J720" s="29"/>
      <c r="K720" s="29"/>
      <c r="L720" s="17">
        <f ca="1">LOOKUP(1000,INDIRECT("L1:"&amp;CELL("address",INDIRECT("R[-1]C",FALSE))))+1</f>
        <v>1</v>
      </c>
      <c r="M720" s="301" t="s">
        <v>108</v>
      </c>
      <c r="N720" s="301"/>
      <c r="O720" s="5"/>
      <c r="P720" s="30"/>
      <c r="Q720" s="30"/>
      <c r="R720" s="30"/>
      <c r="S720" s="30"/>
      <c r="T720" s="155">
        <f>IF($S$6="Exclude", SUMIFS(S721:S723, J721:J723, "&lt;&gt;Yes", G721:G723, "&lt;&gt;Yes"), SUMIFS(S721:S723, J721:J723, "&lt;&gt;Yes"))</f>
        <v>0</v>
      </c>
      <c r="U720" s="30"/>
      <c r="V720" s="30"/>
      <c r="W720" s="30"/>
      <c r="X720" s="31"/>
      <c r="Y720" s="32"/>
      <c r="Z720" s="32"/>
      <c r="AA720" s="32"/>
      <c r="AB720" s="219" t="s">
        <v>439</v>
      </c>
      <c r="AC720" s="33"/>
      <c r="AD720" s="23" t="str">
        <f>IF(M720="", "Error: Task name cannot be empty.", "")</f>
        <v/>
      </c>
    </row>
    <row r="721" spans="1:30" s="12" customFormat="1" ht="1.5" hidden="1" customHeight="1" outlineLevel="2" x14ac:dyDescent="0.35">
      <c r="A721" s="86" t="s">
        <v>101</v>
      </c>
      <c r="B721" s="18"/>
      <c r="C721" s="77"/>
      <c r="D721" s="77"/>
      <c r="E721" s="77"/>
      <c r="F721" s="76"/>
      <c r="G721" s="29"/>
      <c r="H721" s="29"/>
      <c r="I721" s="29"/>
      <c r="J721" s="29"/>
      <c r="K721" s="29"/>
      <c r="L721" s="163">
        <f ca="1">L720</f>
        <v>1</v>
      </c>
      <c r="M721" s="164" t="s">
        <v>105</v>
      </c>
      <c r="N721" s="161"/>
      <c r="O721" s="162"/>
      <c r="P721" s="30"/>
      <c r="Q721" s="30"/>
      <c r="R721" s="30"/>
      <c r="S721" s="30"/>
      <c r="T721" s="155"/>
      <c r="U721" s="30"/>
      <c r="V721" s="30"/>
      <c r="W721" s="30"/>
      <c r="X721" s="31"/>
      <c r="Y721" s="32"/>
      <c r="Z721" s="32"/>
      <c r="AA721" s="32"/>
      <c r="AB721" s="33"/>
      <c r="AC721" s="33"/>
      <c r="AD721" s="23"/>
    </row>
    <row r="722" spans="1:30" ht="58" hidden="1" outlineLevel="2" x14ac:dyDescent="0.35">
      <c r="A722" s="86" t="s">
        <v>0</v>
      </c>
      <c r="B722" s="18"/>
      <c r="C722" s="78"/>
      <c r="D722" s="78"/>
      <c r="E722" s="78"/>
      <c r="F722" s="79"/>
      <c r="G722" s="19" t="s">
        <v>23</v>
      </c>
      <c r="H722" s="19" t="s">
        <v>23</v>
      </c>
      <c r="I722" s="20" t="s">
        <v>23</v>
      </c>
      <c r="J722" s="19" t="s">
        <v>23</v>
      </c>
      <c r="K722" s="35"/>
      <c r="L722" s="19"/>
      <c r="M722" s="263" t="str">
        <f ca="1">IFERROR(OFFSET(M722,-1,,1,1)+0.1,OFFSET(M722,-1,-1,1,1)&amp;".1")</f>
        <v>1.1</v>
      </c>
      <c r="N722" s="20" t="s">
        <v>438</v>
      </c>
      <c r="O722" s="20"/>
      <c r="P722" s="20"/>
      <c r="Q722" s="134"/>
      <c r="R722" s="127"/>
      <c r="S722" s="157">
        <f>CEILING((IF(J722="Yes", 0, IF(H722="-",AA722,AA722+AA722*VLOOKUP(H722,BUFFERS_BY_TYPE,2,FALSE)))) +
   (IF(J722="Yes", 0, IF(H722="-",AA722,AA722+AA722*VLOOKUP(H722,BUFFERS_BY_TYPE,2,FALSE))))*VLOOKUP($S$5, SALES_CALL_SCALE_ARRAY, 2,FALSE),0.25)</f>
        <v>0</v>
      </c>
      <c r="T722" s="158"/>
      <c r="U722" s="21">
        <v>0</v>
      </c>
      <c r="V722" s="21">
        <v>1</v>
      </c>
      <c r="W722" s="21">
        <v>0</v>
      </c>
      <c r="X722" s="156"/>
      <c r="Y722" s="157">
        <f>CEILING((IF(P722=AS_DEV_EFFORT, DEV_EFFORT*Q722%,
                           IF(P722=AS_DURATION_EFFORT, (MANUAL_DURATION*5)*Q722%,
                                    (IF(Q722&lt;=1,X722,
                                          IF(SUM(U722:W722)=0,(Q722*X722),
                                               (((Q722*U722)*(X722+(X722*EXTRA_FOR_H)))+
                                               ((Q722*V722)*X722)+
                                               ((Q722*W722)*(X722-(X722*LESS_FOR_L)))
                                    )*IF(R722=0,1,R722))))))+Z722), 0.25)</f>
        <v>0</v>
      </c>
      <c r="Z722" s="22"/>
      <c r="AA722" s="157">
        <f>Y722+Y722*VLOOKUP(I722,EXTRAS_ARRAY,2,FALSE)</f>
        <v>0</v>
      </c>
      <c r="AB722" s="20" t="s">
        <v>440</v>
      </c>
      <c r="AC722" s="34"/>
      <c r="AD722" s="23" t="str">
        <f>IF(J722&lt;&gt;"Yes",
IF(S722&lt;=0,"Error: Effort value is not defined or is invalid.",
IF(AND(SUM(U722:W722)&gt;0,SUM(U722:W722)&lt;&gt;1),"Error: Complexity % distribution should sum to 100%.",
IF(AND(P722=AS_DEV_EFFORT,X722&lt;&gt;0),"Error: PDs should not be defined when defining as dev effort %.",
IF(AND(P722=AS_DURATION_EFFORT,X722&lt;&gt;0),"Error: PDs should not be defined when defining as duration effort %.","")))))</f>
        <v>Error: Effort value is not defined or is invalid.</v>
      </c>
    </row>
    <row r="723" spans="1:30" s="9" customFormat="1" ht="7.5" hidden="1" customHeight="1" outlineLevel="2" x14ac:dyDescent="0.35">
      <c r="A723" s="86" t="s">
        <v>132</v>
      </c>
      <c r="B723" s="15"/>
      <c r="C723" s="72"/>
      <c r="D723" s="72"/>
      <c r="E723" s="72"/>
      <c r="F723" s="72"/>
      <c r="M723" s="252"/>
      <c r="T723" s="15"/>
      <c r="X723" s="15"/>
      <c r="AB723" s="10"/>
      <c r="AC723" s="10"/>
      <c r="AD723" s="10"/>
    </row>
    <row r="724" spans="1:30" s="9" customFormat="1" ht="1.5" hidden="1" customHeight="1" outlineLevel="1" x14ac:dyDescent="0.35">
      <c r="A724" s="86" t="s">
        <v>102</v>
      </c>
      <c r="C724" s="72"/>
      <c r="D724" s="72"/>
      <c r="E724" s="72"/>
      <c r="F724" s="72"/>
      <c r="G724" s="25"/>
      <c r="H724" s="25"/>
      <c r="I724" s="25"/>
      <c r="J724" s="25"/>
      <c r="K724" s="25"/>
      <c r="L724" s="56"/>
      <c r="M724" s="264"/>
      <c r="N724" s="57"/>
      <c r="O724" s="57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7"/>
      <c r="AC724" s="57"/>
      <c r="AD724" s="10"/>
    </row>
    <row r="725" spans="1:30" hidden="1" collapsed="1" x14ac:dyDescent="0.35"/>
    <row r="726" spans="1:30" s="14" customFormat="1" ht="15.5" hidden="1" outlineLevel="1" x14ac:dyDescent="0.35">
      <c r="A726" s="86" t="s">
        <v>107</v>
      </c>
      <c r="B726" s="18"/>
      <c r="C726" s="77"/>
      <c r="D726" s="77"/>
      <c r="E726" s="77"/>
      <c r="F726" s="76"/>
      <c r="G726" s="170"/>
      <c r="H726" s="170"/>
      <c r="I726" s="170"/>
      <c r="J726" s="170"/>
      <c r="K726" s="170"/>
      <c r="L726" s="85" t="s">
        <v>109</v>
      </c>
      <c r="M726" s="300" t="s">
        <v>124</v>
      </c>
      <c r="N726" s="300"/>
      <c r="O726" s="80"/>
      <c r="P726" s="81"/>
      <c r="Q726" s="81"/>
      <c r="R726" s="81"/>
      <c r="S726" s="291">
        <f>SUMGROUP(ROW(), "T")</f>
        <v>0</v>
      </c>
      <c r="T726" s="291"/>
      <c r="U726" s="292"/>
      <c r="V726" s="292"/>
      <c r="W726" s="292"/>
      <c r="X726" s="82"/>
      <c r="Y726" s="83"/>
      <c r="Z726" s="83"/>
      <c r="AA726" s="83"/>
      <c r="AB726" s="221"/>
      <c r="AC726" s="84"/>
      <c r="AD726" s="23" t="str">
        <f>IF(M726="", "Error: Module name cannot be empty.", "")</f>
        <v/>
      </c>
    </row>
    <row r="727" spans="1:30" hidden="1" x14ac:dyDescent="0.35"/>
    <row r="728" spans="1:30" s="9" customFormat="1" ht="20.25" customHeight="1" x14ac:dyDescent="0.35">
      <c r="A728" s="86"/>
      <c r="C728" s="72"/>
      <c r="D728" s="72"/>
      <c r="E728" s="72"/>
      <c r="F728" s="72"/>
      <c r="G728" s="40"/>
      <c r="H728" s="40"/>
      <c r="I728" s="40"/>
      <c r="J728" s="40"/>
      <c r="K728" s="40"/>
      <c r="L728" s="40"/>
      <c r="M728" s="258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10"/>
    </row>
  </sheetData>
  <sheetProtection algorithmName="SHA-512" hashValue="6+3o4SHiEQE5lcb8HcojqIVmlpJ/38hYGMPex62chMI7hwQxh3rPbmQlY3f65bkBtFAy55m3BxeDfrzRUY3Owg==" saltValue="zG7hNj3RuMgI/m2N4vzOZw==" spinCount="100000" sheet="1" objects="1" scenarios="1"/>
  <dataConsolidate/>
  <mergeCells count="138">
    <mergeCell ref="S259:T259"/>
    <mergeCell ref="U259:W259"/>
    <mergeCell ref="U217:W217"/>
    <mergeCell ref="M227:N227"/>
    <mergeCell ref="M134:N134"/>
    <mergeCell ref="M185:N185"/>
    <mergeCell ref="U302:W302"/>
    <mergeCell ref="M311:N311"/>
    <mergeCell ref="M319:N319"/>
    <mergeCell ref="M318:N318"/>
    <mergeCell ref="S318:T318"/>
    <mergeCell ref="U318:W318"/>
    <mergeCell ref="M271:N271"/>
    <mergeCell ref="M279:N279"/>
    <mergeCell ref="M290:N290"/>
    <mergeCell ref="M303:N303"/>
    <mergeCell ref="M302:N302"/>
    <mergeCell ref="M151:N151"/>
    <mergeCell ref="M252:N252"/>
    <mergeCell ref="M244:N244"/>
    <mergeCell ref="M208:N208"/>
    <mergeCell ref="M160:N160"/>
    <mergeCell ref="S425:T425"/>
    <mergeCell ref="M436:N436"/>
    <mergeCell ref="M435:N435"/>
    <mergeCell ref="S435:T435"/>
    <mergeCell ref="M360:N360"/>
    <mergeCell ref="U435:W435"/>
    <mergeCell ref="U425:W425"/>
    <mergeCell ref="U349:W349"/>
    <mergeCell ref="M96:N96"/>
    <mergeCell ref="M349:N349"/>
    <mergeCell ref="M350:N350"/>
    <mergeCell ref="M169:N169"/>
    <mergeCell ref="S168:T168"/>
    <mergeCell ref="U168:W168"/>
    <mergeCell ref="M177:N177"/>
    <mergeCell ref="M103:N103"/>
    <mergeCell ref="M102:N102"/>
    <mergeCell ref="S102:T102"/>
    <mergeCell ref="U102:W102"/>
    <mergeCell ref="M113:N113"/>
    <mergeCell ref="M126:N126"/>
    <mergeCell ref="M236:N236"/>
    <mergeCell ref="M260:N260"/>
    <mergeCell ref="M259:N259"/>
    <mergeCell ref="M26:N26"/>
    <mergeCell ref="M33:N33"/>
    <mergeCell ref="M41:N41"/>
    <mergeCell ref="M47:N47"/>
    <mergeCell ref="M56:N56"/>
    <mergeCell ref="M478:N478"/>
    <mergeCell ref="M484:N484"/>
    <mergeCell ref="M491:N491"/>
    <mergeCell ref="M454:N454"/>
    <mergeCell ref="M461:N461"/>
    <mergeCell ref="M473:N473"/>
    <mergeCell ref="M449:N449"/>
    <mergeCell ref="M442:N442"/>
    <mergeCell ref="M426:N426"/>
    <mergeCell ref="M425:N425"/>
    <mergeCell ref="M142:N142"/>
    <mergeCell ref="M168:N168"/>
    <mergeCell ref="M193:N193"/>
    <mergeCell ref="M200:N200"/>
    <mergeCell ref="M218:N218"/>
    <mergeCell ref="M217:N217"/>
    <mergeCell ref="M327:N327"/>
    <mergeCell ref="M333:N333"/>
    <mergeCell ref="M441:N441"/>
    <mergeCell ref="Y583:AA587"/>
    <mergeCell ref="U10:W10"/>
    <mergeCell ref="M510:T511"/>
    <mergeCell ref="W571:X572"/>
    <mergeCell ref="W573:X573"/>
    <mergeCell ref="W574:X574"/>
    <mergeCell ref="W575:X575"/>
    <mergeCell ref="W576:X576"/>
    <mergeCell ref="W577:X577"/>
    <mergeCell ref="W578:X578"/>
    <mergeCell ref="W579:X579"/>
    <mergeCell ref="Q579:V579"/>
    <mergeCell ref="M14:N14"/>
    <mergeCell ref="M66:N66"/>
    <mergeCell ref="W581:X582"/>
    <mergeCell ref="S11:T11"/>
    <mergeCell ref="M415:N415"/>
    <mergeCell ref="M339:N339"/>
    <mergeCell ref="M344:N344"/>
    <mergeCell ref="M20:N20"/>
    <mergeCell ref="M71:N71"/>
    <mergeCell ref="M75:N75"/>
    <mergeCell ref="M82:N82"/>
    <mergeCell ref="S64:T64"/>
    <mergeCell ref="C2:F9"/>
    <mergeCell ref="C10:F10"/>
    <mergeCell ref="G9:J9"/>
    <mergeCell ref="G508:H508"/>
    <mergeCell ref="C11:F11"/>
    <mergeCell ref="C12:E12"/>
    <mergeCell ref="G3:J3"/>
    <mergeCell ref="J5:K5"/>
    <mergeCell ref="AB5:AB6"/>
    <mergeCell ref="P10:R10"/>
    <mergeCell ref="S12:T12"/>
    <mergeCell ref="S94:T94"/>
    <mergeCell ref="S433:T433"/>
    <mergeCell ref="S471:T471"/>
    <mergeCell ref="S349:T349"/>
    <mergeCell ref="S217:T217"/>
    <mergeCell ref="S302:T302"/>
    <mergeCell ref="M501:N501"/>
    <mergeCell ref="S499:T499"/>
    <mergeCell ref="S506:T506"/>
    <mergeCell ref="M370:N370"/>
    <mergeCell ref="M384:N384"/>
    <mergeCell ref="M395:N395"/>
    <mergeCell ref="M407:N407"/>
    <mergeCell ref="S441:T441"/>
    <mergeCell ref="U441:W441"/>
    <mergeCell ref="G568:H568"/>
    <mergeCell ref="U726:W726"/>
    <mergeCell ref="Q581:V581"/>
    <mergeCell ref="P571:P572"/>
    <mergeCell ref="G596:H596"/>
    <mergeCell ref="G716:H716"/>
    <mergeCell ref="Q570:V570"/>
    <mergeCell ref="O571:O572"/>
    <mergeCell ref="N608:N610"/>
    <mergeCell ref="P634:R637"/>
    <mergeCell ref="P639:Q640"/>
    <mergeCell ref="P647:Q649"/>
    <mergeCell ref="M726:N726"/>
    <mergeCell ref="M720:N720"/>
    <mergeCell ref="S718:T718"/>
    <mergeCell ref="S726:T726"/>
    <mergeCell ref="T590:U590"/>
    <mergeCell ref="T589:U589"/>
  </mergeCells>
  <conditionalFormatting sqref="B573">
    <cfRule type="cellIs" dxfId="3248" priority="13090" operator="equal">
      <formula>"."</formula>
    </cfRule>
  </conditionalFormatting>
  <conditionalFormatting sqref="C570:E570 C589:E592">
    <cfRule type="expression" dxfId="3247" priority="12970">
      <formula>$H570&lt;&gt;""</formula>
    </cfRule>
  </conditionalFormatting>
  <conditionalFormatting sqref="C571:E579">
    <cfRule type="expression" dxfId="3246" priority="12968">
      <formula>$H571&lt;&gt;""</formula>
    </cfRule>
  </conditionalFormatting>
  <conditionalFormatting sqref="B571">
    <cfRule type="cellIs" dxfId="3245" priority="12964" operator="equal">
      <formula>"."</formula>
    </cfRule>
  </conditionalFormatting>
  <conditionalFormatting sqref="B722">
    <cfRule type="expression" dxfId="3244" priority="12859">
      <formula>AD722&lt;&gt;""</formula>
    </cfRule>
  </conditionalFormatting>
  <conditionalFormatting sqref="Z722">
    <cfRule type="cellIs" dxfId="3243" priority="12857" operator="greaterThan">
      <formula>0</formula>
    </cfRule>
    <cfRule type="cellIs" dxfId="3242" priority="12858" operator="lessThan">
      <formula>0</formula>
    </cfRule>
  </conditionalFormatting>
  <conditionalFormatting sqref="S722">
    <cfRule type="cellIs" dxfId="3241" priority="12856" operator="lessThan">
      <formula>0</formula>
    </cfRule>
  </conditionalFormatting>
  <conditionalFormatting sqref="T720:T721">
    <cfRule type="expression" dxfId="3240" priority="12860">
      <formula>#REF!="Yes"</formula>
    </cfRule>
  </conditionalFormatting>
  <conditionalFormatting sqref="P722">
    <cfRule type="cellIs" dxfId="3239" priority="12853" operator="equal">
      <formula>AS_DURATION_EFFORT</formula>
    </cfRule>
    <cfRule type="cellIs" dxfId="3238" priority="12854" operator="equal">
      <formula>AS_DEV_EFFORT</formula>
    </cfRule>
  </conditionalFormatting>
  <conditionalFormatting sqref="S726">
    <cfRule type="expression" dxfId="3237" priority="12669">
      <formula>#REF!="Yes"</formula>
    </cfRule>
  </conditionalFormatting>
  <conditionalFormatting sqref="B718">
    <cfRule type="expression" dxfId="3236" priority="12661">
      <formula>AD718&lt;&gt;""</formula>
    </cfRule>
  </conditionalFormatting>
  <conditionalFormatting sqref="B720:B721">
    <cfRule type="expression" dxfId="3235" priority="12660">
      <formula>AD720&lt;&gt;""</formula>
    </cfRule>
  </conditionalFormatting>
  <conditionalFormatting sqref="B726">
    <cfRule type="expression" dxfId="3234" priority="12659">
      <formula>AD726&lt;&gt;""</formula>
    </cfRule>
  </conditionalFormatting>
  <conditionalFormatting sqref="L16:AC17 L23:AC24 L28:M28 L35:M35 L43:M43 L49:M49 L58:M58 O28:AC28 O35:AC35 P43:AC43 O49:AC49 P58:AC58 L73:AC73 L68:AC69 L77:AC80 L84:AC91 L60:M61 P60:AC61 N58:O61 L98:AC100 L171:AC175 L179:AC183 L195:AC198 L187:AC191 L202:AC206 L220:AC225 L229:AC234 L238:AC242 L273:AC277 L305:AC309 L329:AC331 L321:AC325 L341:AC342 L346:AC347 L352:AC358 L362:AC368 L386:AC393 L409:AC413 L417:AC423 L428:AC430 L438:AC439 L444:AC447 L451:AC452 L456:AC459 L493:AC496 L503:AC503 L475:AC476 L480:AC482 L488:AC489 L463:AC468 L397:AC405 L372:AC382 L335:AC337 L313:AC316 L292:AC300 L281:AC288 L262:AC269 L722:AC722">
    <cfRule type="expression" dxfId="3233" priority="14948">
      <formula>AND($G16="Yes", $S$6="Exclude")</formula>
    </cfRule>
    <cfRule type="expression" dxfId="3232" priority="14949">
      <formula>$J16="Yes"</formula>
    </cfRule>
  </conditionalFormatting>
  <conditionalFormatting sqref="T5">
    <cfRule type="expression" dxfId="3231" priority="12242">
      <formula>OR($S$5="Reduce by:", $S$5="Increase by:")</formula>
    </cfRule>
  </conditionalFormatting>
  <conditionalFormatting sqref="F722">
    <cfRule type="expression" dxfId="3230" priority="9492">
      <formula>$K722&lt;&gt;""</formula>
    </cfRule>
  </conditionalFormatting>
  <conditionalFormatting sqref="C722">
    <cfRule type="expression" dxfId="3229" priority="9448">
      <formula>$G722&lt;&gt;"-"</formula>
    </cfRule>
  </conditionalFormatting>
  <conditionalFormatting sqref="D722">
    <cfRule type="expression" dxfId="3228" priority="9446">
      <formula>$H722&lt;&gt;"-"</formula>
    </cfRule>
  </conditionalFormatting>
  <conditionalFormatting sqref="E722">
    <cfRule type="expression" dxfId="3227" priority="9445">
      <formula>$I722&lt;&gt;"-"</formula>
    </cfRule>
  </conditionalFormatting>
  <conditionalFormatting sqref="B574">
    <cfRule type="cellIs" dxfId="3226" priority="5889" operator="equal">
      <formula>"."</formula>
    </cfRule>
  </conditionalFormatting>
  <conditionalFormatting sqref="B575">
    <cfRule type="cellIs" dxfId="3225" priority="5888" operator="equal">
      <formula>"."</formula>
    </cfRule>
  </conditionalFormatting>
  <conditionalFormatting sqref="B576">
    <cfRule type="cellIs" dxfId="3224" priority="5887" operator="equal">
      <formula>"."</formula>
    </cfRule>
  </conditionalFormatting>
  <conditionalFormatting sqref="B577">
    <cfRule type="cellIs" dxfId="3223" priority="5886" operator="equal">
      <formula>"."</formula>
    </cfRule>
  </conditionalFormatting>
  <conditionalFormatting sqref="B578">
    <cfRule type="cellIs" dxfId="3222" priority="5885" operator="equal">
      <formula>"."</formula>
    </cfRule>
  </conditionalFormatting>
  <conditionalFormatting sqref="B16">
    <cfRule type="expression" dxfId="3221" priority="5881">
      <formula>AD16&lt;&gt;""</formula>
    </cfRule>
  </conditionalFormatting>
  <conditionalFormatting sqref="Z16">
    <cfRule type="cellIs" dxfId="3220" priority="5879" operator="greaterThan">
      <formula>0</formula>
    </cfRule>
    <cfRule type="cellIs" dxfId="3219" priority="5880" operator="lessThan">
      <formula>0</formula>
    </cfRule>
  </conditionalFormatting>
  <conditionalFormatting sqref="S16">
    <cfRule type="cellIs" dxfId="3218" priority="5878" operator="lessThan">
      <formula>0</formula>
    </cfRule>
  </conditionalFormatting>
  <conditionalFormatting sqref="T14:T15">
    <cfRule type="expression" dxfId="3217" priority="5882">
      <formula>#REF!="Yes"</formula>
    </cfRule>
  </conditionalFormatting>
  <conditionalFormatting sqref="P16">
    <cfRule type="cellIs" dxfId="3216" priority="5876" operator="equal">
      <formula>AS_DURATION_EFFORT</formula>
    </cfRule>
    <cfRule type="cellIs" dxfId="3215" priority="5877" operator="equal">
      <formula>AS_DEV_EFFORT</formula>
    </cfRule>
  </conditionalFormatting>
  <conditionalFormatting sqref="B14:B15">
    <cfRule type="expression" dxfId="3214" priority="5875">
      <formula>AD14&lt;&gt;""</formula>
    </cfRule>
  </conditionalFormatting>
  <conditionalFormatting sqref="F16">
    <cfRule type="expression" dxfId="3213" priority="5874">
      <formula>$K16&lt;&gt;""</formula>
    </cfRule>
  </conditionalFormatting>
  <conditionalFormatting sqref="C16">
    <cfRule type="expression" dxfId="3212" priority="5873">
      <formula>$G16&lt;&gt;"-"</formula>
    </cfRule>
  </conditionalFormatting>
  <conditionalFormatting sqref="D16">
    <cfRule type="expression" dxfId="3211" priority="5872">
      <formula>$H16&lt;&gt;"-"</formula>
    </cfRule>
  </conditionalFormatting>
  <conditionalFormatting sqref="E16">
    <cfRule type="expression" dxfId="3210" priority="5871">
      <formula>$I16&lt;&gt;"-"</formula>
    </cfRule>
  </conditionalFormatting>
  <conditionalFormatting sqref="B17">
    <cfRule type="expression" dxfId="3209" priority="5868">
      <formula>AD17&lt;&gt;""</formula>
    </cfRule>
  </conditionalFormatting>
  <conditionalFormatting sqref="Z17">
    <cfRule type="cellIs" dxfId="3208" priority="5866" operator="greaterThan">
      <formula>0</formula>
    </cfRule>
    <cfRule type="cellIs" dxfId="3207" priority="5867" operator="lessThan">
      <formula>0</formula>
    </cfRule>
  </conditionalFormatting>
  <conditionalFormatting sqref="S17">
    <cfRule type="cellIs" dxfId="3206" priority="5865" operator="lessThan">
      <formula>0</formula>
    </cfRule>
  </conditionalFormatting>
  <conditionalFormatting sqref="P17">
    <cfRule type="cellIs" dxfId="3205" priority="5863" operator="equal">
      <formula>AS_DURATION_EFFORT</formula>
    </cfRule>
    <cfRule type="cellIs" dxfId="3204" priority="5864" operator="equal">
      <formula>AS_DEV_EFFORT</formula>
    </cfRule>
  </conditionalFormatting>
  <conditionalFormatting sqref="F17">
    <cfRule type="expression" dxfId="3203" priority="5862">
      <formula>$K17&lt;&gt;""</formula>
    </cfRule>
  </conditionalFormatting>
  <conditionalFormatting sqref="C17">
    <cfRule type="expression" dxfId="3202" priority="5861">
      <formula>$G17&lt;&gt;"-"</formula>
    </cfRule>
  </conditionalFormatting>
  <conditionalFormatting sqref="D17">
    <cfRule type="expression" dxfId="3201" priority="5860">
      <formula>$H17&lt;&gt;"-"</formula>
    </cfRule>
  </conditionalFormatting>
  <conditionalFormatting sqref="E17">
    <cfRule type="expression" dxfId="3200" priority="5859">
      <formula>$I17&lt;&gt;"-"</formula>
    </cfRule>
  </conditionalFormatting>
  <conditionalFormatting sqref="B68">
    <cfRule type="expression" dxfId="3199" priority="5855">
      <formula>AD68&lt;&gt;""</formula>
    </cfRule>
  </conditionalFormatting>
  <conditionalFormatting sqref="Z68">
    <cfRule type="cellIs" dxfId="3198" priority="5853" operator="greaterThan">
      <formula>0</formula>
    </cfRule>
    <cfRule type="cellIs" dxfId="3197" priority="5854" operator="lessThan">
      <formula>0</formula>
    </cfRule>
  </conditionalFormatting>
  <conditionalFormatting sqref="S68">
    <cfRule type="cellIs" dxfId="3196" priority="5852" operator="lessThan">
      <formula>0</formula>
    </cfRule>
  </conditionalFormatting>
  <conditionalFormatting sqref="T66:T67">
    <cfRule type="expression" dxfId="3195" priority="5856">
      <formula>#REF!="Yes"</formula>
    </cfRule>
  </conditionalFormatting>
  <conditionalFormatting sqref="P68">
    <cfRule type="cellIs" dxfId="3194" priority="5850" operator="equal">
      <formula>AS_DURATION_EFFORT</formula>
    </cfRule>
    <cfRule type="cellIs" dxfId="3193" priority="5851" operator="equal">
      <formula>AS_DEV_EFFORT</formula>
    </cfRule>
  </conditionalFormatting>
  <conditionalFormatting sqref="B66:B67">
    <cfRule type="expression" dxfId="3192" priority="5849">
      <formula>AD66&lt;&gt;""</formula>
    </cfRule>
  </conditionalFormatting>
  <conditionalFormatting sqref="F68">
    <cfRule type="expression" dxfId="3191" priority="5848">
      <formula>$K68&lt;&gt;""</formula>
    </cfRule>
  </conditionalFormatting>
  <conditionalFormatting sqref="C68">
    <cfRule type="expression" dxfId="3190" priority="5847">
      <formula>$G68&lt;&gt;"-"</formula>
    </cfRule>
  </conditionalFormatting>
  <conditionalFormatting sqref="D68">
    <cfRule type="expression" dxfId="3189" priority="5846">
      <formula>$H68&lt;&gt;"-"</formula>
    </cfRule>
  </conditionalFormatting>
  <conditionalFormatting sqref="E68">
    <cfRule type="expression" dxfId="3188" priority="5845">
      <formula>$I68&lt;&gt;"-"</formula>
    </cfRule>
  </conditionalFormatting>
  <conditionalFormatting sqref="B98">
    <cfRule type="expression" dxfId="3187" priority="5785">
      <formula>AD98&lt;&gt;""</formula>
    </cfRule>
  </conditionalFormatting>
  <conditionalFormatting sqref="Z98">
    <cfRule type="cellIs" dxfId="3186" priority="5783" operator="greaterThan">
      <formula>0</formula>
    </cfRule>
    <cfRule type="cellIs" dxfId="3185" priority="5784" operator="lessThan">
      <formula>0</formula>
    </cfRule>
  </conditionalFormatting>
  <conditionalFormatting sqref="S98">
    <cfRule type="cellIs" dxfId="3184" priority="5782" operator="lessThan">
      <formula>0</formula>
    </cfRule>
  </conditionalFormatting>
  <conditionalFormatting sqref="T96:T97">
    <cfRule type="expression" dxfId="3183" priority="5786">
      <formula>#REF!="Yes"</formula>
    </cfRule>
  </conditionalFormatting>
  <conditionalFormatting sqref="P98">
    <cfRule type="cellIs" dxfId="3182" priority="5780" operator="equal">
      <formula>AS_DURATION_EFFORT</formula>
    </cfRule>
    <cfRule type="cellIs" dxfId="3181" priority="5781" operator="equal">
      <formula>AS_DEV_EFFORT</formula>
    </cfRule>
  </conditionalFormatting>
  <conditionalFormatting sqref="B96:B97">
    <cfRule type="expression" dxfId="3180" priority="5779">
      <formula>AD96&lt;&gt;""</formula>
    </cfRule>
  </conditionalFormatting>
  <conditionalFormatting sqref="F98">
    <cfRule type="expression" dxfId="3179" priority="5778">
      <formula>$K98&lt;&gt;""</formula>
    </cfRule>
  </conditionalFormatting>
  <conditionalFormatting sqref="C98">
    <cfRule type="expression" dxfId="3178" priority="5777">
      <formula>$G98&lt;&gt;"-"</formula>
    </cfRule>
  </conditionalFormatting>
  <conditionalFormatting sqref="D98">
    <cfRule type="expression" dxfId="3177" priority="5776">
      <formula>$H98&lt;&gt;"-"</formula>
    </cfRule>
  </conditionalFormatting>
  <conditionalFormatting sqref="E98">
    <cfRule type="expression" dxfId="3176" priority="5775">
      <formula>$I98&lt;&gt;"-"</formula>
    </cfRule>
  </conditionalFormatting>
  <conditionalFormatting sqref="B23">
    <cfRule type="expression" dxfId="3175" priority="5723">
      <formula>AD23&lt;&gt;""</formula>
    </cfRule>
  </conditionalFormatting>
  <conditionalFormatting sqref="Z23">
    <cfRule type="cellIs" dxfId="3174" priority="5721" operator="greaterThan">
      <formula>0</formula>
    </cfRule>
    <cfRule type="cellIs" dxfId="3173" priority="5722" operator="lessThan">
      <formula>0</formula>
    </cfRule>
  </conditionalFormatting>
  <conditionalFormatting sqref="S23">
    <cfRule type="cellIs" dxfId="3172" priority="5720" operator="lessThan">
      <formula>0</formula>
    </cfRule>
  </conditionalFormatting>
  <conditionalFormatting sqref="T20:T21">
    <cfRule type="expression" dxfId="3171" priority="5724">
      <formula>#REF!="Yes"</formula>
    </cfRule>
  </conditionalFormatting>
  <conditionalFormatting sqref="P23">
    <cfRule type="cellIs" dxfId="3170" priority="5718" operator="equal">
      <formula>AS_DURATION_EFFORT</formula>
    </cfRule>
    <cfRule type="cellIs" dxfId="3169" priority="5719" operator="equal">
      <formula>AS_DEV_EFFORT</formula>
    </cfRule>
  </conditionalFormatting>
  <conditionalFormatting sqref="B20:B21">
    <cfRule type="expression" dxfId="3168" priority="5717">
      <formula>AD20&lt;&gt;""</formula>
    </cfRule>
  </conditionalFormatting>
  <conditionalFormatting sqref="F23">
    <cfRule type="expression" dxfId="3167" priority="5716">
      <formula>$K23&lt;&gt;""</formula>
    </cfRule>
  </conditionalFormatting>
  <conditionalFormatting sqref="C23">
    <cfRule type="expression" dxfId="3166" priority="5715">
      <formula>$G23&lt;&gt;"-"</formula>
    </cfRule>
  </conditionalFormatting>
  <conditionalFormatting sqref="D23">
    <cfRule type="expression" dxfId="3165" priority="5714">
      <formula>$H23&lt;&gt;"-"</formula>
    </cfRule>
  </conditionalFormatting>
  <conditionalFormatting sqref="E23">
    <cfRule type="expression" dxfId="3164" priority="5713">
      <formula>$I23&lt;&gt;"-"</formula>
    </cfRule>
  </conditionalFormatting>
  <conditionalFormatting sqref="B24">
    <cfRule type="expression" dxfId="3163" priority="5710">
      <formula>AD24&lt;&gt;""</formula>
    </cfRule>
  </conditionalFormatting>
  <conditionalFormatting sqref="Z24">
    <cfRule type="cellIs" dxfId="3162" priority="5708" operator="greaterThan">
      <formula>0</formula>
    </cfRule>
    <cfRule type="cellIs" dxfId="3161" priority="5709" operator="lessThan">
      <formula>0</formula>
    </cfRule>
  </conditionalFormatting>
  <conditionalFormatting sqref="S24">
    <cfRule type="cellIs" dxfId="3160" priority="5707" operator="lessThan">
      <formula>0</formula>
    </cfRule>
  </conditionalFormatting>
  <conditionalFormatting sqref="P24">
    <cfRule type="cellIs" dxfId="3159" priority="5705" operator="equal">
      <formula>AS_DURATION_EFFORT</formula>
    </cfRule>
    <cfRule type="cellIs" dxfId="3158" priority="5706" operator="equal">
      <formula>AS_DEV_EFFORT</formula>
    </cfRule>
  </conditionalFormatting>
  <conditionalFormatting sqref="F24">
    <cfRule type="expression" dxfId="3157" priority="5704">
      <formula>$K24&lt;&gt;""</formula>
    </cfRule>
  </conditionalFormatting>
  <conditionalFormatting sqref="C24">
    <cfRule type="expression" dxfId="3156" priority="5703">
      <formula>$G24&lt;&gt;"-"</formula>
    </cfRule>
  </conditionalFormatting>
  <conditionalFormatting sqref="D24">
    <cfRule type="expression" dxfId="3155" priority="5702">
      <formula>$H24&lt;&gt;"-"</formula>
    </cfRule>
  </conditionalFormatting>
  <conditionalFormatting sqref="E24">
    <cfRule type="expression" dxfId="3154" priority="5701">
      <formula>$I24&lt;&gt;"-"</formula>
    </cfRule>
  </conditionalFormatting>
  <conditionalFormatting sqref="B73">
    <cfRule type="expression" dxfId="3153" priority="5647">
      <formula>AD73&lt;&gt;""</formula>
    </cfRule>
  </conditionalFormatting>
  <conditionalFormatting sqref="Z73">
    <cfRule type="cellIs" dxfId="3152" priority="5645" operator="greaterThan">
      <formula>0</formula>
    </cfRule>
    <cfRule type="cellIs" dxfId="3151" priority="5646" operator="lessThan">
      <formula>0</formula>
    </cfRule>
  </conditionalFormatting>
  <conditionalFormatting sqref="S73">
    <cfRule type="cellIs" dxfId="3150" priority="5644" operator="lessThan">
      <formula>0</formula>
    </cfRule>
  </conditionalFormatting>
  <conditionalFormatting sqref="T71:T72">
    <cfRule type="expression" dxfId="3149" priority="5648">
      <formula>#REF!="Yes"</formula>
    </cfRule>
  </conditionalFormatting>
  <conditionalFormatting sqref="P73">
    <cfRule type="cellIs" dxfId="3148" priority="5642" operator="equal">
      <formula>AS_DURATION_EFFORT</formula>
    </cfRule>
    <cfRule type="cellIs" dxfId="3147" priority="5643" operator="equal">
      <formula>AS_DEV_EFFORT</formula>
    </cfRule>
  </conditionalFormatting>
  <conditionalFormatting sqref="B71:B72">
    <cfRule type="expression" dxfId="3146" priority="5641">
      <formula>AD71&lt;&gt;""</formula>
    </cfRule>
  </conditionalFormatting>
  <conditionalFormatting sqref="F73">
    <cfRule type="expression" dxfId="3145" priority="5640">
      <formula>$K73&lt;&gt;""</formula>
    </cfRule>
  </conditionalFormatting>
  <conditionalFormatting sqref="C73">
    <cfRule type="expression" dxfId="3144" priority="5639">
      <formula>$G73&lt;&gt;"-"</formula>
    </cfRule>
  </conditionalFormatting>
  <conditionalFormatting sqref="D73">
    <cfRule type="expression" dxfId="3143" priority="5638">
      <formula>$H73&lt;&gt;"-"</formula>
    </cfRule>
  </conditionalFormatting>
  <conditionalFormatting sqref="E73">
    <cfRule type="expression" dxfId="3142" priority="5637">
      <formula>$I73&lt;&gt;"-"</formula>
    </cfRule>
  </conditionalFormatting>
  <conditionalFormatting sqref="B77">
    <cfRule type="expression" dxfId="3141" priority="5633">
      <formula>AD77&lt;&gt;""</formula>
    </cfRule>
  </conditionalFormatting>
  <conditionalFormatting sqref="Z77">
    <cfRule type="cellIs" dxfId="3140" priority="5631" operator="greaterThan">
      <formula>0</formula>
    </cfRule>
    <cfRule type="cellIs" dxfId="3139" priority="5632" operator="lessThan">
      <formula>0</formula>
    </cfRule>
  </conditionalFormatting>
  <conditionalFormatting sqref="S77">
    <cfRule type="cellIs" dxfId="3138" priority="5630" operator="lessThan">
      <formula>0</formula>
    </cfRule>
  </conditionalFormatting>
  <conditionalFormatting sqref="T75:T76">
    <cfRule type="expression" dxfId="3137" priority="5634">
      <formula>#REF!="Yes"</formula>
    </cfRule>
  </conditionalFormatting>
  <conditionalFormatting sqref="P77">
    <cfRule type="cellIs" dxfId="3136" priority="5628" operator="equal">
      <formula>AS_DURATION_EFFORT</formula>
    </cfRule>
    <cfRule type="cellIs" dxfId="3135" priority="5629" operator="equal">
      <formula>AS_DEV_EFFORT</formula>
    </cfRule>
  </conditionalFormatting>
  <conditionalFormatting sqref="B75:B76">
    <cfRule type="expression" dxfId="3134" priority="5627">
      <formula>AD75&lt;&gt;""</formula>
    </cfRule>
  </conditionalFormatting>
  <conditionalFormatting sqref="F77">
    <cfRule type="expression" dxfId="3133" priority="5626">
      <formula>$K77&lt;&gt;""</formula>
    </cfRule>
  </conditionalFormatting>
  <conditionalFormatting sqref="C77">
    <cfRule type="expression" dxfId="3132" priority="5625">
      <formula>$G77&lt;&gt;"-"</formula>
    </cfRule>
  </conditionalFormatting>
  <conditionalFormatting sqref="D77">
    <cfRule type="expression" dxfId="3131" priority="5624">
      <formula>$H77&lt;&gt;"-"</formula>
    </cfRule>
  </conditionalFormatting>
  <conditionalFormatting sqref="E77">
    <cfRule type="expression" dxfId="3130" priority="5623">
      <formula>$I77&lt;&gt;"-"</formula>
    </cfRule>
  </conditionalFormatting>
  <conditionalFormatting sqref="B84">
    <cfRule type="expression" dxfId="3129" priority="5619">
      <formula>AD84&lt;&gt;""</formula>
    </cfRule>
  </conditionalFormatting>
  <conditionalFormatting sqref="Z84">
    <cfRule type="cellIs" dxfId="3128" priority="5617" operator="greaterThan">
      <formula>0</formula>
    </cfRule>
    <cfRule type="cellIs" dxfId="3127" priority="5618" operator="lessThan">
      <formula>0</formula>
    </cfRule>
  </conditionalFormatting>
  <conditionalFormatting sqref="S84">
    <cfRule type="cellIs" dxfId="3126" priority="5616" operator="lessThan">
      <formula>0</formula>
    </cfRule>
  </conditionalFormatting>
  <conditionalFormatting sqref="T82:T83">
    <cfRule type="expression" dxfId="3125" priority="5620">
      <formula>#REF!="Yes"</formula>
    </cfRule>
  </conditionalFormatting>
  <conditionalFormatting sqref="P84">
    <cfRule type="cellIs" dxfId="3124" priority="5614" operator="equal">
      <formula>AS_DURATION_EFFORT</formula>
    </cfRule>
    <cfRule type="cellIs" dxfId="3123" priority="5615" operator="equal">
      <formula>AS_DEV_EFFORT</formula>
    </cfRule>
  </conditionalFormatting>
  <conditionalFormatting sqref="B82:B83">
    <cfRule type="expression" dxfId="3122" priority="5613">
      <formula>AD82&lt;&gt;""</formula>
    </cfRule>
  </conditionalFormatting>
  <conditionalFormatting sqref="F84">
    <cfRule type="expression" dxfId="3121" priority="5612">
      <formula>$K84&lt;&gt;""</formula>
    </cfRule>
  </conditionalFormatting>
  <conditionalFormatting sqref="C84">
    <cfRule type="expression" dxfId="3120" priority="5611">
      <formula>$G84&lt;&gt;"-"</formula>
    </cfRule>
  </conditionalFormatting>
  <conditionalFormatting sqref="D84">
    <cfRule type="expression" dxfId="3119" priority="5610">
      <formula>$H84&lt;&gt;"-"</formula>
    </cfRule>
  </conditionalFormatting>
  <conditionalFormatting sqref="E84">
    <cfRule type="expression" dxfId="3118" priority="5609">
      <formula>$I84&lt;&gt;"-"</formula>
    </cfRule>
  </conditionalFormatting>
  <conditionalFormatting sqref="B69">
    <cfRule type="expression" dxfId="3117" priority="5578">
      <formula>AD69&lt;&gt;""</formula>
    </cfRule>
  </conditionalFormatting>
  <conditionalFormatting sqref="Z69">
    <cfRule type="cellIs" dxfId="3116" priority="5576" operator="greaterThan">
      <formula>0</formula>
    </cfRule>
    <cfRule type="cellIs" dxfId="3115" priority="5577" operator="lessThan">
      <formula>0</formula>
    </cfRule>
  </conditionalFormatting>
  <conditionalFormatting sqref="S69">
    <cfRule type="cellIs" dxfId="3114" priority="5575" operator="lessThan">
      <formula>0</formula>
    </cfRule>
  </conditionalFormatting>
  <conditionalFormatting sqref="P69">
    <cfRule type="cellIs" dxfId="3113" priority="5573" operator="equal">
      <formula>AS_DURATION_EFFORT</formula>
    </cfRule>
    <cfRule type="cellIs" dxfId="3112" priority="5574" operator="equal">
      <formula>AS_DEV_EFFORT</formula>
    </cfRule>
  </conditionalFormatting>
  <conditionalFormatting sqref="F69">
    <cfRule type="expression" dxfId="3111" priority="5572">
      <formula>$K69&lt;&gt;""</formula>
    </cfRule>
  </conditionalFormatting>
  <conditionalFormatting sqref="C69">
    <cfRule type="expression" dxfId="3110" priority="5571">
      <formula>$G69&lt;&gt;"-"</formula>
    </cfRule>
  </conditionalFormatting>
  <conditionalFormatting sqref="D69">
    <cfRule type="expression" dxfId="3109" priority="5570">
      <formula>$H69&lt;&gt;"-"</formula>
    </cfRule>
  </conditionalFormatting>
  <conditionalFormatting sqref="E69">
    <cfRule type="expression" dxfId="3108" priority="5569">
      <formula>$I69&lt;&gt;"-"</formula>
    </cfRule>
  </conditionalFormatting>
  <conditionalFormatting sqref="B78">
    <cfRule type="expression" dxfId="3107" priority="5566">
      <formula>AD78&lt;&gt;""</formula>
    </cfRule>
  </conditionalFormatting>
  <conditionalFormatting sqref="Z78">
    <cfRule type="cellIs" dxfId="3106" priority="5564" operator="greaterThan">
      <formula>0</formula>
    </cfRule>
    <cfRule type="cellIs" dxfId="3105" priority="5565" operator="lessThan">
      <formula>0</formula>
    </cfRule>
  </conditionalFormatting>
  <conditionalFormatting sqref="S78">
    <cfRule type="cellIs" dxfId="3104" priority="5563" operator="lessThan">
      <formula>0</formula>
    </cfRule>
  </conditionalFormatting>
  <conditionalFormatting sqref="P78">
    <cfRule type="cellIs" dxfId="3103" priority="5561" operator="equal">
      <formula>AS_DURATION_EFFORT</formula>
    </cfRule>
    <cfRule type="cellIs" dxfId="3102" priority="5562" operator="equal">
      <formula>AS_DEV_EFFORT</formula>
    </cfRule>
  </conditionalFormatting>
  <conditionalFormatting sqref="F78">
    <cfRule type="expression" dxfId="3101" priority="5560">
      <formula>$K78&lt;&gt;""</formula>
    </cfRule>
  </conditionalFormatting>
  <conditionalFormatting sqref="C78">
    <cfRule type="expression" dxfId="3100" priority="5559">
      <formula>$G78&lt;&gt;"-"</formula>
    </cfRule>
  </conditionalFormatting>
  <conditionalFormatting sqref="D78">
    <cfRule type="expression" dxfId="3099" priority="5558">
      <formula>$H78&lt;&gt;"-"</formula>
    </cfRule>
  </conditionalFormatting>
  <conditionalFormatting sqref="E78">
    <cfRule type="expression" dxfId="3098" priority="5557">
      <formula>$I78&lt;&gt;"-"</formula>
    </cfRule>
  </conditionalFormatting>
  <conditionalFormatting sqref="B79">
    <cfRule type="expression" dxfId="3097" priority="5554">
      <formula>AD79&lt;&gt;""</formula>
    </cfRule>
  </conditionalFormatting>
  <conditionalFormatting sqref="Z79">
    <cfRule type="cellIs" dxfId="3096" priority="5552" operator="greaterThan">
      <formula>0</formula>
    </cfRule>
    <cfRule type="cellIs" dxfId="3095" priority="5553" operator="lessThan">
      <formula>0</formula>
    </cfRule>
  </conditionalFormatting>
  <conditionalFormatting sqref="S79">
    <cfRule type="cellIs" dxfId="3094" priority="5551" operator="lessThan">
      <formula>0</formula>
    </cfRule>
  </conditionalFormatting>
  <conditionalFormatting sqref="P79">
    <cfRule type="cellIs" dxfId="3093" priority="5549" operator="equal">
      <formula>AS_DURATION_EFFORT</formula>
    </cfRule>
    <cfRule type="cellIs" dxfId="3092" priority="5550" operator="equal">
      <formula>AS_DEV_EFFORT</formula>
    </cfRule>
  </conditionalFormatting>
  <conditionalFormatting sqref="F79">
    <cfRule type="expression" dxfId="3091" priority="5548">
      <formula>$K79&lt;&gt;""</formula>
    </cfRule>
  </conditionalFormatting>
  <conditionalFormatting sqref="C79">
    <cfRule type="expression" dxfId="3090" priority="5547">
      <formula>$G79&lt;&gt;"-"</formula>
    </cfRule>
  </conditionalFormatting>
  <conditionalFormatting sqref="D79">
    <cfRule type="expression" dxfId="3089" priority="5546">
      <formula>$H79&lt;&gt;"-"</formula>
    </cfRule>
  </conditionalFormatting>
  <conditionalFormatting sqref="E79">
    <cfRule type="expression" dxfId="3088" priority="5545">
      <formula>$I79&lt;&gt;"-"</formula>
    </cfRule>
  </conditionalFormatting>
  <conditionalFormatting sqref="B80">
    <cfRule type="expression" dxfId="3087" priority="5542">
      <formula>AD80&lt;&gt;""</formula>
    </cfRule>
  </conditionalFormatting>
  <conditionalFormatting sqref="Z80">
    <cfRule type="cellIs" dxfId="3086" priority="5540" operator="greaterThan">
      <formula>0</formula>
    </cfRule>
    <cfRule type="cellIs" dxfId="3085" priority="5541" operator="lessThan">
      <formula>0</formula>
    </cfRule>
  </conditionalFormatting>
  <conditionalFormatting sqref="S80">
    <cfRule type="cellIs" dxfId="3084" priority="5539" operator="lessThan">
      <formula>0</formula>
    </cfRule>
  </conditionalFormatting>
  <conditionalFormatting sqref="P80">
    <cfRule type="cellIs" dxfId="3083" priority="5537" operator="equal">
      <formula>AS_DURATION_EFFORT</formula>
    </cfRule>
    <cfRule type="cellIs" dxfId="3082" priority="5538" operator="equal">
      <formula>AS_DEV_EFFORT</formula>
    </cfRule>
  </conditionalFormatting>
  <conditionalFormatting sqref="F80">
    <cfRule type="expression" dxfId="3081" priority="5536">
      <formula>$K80&lt;&gt;""</formula>
    </cfRule>
  </conditionalFormatting>
  <conditionalFormatting sqref="C80">
    <cfRule type="expression" dxfId="3080" priority="5535">
      <formula>$G80&lt;&gt;"-"</formula>
    </cfRule>
  </conditionalFormatting>
  <conditionalFormatting sqref="D80">
    <cfRule type="expression" dxfId="3079" priority="5534">
      <formula>$H80&lt;&gt;"-"</formula>
    </cfRule>
  </conditionalFormatting>
  <conditionalFormatting sqref="E80">
    <cfRule type="expression" dxfId="3078" priority="5533">
      <formula>$I80&lt;&gt;"-"</formula>
    </cfRule>
  </conditionalFormatting>
  <conditionalFormatting sqref="B91">
    <cfRule type="expression" dxfId="3077" priority="5494">
      <formula>AD91&lt;&gt;""</formula>
    </cfRule>
  </conditionalFormatting>
  <conditionalFormatting sqref="Z91">
    <cfRule type="cellIs" dxfId="3076" priority="5492" operator="greaterThan">
      <formula>0</formula>
    </cfRule>
    <cfRule type="cellIs" dxfId="3075" priority="5493" operator="lessThan">
      <formula>0</formula>
    </cfRule>
  </conditionalFormatting>
  <conditionalFormatting sqref="S91">
    <cfRule type="cellIs" dxfId="3074" priority="5491" operator="lessThan">
      <formula>0</formula>
    </cfRule>
  </conditionalFormatting>
  <conditionalFormatting sqref="P91">
    <cfRule type="cellIs" dxfId="3073" priority="5489" operator="equal">
      <formula>AS_DURATION_EFFORT</formula>
    </cfRule>
    <cfRule type="cellIs" dxfId="3072" priority="5490" operator="equal">
      <formula>AS_DEV_EFFORT</formula>
    </cfRule>
  </conditionalFormatting>
  <conditionalFormatting sqref="F91">
    <cfRule type="expression" dxfId="3071" priority="5488">
      <formula>$K91&lt;&gt;""</formula>
    </cfRule>
  </conditionalFormatting>
  <conditionalFormatting sqref="C91">
    <cfRule type="expression" dxfId="3070" priority="5487">
      <formula>$G91&lt;&gt;"-"</formula>
    </cfRule>
  </conditionalFormatting>
  <conditionalFormatting sqref="D91">
    <cfRule type="expression" dxfId="3069" priority="5486">
      <formula>$H91&lt;&gt;"-"</formula>
    </cfRule>
  </conditionalFormatting>
  <conditionalFormatting sqref="E91">
    <cfRule type="expression" dxfId="3068" priority="5485">
      <formula>$I91&lt;&gt;"-"</formula>
    </cfRule>
  </conditionalFormatting>
  <conditionalFormatting sqref="B90">
    <cfRule type="expression" dxfId="3067" priority="5482">
      <formula>AD90&lt;&gt;""</formula>
    </cfRule>
  </conditionalFormatting>
  <conditionalFormatting sqref="Z90">
    <cfRule type="cellIs" dxfId="3066" priority="5480" operator="greaterThan">
      <formula>0</formula>
    </cfRule>
    <cfRule type="cellIs" dxfId="3065" priority="5481" operator="lessThan">
      <formula>0</formula>
    </cfRule>
  </conditionalFormatting>
  <conditionalFormatting sqref="S90">
    <cfRule type="cellIs" dxfId="3064" priority="5479" operator="lessThan">
      <formula>0</formula>
    </cfRule>
  </conditionalFormatting>
  <conditionalFormatting sqref="P90">
    <cfRule type="cellIs" dxfId="3063" priority="5477" operator="equal">
      <formula>AS_DURATION_EFFORT</formula>
    </cfRule>
    <cfRule type="cellIs" dxfId="3062" priority="5478" operator="equal">
      <formula>AS_DEV_EFFORT</formula>
    </cfRule>
  </conditionalFormatting>
  <conditionalFormatting sqref="F90">
    <cfRule type="expression" dxfId="3061" priority="5476">
      <formula>$K90&lt;&gt;""</formula>
    </cfRule>
  </conditionalFormatting>
  <conditionalFormatting sqref="C90">
    <cfRule type="expression" dxfId="3060" priority="5475">
      <formula>$G90&lt;&gt;"-"</formula>
    </cfRule>
  </conditionalFormatting>
  <conditionalFormatting sqref="D90">
    <cfRule type="expression" dxfId="3059" priority="5474">
      <formula>$H90&lt;&gt;"-"</formula>
    </cfRule>
  </conditionalFormatting>
  <conditionalFormatting sqref="E90">
    <cfRule type="expression" dxfId="3058" priority="5473">
      <formula>$I90&lt;&gt;"-"</formula>
    </cfRule>
  </conditionalFormatting>
  <conditionalFormatting sqref="B89">
    <cfRule type="expression" dxfId="3057" priority="5470">
      <formula>AD89&lt;&gt;""</formula>
    </cfRule>
  </conditionalFormatting>
  <conditionalFormatting sqref="Z89">
    <cfRule type="cellIs" dxfId="3056" priority="5468" operator="greaterThan">
      <formula>0</formula>
    </cfRule>
    <cfRule type="cellIs" dxfId="3055" priority="5469" operator="lessThan">
      <formula>0</formula>
    </cfRule>
  </conditionalFormatting>
  <conditionalFormatting sqref="S89">
    <cfRule type="cellIs" dxfId="3054" priority="5467" operator="lessThan">
      <formula>0</formula>
    </cfRule>
  </conditionalFormatting>
  <conditionalFormatting sqref="P89">
    <cfRule type="cellIs" dxfId="3053" priority="5465" operator="equal">
      <formula>AS_DURATION_EFFORT</formula>
    </cfRule>
    <cfRule type="cellIs" dxfId="3052" priority="5466" operator="equal">
      <formula>AS_DEV_EFFORT</formula>
    </cfRule>
  </conditionalFormatting>
  <conditionalFormatting sqref="F89">
    <cfRule type="expression" dxfId="3051" priority="5464">
      <formula>$K89&lt;&gt;""</formula>
    </cfRule>
  </conditionalFormatting>
  <conditionalFormatting sqref="C89">
    <cfRule type="expression" dxfId="3050" priority="5463">
      <formula>$G89&lt;&gt;"-"</formula>
    </cfRule>
  </conditionalFormatting>
  <conditionalFormatting sqref="D89">
    <cfRule type="expression" dxfId="3049" priority="5462">
      <formula>$H89&lt;&gt;"-"</formula>
    </cfRule>
  </conditionalFormatting>
  <conditionalFormatting sqref="E89">
    <cfRule type="expression" dxfId="3048" priority="5461">
      <formula>$I89&lt;&gt;"-"</formula>
    </cfRule>
  </conditionalFormatting>
  <conditionalFormatting sqref="B88">
    <cfRule type="expression" dxfId="3047" priority="5458">
      <formula>AD88&lt;&gt;""</formula>
    </cfRule>
  </conditionalFormatting>
  <conditionalFormatting sqref="Z88">
    <cfRule type="cellIs" dxfId="3046" priority="5456" operator="greaterThan">
      <formula>0</formula>
    </cfRule>
    <cfRule type="cellIs" dxfId="3045" priority="5457" operator="lessThan">
      <formula>0</formula>
    </cfRule>
  </conditionalFormatting>
  <conditionalFormatting sqref="S88">
    <cfRule type="cellIs" dxfId="3044" priority="5455" operator="lessThan">
      <formula>0</formula>
    </cfRule>
  </conditionalFormatting>
  <conditionalFormatting sqref="P88">
    <cfRule type="cellIs" dxfId="3043" priority="5453" operator="equal">
      <formula>AS_DURATION_EFFORT</formula>
    </cfRule>
    <cfRule type="cellIs" dxfId="3042" priority="5454" operator="equal">
      <formula>AS_DEV_EFFORT</formula>
    </cfRule>
  </conditionalFormatting>
  <conditionalFormatting sqref="F88">
    <cfRule type="expression" dxfId="3041" priority="5452">
      <formula>$K88&lt;&gt;""</formula>
    </cfRule>
  </conditionalFormatting>
  <conditionalFormatting sqref="C88">
    <cfRule type="expression" dxfId="3040" priority="5451">
      <formula>$G88&lt;&gt;"-"</formula>
    </cfRule>
  </conditionalFormatting>
  <conditionalFormatting sqref="D88">
    <cfRule type="expression" dxfId="3039" priority="5450">
      <formula>$H88&lt;&gt;"-"</formula>
    </cfRule>
  </conditionalFormatting>
  <conditionalFormatting sqref="E88">
    <cfRule type="expression" dxfId="3038" priority="5449">
      <formula>$I88&lt;&gt;"-"</formula>
    </cfRule>
  </conditionalFormatting>
  <conditionalFormatting sqref="B87">
    <cfRule type="expression" dxfId="3037" priority="5446">
      <formula>AD87&lt;&gt;""</formula>
    </cfRule>
  </conditionalFormatting>
  <conditionalFormatting sqref="Z87">
    <cfRule type="cellIs" dxfId="3036" priority="5444" operator="greaterThan">
      <formula>0</formula>
    </cfRule>
    <cfRule type="cellIs" dxfId="3035" priority="5445" operator="lessThan">
      <formula>0</formula>
    </cfRule>
  </conditionalFormatting>
  <conditionalFormatting sqref="S87">
    <cfRule type="cellIs" dxfId="3034" priority="5443" operator="lessThan">
      <formula>0</formula>
    </cfRule>
  </conditionalFormatting>
  <conditionalFormatting sqref="P87">
    <cfRule type="cellIs" dxfId="3033" priority="5441" operator="equal">
      <formula>AS_DURATION_EFFORT</formula>
    </cfRule>
    <cfRule type="cellIs" dxfId="3032" priority="5442" operator="equal">
      <formula>AS_DEV_EFFORT</formula>
    </cfRule>
  </conditionalFormatting>
  <conditionalFormatting sqref="F87">
    <cfRule type="expression" dxfId="3031" priority="5440">
      <formula>$K87&lt;&gt;""</formula>
    </cfRule>
  </conditionalFormatting>
  <conditionalFormatting sqref="C87">
    <cfRule type="expression" dxfId="3030" priority="5439">
      <formula>$G87&lt;&gt;"-"</formula>
    </cfRule>
  </conditionalFormatting>
  <conditionalFormatting sqref="D87">
    <cfRule type="expression" dxfId="3029" priority="5438">
      <formula>$H87&lt;&gt;"-"</formula>
    </cfRule>
  </conditionalFormatting>
  <conditionalFormatting sqref="E87">
    <cfRule type="expression" dxfId="3028" priority="5437">
      <formula>$I87&lt;&gt;"-"</formula>
    </cfRule>
  </conditionalFormatting>
  <conditionalFormatting sqref="B86">
    <cfRule type="expression" dxfId="3027" priority="5434">
      <formula>AD86&lt;&gt;""</formula>
    </cfRule>
  </conditionalFormatting>
  <conditionalFormatting sqref="Z86">
    <cfRule type="cellIs" dxfId="3026" priority="5432" operator="greaterThan">
      <formula>0</formula>
    </cfRule>
    <cfRule type="cellIs" dxfId="3025" priority="5433" operator="lessThan">
      <formula>0</formula>
    </cfRule>
  </conditionalFormatting>
  <conditionalFormatting sqref="S86">
    <cfRule type="cellIs" dxfId="3024" priority="5431" operator="lessThan">
      <formula>0</formula>
    </cfRule>
  </conditionalFormatting>
  <conditionalFormatting sqref="P86">
    <cfRule type="cellIs" dxfId="3023" priority="5429" operator="equal">
      <formula>AS_DURATION_EFFORT</formula>
    </cfRule>
    <cfRule type="cellIs" dxfId="3022" priority="5430" operator="equal">
      <formula>AS_DEV_EFFORT</formula>
    </cfRule>
  </conditionalFormatting>
  <conditionalFormatting sqref="F86">
    <cfRule type="expression" dxfId="3021" priority="5428">
      <formula>$K86&lt;&gt;""</formula>
    </cfRule>
  </conditionalFormatting>
  <conditionalFormatting sqref="C86">
    <cfRule type="expression" dxfId="3020" priority="5427">
      <formula>$G86&lt;&gt;"-"</formula>
    </cfRule>
  </conditionalFormatting>
  <conditionalFormatting sqref="D86">
    <cfRule type="expression" dxfId="3019" priority="5426">
      <formula>$H86&lt;&gt;"-"</formula>
    </cfRule>
  </conditionalFormatting>
  <conditionalFormatting sqref="E86">
    <cfRule type="expression" dxfId="3018" priority="5425">
      <formula>$I86&lt;&gt;"-"</formula>
    </cfRule>
  </conditionalFormatting>
  <conditionalFormatting sqref="B85">
    <cfRule type="expression" dxfId="3017" priority="5422">
      <formula>AD85&lt;&gt;""</formula>
    </cfRule>
  </conditionalFormatting>
  <conditionalFormatting sqref="Z85">
    <cfRule type="cellIs" dxfId="3016" priority="5420" operator="greaterThan">
      <formula>0</formula>
    </cfRule>
    <cfRule type="cellIs" dxfId="3015" priority="5421" operator="lessThan">
      <formula>0</formula>
    </cfRule>
  </conditionalFormatting>
  <conditionalFormatting sqref="S85">
    <cfRule type="cellIs" dxfId="3014" priority="5419" operator="lessThan">
      <formula>0</formula>
    </cfRule>
  </conditionalFormatting>
  <conditionalFormatting sqref="P85">
    <cfRule type="cellIs" dxfId="3013" priority="5417" operator="equal">
      <formula>AS_DURATION_EFFORT</formula>
    </cfRule>
    <cfRule type="cellIs" dxfId="3012" priority="5418" operator="equal">
      <formula>AS_DEV_EFFORT</formula>
    </cfRule>
  </conditionalFormatting>
  <conditionalFormatting sqref="F85">
    <cfRule type="expression" dxfId="3011" priority="5416">
      <formula>$K85&lt;&gt;""</formula>
    </cfRule>
  </conditionalFormatting>
  <conditionalFormatting sqref="C85">
    <cfRule type="expression" dxfId="3010" priority="5415">
      <formula>$G85&lt;&gt;"-"</formula>
    </cfRule>
  </conditionalFormatting>
  <conditionalFormatting sqref="D85">
    <cfRule type="expression" dxfId="3009" priority="5414">
      <formula>$H85&lt;&gt;"-"</formula>
    </cfRule>
  </conditionalFormatting>
  <conditionalFormatting sqref="E85">
    <cfRule type="expression" dxfId="3008" priority="5413">
      <formula>$I85&lt;&gt;"-"</formula>
    </cfRule>
  </conditionalFormatting>
  <conditionalFormatting sqref="B100">
    <cfRule type="expression" dxfId="3007" priority="5362">
      <formula>AD100&lt;&gt;""</formula>
    </cfRule>
  </conditionalFormatting>
  <conditionalFormatting sqref="Z100">
    <cfRule type="cellIs" dxfId="3006" priority="5360" operator="greaterThan">
      <formula>0</formula>
    </cfRule>
    <cfRule type="cellIs" dxfId="3005" priority="5361" operator="lessThan">
      <formula>0</formula>
    </cfRule>
  </conditionalFormatting>
  <conditionalFormatting sqref="S100">
    <cfRule type="cellIs" dxfId="3004" priority="5359" operator="lessThan">
      <formula>0</formula>
    </cfRule>
  </conditionalFormatting>
  <conditionalFormatting sqref="P100">
    <cfRule type="cellIs" dxfId="3003" priority="5357" operator="equal">
      <formula>AS_DURATION_EFFORT</formula>
    </cfRule>
    <cfRule type="cellIs" dxfId="3002" priority="5358" operator="equal">
      <formula>AS_DEV_EFFORT</formula>
    </cfRule>
  </conditionalFormatting>
  <conditionalFormatting sqref="F100">
    <cfRule type="expression" dxfId="3001" priority="5356">
      <formula>$K100&lt;&gt;""</formula>
    </cfRule>
  </conditionalFormatting>
  <conditionalFormatting sqref="C100">
    <cfRule type="expression" dxfId="3000" priority="5355">
      <formula>$G100&lt;&gt;"-"</formula>
    </cfRule>
  </conditionalFormatting>
  <conditionalFormatting sqref="D100">
    <cfRule type="expression" dxfId="2999" priority="5354">
      <formula>$H100&lt;&gt;"-"</formula>
    </cfRule>
  </conditionalFormatting>
  <conditionalFormatting sqref="E100">
    <cfRule type="expression" dxfId="2998" priority="5353">
      <formula>$I100&lt;&gt;"-"</formula>
    </cfRule>
  </conditionalFormatting>
  <conditionalFormatting sqref="B99">
    <cfRule type="expression" dxfId="2997" priority="5350">
      <formula>AD99&lt;&gt;""</formula>
    </cfRule>
  </conditionalFormatting>
  <conditionalFormatting sqref="Z99">
    <cfRule type="cellIs" dxfId="2996" priority="5348" operator="greaterThan">
      <formula>0</formula>
    </cfRule>
    <cfRule type="cellIs" dxfId="2995" priority="5349" operator="lessThan">
      <formula>0</formula>
    </cfRule>
  </conditionalFormatting>
  <conditionalFormatting sqref="S99">
    <cfRule type="cellIs" dxfId="2994" priority="5347" operator="lessThan">
      <formula>0</formula>
    </cfRule>
  </conditionalFormatting>
  <conditionalFormatting sqref="P99">
    <cfRule type="cellIs" dxfId="2993" priority="5345" operator="equal">
      <formula>AS_DURATION_EFFORT</formula>
    </cfRule>
    <cfRule type="cellIs" dxfId="2992" priority="5346" operator="equal">
      <formula>AS_DEV_EFFORT</formula>
    </cfRule>
  </conditionalFormatting>
  <conditionalFormatting sqref="F99">
    <cfRule type="expression" dxfId="2991" priority="5344">
      <formula>$K99&lt;&gt;""</formula>
    </cfRule>
  </conditionalFormatting>
  <conditionalFormatting sqref="C99">
    <cfRule type="expression" dxfId="2990" priority="5343">
      <formula>$G99&lt;&gt;"-"</formula>
    </cfRule>
  </conditionalFormatting>
  <conditionalFormatting sqref="D99">
    <cfRule type="expression" dxfId="2989" priority="5342">
      <formula>$H99&lt;&gt;"-"</formula>
    </cfRule>
  </conditionalFormatting>
  <conditionalFormatting sqref="E99">
    <cfRule type="expression" dxfId="2988" priority="5341">
      <formula>$I99&lt;&gt;"-"</formula>
    </cfRule>
  </conditionalFormatting>
  <conditionalFormatting sqref="B451">
    <cfRule type="expression" dxfId="2987" priority="5245">
      <formula>AD451&lt;&gt;""</formula>
    </cfRule>
  </conditionalFormatting>
  <conditionalFormatting sqref="Z451">
    <cfRule type="cellIs" dxfId="2986" priority="5243" operator="greaterThan">
      <formula>0</formula>
    </cfRule>
    <cfRule type="cellIs" dxfId="2985" priority="5244" operator="lessThan">
      <formula>0</formula>
    </cfRule>
  </conditionalFormatting>
  <conditionalFormatting sqref="S451">
    <cfRule type="cellIs" dxfId="2984" priority="5242" operator="lessThan">
      <formula>0</formula>
    </cfRule>
  </conditionalFormatting>
  <conditionalFormatting sqref="T449:T450">
    <cfRule type="expression" dxfId="2983" priority="5246">
      <formula>#REF!="Yes"</formula>
    </cfRule>
  </conditionalFormatting>
  <conditionalFormatting sqref="P451">
    <cfRule type="cellIs" dxfId="2982" priority="5240" operator="equal">
      <formula>AS_DURATION_EFFORT</formula>
    </cfRule>
    <cfRule type="cellIs" dxfId="2981" priority="5241" operator="equal">
      <formula>AS_DEV_EFFORT</formula>
    </cfRule>
  </conditionalFormatting>
  <conditionalFormatting sqref="B449:B450">
    <cfRule type="expression" dxfId="2980" priority="5239">
      <formula>AD449&lt;&gt;""</formula>
    </cfRule>
  </conditionalFormatting>
  <conditionalFormatting sqref="F451">
    <cfRule type="expression" dxfId="2979" priority="5238">
      <formula>$K451&lt;&gt;""</formula>
    </cfRule>
  </conditionalFormatting>
  <conditionalFormatting sqref="C451">
    <cfRule type="expression" dxfId="2978" priority="5237">
      <formula>$G451&lt;&gt;"-"</formula>
    </cfRule>
  </conditionalFormatting>
  <conditionalFormatting sqref="D451">
    <cfRule type="expression" dxfId="2977" priority="5236">
      <formula>$H451&lt;&gt;"-"</formula>
    </cfRule>
  </conditionalFormatting>
  <conditionalFormatting sqref="E451">
    <cfRule type="expression" dxfId="2976" priority="5235">
      <formula>$I451&lt;&gt;"-"</formula>
    </cfRule>
  </conditionalFormatting>
  <conditionalFormatting sqref="B452">
    <cfRule type="expression" dxfId="2975" priority="5232">
      <formula>AD452&lt;&gt;""</formula>
    </cfRule>
  </conditionalFormatting>
  <conditionalFormatting sqref="Z452">
    <cfRule type="cellIs" dxfId="2974" priority="5230" operator="greaterThan">
      <formula>0</formula>
    </cfRule>
    <cfRule type="cellIs" dxfId="2973" priority="5231" operator="lessThan">
      <formula>0</formula>
    </cfRule>
  </conditionalFormatting>
  <conditionalFormatting sqref="S452">
    <cfRule type="cellIs" dxfId="2972" priority="5229" operator="lessThan">
      <formula>0</formula>
    </cfRule>
  </conditionalFormatting>
  <conditionalFormatting sqref="F452">
    <cfRule type="expression" dxfId="2971" priority="5226">
      <formula>$K452&lt;&gt;""</formula>
    </cfRule>
  </conditionalFormatting>
  <conditionalFormatting sqref="C452">
    <cfRule type="expression" dxfId="2970" priority="5225">
      <formula>$G452&lt;&gt;"-"</formula>
    </cfRule>
  </conditionalFormatting>
  <conditionalFormatting sqref="D452">
    <cfRule type="expression" dxfId="2969" priority="5224">
      <formula>$H452&lt;&gt;"-"</formula>
    </cfRule>
  </conditionalFormatting>
  <conditionalFormatting sqref="E452">
    <cfRule type="expression" dxfId="2968" priority="5223">
      <formula>$I452&lt;&gt;"-"</formula>
    </cfRule>
  </conditionalFormatting>
  <conditionalFormatting sqref="B456">
    <cfRule type="expression" dxfId="2967" priority="5219">
      <formula>AD456&lt;&gt;""</formula>
    </cfRule>
  </conditionalFormatting>
  <conditionalFormatting sqref="Z456">
    <cfRule type="cellIs" dxfId="2966" priority="5217" operator="greaterThan">
      <formula>0</formula>
    </cfRule>
    <cfRule type="cellIs" dxfId="2965" priority="5218" operator="lessThan">
      <formula>0</formula>
    </cfRule>
  </conditionalFormatting>
  <conditionalFormatting sqref="S456">
    <cfRule type="cellIs" dxfId="2964" priority="5216" operator="lessThan">
      <formula>0</formula>
    </cfRule>
  </conditionalFormatting>
  <conditionalFormatting sqref="T454:T455">
    <cfRule type="expression" dxfId="2963" priority="5220">
      <formula>#REF!="Yes"</formula>
    </cfRule>
  </conditionalFormatting>
  <conditionalFormatting sqref="B454:B455">
    <cfRule type="expression" dxfId="2962" priority="5213">
      <formula>AD454&lt;&gt;""</formula>
    </cfRule>
  </conditionalFormatting>
  <conditionalFormatting sqref="F456">
    <cfRule type="expression" dxfId="2961" priority="5212">
      <formula>$K456&lt;&gt;""</formula>
    </cfRule>
  </conditionalFormatting>
  <conditionalFormatting sqref="C456">
    <cfRule type="expression" dxfId="2960" priority="5211">
      <formula>$G456&lt;&gt;"-"</formula>
    </cfRule>
  </conditionalFormatting>
  <conditionalFormatting sqref="D456">
    <cfRule type="expression" dxfId="2959" priority="5210">
      <formula>$H456&lt;&gt;"-"</formula>
    </cfRule>
  </conditionalFormatting>
  <conditionalFormatting sqref="E456">
    <cfRule type="expression" dxfId="2958" priority="5209">
      <formula>$I456&lt;&gt;"-"</formula>
    </cfRule>
  </conditionalFormatting>
  <conditionalFormatting sqref="B457">
    <cfRule type="expression" dxfId="2957" priority="5206">
      <formula>AD457&lt;&gt;""</formula>
    </cfRule>
  </conditionalFormatting>
  <conditionalFormatting sqref="Z457">
    <cfRule type="cellIs" dxfId="2956" priority="5204" operator="greaterThan">
      <formula>0</formula>
    </cfRule>
    <cfRule type="cellIs" dxfId="2955" priority="5205" operator="lessThan">
      <formula>0</formula>
    </cfRule>
  </conditionalFormatting>
  <conditionalFormatting sqref="S457">
    <cfRule type="cellIs" dxfId="2954" priority="5203" operator="lessThan">
      <formula>0</formula>
    </cfRule>
  </conditionalFormatting>
  <conditionalFormatting sqref="P458">
    <cfRule type="cellIs" dxfId="2953" priority="5167" operator="equal">
      <formula>AS_DURATION_EFFORT</formula>
    </cfRule>
    <cfRule type="cellIs" dxfId="2952" priority="5168" operator="equal">
      <formula>AS_DEV_EFFORT</formula>
    </cfRule>
  </conditionalFormatting>
  <conditionalFormatting sqref="F457">
    <cfRule type="expression" dxfId="2951" priority="5200">
      <formula>$K457&lt;&gt;""</formula>
    </cfRule>
  </conditionalFormatting>
  <conditionalFormatting sqref="C457">
    <cfRule type="expression" dxfId="2950" priority="5199">
      <formula>$G457&lt;&gt;"-"</formula>
    </cfRule>
  </conditionalFormatting>
  <conditionalFormatting sqref="D457">
    <cfRule type="expression" dxfId="2949" priority="5198">
      <formula>$H457&lt;&gt;"-"</formula>
    </cfRule>
  </conditionalFormatting>
  <conditionalFormatting sqref="E457">
    <cfRule type="expression" dxfId="2948" priority="5197">
      <formula>$I457&lt;&gt;"-"</formula>
    </cfRule>
  </conditionalFormatting>
  <conditionalFormatting sqref="B459">
    <cfRule type="expression" dxfId="2947" priority="5194">
      <formula>AD459&lt;&gt;""</formula>
    </cfRule>
  </conditionalFormatting>
  <conditionalFormatting sqref="Z459">
    <cfRule type="cellIs" dxfId="2946" priority="5192" operator="greaterThan">
      <formula>0</formula>
    </cfRule>
    <cfRule type="cellIs" dxfId="2945" priority="5193" operator="lessThan">
      <formula>0</formula>
    </cfRule>
  </conditionalFormatting>
  <conditionalFormatting sqref="S459">
    <cfRule type="cellIs" dxfId="2944" priority="5191" operator="lessThan">
      <formula>0</formula>
    </cfRule>
  </conditionalFormatting>
  <conditionalFormatting sqref="P459">
    <cfRule type="cellIs" dxfId="2943" priority="5189" operator="equal">
      <formula>AS_DURATION_EFFORT</formula>
    </cfRule>
    <cfRule type="cellIs" dxfId="2942" priority="5190" operator="equal">
      <formula>AS_DEV_EFFORT</formula>
    </cfRule>
  </conditionalFormatting>
  <conditionalFormatting sqref="F459">
    <cfRule type="expression" dxfId="2941" priority="5188">
      <formula>$K459&lt;&gt;""</formula>
    </cfRule>
  </conditionalFormatting>
  <conditionalFormatting sqref="C459">
    <cfRule type="expression" dxfId="2940" priority="5187">
      <formula>$G459&lt;&gt;"-"</formula>
    </cfRule>
  </conditionalFormatting>
  <conditionalFormatting sqref="D459">
    <cfRule type="expression" dxfId="2939" priority="5186">
      <formula>$H459&lt;&gt;"-"</formula>
    </cfRule>
  </conditionalFormatting>
  <conditionalFormatting sqref="E459">
    <cfRule type="expression" dxfId="2938" priority="5185">
      <formula>$I459&lt;&gt;"-"</formula>
    </cfRule>
  </conditionalFormatting>
  <conditionalFormatting sqref="B458">
    <cfRule type="expression" dxfId="2937" priority="5182">
      <formula>AD458&lt;&gt;""</formula>
    </cfRule>
  </conditionalFormatting>
  <conditionalFormatting sqref="Z458">
    <cfRule type="cellIs" dxfId="2936" priority="5180" operator="greaterThan">
      <formula>0</formula>
    </cfRule>
    <cfRule type="cellIs" dxfId="2935" priority="5181" operator="lessThan">
      <formula>0</formula>
    </cfRule>
  </conditionalFormatting>
  <conditionalFormatting sqref="S458">
    <cfRule type="cellIs" dxfId="2934" priority="5179" operator="lessThan">
      <formula>0</formula>
    </cfRule>
  </conditionalFormatting>
  <conditionalFormatting sqref="P456">
    <cfRule type="cellIs" dxfId="2933" priority="5169" operator="equal">
      <formula>AS_DURATION_EFFORT</formula>
    </cfRule>
    <cfRule type="cellIs" dxfId="2932" priority="5170" operator="equal">
      <formula>AS_DEV_EFFORT</formula>
    </cfRule>
  </conditionalFormatting>
  <conditionalFormatting sqref="F458">
    <cfRule type="expression" dxfId="2931" priority="5176">
      <formula>$K458&lt;&gt;""</formula>
    </cfRule>
  </conditionalFormatting>
  <conditionalFormatting sqref="C458">
    <cfRule type="expression" dxfId="2930" priority="5175">
      <formula>$G458&lt;&gt;"-"</formula>
    </cfRule>
  </conditionalFormatting>
  <conditionalFormatting sqref="D458">
    <cfRule type="expression" dxfId="2929" priority="5174">
      <formula>$H458&lt;&gt;"-"</formula>
    </cfRule>
  </conditionalFormatting>
  <conditionalFormatting sqref="E458">
    <cfRule type="expression" dxfId="2928" priority="5173">
      <formula>$I458&lt;&gt;"-"</formula>
    </cfRule>
  </conditionalFormatting>
  <conditionalFormatting sqref="P464">
    <cfRule type="cellIs" dxfId="2927" priority="5143" operator="equal">
      <formula>AS_DURATION_EFFORT</formula>
    </cfRule>
    <cfRule type="cellIs" dxfId="2926" priority="5144" operator="equal">
      <formula>AS_DEV_EFFORT</formula>
    </cfRule>
  </conditionalFormatting>
  <conditionalFormatting sqref="P457:P458">
    <cfRule type="cellIs" dxfId="2925" priority="5165" operator="equal">
      <formula>AS_DURATION_EFFORT</formula>
    </cfRule>
    <cfRule type="cellIs" dxfId="2924" priority="5166" operator="equal">
      <formula>AS_DEV_EFFORT</formula>
    </cfRule>
  </conditionalFormatting>
  <conditionalFormatting sqref="T461:T462">
    <cfRule type="expression" dxfId="2923" priority="5162">
      <formula>#REF!="Yes"</formula>
    </cfRule>
  </conditionalFormatting>
  <conditionalFormatting sqref="B461:B462">
    <cfRule type="expression" dxfId="2922" priority="5155">
      <formula>AD461&lt;&gt;""</formula>
    </cfRule>
  </conditionalFormatting>
  <conditionalFormatting sqref="B464">
    <cfRule type="expression" dxfId="2921" priority="5148">
      <formula>AD464&lt;&gt;""</formula>
    </cfRule>
  </conditionalFormatting>
  <conditionalFormatting sqref="Z464">
    <cfRule type="cellIs" dxfId="2920" priority="5146" operator="greaterThan">
      <formula>0</formula>
    </cfRule>
    <cfRule type="cellIs" dxfId="2919" priority="5147" operator="lessThan">
      <formula>0</formula>
    </cfRule>
  </conditionalFormatting>
  <conditionalFormatting sqref="S464">
    <cfRule type="cellIs" dxfId="2918" priority="5145" operator="lessThan">
      <formula>0</formula>
    </cfRule>
  </conditionalFormatting>
  <conditionalFormatting sqref="P463">
    <cfRule type="cellIs" dxfId="2917" priority="5131" operator="equal">
      <formula>AS_DURATION_EFFORT</formula>
    </cfRule>
    <cfRule type="cellIs" dxfId="2916" priority="5132" operator="equal">
      <formula>AS_DEV_EFFORT</formula>
    </cfRule>
  </conditionalFormatting>
  <conditionalFormatting sqref="F464">
    <cfRule type="expression" dxfId="2915" priority="5142">
      <formula>$K464&lt;&gt;""</formula>
    </cfRule>
  </conditionalFormatting>
  <conditionalFormatting sqref="C464">
    <cfRule type="expression" dxfId="2914" priority="5141">
      <formula>$G464&lt;&gt;"-"</formula>
    </cfRule>
  </conditionalFormatting>
  <conditionalFormatting sqref="D464">
    <cfRule type="expression" dxfId="2913" priority="5140">
      <formula>$H464&lt;&gt;"-"</formula>
    </cfRule>
  </conditionalFormatting>
  <conditionalFormatting sqref="E464">
    <cfRule type="expression" dxfId="2912" priority="5139">
      <formula>$I464&lt;&gt;"-"</formula>
    </cfRule>
  </conditionalFormatting>
  <conditionalFormatting sqref="B463">
    <cfRule type="expression" dxfId="2911" priority="5136">
      <formula>AD463&lt;&gt;""</formula>
    </cfRule>
  </conditionalFormatting>
  <conditionalFormatting sqref="Z463">
    <cfRule type="cellIs" dxfId="2910" priority="5134" operator="greaterThan">
      <formula>0</formula>
    </cfRule>
    <cfRule type="cellIs" dxfId="2909" priority="5135" operator="lessThan">
      <formula>0</formula>
    </cfRule>
  </conditionalFormatting>
  <conditionalFormatting sqref="S463">
    <cfRule type="cellIs" dxfId="2908" priority="5133" operator="lessThan">
      <formula>0</formula>
    </cfRule>
  </conditionalFormatting>
  <conditionalFormatting sqref="F463">
    <cfRule type="expression" dxfId="2907" priority="5130">
      <formula>$K463&lt;&gt;""</formula>
    </cfRule>
  </conditionalFormatting>
  <conditionalFormatting sqref="C463">
    <cfRule type="expression" dxfId="2906" priority="5129">
      <formula>$G463&lt;&gt;"-"</formula>
    </cfRule>
  </conditionalFormatting>
  <conditionalFormatting sqref="D463">
    <cfRule type="expression" dxfId="2905" priority="5128">
      <formula>$H463&lt;&gt;"-"</formula>
    </cfRule>
  </conditionalFormatting>
  <conditionalFormatting sqref="E463">
    <cfRule type="expression" dxfId="2904" priority="5127">
      <formula>$I463&lt;&gt;"-"</formula>
    </cfRule>
  </conditionalFormatting>
  <conditionalFormatting sqref="B475">
    <cfRule type="expression" dxfId="2903" priority="5083">
      <formula>AD475&lt;&gt;""</formula>
    </cfRule>
  </conditionalFormatting>
  <conditionalFormatting sqref="Z475">
    <cfRule type="cellIs" dxfId="2902" priority="5081" operator="greaterThan">
      <formula>0</formula>
    </cfRule>
    <cfRule type="cellIs" dxfId="2901" priority="5082" operator="lessThan">
      <formula>0</formula>
    </cfRule>
  </conditionalFormatting>
  <conditionalFormatting sqref="S475">
    <cfRule type="cellIs" dxfId="2900" priority="5080" operator="lessThan">
      <formula>0</formula>
    </cfRule>
  </conditionalFormatting>
  <conditionalFormatting sqref="T473:T474">
    <cfRule type="expression" dxfId="2899" priority="5084">
      <formula>#REF!="Yes"</formula>
    </cfRule>
  </conditionalFormatting>
  <conditionalFormatting sqref="P475">
    <cfRule type="cellIs" dxfId="2898" priority="5078" operator="equal">
      <formula>AS_DURATION_EFFORT</formula>
    </cfRule>
    <cfRule type="cellIs" dxfId="2897" priority="5079" operator="equal">
      <formula>AS_DEV_EFFORT</formula>
    </cfRule>
  </conditionalFormatting>
  <conditionalFormatting sqref="B473:B474">
    <cfRule type="expression" dxfId="2896" priority="5077">
      <formula>AD473&lt;&gt;""</formula>
    </cfRule>
  </conditionalFormatting>
  <conditionalFormatting sqref="F475">
    <cfRule type="expression" dxfId="2895" priority="5076">
      <formula>$K475&lt;&gt;""</formula>
    </cfRule>
  </conditionalFormatting>
  <conditionalFormatting sqref="C475">
    <cfRule type="expression" dxfId="2894" priority="5075">
      <formula>$G475&lt;&gt;"-"</formula>
    </cfRule>
  </conditionalFormatting>
  <conditionalFormatting sqref="D475">
    <cfRule type="expression" dxfId="2893" priority="5074">
      <formula>$H475&lt;&gt;"-"</formula>
    </cfRule>
  </conditionalFormatting>
  <conditionalFormatting sqref="E475">
    <cfRule type="expression" dxfId="2892" priority="5073">
      <formula>$I475&lt;&gt;"-"</formula>
    </cfRule>
  </conditionalFormatting>
  <conditionalFormatting sqref="B476">
    <cfRule type="expression" dxfId="2891" priority="5070">
      <formula>AD476&lt;&gt;""</formula>
    </cfRule>
  </conditionalFormatting>
  <conditionalFormatting sqref="Z476">
    <cfRule type="cellIs" dxfId="2890" priority="5068" operator="greaterThan">
      <formula>0</formula>
    </cfRule>
    <cfRule type="cellIs" dxfId="2889" priority="5069" operator="lessThan">
      <formula>0</formula>
    </cfRule>
  </conditionalFormatting>
  <conditionalFormatting sqref="S476">
    <cfRule type="cellIs" dxfId="2888" priority="5067" operator="lessThan">
      <formula>0</formula>
    </cfRule>
  </conditionalFormatting>
  <conditionalFormatting sqref="P476">
    <cfRule type="cellIs" dxfId="2887" priority="5065" operator="equal">
      <formula>AS_DURATION_EFFORT</formula>
    </cfRule>
    <cfRule type="cellIs" dxfId="2886" priority="5066" operator="equal">
      <formula>AS_DEV_EFFORT</formula>
    </cfRule>
  </conditionalFormatting>
  <conditionalFormatting sqref="F476">
    <cfRule type="expression" dxfId="2885" priority="5064">
      <formula>$K476&lt;&gt;""</formula>
    </cfRule>
  </conditionalFormatting>
  <conditionalFormatting sqref="C476">
    <cfRule type="expression" dxfId="2884" priority="5063">
      <formula>$G476&lt;&gt;"-"</formula>
    </cfRule>
  </conditionalFormatting>
  <conditionalFormatting sqref="D476">
    <cfRule type="expression" dxfId="2883" priority="5062">
      <formula>$H476&lt;&gt;"-"</formula>
    </cfRule>
  </conditionalFormatting>
  <conditionalFormatting sqref="E476">
    <cfRule type="expression" dxfId="2882" priority="5061">
      <formula>$I476&lt;&gt;"-"</formula>
    </cfRule>
  </conditionalFormatting>
  <conditionalFormatting sqref="B480">
    <cfRule type="expression" dxfId="2881" priority="5057">
      <formula>AD480&lt;&gt;""</formula>
    </cfRule>
  </conditionalFormatting>
  <conditionalFormatting sqref="Z480">
    <cfRule type="cellIs" dxfId="2880" priority="5055" operator="greaterThan">
      <formula>0</formula>
    </cfRule>
    <cfRule type="cellIs" dxfId="2879" priority="5056" operator="lessThan">
      <formula>0</formula>
    </cfRule>
  </conditionalFormatting>
  <conditionalFormatting sqref="S480">
    <cfRule type="cellIs" dxfId="2878" priority="5054" operator="lessThan">
      <formula>0</formula>
    </cfRule>
  </conditionalFormatting>
  <conditionalFormatting sqref="T478:T479">
    <cfRule type="expression" dxfId="2877" priority="5058">
      <formula>#REF!="Yes"</formula>
    </cfRule>
  </conditionalFormatting>
  <conditionalFormatting sqref="P480">
    <cfRule type="cellIs" dxfId="2876" priority="5052" operator="equal">
      <formula>AS_DURATION_EFFORT</formula>
    </cfRule>
    <cfRule type="cellIs" dxfId="2875" priority="5053" operator="equal">
      <formula>AS_DEV_EFFORT</formula>
    </cfRule>
  </conditionalFormatting>
  <conditionalFormatting sqref="B478:B479">
    <cfRule type="expression" dxfId="2874" priority="5051">
      <formula>AD478&lt;&gt;""</formula>
    </cfRule>
  </conditionalFormatting>
  <conditionalFormatting sqref="F480">
    <cfRule type="expression" dxfId="2873" priority="5050">
      <formula>$K480&lt;&gt;""</formula>
    </cfRule>
  </conditionalFormatting>
  <conditionalFormatting sqref="C480">
    <cfRule type="expression" dxfId="2872" priority="5049">
      <formula>$G480&lt;&gt;"-"</formula>
    </cfRule>
  </conditionalFormatting>
  <conditionalFormatting sqref="D480">
    <cfRule type="expression" dxfId="2871" priority="5048">
      <formula>$H480&lt;&gt;"-"</formula>
    </cfRule>
  </conditionalFormatting>
  <conditionalFormatting sqref="E480">
    <cfRule type="expression" dxfId="2870" priority="5047">
      <formula>$I480&lt;&gt;"-"</formula>
    </cfRule>
  </conditionalFormatting>
  <conditionalFormatting sqref="B488">
    <cfRule type="expression" dxfId="2869" priority="5019">
      <formula>AD488&lt;&gt;""</formula>
    </cfRule>
  </conditionalFormatting>
  <conditionalFormatting sqref="Z488">
    <cfRule type="cellIs" dxfId="2868" priority="5017" operator="greaterThan">
      <formula>0</formula>
    </cfRule>
    <cfRule type="cellIs" dxfId="2867" priority="5018" operator="lessThan">
      <formula>0</formula>
    </cfRule>
  </conditionalFormatting>
  <conditionalFormatting sqref="S488">
    <cfRule type="cellIs" dxfId="2866" priority="5016" operator="lessThan">
      <formula>0</formula>
    </cfRule>
  </conditionalFormatting>
  <conditionalFormatting sqref="T484:T485">
    <cfRule type="expression" dxfId="2865" priority="5020">
      <formula>#REF!="Yes"</formula>
    </cfRule>
  </conditionalFormatting>
  <conditionalFormatting sqref="P488">
    <cfRule type="cellIs" dxfId="2864" priority="5014" operator="equal">
      <formula>AS_DURATION_EFFORT</formula>
    </cfRule>
    <cfRule type="cellIs" dxfId="2863" priority="5015" operator="equal">
      <formula>AS_DEV_EFFORT</formula>
    </cfRule>
  </conditionalFormatting>
  <conditionalFormatting sqref="B484:B485">
    <cfRule type="expression" dxfId="2862" priority="5013">
      <formula>AD484&lt;&gt;""</formula>
    </cfRule>
  </conditionalFormatting>
  <conditionalFormatting sqref="F488">
    <cfRule type="expression" dxfId="2861" priority="5012">
      <formula>$K488&lt;&gt;""</formula>
    </cfRule>
  </conditionalFormatting>
  <conditionalFormatting sqref="C488">
    <cfRule type="expression" dxfId="2860" priority="5011">
      <formula>$G488&lt;&gt;"-"</formula>
    </cfRule>
  </conditionalFormatting>
  <conditionalFormatting sqref="D488">
    <cfRule type="expression" dxfId="2859" priority="5010">
      <formula>$H488&lt;&gt;"-"</formula>
    </cfRule>
  </conditionalFormatting>
  <conditionalFormatting sqref="E488">
    <cfRule type="expression" dxfId="2858" priority="5009">
      <formula>$I488&lt;&gt;"-"</formula>
    </cfRule>
  </conditionalFormatting>
  <conditionalFormatting sqref="B493">
    <cfRule type="expression" dxfId="2857" priority="4993">
      <formula>AD493&lt;&gt;""</formula>
    </cfRule>
  </conditionalFormatting>
  <conditionalFormatting sqref="Z493">
    <cfRule type="cellIs" dxfId="2856" priority="4991" operator="greaterThan">
      <formula>0</formula>
    </cfRule>
    <cfRule type="cellIs" dxfId="2855" priority="4992" operator="lessThan">
      <formula>0</formula>
    </cfRule>
  </conditionalFormatting>
  <conditionalFormatting sqref="S493">
    <cfRule type="cellIs" dxfId="2854" priority="4990" operator="lessThan">
      <formula>0</formula>
    </cfRule>
  </conditionalFormatting>
  <conditionalFormatting sqref="T491:T492">
    <cfRule type="expression" dxfId="2853" priority="4994">
      <formula>#REF!="Yes"</formula>
    </cfRule>
  </conditionalFormatting>
  <conditionalFormatting sqref="P493">
    <cfRule type="cellIs" dxfId="2852" priority="4988" operator="equal">
      <formula>AS_DURATION_EFFORT</formula>
    </cfRule>
    <cfRule type="cellIs" dxfId="2851" priority="4989" operator="equal">
      <formula>AS_DEV_EFFORT</formula>
    </cfRule>
  </conditionalFormatting>
  <conditionalFormatting sqref="B491:B492">
    <cfRule type="expression" dxfId="2850" priority="4987">
      <formula>AD491&lt;&gt;""</formula>
    </cfRule>
  </conditionalFormatting>
  <conditionalFormatting sqref="F493">
    <cfRule type="expression" dxfId="2849" priority="4986">
      <formula>$K493&lt;&gt;""</formula>
    </cfRule>
  </conditionalFormatting>
  <conditionalFormatting sqref="C493">
    <cfRule type="expression" dxfId="2848" priority="4985">
      <formula>$G493&lt;&gt;"-"</formula>
    </cfRule>
  </conditionalFormatting>
  <conditionalFormatting sqref="D493">
    <cfRule type="expression" dxfId="2847" priority="4984">
      <formula>$H493&lt;&gt;"-"</formula>
    </cfRule>
  </conditionalFormatting>
  <conditionalFormatting sqref="E493">
    <cfRule type="expression" dxfId="2846" priority="4983">
      <formula>$I493&lt;&gt;"-"</formula>
    </cfRule>
  </conditionalFormatting>
  <conditionalFormatting sqref="B496">
    <cfRule type="expression" dxfId="2845" priority="4980">
      <formula>AD496&lt;&gt;""</formula>
    </cfRule>
  </conditionalFormatting>
  <conditionalFormatting sqref="Z496">
    <cfRule type="cellIs" dxfId="2844" priority="4978" operator="greaterThan">
      <formula>0</formula>
    </cfRule>
    <cfRule type="cellIs" dxfId="2843" priority="4979" operator="lessThan">
      <formula>0</formula>
    </cfRule>
  </conditionalFormatting>
  <conditionalFormatting sqref="S496">
    <cfRule type="cellIs" dxfId="2842" priority="4977" operator="lessThan">
      <formula>0</formula>
    </cfRule>
  </conditionalFormatting>
  <conditionalFormatting sqref="P496">
    <cfRule type="cellIs" dxfId="2841" priority="4975" operator="equal">
      <formula>AS_DURATION_EFFORT</formula>
    </cfRule>
    <cfRule type="cellIs" dxfId="2840" priority="4976" operator="equal">
      <formula>AS_DEV_EFFORT</formula>
    </cfRule>
  </conditionalFormatting>
  <conditionalFormatting sqref="F496">
    <cfRule type="expression" dxfId="2839" priority="4974">
      <formula>$K496&lt;&gt;""</formula>
    </cfRule>
  </conditionalFormatting>
  <conditionalFormatting sqref="C496">
    <cfRule type="expression" dxfId="2838" priority="4973">
      <formula>$G496&lt;&gt;"-"</formula>
    </cfRule>
  </conditionalFormatting>
  <conditionalFormatting sqref="D496">
    <cfRule type="expression" dxfId="2837" priority="4972">
      <formula>$H496&lt;&gt;"-"</formula>
    </cfRule>
  </conditionalFormatting>
  <conditionalFormatting sqref="E496">
    <cfRule type="expression" dxfId="2836" priority="4971">
      <formula>$I496&lt;&gt;"-"</formula>
    </cfRule>
  </conditionalFormatting>
  <conditionalFormatting sqref="B495">
    <cfRule type="expression" dxfId="2835" priority="4968">
      <formula>AD495&lt;&gt;""</formula>
    </cfRule>
  </conditionalFormatting>
  <conditionalFormatting sqref="Z495">
    <cfRule type="cellIs" dxfId="2834" priority="4966" operator="greaterThan">
      <formula>0</formula>
    </cfRule>
    <cfRule type="cellIs" dxfId="2833" priority="4967" operator="lessThan">
      <formula>0</formula>
    </cfRule>
  </conditionalFormatting>
  <conditionalFormatting sqref="S495">
    <cfRule type="cellIs" dxfId="2832" priority="4965" operator="lessThan">
      <formula>0</formula>
    </cfRule>
  </conditionalFormatting>
  <conditionalFormatting sqref="P495">
    <cfRule type="cellIs" dxfId="2831" priority="4963" operator="equal">
      <formula>AS_DURATION_EFFORT</formula>
    </cfRule>
    <cfRule type="cellIs" dxfId="2830" priority="4964" operator="equal">
      <formula>AS_DEV_EFFORT</formula>
    </cfRule>
  </conditionalFormatting>
  <conditionalFormatting sqref="F495">
    <cfRule type="expression" dxfId="2829" priority="4962">
      <formula>$K495&lt;&gt;""</formula>
    </cfRule>
  </conditionalFormatting>
  <conditionalFormatting sqref="C495">
    <cfRule type="expression" dxfId="2828" priority="4961">
      <formula>$G495&lt;&gt;"-"</formula>
    </cfRule>
  </conditionalFormatting>
  <conditionalFormatting sqref="D495">
    <cfRule type="expression" dxfId="2827" priority="4960">
      <formula>$H495&lt;&gt;"-"</formula>
    </cfRule>
  </conditionalFormatting>
  <conditionalFormatting sqref="E495">
    <cfRule type="expression" dxfId="2826" priority="4959">
      <formula>$I495&lt;&gt;"-"</formula>
    </cfRule>
  </conditionalFormatting>
  <conditionalFormatting sqref="B494">
    <cfRule type="expression" dxfId="2825" priority="4956">
      <formula>AD494&lt;&gt;""</formula>
    </cfRule>
  </conditionalFormatting>
  <conditionalFormatting sqref="Z494">
    <cfRule type="cellIs" dxfId="2824" priority="4954" operator="greaterThan">
      <formula>0</formula>
    </cfRule>
    <cfRule type="cellIs" dxfId="2823" priority="4955" operator="lessThan">
      <formula>0</formula>
    </cfRule>
  </conditionalFormatting>
  <conditionalFormatting sqref="S494">
    <cfRule type="cellIs" dxfId="2822" priority="4953" operator="lessThan">
      <formula>0</formula>
    </cfRule>
  </conditionalFormatting>
  <conditionalFormatting sqref="P494">
    <cfRule type="cellIs" dxfId="2821" priority="4951" operator="equal">
      <formula>AS_DURATION_EFFORT</formula>
    </cfRule>
    <cfRule type="cellIs" dxfId="2820" priority="4952" operator="equal">
      <formula>AS_DEV_EFFORT</formula>
    </cfRule>
  </conditionalFormatting>
  <conditionalFormatting sqref="F494">
    <cfRule type="expression" dxfId="2819" priority="4950">
      <formula>$K494&lt;&gt;""</formula>
    </cfRule>
  </conditionalFormatting>
  <conditionalFormatting sqref="C494">
    <cfRule type="expression" dxfId="2818" priority="4949">
      <formula>$G494&lt;&gt;"-"</formula>
    </cfRule>
  </conditionalFormatting>
  <conditionalFormatting sqref="D494">
    <cfRule type="expression" dxfId="2817" priority="4948">
      <formula>$H494&lt;&gt;"-"</formula>
    </cfRule>
  </conditionalFormatting>
  <conditionalFormatting sqref="E494">
    <cfRule type="expression" dxfId="2816" priority="4947">
      <formula>$I494&lt;&gt;"-"</formula>
    </cfRule>
  </conditionalFormatting>
  <conditionalFormatting sqref="B503">
    <cfRule type="expression" dxfId="2815" priority="4937">
      <formula>AD503&lt;&gt;""</formula>
    </cfRule>
  </conditionalFormatting>
  <conditionalFormatting sqref="Z503">
    <cfRule type="cellIs" dxfId="2814" priority="4935" operator="greaterThan">
      <formula>0</formula>
    </cfRule>
    <cfRule type="cellIs" dxfId="2813" priority="4936" operator="lessThan">
      <formula>0</formula>
    </cfRule>
  </conditionalFormatting>
  <conditionalFormatting sqref="S503">
    <cfRule type="cellIs" dxfId="2812" priority="4934" operator="lessThan">
      <formula>0</formula>
    </cfRule>
  </conditionalFormatting>
  <conditionalFormatting sqref="T501:T502">
    <cfRule type="expression" dxfId="2811" priority="4938">
      <formula>#REF!="Yes"</formula>
    </cfRule>
  </conditionalFormatting>
  <conditionalFormatting sqref="P503">
    <cfRule type="cellIs" dxfId="2810" priority="4932" operator="equal">
      <formula>AS_DURATION_EFFORT</formula>
    </cfRule>
    <cfRule type="cellIs" dxfId="2809" priority="4933" operator="equal">
      <formula>AS_DEV_EFFORT</formula>
    </cfRule>
  </conditionalFormatting>
  <conditionalFormatting sqref="B501:B502">
    <cfRule type="expression" dxfId="2808" priority="4931">
      <formula>AD501&lt;&gt;""</formula>
    </cfRule>
  </conditionalFormatting>
  <conditionalFormatting sqref="F503">
    <cfRule type="expression" dxfId="2807" priority="4930">
      <formula>$K503&lt;&gt;""</formula>
    </cfRule>
  </conditionalFormatting>
  <conditionalFormatting sqref="C503">
    <cfRule type="expression" dxfId="2806" priority="4929">
      <formula>$G503&lt;&gt;"-"</formula>
    </cfRule>
  </conditionalFormatting>
  <conditionalFormatting sqref="D503">
    <cfRule type="expression" dxfId="2805" priority="4928">
      <formula>$H503&lt;&gt;"-"</formula>
    </cfRule>
  </conditionalFormatting>
  <conditionalFormatting sqref="E503">
    <cfRule type="expression" dxfId="2804" priority="4927">
      <formula>$I503&lt;&gt;"-"</formula>
    </cfRule>
  </conditionalFormatting>
  <conditionalFormatting sqref="B18">
    <cfRule type="expression" dxfId="2803" priority="3984">
      <formula>AD18&lt;&gt;""</formula>
    </cfRule>
  </conditionalFormatting>
  <conditionalFormatting sqref="Z18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18">
    <cfRule type="cellIs" dxfId="2800" priority="3981" operator="lessThan">
      <formula>0</formula>
    </cfRule>
  </conditionalFormatting>
  <conditionalFormatting sqref="L18:M18 O18 R18:AC18">
    <cfRule type="expression" dxfId="2799" priority="3985">
      <formula>AND($G18="Yes", $S$6="Exclude")</formula>
    </cfRule>
    <cfRule type="expression" dxfId="2798" priority="3986">
      <formula>$J18="Yes"</formula>
    </cfRule>
  </conditionalFormatting>
  <conditionalFormatting sqref="F18">
    <cfRule type="expression" dxfId="2797" priority="3978">
      <formula>$K18&lt;&gt;""</formula>
    </cfRule>
  </conditionalFormatting>
  <conditionalFormatting sqref="C18">
    <cfRule type="expression" dxfId="2796" priority="3977">
      <formula>$G18&lt;&gt;"-"</formula>
    </cfRule>
  </conditionalFormatting>
  <conditionalFormatting sqref="D18">
    <cfRule type="expression" dxfId="2795" priority="3976">
      <formula>$H18&lt;&gt;"-"</formula>
    </cfRule>
  </conditionalFormatting>
  <conditionalFormatting sqref="E18">
    <cfRule type="expression" dxfId="2794" priority="3975">
      <formula>$I18&lt;&gt;"-"</formula>
    </cfRule>
  </conditionalFormatting>
  <conditionalFormatting sqref="B28">
    <cfRule type="expression" dxfId="2793" priority="3971">
      <formula>AD28&lt;&gt;""</formula>
    </cfRule>
  </conditionalFormatting>
  <conditionalFormatting sqref="Z28">
    <cfRule type="cellIs" dxfId="2792" priority="3969" operator="greaterThan">
      <formula>0</formula>
    </cfRule>
    <cfRule type="cellIs" dxfId="2791" priority="3970" operator="lessThan">
      <formula>0</formula>
    </cfRule>
  </conditionalFormatting>
  <conditionalFormatting sqref="S28">
    <cfRule type="cellIs" dxfId="2790" priority="3968" operator="lessThan">
      <formula>0</formula>
    </cfRule>
  </conditionalFormatting>
  <conditionalFormatting sqref="T26:T27">
    <cfRule type="expression" dxfId="2789" priority="3972">
      <formula>#REF!="Yes"</formula>
    </cfRule>
  </conditionalFormatting>
  <conditionalFormatting sqref="P28">
    <cfRule type="cellIs" dxfId="2788" priority="3966" operator="equal">
      <formula>AS_DURATION_EFFORT</formula>
    </cfRule>
    <cfRule type="cellIs" dxfId="2787" priority="3967" operator="equal">
      <formula>AS_DEV_EFFORT</formula>
    </cfRule>
  </conditionalFormatting>
  <conditionalFormatting sqref="B26:B27">
    <cfRule type="expression" dxfId="2786" priority="3965">
      <formula>AD26&lt;&gt;""</formula>
    </cfRule>
  </conditionalFormatting>
  <conditionalFormatting sqref="F28">
    <cfRule type="expression" dxfId="2785" priority="3964">
      <formula>$K28&lt;&gt;""</formula>
    </cfRule>
  </conditionalFormatting>
  <conditionalFormatting sqref="C28">
    <cfRule type="expression" dxfId="2784" priority="3963">
      <formula>$G28&lt;&gt;"-"</formula>
    </cfRule>
  </conditionalFormatting>
  <conditionalFormatting sqref="D28">
    <cfRule type="expression" dxfId="2783" priority="3962">
      <formula>$H28&lt;&gt;"-"</formula>
    </cfRule>
  </conditionalFormatting>
  <conditionalFormatting sqref="E28">
    <cfRule type="expression" dxfId="2782" priority="3961">
      <formula>$I28&lt;&gt;"-"</formula>
    </cfRule>
  </conditionalFormatting>
  <conditionalFormatting sqref="B35">
    <cfRule type="expression" dxfId="2781" priority="3957">
      <formula>AD35&lt;&gt;""</formula>
    </cfRule>
  </conditionalFormatting>
  <conditionalFormatting sqref="Z35">
    <cfRule type="cellIs" dxfId="2780" priority="3955" operator="greaterThan">
      <formula>0</formula>
    </cfRule>
    <cfRule type="cellIs" dxfId="2779" priority="3956" operator="lessThan">
      <formula>0</formula>
    </cfRule>
  </conditionalFormatting>
  <conditionalFormatting sqref="S35">
    <cfRule type="cellIs" dxfId="2778" priority="3954" operator="lessThan">
      <formula>0</formula>
    </cfRule>
  </conditionalFormatting>
  <conditionalFormatting sqref="T33:T34">
    <cfRule type="expression" dxfId="2777" priority="3958">
      <formula>#REF!="Yes"</formula>
    </cfRule>
  </conditionalFormatting>
  <conditionalFormatting sqref="P35">
    <cfRule type="cellIs" dxfId="2776" priority="3952" operator="equal">
      <formula>AS_DURATION_EFFORT</formula>
    </cfRule>
    <cfRule type="cellIs" dxfId="2775" priority="3953" operator="equal">
      <formula>AS_DEV_EFFORT</formula>
    </cfRule>
  </conditionalFormatting>
  <conditionalFormatting sqref="B33:B34">
    <cfRule type="expression" dxfId="2774" priority="3951">
      <formula>AD33&lt;&gt;""</formula>
    </cfRule>
  </conditionalFormatting>
  <conditionalFormatting sqref="F35">
    <cfRule type="expression" dxfId="2773" priority="3950">
      <formula>$K35&lt;&gt;""</formula>
    </cfRule>
  </conditionalFormatting>
  <conditionalFormatting sqref="C35">
    <cfRule type="expression" dxfId="2772" priority="3949">
      <formula>$G35&lt;&gt;"-"</formula>
    </cfRule>
  </conditionalFormatting>
  <conditionalFormatting sqref="D35">
    <cfRule type="expression" dxfId="2771" priority="3948">
      <formula>$H35&lt;&gt;"-"</formula>
    </cfRule>
  </conditionalFormatting>
  <conditionalFormatting sqref="E35">
    <cfRule type="expression" dxfId="2770" priority="3947">
      <formula>$I35&lt;&gt;"-"</formula>
    </cfRule>
  </conditionalFormatting>
  <conditionalFormatting sqref="B43">
    <cfRule type="expression" dxfId="2769" priority="3943">
      <formula>AD43&lt;&gt;""</formula>
    </cfRule>
  </conditionalFormatting>
  <conditionalFormatting sqref="Z43">
    <cfRule type="cellIs" dxfId="2768" priority="3941" operator="greaterThan">
      <formula>0</formula>
    </cfRule>
    <cfRule type="cellIs" dxfId="2767" priority="3942" operator="lessThan">
      <formula>0</formula>
    </cfRule>
  </conditionalFormatting>
  <conditionalFormatting sqref="S43">
    <cfRule type="cellIs" dxfId="2766" priority="3940" operator="lessThan">
      <formula>0</formula>
    </cfRule>
  </conditionalFormatting>
  <conditionalFormatting sqref="T41:T42">
    <cfRule type="expression" dxfId="2765" priority="3944">
      <formula>#REF!="Yes"</formula>
    </cfRule>
  </conditionalFormatting>
  <conditionalFormatting sqref="P43">
    <cfRule type="cellIs" dxfId="2764" priority="3938" operator="equal">
      <formula>AS_DURATION_EFFORT</formula>
    </cfRule>
    <cfRule type="cellIs" dxfId="2763" priority="3939" operator="equal">
      <formula>AS_DEV_EFFORT</formula>
    </cfRule>
  </conditionalFormatting>
  <conditionalFormatting sqref="B41:B42">
    <cfRule type="expression" dxfId="2762" priority="3937">
      <formula>AD41&lt;&gt;""</formula>
    </cfRule>
  </conditionalFormatting>
  <conditionalFormatting sqref="F43">
    <cfRule type="expression" dxfId="2761" priority="3936">
      <formula>$K43&lt;&gt;""</formula>
    </cfRule>
  </conditionalFormatting>
  <conditionalFormatting sqref="C43">
    <cfRule type="expression" dxfId="2760" priority="3935">
      <formula>$G43&lt;&gt;"-"</formula>
    </cfRule>
  </conditionalFormatting>
  <conditionalFormatting sqref="D43">
    <cfRule type="expression" dxfId="2759" priority="3934">
      <formula>$H43&lt;&gt;"-"</formula>
    </cfRule>
  </conditionalFormatting>
  <conditionalFormatting sqref="E43">
    <cfRule type="expression" dxfId="2758" priority="3933">
      <formula>$I43&lt;&gt;"-"</formula>
    </cfRule>
  </conditionalFormatting>
  <conditionalFormatting sqref="B49">
    <cfRule type="expression" dxfId="2757" priority="3929">
      <formula>AD49&lt;&gt;""</formula>
    </cfRule>
  </conditionalFormatting>
  <conditionalFormatting sqref="Z49">
    <cfRule type="cellIs" dxfId="2756" priority="3927" operator="greaterThan">
      <formula>0</formula>
    </cfRule>
    <cfRule type="cellIs" dxfId="2755" priority="3928" operator="lessThan">
      <formula>0</formula>
    </cfRule>
  </conditionalFormatting>
  <conditionalFormatting sqref="S49">
    <cfRule type="cellIs" dxfId="2754" priority="3926" operator="lessThan">
      <formula>0</formula>
    </cfRule>
  </conditionalFormatting>
  <conditionalFormatting sqref="T47:T48">
    <cfRule type="expression" dxfId="2753" priority="3930">
      <formula>#REF!="Yes"</formula>
    </cfRule>
  </conditionalFormatting>
  <conditionalFormatting sqref="P49">
    <cfRule type="cellIs" dxfId="2752" priority="3924" operator="equal">
      <formula>AS_DURATION_EFFORT</formula>
    </cfRule>
    <cfRule type="cellIs" dxfId="2751" priority="3925" operator="equal">
      <formula>AS_DEV_EFFORT</formula>
    </cfRule>
  </conditionalFormatting>
  <conditionalFormatting sqref="B47:B48">
    <cfRule type="expression" dxfId="2750" priority="3923">
      <formula>AD47&lt;&gt;""</formula>
    </cfRule>
  </conditionalFormatting>
  <conditionalFormatting sqref="F49">
    <cfRule type="expression" dxfId="2749" priority="3922">
      <formula>$K49&lt;&gt;""</formula>
    </cfRule>
  </conditionalFormatting>
  <conditionalFormatting sqref="C49">
    <cfRule type="expression" dxfId="2748" priority="3921">
      <formula>$G49&lt;&gt;"-"</formula>
    </cfRule>
  </conditionalFormatting>
  <conditionalFormatting sqref="D49">
    <cfRule type="expression" dxfId="2747" priority="3920">
      <formula>$H49&lt;&gt;"-"</formula>
    </cfRule>
  </conditionalFormatting>
  <conditionalFormatting sqref="E49">
    <cfRule type="expression" dxfId="2746" priority="3919">
      <formula>$I49&lt;&gt;"-"</formula>
    </cfRule>
  </conditionalFormatting>
  <conditionalFormatting sqref="B58">
    <cfRule type="expression" dxfId="2745" priority="3915">
      <formula>AD58&lt;&gt;""</formula>
    </cfRule>
  </conditionalFormatting>
  <conditionalFormatting sqref="Z58">
    <cfRule type="cellIs" dxfId="2744" priority="3913" operator="greaterThan">
      <formula>0</formula>
    </cfRule>
    <cfRule type="cellIs" dxfId="2743" priority="3914" operator="lessThan">
      <formula>0</formula>
    </cfRule>
  </conditionalFormatting>
  <conditionalFormatting sqref="S58">
    <cfRule type="cellIs" dxfId="2742" priority="3912" operator="lessThan">
      <formula>0</formula>
    </cfRule>
  </conditionalFormatting>
  <conditionalFormatting sqref="T56:T57">
    <cfRule type="expression" dxfId="2741" priority="3916">
      <formula>#REF!="Yes"</formula>
    </cfRule>
  </conditionalFormatting>
  <conditionalFormatting sqref="P58">
    <cfRule type="cellIs" dxfId="2740" priority="3910" operator="equal">
      <formula>AS_DURATION_EFFORT</formula>
    </cfRule>
    <cfRule type="cellIs" dxfId="2739" priority="3911" operator="equal">
      <formula>AS_DEV_EFFORT</formula>
    </cfRule>
  </conditionalFormatting>
  <conditionalFormatting sqref="B56:B57">
    <cfRule type="expression" dxfId="2738" priority="3909">
      <formula>AD56&lt;&gt;""</formula>
    </cfRule>
  </conditionalFormatting>
  <conditionalFormatting sqref="F58">
    <cfRule type="expression" dxfId="2737" priority="3908">
      <formula>$K58&lt;&gt;""</formula>
    </cfRule>
  </conditionalFormatting>
  <conditionalFormatting sqref="C58">
    <cfRule type="expression" dxfId="2736" priority="3907">
      <formula>$G58&lt;&gt;"-"</formula>
    </cfRule>
  </conditionalFormatting>
  <conditionalFormatting sqref="D58">
    <cfRule type="expression" dxfId="2735" priority="3906">
      <formula>$H58&lt;&gt;"-"</formula>
    </cfRule>
  </conditionalFormatting>
  <conditionalFormatting sqref="E58">
    <cfRule type="expression" dxfId="2734" priority="3905">
      <formula>$I58&lt;&gt;"-"</formula>
    </cfRule>
  </conditionalFormatting>
  <conditionalFormatting sqref="N18">
    <cfRule type="expression" dxfId="2733" priority="3903">
      <formula>AND($G18="Yes", $S$6="Exclude")</formula>
    </cfRule>
    <cfRule type="expression" dxfId="2732" priority="3904">
      <formula>$J18="Yes"</formula>
    </cfRule>
  </conditionalFormatting>
  <conditionalFormatting sqref="P18">
    <cfRule type="cellIs" dxfId="2731" priority="3899" operator="equal">
      <formula>AS_DURATION_EFFORT</formula>
    </cfRule>
    <cfRule type="cellIs" dxfId="2730" priority="3900" operator="equal">
      <formula>AS_DEV_EFFORT</formula>
    </cfRule>
  </conditionalFormatting>
  <conditionalFormatting sqref="P18:Q18">
    <cfRule type="expression" dxfId="2729" priority="3901">
      <formula>AND($G18="Yes", $S$6="Exclude")</formula>
    </cfRule>
    <cfRule type="expression" dxfId="2728" priority="3902">
      <formula>$J18="Yes"</formula>
    </cfRule>
  </conditionalFormatting>
  <conditionalFormatting sqref="B22">
    <cfRule type="expression" dxfId="2727" priority="3896">
      <formula>AD22&lt;&gt;""</formula>
    </cfRule>
  </conditionalFormatting>
  <conditionalFormatting sqref="Z22">
    <cfRule type="cellIs" dxfId="2726" priority="3894" operator="greaterThan">
      <formula>0</formula>
    </cfRule>
    <cfRule type="cellIs" dxfId="2725" priority="3895" operator="lessThan">
      <formula>0</formula>
    </cfRule>
  </conditionalFormatting>
  <conditionalFormatting sqref="S22">
    <cfRule type="cellIs" dxfId="2724" priority="3893" operator="lessThan">
      <formula>0</formula>
    </cfRule>
  </conditionalFormatting>
  <conditionalFormatting sqref="P22">
    <cfRule type="cellIs" dxfId="2723" priority="3891" operator="equal">
      <formula>AS_DURATION_EFFORT</formula>
    </cfRule>
    <cfRule type="cellIs" dxfId="2722" priority="3892" operator="equal">
      <formula>AS_DEV_EFFORT</formula>
    </cfRule>
  </conditionalFormatting>
  <conditionalFormatting sqref="L22:M22 O22:AC22">
    <cfRule type="expression" dxfId="2721" priority="3897">
      <formula>AND($G22="Yes", $S$6="Exclude")</formula>
    </cfRule>
    <cfRule type="expression" dxfId="2720" priority="3898">
      <formula>$J22="Yes"</formula>
    </cfRule>
  </conditionalFormatting>
  <conditionalFormatting sqref="F22">
    <cfRule type="expression" dxfId="2719" priority="3890">
      <formula>$K22&lt;&gt;""</formula>
    </cfRule>
  </conditionalFormatting>
  <conditionalFormatting sqref="C22">
    <cfRule type="expression" dxfId="2718" priority="3889">
      <formula>$G22&lt;&gt;"-"</formula>
    </cfRule>
  </conditionalFormatting>
  <conditionalFormatting sqref="D22">
    <cfRule type="expression" dxfId="2717" priority="3888">
      <formula>$H22&lt;&gt;"-"</formula>
    </cfRule>
  </conditionalFormatting>
  <conditionalFormatting sqref="E22">
    <cfRule type="expression" dxfId="2716" priority="3887">
      <formula>$I22&lt;&gt;"-"</formula>
    </cfRule>
  </conditionalFormatting>
  <conditionalFormatting sqref="N22">
    <cfRule type="expression" dxfId="2715" priority="3885">
      <formula>AND($G22="Yes", $S$6="Exclude")</formula>
    </cfRule>
    <cfRule type="expression" dxfId="2714" priority="3886">
      <formula>$J22="Yes"</formula>
    </cfRule>
  </conditionalFormatting>
  <conditionalFormatting sqref="B31">
    <cfRule type="expression" dxfId="2713" priority="3882">
      <formula>AD31&lt;&gt;""</formula>
    </cfRule>
  </conditionalFormatting>
  <conditionalFormatting sqref="Z31">
    <cfRule type="cellIs" dxfId="2712" priority="3880" operator="greaterThan">
      <formula>0</formula>
    </cfRule>
    <cfRule type="cellIs" dxfId="2711" priority="3881" operator="lessThan">
      <formula>0</formula>
    </cfRule>
  </conditionalFormatting>
  <conditionalFormatting sqref="S31">
    <cfRule type="cellIs" dxfId="2710" priority="3879" operator="lessThan">
      <formula>0</formula>
    </cfRule>
  </conditionalFormatting>
  <conditionalFormatting sqref="P31">
    <cfRule type="cellIs" dxfId="2709" priority="3877" operator="equal">
      <formula>AS_DURATION_EFFORT</formula>
    </cfRule>
    <cfRule type="cellIs" dxfId="2708" priority="3878" operator="equal">
      <formula>AS_DEV_EFFORT</formula>
    </cfRule>
  </conditionalFormatting>
  <conditionalFormatting sqref="L31:M31 O31:AC31">
    <cfRule type="expression" dxfId="2707" priority="3883">
      <formula>AND($G31="Yes", $S$6="Exclude")</formula>
    </cfRule>
    <cfRule type="expression" dxfId="2706" priority="3884">
      <formula>$J31="Yes"</formula>
    </cfRule>
  </conditionalFormatting>
  <conditionalFormatting sqref="F31">
    <cfRule type="expression" dxfId="2705" priority="3876">
      <formula>$K31&lt;&gt;""</formula>
    </cfRule>
  </conditionalFormatting>
  <conditionalFormatting sqref="C31">
    <cfRule type="expression" dxfId="2704" priority="3875">
      <formula>$G31&lt;&gt;"-"</formula>
    </cfRule>
  </conditionalFormatting>
  <conditionalFormatting sqref="D31">
    <cfRule type="expression" dxfId="2703" priority="3874">
      <formula>$H31&lt;&gt;"-"</formula>
    </cfRule>
  </conditionalFormatting>
  <conditionalFormatting sqref="E31">
    <cfRule type="expression" dxfId="2702" priority="3873">
      <formula>$I31&lt;&gt;"-"</formula>
    </cfRule>
  </conditionalFormatting>
  <conditionalFormatting sqref="B30">
    <cfRule type="expression" dxfId="2701" priority="3870">
      <formula>AD30&lt;&gt;""</formula>
    </cfRule>
  </conditionalFormatting>
  <conditionalFormatting sqref="Z30">
    <cfRule type="cellIs" dxfId="2700" priority="3868" operator="greaterThan">
      <formula>0</formula>
    </cfRule>
    <cfRule type="cellIs" dxfId="2699" priority="3869" operator="lessThan">
      <formula>0</formula>
    </cfRule>
  </conditionalFormatting>
  <conditionalFormatting sqref="S30">
    <cfRule type="cellIs" dxfId="2698" priority="3867" operator="lessThan">
      <formula>0</formula>
    </cfRule>
  </conditionalFormatting>
  <conditionalFormatting sqref="P30">
    <cfRule type="cellIs" dxfId="2697" priority="3865" operator="equal">
      <formula>AS_DURATION_EFFORT</formula>
    </cfRule>
    <cfRule type="cellIs" dxfId="2696" priority="3866" operator="equal">
      <formula>AS_DEV_EFFORT</formula>
    </cfRule>
  </conditionalFormatting>
  <conditionalFormatting sqref="L30:M30 P30:AC30">
    <cfRule type="expression" dxfId="2695" priority="3871">
      <formula>AND($G30="Yes", $S$6="Exclude")</formula>
    </cfRule>
    <cfRule type="expression" dxfId="2694" priority="3872">
      <formula>$J30="Yes"</formula>
    </cfRule>
  </conditionalFormatting>
  <conditionalFormatting sqref="F30">
    <cfRule type="expression" dxfId="2693" priority="3864">
      <formula>$K30&lt;&gt;""</formula>
    </cfRule>
  </conditionalFormatting>
  <conditionalFormatting sqref="C30">
    <cfRule type="expression" dxfId="2692" priority="3863">
      <formula>$G30&lt;&gt;"-"</formula>
    </cfRule>
  </conditionalFormatting>
  <conditionalFormatting sqref="D30">
    <cfRule type="expression" dxfId="2691" priority="3862">
      <formula>$H30&lt;&gt;"-"</formula>
    </cfRule>
  </conditionalFormatting>
  <conditionalFormatting sqref="E30">
    <cfRule type="expression" dxfId="2690" priority="3861">
      <formula>$I30&lt;&gt;"-"</formula>
    </cfRule>
  </conditionalFormatting>
  <conditionalFormatting sqref="B29">
    <cfRule type="expression" dxfId="2689" priority="3858">
      <formula>AD29&lt;&gt;""</formula>
    </cfRule>
  </conditionalFormatting>
  <conditionalFormatting sqref="Z29">
    <cfRule type="cellIs" dxfId="2688" priority="3856" operator="greaterThan">
      <formula>0</formula>
    </cfRule>
    <cfRule type="cellIs" dxfId="2687" priority="3857" operator="lessThan">
      <formula>0</formula>
    </cfRule>
  </conditionalFormatting>
  <conditionalFormatting sqref="S29">
    <cfRule type="cellIs" dxfId="2686" priority="3855" operator="lessThan">
      <formula>0</formula>
    </cfRule>
  </conditionalFormatting>
  <conditionalFormatting sqref="P29">
    <cfRule type="cellIs" dxfId="2685" priority="3853" operator="equal">
      <formula>AS_DURATION_EFFORT</formula>
    </cfRule>
    <cfRule type="cellIs" dxfId="2684" priority="3854" operator="equal">
      <formula>AS_DEV_EFFORT</formula>
    </cfRule>
  </conditionalFormatting>
  <conditionalFormatting sqref="L29:M29 P29:AC29">
    <cfRule type="expression" dxfId="2683" priority="3859">
      <formula>AND($G29="Yes", $S$6="Exclude")</formula>
    </cfRule>
    <cfRule type="expression" dxfId="2682" priority="3860">
      <formula>$J29="Yes"</formula>
    </cfRule>
  </conditionalFormatting>
  <conditionalFormatting sqref="F29">
    <cfRule type="expression" dxfId="2681" priority="3852">
      <formula>$K29&lt;&gt;""</formula>
    </cfRule>
  </conditionalFormatting>
  <conditionalFormatting sqref="C29">
    <cfRule type="expression" dxfId="2680" priority="3851">
      <formula>$G29&lt;&gt;"-"</formula>
    </cfRule>
  </conditionalFormatting>
  <conditionalFormatting sqref="D29">
    <cfRule type="expression" dxfId="2679" priority="3850">
      <formula>$H29&lt;&gt;"-"</formula>
    </cfRule>
  </conditionalFormatting>
  <conditionalFormatting sqref="E29">
    <cfRule type="expression" dxfId="2678" priority="3849">
      <formula>$I29&lt;&gt;"-"</formula>
    </cfRule>
  </conditionalFormatting>
  <conditionalFormatting sqref="N30:N31">
    <cfRule type="expression" dxfId="2677" priority="3847">
      <formula>AND($G30="Yes", $S$6="Exclude")</formula>
    </cfRule>
    <cfRule type="expression" dxfId="2676" priority="3848">
      <formula>$J30="Yes"</formula>
    </cfRule>
  </conditionalFormatting>
  <conditionalFormatting sqref="N28">
    <cfRule type="expression" dxfId="2675" priority="3845">
      <formula>AND($G28="Yes", $S$6="Exclude")</formula>
    </cfRule>
    <cfRule type="expression" dxfId="2674" priority="3846">
      <formula>$J28="Yes"</formula>
    </cfRule>
  </conditionalFormatting>
  <conditionalFormatting sqref="N29">
    <cfRule type="expression" dxfId="2673" priority="3843">
      <formula>AND($G29="Yes", $S$6="Exclude")</formula>
    </cfRule>
    <cfRule type="expression" dxfId="2672" priority="3844">
      <formula>$J29="Yes"</formula>
    </cfRule>
  </conditionalFormatting>
  <conditionalFormatting sqref="O30">
    <cfRule type="expression" dxfId="2671" priority="3841">
      <formula>AND($G30="Yes", $S$6="Exclude")</formula>
    </cfRule>
    <cfRule type="expression" dxfId="2670" priority="3842">
      <formula>$J30="Yes"</formula>
    </cfRule>
  </conditionalFormatting>
  <conditionalFormatting sqref="O29">
    <cfRule type="expression" dxfId="2669" priority="3839">
      <formula>AND($G29="Yes", $S$6="Exclude")</formula>
    </cfRule>
    <cfRule type="expression" dxfId="2668" priority="3840">
      <formula>$J29="Yes"</formula>
    </cfRule>
  </conditionalFormatting>
  <conditionalFormatting sqref="B39">
    <cfRule type="expression" dxfId="2667" priority="3836">
      <formula>AD39&lt;&gt;""</formula>
    </cfRule>
  </conditionalFormatting>
  <conditionalFormatting sqref="Z39">
    <cfRule type="cellIs" dxfId="2666" priority="3834" operator="greaterThan">
      <formula>0</formula>
    </cfRule>
    <cfRule type="cellIs" dxfId="2665" priority="3835" operator="lessThan">
      <formula>0</formula>
    </cfRule>
  </conditionalFormatting>
  <conditionalFormatting sqref="S39">
    <cfRule type="cellIs" dxfId="2664" priority="3833" operator="lessThan">
      <formula>0</formula>
    </cfRule>
  </conditionalFormatting>
  <conditionalFormatting sqref="P39">
    <cfRule type="cellIs" dxfId="2663" priority="3831" operator="equal">
      <formula>AS_DURATION_EFFORT</formula>
    </cfRule>
    <cfRule type="cellIs" dxfId="2662" priority="3832" operator="equal">
      <formula>AS_DEV_EFFORT</formula>
    </cfRule>
  </conditionalFormatting>
  <conditionalFormatting sqref="L39:M39 O39:AC39">
    <cfRule type="expression" dxfId="2661" priority="3837">
      <formula>AND($G39="Yes", $S$6="Exclude")</formula>
    </cfRule>
    <cfRule type="expression" dxfId="2660" priority="3838">
      <formula>$J39="Yes"</formula>
    </cfRule>
  </conditionalFormatting>
  <conditionalFormatting sqref="F39">
    <cfRule type="expression" dxfId="2659" priority="3830">
      <formula>$K39&lt;&gt;""</formula>
    </cfRule>
  </conditionalFormatting>
  <conditionalFormatting sqref="C39">
    <cfRule type="expression" dxfId="2658" priority="3829">
      <formula>$G39&lt;&gt;"-"</formula>
    </cfRule>
  </conditionalFormatting>
  <conditionalFormatting sqref="D39">
    <cfRule type="expression" dxfId="2657" priority="3828">
      <formula>$H39&lt;&gt;"-"</formula>
    </cfRule>
  </conditionalFormatting>
  <conditionalFormatting sqref="E39">
    <cfRule type="expression" dxfId="2656" priority="3827">
      <formula>$I39&lt;&gt;"-"</formula>
    </cfRule>
  </conditionalFormatting>
  <conditionalFormatting sqref="B38">
    <cfRule type="expression" dxfId="2655" priority="3824">
      <formula>AD38&lt;&gt;""</formula>
    </cfRule>
  </conditionalFormatting>
  <conditionalFormatting sqref="Z38">
    <cfRule type="cellIs" dxfId="2654" priority="3822" operator="greaterThan">
      <formula>0</formula>
    </cfRule>
    <cfRule type="cellIs" dxfId="2653" priority="3823" operator="lessThan">
      <formula>0</formula>
    </cfRule>
  </conditionalFormatting>
  <conditionalFormatting sqref="S38">
    <cfRule type="cellIs" dxfId="2652" priority="3821" operator="lessThan">
      <formula>0</formula>
    </cfRule>
  </conditionalFormatting>
  <conditionalFormatting sqref="P38">
    <cfRule type="cellIs" dxfId="2651" priority="3819" operator="equal">
      <formula>AS_DURATION_EFFORT</formula>
    </cfRule>
    <cfRule type="cellIs" dxfId="2650" priority="3820" operator="equal">
      <formula>AS_DEV_EFFORT</formula>
    </cfRule>
  </conditionalFormatting>
  <conditionalFormatting sqref="L38:M38 P38:AC38">
    <cfRule type="expression" dxfId="2649" priority="3825">
      <formula>AND($G38="Yes", $S$6="Exclude")</formula>
    </cfRule>
    <cfRule type="expression" dxfId="2648" priority="3826">
      <formula>$J38="Yes"</formula>
    </cfRule>
  </conditionalFormatting>
  <conditionalFormatting sqref="F38">
    <cfRule type="expression" dxfId="2647" priority="3818">
      <formula>$K38&lt;&gt;""</formula>
    </cfRule>
  </conditionalFormatting>
  <conditionalFormatting sqref="C38">
    <cfRule type="expression" dxfId="2646" priority="3817">
      <formula>$G38&lt;&gt;"-"</formula>
    </cfRule>
  </conditionalFormatting>
  <conditionalFormatting sqref="D38">
    <cfRule type="expression" dxfId="2645" priority="3816">
      <formula>$H38&lt;&gt;"-"</formula>
    </cfRule>
  </conditionalFormatting>
  <conditionalFormatting sqref="E38">
    <cfRule type="expression" dxfId="2644" priority="3815">
      <formula>$I38&lt;&gt;"-"</formula>
    </cfRule>
  </conditionalFormatting>
  <conditionalFormatting sqref="B37">
    <cfRule type="expression" dxfId="2643" priority="3812">
      <formula>AD37&lt;&gt;""</formula>
    </cfRule>
  </conditionalFormatting>
  <conditionalFormatting sqref="Z37">
    <cfRule type="cellIs" dxfId="2642" priority="3810" operator="greaterThan">
      <formula>0</formula>
    </cfRule>
    <cfRule type="cellIs" dxfId="2641" priority="3811" operator="lessThan">
      <formula>0</formula>
    </cfRule>
  </conditionalFormatting>
  <conditionalFormatting sqref="S37">
    <cfRule type="cellIs" dxfId="2640" priority="3809" operator="lessThan">
      <formula>0</formula>
    </cfRule>
  </conditionalFormatting>
  <conditionalFormatting sqref="P37">
    <cfRule type="cellIs" dxfId="2639" priority="3807" operator="equal">
      <formula>AS_DURATION_EFFORT</formula>
    </cfRule>
    <cfRule type="cellIs" dxfId="2638" priority="3808" operator="equal">
      <formula>AS_DEV_EFFORT</formula>
    </cfRule>
  </conditionalFormatting>
  <conditionalFormatting sqref="L37:M37 P37:AC37">
    <cfRule type="expression" dxfId="2637" priority="3813">
      <formula>AND($G37="Yes", $S$6="Exclude")</formula>
    </cfRule>
    <cfRule type="expression" dxfId="2636" priority="3814">
      <formula>$J37="Yes"</formula>
    </cfRule>
  </conditionalFormatting>
  <conditionalFormatting sqref="F37">
    <cfRule type="expression" dxfId="2635" priority="3806">
      <formula>$K37&lt;&gt;""</formula>
    </cfRule>
  </conditionalFormatting>
  <conditionalFormatting sqref="C37">
    <cfRule type="expression" dxfId="2634" priority="3805">
      <formula>$G37&lt;&gt;"-"</formula>
    </cfRule>
  </conditionalFormatting>
  <conditionalFormatting sqref="D37">
    <cfRule type="expression" dxfId="2633" priority="3804">
      <formula>$H37&lt;&gt;"-"</formula>
    </cfRule>
  </conditionalFormatting>
  <conditionalFormatting sqref="E37">
    <cfRule type="expression" dxfId="2632" priority="3803">
      <formula>$I37&lt;&gt;"-"</formula>
    </cfRule>
  </conditionalFormatting>
  <conditionalFormatting sqref="B36">
    <cfRule type="expression" dxfId="2631" priority="3800">
      <formula>AD36&lt;&gt;""</formula>
    </cfRule>
  </conditionalFormatting>
  <conditionalFormatting sqref="Z36">
    <cfRule type="cellIs" dxfId="2630" priority="3798" operator="greaterThan">
      <formula>0</formula>
    </cfRule>
    <cfRule type="cellIs" dxfId="2629" priority="3799" operator="lessThan">
      <formula>0</formula>
    </cfRule>
  </conditionalFormatting>
  <conditionalFormatting sqref="S36">
    <cfRule type="cellIs" dxfId="2628" priority="3797" operator="lessThan">
      <formula>0</formula>
    </cfRule>
  </conditionalFormatting>
  <conditionalFormatting sqref="P36">
    <cfRule type="cellIs" dxfId="2627" priority="3795" operator="equal">
      <formula>AS_DURATION_EFFORT</formula>
    </cfRule>
    <cfRule type="cellIs" dxfId="2626" priority="3796" operator="equal">
      <formula>AS_DEV_EFFORT</formula>
    </cfRule>
  </conditionalFormatting>
  <conditionalFormatting sqref="L36:M36 P36:AC36">
    <cfRule type="expression" dxfId="2625" priority="3801">
      <formula>AND($G36="Yes", $S$6="Exclude")</formula>
    </cfRule>
    <cfRule type="expression" dxfId="2624" priority="3802">
      <formula>$J36="Yes"</formula>
    </cfRule>
  </conditionalFormatting>
  <conditionalFormatting sqref="F36">
    <cfRule type="expression" dxfId="2623" priority="3794">
      <formula>$K36&lt;&gt;""</formula>
    </cfRule>
  </conditionalFormatting>
  <conditionalFormatting sqref="C36">
    <cfRule type="expression" dxfId="2622" priority="3793">
      <formula>$G36&lt;&gt;"-"</formula>
    </cfRule>
  </conditionalFormatting>
  <conditionalFormatting sqref="D36">
    <cfRule type="expression" dxfId="2621" priority="3792">
      <formula>$H36&lt;&gt;"-"</formula>
    </cfRule>
  </conditionalFormatting>
  <conditionalFormatting sqref="E36">
    <cfRule type="expression" dxfId="2620" priority="3791">
      <formula>$I36&lt;&gt;"-"</formula>
    </cfRule>
  </conditionalFormatting>
  <conditionalFormatting sqref="N35">
    <cfRule type="expression" dxfId="2619" priority="3789">
      <formula>AND($G35="Yes", $S$6="Exclude")</formula>
    </cfRule>
    <cfRule type="expression" dxfId="2618" priority="3790">
      <formula>$J35="Yes"</formula>
    </cfRule>
  </conditionalFormatting>
  <conditionalFormatting sqref="N38">
    <cfRule type="expression" dxfId="2617" priority="3787">
      <formula>AND($G38="Yes", $S$6="Exclude")</formula>
    </cfRule>
    <cfRule type="expression" dxfId="2616" priority="3788">
      <formula>$J38="Yes"</formula>
    </cfRule>
  </conditionalFormatting>
  <conditionalFormatting sqref="N37">
    <cfRule type="expression" dxfId="2615" priority="3785">
      <formula>AND($G37="Yes", $S$6="Exclude")</formula>
    </cfRule>
    <cfRule type="expression" dxfId="2614" priority="3786">
      <formula>$J37="Yes"</formula>
    </cfRule>
  </conditionalFormatting>
  <conditionalFormatting sqref="N36">
    <cfRule type="expression" dxfId="2613" priority="3783">
      <formula>AND($G36="Yes", $S$6="Exclude")</formula>
    </cfRule>
    <cfRule type="expression" dxfId="2612" priority="3784">
      <formula>$J36="Yes"</formula>
    </cfRule>
  </conditionalFormatting>
  <conditionalFormatting sqref="N39">
    <cfRule type="expression" dxfId="2611" priority="3781">
      <formula>AND($G39="Yes", $S$6="Exclude")</formula>
    </cfRule>
    <cfRule type="expression" dxfId="2610" priority="3782">
      <formula>$J39="Yes"</formula>
    </cfRule>
  </conditionalFormatting>
  <conditionalFormatting sqref="O36">
    <cfRule type="expression" dxfId="2609" priority="3779">
      <formula>AND($G36="Yes", $S$6="Exclude")</formula>
    </cfRule>
    <cfRule type="expression" dxfId="2608" priority="3780">
      <formula>$J36="Yes"</formula>
    </cfRule>
  </conditionalFormatting>
  <conditionalFormatting sqref="O37">
    <cfRule type="expression" dxfId="2607" priority="3777">
      <formula>AND($G37="Yes", $S$6="Exclude")</formula>
    </cfRule>
    <cfRule type="expression" dxfId="2606" priority="3778">
      <formula>$J37="Yes"</formula>
    </cfRule>
  </conditionalFormatting>
  <conditionalFormatting sqref="O38">
    <cfRule type="expression" dxfId="2605" priority="3775">
      <formula>AND($G38="Yes", $S$6="Exclude")</formula>
    </cfRule>
    <cfRule type="expression" dxfId="2604" priority="3776">
      <formula>$J38="Yes"</formula>
    </cfRule>
  </conditionalFormatting>
  <conditionalFormatting sqref="B45">
    <cfRule type="expression" dxfId="2603" priority="3772">
      <formula>AD45&lt;&gt;""</formula>
    </cfRule>
  </conditionalFormatting>
  <conditionalFormatting sqref="Z45">
    <cfRule type="cellIs" dxfId="2602" priority="3770" operator="greaterThan">
      <formula>0</formula>
    </cfRule>
    <cfRule type="cellIs" dxfId="2601" priority="3771" operator="lessThan">
      <formula>0</formula>
    </cfRule>
  </conditionalFormatting>
  <conditionalFormatting sqref="S45">
    <cfRule type="cellIs" dxfId="2600" priority="3769" operator="lessThan">
      <formula>0</formula>
    </cfRule>
  </conditionalFormatting>
  <conditionalFormatting sqref="P45">
    <cfRule type="cellIs" dxfId="2599" priority="3767" operator="equal">
      <formula>AS_DURATION_EFFORT</formula>
    </cfRule>
    <cfRule type="cellIs" dxfId="2598" priority="3768" operator="equal">
      <formula>AS_DEV_EFFORT</formula>
    </cfRule>
  </conditionalFormatting>
  <conditionalFormatting sqref="L45:M45 P45:AC45">
    <cfRule type="expression" dxfId="2597" priority="3773">
      <formula>AND($G45="Yes", $S$6="Exclude")</formula>
    </cfRule>
    <cfRule type="expression" dxfId="2596" priority="3774">
      <formula>$J45="Yes"</formula>
    </cfRule>
  </conditionalFormatting>
  <conditionalFormatting sqref="F45">
    <cfRule type="expression" dxfId="2595" priority="3766">
      <formula>$K45&lt;&gt;""</formula>
    </cfRule>
  </conditionalFormatting>
  <conditionalFormatting sqref="C45">
    <cfRule type="expression" dxfId="2594" priority="3765">
      <formula>$G45&lt;&gt;"-"</formula>
    </cfRule>
  </conditionalFormatting>
  <conditionalFormatting sqref="D45">
    <cfRule type="expression" dxfId="2593" priority="3764">
      <formula>$H45&lt;&gt;"-"</formula>
    </cfRule>
  </conditionalFormatting>
  <conditionalFormatting sqref="E45">
    <cfRule type="expression" dxfId="2592" priority="3763">
      <formula>$I45&lt;&gt;"-"</formula>
    </cfRule>
  </conditionalFormatting>
  <conditionalFormatting sqref="B44">
    <cfRule type="expression" dxfId="2591" priority="3760">
      <formula>AD44&lt;&gt;""</formula>
    </cfRule>
  </conditionalFormatting>
  <conditionalFormatting sqref="Z44">
    <cfRule type="cellIs" dxfId="2590" priority="3758" operator="greaterThan">
      <formula>0</formula>
    </cfRule>
    <cfRule type="cellIs" dxfId="2589" priority="3759" operator="lessThan">
      <formula>0</formula>
    </cfRule>
  </conditionalFormatting>
  <conditionalFormatting sqref="S44">
    <cfRule type="cellIs" dxfId="2588" priority="3757" operator="lessThan">
      <formula>0</formula>
    </cfRule>
  </conditionalFormatting>
  <conditionalFormatting sqref="P44">
    <cfRule type="cellIs" dxfId="2587" priority="3755" operator="equal">
      <formula>AS_DURATION_EFFORT</formula>
    </cfRule>
    <cfRule type="cellIs" dxfId="2586" priority="3756" operator="equal">
      <formula>AS_DEV_EFFORT</formula>
    </cfRule>
  </conditionalFormatting>
  <conditionalFormatting sqref="L44:M44 P44:AC44">
    <cfRule type="expression" dxfId="2585" priority="3761">
      <formula>AND($G44="Yes", $S$6="Exclude")</formula>
    </cfRule>
    <cfRule type="expression" dxfId="2584" priority="3762">
      <formula>$J44="Yes"</formula>
    </cfRule>
  </conditionalFormatting>
  <conditionalFormatting sqref="F44">
    <cfRule type="expression" dxfId="2583" priority="3754">
      <formula>$K44&lt;&gt;""</formula>
    </cfRule>
  </conditionalFormatting>
  <conditionalFormatting sqref="C44">
    <cfRule type="expression" dxfId="2582" priority="3753">
      <formula>$G44&lt;&gt;"-"</formula>
    </cfRule>
  </conditionalFormatting>
  <conditionalFormatting sqref="D44">
    <cfRule type="expression" dxfId="2581" priority="3752">
      <formula>$H44&lt;&gt;"-"</formula>
    </cfRule>
  </conditionalFormatting>
  <conditionalFormatting sqref="E44">
    <cfRule type="expression" dxfId="2580" priority="3751">
      <formula>$I44&lt;&gt;"-"</formula>
    </cfRule>
  </conditionalFormatting>
  <conditionalFormatting sqref="N43:O45">
    <cfRule type="expression" dxfId="2579" priority="3749">
      <formula>AND($G43="Yes", $S$6="Exclude")</formula>
    </cfRule>
    <cfRule type="expression" dxfId="2578" priority="3750">
      <formula>$J43="Yes"</formula>
    </cfRule>
  </conditionalFormatting>
  <conditionalFormatting sqref="P43">
    <cfRule type="cellIs" dxfId="2577" priority="3747" operator="equal">
      <formula>AS_DURATION_EFFORT</formula>
    </cfRule>
    <cfRule type="cellIs" dxfId="2576" priority="3748" operator="equal">
      <formula>AS_DEV_EFFORT</formula>
    </cfRule>
  </conditionalFormatting>
  <conditionalFormatting sqref="B54">
    <cfRule type="expression" dxfId="2575" priority="3744">
      <formula>AD54&lt;&gt;""</formula>
    </cfRule>
  </conditionalFormatting>
  <conditionalFormatting sqref="Z54">
    <cfRule type="cellIs" dxfId="2574" priority="3742" operator="greaterThan">
      <formula>0</formula>
    </cfRule>
    <cfRule type="cellIs" dxfId="2573" priority="3743" operator="lessThan">
      <formula>0</formula>
    </cfRule>
  </conditionalFormatting>
  <conditionalFormatting sqref="S54">
    <cfRule type="cellIs" dxfId="2572" priority="3741" operator="lessThan">
      <formula>0</formula>
    </cfRule>
  </conditionalFormatting>
  <conditionalFormatting sqref="P54">
    <cfRule type="cellIs" dxfId="2571" priority="3739" operator="equal">
      <formula>AS_DURATION_EFFORT</formula>
    </cfRule>
    <cfRule type="cellIs" dxfId="2570" priority="3740" operator="equal">
      <formula>AS_DEV_EFFORT</formula>
    </cfRule>
  </conditionalFormatting>
  <conditionalFormatting sqref="L54:M54 O54:AC54">
    <cfRule type="expression" dxfId="2569" priority="3745">
      <formula>AND($G54="Yes", $S$6="Exclude")</formula>
    </cfRule>
    <cfRule type="expression" dxfId="2568" priority="3746">
      <formula>$J54="Yes"</formula>
    </cfRule>
  </conditionalFormatting>
  <conditionalFormatting sqref="F54">
    <cfRule type="expression" dxfId="2567" priority="3738">
      <formula>$K54&lt;&gt;""</formula>
    </cfRule>
  </conditionalFormatting>
  <conditionalFormatting sqref="C54">
    <cfRule type="expression" dxfId="2566" priority="3737">
      <formula>$G54&lt;&gt;"-"</formula>
    </cfRule>
  </conditionalFormatting>
  <conditionalFormatting sqref="D54">
    <cfRule type="expression" dxfId="2565" priority="3736">
      <formula>$H54&lt;&gt;"-"</formula>
    </cfRule>
  </conditionalFormatting>
  <conditionalFormatting sqref="E54">
    <cfRule type="expression" dxfId="2564" priority="3735">
      <formula>$I54&lt;&gt;"-"</formula>
    </cfRule>
  </conditionalFormatting>
  <conditionalFormatting sqref="B53">
    <cfRule type="expression" dxfId="2563" priority="3732">
      <formula>AD53&lt;&gt;""</formula>
    </cfRule>
  </conditionalFormatting>
  <conditionalFormatting sqref="Z53">
    <cfRule type="cellIs" dxfId="2562" priority="3730" operator="greaterThan">
      <formula>0</formula>
    </cfRule>
    <cfRule type="cellIs" dxfId="2561" priority="3731" operator="lessThan">
      <formula>0</formula>
    </cfRule>
  </conditionalFormatting>
  <conditionalFormatting sqref="S53">
    <cfRule type="cellIs" dxfId="2560" priority="3729" operator="lessThan">
      <formula>0</formula>
    </cfRule>
  </conditionalFormatting>
  <conditionalFormatting sqref="P53">
    <cfRule type="cellIs" dxfId="2559" priority="3727" operator="equal">
      <formula>AS_DURATION_EFFORT</formula>
    </cfRule>
    <cfRule type="cellIs" dxfId="2558" priority="3728" operator="equal">
      <formula>AS_DEV_EFFORT</formula>
    </cfRule>
  </conditionalFormatting>
  <conditionalFormatting sqref="L53:M53 O53:AC53">
    <cfRule type="expression" dxfId="2557" priority="3733">
      <formula>AND($G53="Yes", $S$6="Exclude")</formula>
    </cfRule>
    <cfRule type="expression" dxfId="2556" priority="3734">
      <formula>$J53="Yes"</formula>
    </cfRule>
  </conditionalFormatting>
  <conditionalFormatting sqref="F53">
    <cfRule type="expression" dxfId="2555" priority="3726">
      <formula>$K53&lt;&gt;""</formula>
    </cfRule>
  </conditionalFormatting>
  <conditionalFormatting sqref="C53">
    <cfRule type="expression" dxfId="2554" priority="3725">
      <formula>$G53&lt;&gt;"-"</formula>
    </cfRule>
  </conditionalFormatting>
  <conditionalFormatting sqref="D53">
    <cfRule type="expression" dxfId="2553" priority="3724">
      <formula>$H53&lt;&gt;"-"</formula>
    </cfRule>
  </conditionalFormatting>
  <conditionalFormatting sqref="E53">
    <cfRule type="expression" dxfId="2552" priority="3723">
      <formula>$I53&lt;&gt;"-"</formula>
    </cfRule>
  </conditionalFormatting>
  <conditionalFormatting sqref="B52">
    <cfRule type="expression" dxfId="2551" priority="3720">
      <formula>AD52&lt;&gt;""</formula>
    </cfRule>
  </conditionalFormatting>
  <conditionalFormatting sqref="Z52">
    <cfRule type="cellIs" dxfId="2550" priority="3718" operator="greaterThan">
      <formula>0</formula>
    </cfRule>
    <cfRule type="cellIs" dxfId="2549" priority="3719" operator="lessThan">
      <formula>0</formula>
    </cfRule>
  </conditionalFormatting>
  <conditionalFormatting sqref="S52">
    <cfRule type="cellIs" dxfId="2548" priority="3717" operator="lessThan">
      <formula>0</formula>
    </cfRule>
  </conditionalFormatting>
  <conditionalFormatting sqref="P52">
    <cfRule type="cellIs" dxfId="2547" priority="3715" operator="equal">
      <formula>AS_DURATION_EFFORT</formula>
    </cfRule>
    <cfRule type="cellIs" dxfId="2546" priority="3716" operator="equal">
      <formula>AS_DEV_EFFORT</formula>
    </cfRule>
  </conditionalFormatting>
  <conditionalFormatting sqref="L52:M52 O52:AC52">
    <cfRule type="expression" dxfId="2545" priority="3721">
      <formula>AND($G52="Yes", $S$6="Exclude")</formula>
    </cfRule>
    <cfRule type="expression" dxfId="2544" priority="3722">
      <formula>$J52="Yes"</formula>
    </cfRule>
  </conditionalFormatting>
  <conditionalFormatting sqref="F52">
    <cfRule type="expression" dxfId="2543" priority="3714">
      <formula>$K52&lt;&gt;""</formula>
    </cfRule>
  </conditionalFormatting>
  <conditionalFormatting sqref="C52">
    <cfRule type="expression" dxfId="2542" priority="3713">
      <formula>$G52&lt;&gt;"-"</formula>
    </cfRule>
  </conditionalFormatting>
  <conditionalFormatting sqref="D52">
    <cfRule type="expression" dxfId="2541" priority="3712">
      <formula>$H52&lt;&gt;"-"</formula>
    </cfRule>
  </conditionalFormatting>
  <conditionalFormatting sqref="E52">
    <cfRule type="expression" dxfId="2540" priority="3711">
      <formula>$I52&lt;&gt;"-"</formula>
    </cfRule>
  </conditionalFormatting>
  <conditionalFormatting sqref="B51">
    <cfRule type="expression" dxfId="2539" priority="3708">
      <formula>AD51&lt;&gt;""</formula>
    </cfRule>
  </conditionalFormatting>
  <conditionalFormatting sqref="Z51">
    <cfRule type="cellIs" dxfId="2538" priority="3706" operator="greaterThan">
      <formula>0</formula>
    </cfRule>
    <cfRule type="cellIs" dxfId="2537" priority="3707" operator="lessThan">
      <formula>0</formula>
    </cfRule>
  </conditionalFormatting>
  <conditionalFormatting sqref="S51">
    <cfRule type="cellIs" dxfId="2536" priority="3705" operator="lessThan">
      <formula>0</formula>
    </cfRule>
  </conditionalFormatting>
  <conditionalFormatting sqref="P51">
    <cfRule type="cellIs" dxfId="2535" priority="3703" operator="equal">
      <formula>AS_DURATION_EFFORT</formula>
    </cfRule>
    <cfRule type="cellIs" dxfId="2534" priority="3704" operator="equal">
      <formula>AS_DEV_EFFORT</formula>
    </cfRule>
  </conditionalFormatting>
  <conditionalFormatting sqref="L51:M51 O51:AC51">
    <cfRule type="expression" dxfId="2533" priority="3709">
      <formula>AND($G51="Yes", $S$6="Exclude")</formula>
    </cfRule>
    <cfRule type="expression" dxfId="2532" priority="3710">
      <formula>$J51="Yes"</formula>
    </cfRule>
  </conditionalFormatting>
  <conditionalFormatting sqref="F51">
    <cfRule type="expression" dxfId="2531" priority="3702">
      <formula>$K51&lt;&gt;""</formula>
    </cfRule>
  </conditionalFormatting>
  <conditionalFormatting sqref="C51">
    <cfRule type="expression" dxfId="2530" priority="3701">
      <formula>$G51&lt;&gt;"-"</formula>
    </cfRule>
  </conditionalFormatting>
  <conditionalFormatting sqref="D51">
    <cfRule type="expression" dxfId="2529" priority="3700">
      <formula>$H51&lt;&gt;"-"</formula>
    </cfRule>
  </conditionalFormatting>
  <conditionalFormatting sqref="E51">
    <cfRule type="expression" dxfId="2528" priority="3699">
      <formula>$I51&lt;&gt;"-"</formula>
    </cfRule>
  </conditionalFormatting>
  <conditionalFormatting sqref="B50">
    <cfRule type="expression" dxfId="2527" priority="3696">
      <formula>AD50&lt;&gt;""</formula>
    </cfRule>
  </conditionalFormatting>
  <conditionalFormatting sqref="Z50">
    <cfRule type="cellIs" dxfId="2526" priority="3694" operator="greaterThan">
      <formula>0</formula>
    </cfRule>
    <cfRule type="cellIs" dxfId="2525" priority="3695" operator="lessThan">
      <formula>0</formula>
    </cfRule>
  </conditionalFormatting>
  <conditionalFormatting sqref="S50">
    <cfRule type="cellIs" dxfId="2524" priority="3693" operator="lessThan">
      <formula>0</formula>
    </cfRule>
  </conditionalFormatting>
  <conditionalFormatting sqref="P50">
    <cfRule type="cellIs" dxfId="2523" priority="3691" operator="equal">
      <formula>AS_DURATION_EFFORT</formula>
    </cfRule>
    <cfRule type="cellIs" dxfId="2522" priority="3692" operator="equal">
      <formula>AS_DEV_EFFORT</formula>
    </cfRule>
  </conditionalFormatting>
  <conditionalFormatting sqref="L50:M50 O50:AC50">
    <cfRule type="expression" dxfId="2521" priority="3697">
      <formula>AND($G50="Yes", $S$6="Exclude")</formula>
    </cfRule>
    <cfRule type="expression" dxfId="2520" priority="3698">
      <formula>$J50="Yes"</formula>
    </cfRule>
  </conditionalFormatting>
  <conditionalFormatting sqref="F50">
    <cfRule type="expression" dxfId="2519" priority="3690">
      <formula>$K50&lt;&gt;""</formula>
    </cfRule>
  </conditionalFormatting>
  <conditionalFormatting sqref="C50">
    <cfRule type="expression" dxfId="2518" priority="3689">
      <formula>$G50&lt;&gt;"-"</formula>
    </cfRule>
  </conditionalFormatting>
  <conditionalFormatting sqref="D50">
    <cfRule type="expression" dxfId="2517" priority="3688">
      <formula>$H50&lt;&gt;"-"</formula>
    </cfRule>
  </conditionalFormatting>
  <conditionalFormatting sqref="E50">
    <cfRule type="expression" dxfId="2516" priority="3687">
      <formula>$I50&lt;&gt;"-"</formula>
    </cfRule>
  </conditionalFormatting>
  <conditionalFormatting sqref="N49:N54">
    <cfRule type="expression" dxfId="2515" priority="3685">
      <formula>AND($G49="Yes", $S$6="Exclude")</formula>
    </cfRule>
    <cfRule type="expression" dxfId="2514" priority="3686">
      <formula>$J49="Yes"</formula>
    </cfRule>
  </conditionalFormatting>
  <conditionalFormatting sqref="B61">
    <cfRule type="expression" dxfId="2513" priority="3682">
      <formula>AD61&lt;&gt;""</formula>
    </cfRule>
  </conditionalFormatting>
  <conditionalFormatting sqref="Z61">
    <cfRule type="cellIs" dxfId="2512" priority="3680" operator="greaterThan">
      <formula>0</formula>
    </cfRule>
    <cfRule type="cellIs" dxfId="2511" priority="3681" operator="lessThan">
      <formula>0</formula>
    </cfRule>
  </conditionalFormatting>
  <conditionalFormatting sqref="S61">
    <cfRule type="cellIs" dxfId="2510" priority="3679" operator="lessThan">
      <formula>0</formula>
    </cfRule>
  </conditionalFormatting>
  <conditionalFormatting sqref="P61">
    <cfRule type="cellIs" dxfId="2509" priority="3677" operator="equal">
      <formula>AS_DURATION_EFFORT</formula>
    </cfRule>
    <cfRule type="cellIs" dxfId="2508" priority="3678" operator="equal">
      <formula>AS_DEV_EFFORT</formula>
    </cfRule>
  </conditionalFormatting>
  <conditionalFormatting sqref="F61">
    <cfRule type="expression" dxfId="2507" priority="3676">
      <formula>$K61&lt;&gt;""</formula>
    </cfRule>
  </conditionalFormatting>
  <conditionalFormatting sqref="C61">
    <cfRule type="expression" dxfId="2506" priority="3675">
      <formula>$G61&lt;&gt;"-"</formula>
    </cfRule>
  </conditionalFormatting>
  <conditionalFormatting sqref="D61">
    <cfRule type="expression" dxfId="2505" priority="3674">
      <formula>$H61&lt;&gt;"-"</formula>
    </cfRule>
  </conditionalFormatting>
  <conditionalFormatting sqref="E61">
    <cfRule type="expression" dxfId="2504" priority="3673">
      <formula>$I61&lt;&gt;"-"</formula>
    </cfRule>
  </conditionalFormatting>
  <conditionalFormatting sqref="B60">
    <cfRule type="expression" dxfId="2503" priority="3670">
      <formula>AD60&lt;&gt;""</formula>
    </cfRule>
  </conditionalFormatting>
  <conditionalFormatting sqref="Z60">
    <cfRule type="cellIs" dxfId="2502" priority="3668" operator="greaterThan">
      <formula>0</formula>
    </cfRule>
    <cfRule type="cellIs" dxfId="2501" priority="3669" operator="lessThan">
      <formula>0</formula>
    </cfRule>
  </conditionalFormatting>
  <conditionalFormatting sqref="S60">
    <cfRule type="cellIs" dxfId="2500" priority="3667" operator="lessThan">
      <formula>0</formula>
    </cfRule>
  </conditionalFormatting>
  <conditionalFormatting sqref="P60">
    <cfRule type="cellIs" dxfId="2499" priority="3665" operator="equal">
      <formula>AS_DURATION_EFFORT</formula>
    </cfRule>
    <cfRule type="cellIs" dxfId="2498" priority="3666" operator="equal">
      <formula>AS_DEV_EFFORT</formula>
    </cfRule>
  </conditionalFormatting>
  <conditionalFormatting sqref="F60">
    <cfRule type="expression" dxfId="2497" priority="3664">
      <formula>$K60&lt;&gt;""</formula>
    </cfRule>
  </conditionalFormatting>
  <conditionalFormatting sqref="C60">
    <cfRule type="expression" dxfId="2496" priority="3663">
      <formula>$G60&lt;&gt;"-"</formula>
    </cfRule>
  </conditionalFormatting>
  <conditionalFormatting sqref="D60">
    <cfRule type="expression" dxfId="2495" priority="3662">
      <formula>$H60&lt;&gt;"-"</formula>
    </cfRule>
  </conditionalFormatting>
  <conditionalFormatting sqref="E60">
    <cfRule type="expression" dxfId="2494" priority="3661">
      <formula>$I60&lt;&gt;"-"</formula>
    </cfRule>
  </conditionalFormatting>
  <conditionalFormatting sqref="B59">
    <cfRule type="expression" dxfId="2493" priority="3646">
      <formula>AD59&lt;&gt;""</formula>
    </cfRule>
  </conditionalFormatting>
  <conditionalFormatting sqref="Z59">
    <cfRule type="cellIs" dxfId="2492" priority="3644" operator="greaterThan">
      <formula>0</formula>
    </cfRule>
    <cfRule type="cellIs" dxfId="2491" priority="3645" operator="lessThan">
      <formula>0</formula>
    </cfRule>
  </conditionalFormatting>
  <conditionalFormatting sqref="S59">
    <cfRule type="cellIs" dxfId="2490" priority="3643" operator="lessThan">
      <formula>0</formula>
    </cfRule>
  </conditionalFormatting>
  <conditionalFormatting sqref="P59">
    <cfRule type="cellIs" dxfId="2489" priority="3641" operator="equal">
      <formula>AS_DURATION_EFFORT</formula>
    </cfRule>
    <cfRule type="cellIs" dxfId="2488" priority="3642" operator="equal">
      <formula>AS_DEV_EFFORT</formula>
    </cfRule>
  </conditionalFormatting>
  <conditionalFormatting sqref="L59:M59 P59:AC59">
    <cfRule type="expression" dxfId="2487" priority="3647">
      <formula>AND($G59="Yes", $S$6="Exclude")</formula>
    </cfRule>
    <cfRule type="expression" dxfId="2486" priority="3648">
      <formula>$J59="Yes"</formula>
    </cfRule>
  </conditionalFormatting>
  <conditionalFormatting sqref="F59">
    <cfRule type="expression" dxfId="2485" priority="3640">
      <formula>$K59&lt;&gt;""</formula>
    </cfRule>
  </conditionalFormatting>
  <conditionalFormatting sqref="C59">
    <cfRule type="expression" dxfId="2484" priority="3639">
      <formula>$G59&lt;&gt;"-"</formula>
    </cfRule>
  </conditionalFormatting>
  <conditionalFormatting sqref="D59">
    <cfRule type="expression" dxfId="2483" priority="3638">
      <formula>$H59&lt;&gt;"-"</formula>
    </cfRule>
  </conditionalFormatting>
  <conditionalFormatting sqref="E59">
    <cfRule type="expression" dxfId="2482" priority="3637">
      <formula>$I59&lt;&gt;"-"</formula>
    </cfRule>
  </conditionalFormatting>
  <conditionalFormatting sqref="B428">
    <cfRule type="expression" dxfId="2481" priority="3629">
      <formula>AD428&lt;&gt;""</formula>
    </cfRule>
  </conditionalFormatting>
  <conditionalFormatting sqref="Z428">
    <cfRule type="cellIs" dxfId="2480" priority="3627" operator="greaterThan">
      <formula>0</formula>
    </cfRule>
    <cfRule type="cellIs" dxfId="2479" priority="3628" operator="lessThan">
      <formula>0</formula>
    </cfRule>
  </conditionalFormatting>
  <conditionalFormatting sqref="S428">
    <cfRule type="cellIs" dxfId="2478" priority="3626" operator="lessThan">
      <formula>0</formula>
    </cfRule>
  </conditionalFormatting>
  <conditionalFormatting sqref="T426:T427">
    <cfRule type="expression" dxfId="2477" priority="3630">
      <formula>#REF!="Yes"</formula>
    </cfRule>
  </conditionalFormatting>
  <conditionalFormatting sqref="P428">
    <cfRule type="cellIs" dxfId="2476" priority="3624" operator="equal">
      <formula>AS_DURATION_EFFORT</formula>
    </cfRule>
    <cfRule type="cellIs" dxfId="2475" priority="3625" operator="equal">
      <formula>AS_DEV_EFFORT</formula>
    </cfRule>
  </conditionalFormatting>
  <conditionalFormatting sqref="B426:B427">
    <cfRule type="expression" dxfId="2474" priority="3623">
      <formula>AD426&lt;&gt;""</formula>
    </cfRule>
  </conditionalFormatting>
  <conditionalFormatting sqref="F428">
    <cfRule type="expression" dxfId="2473" priority="3622">
      <formula>$K428&lt;&gt;""</formula>
    </cfRule>
  </conditionalFormatting>
  <conditionalFormatting sqref="C428">
    <cfRule type="expression" dxfId="2472" priority="3621">
      <formula>$G428&lt;&gt;"-"</formula>
    </cfRule>
  </conditionalFormatting>
  <conditionalFormatting sqref="D428">
    <cfRule type="expression" dxfId="2471" priority="3620">
      <formula>$H428&lt;&gt;"-"</formula>
    </cfRule>
  </conditionalFormatting>
  <conditionalFormatting sqref="E428">
    <cfRule type="expression" dxfId="2470" priority="3619">
      <formula>$I428&lt;&gt;"-"</formula>
    </cfRule>
  </conditionalFormatting>
  <conditionalFormatting sqref="B429">
    <cfRule type="expression" dxfId="2469" priority="3614">
      <formula>AD429&lt;&gt;""</formula>
    </cfRule>
  </conditionalFormatting>
  <conditionalFormatting sqref="Z429">
    <cfRule type="cellIs" dxfId="2468" priority="3612" operator="greaterThan">
      <formula>0</formula>
    </cfRule>
    <cfRule type="cellIs" dxfId="2467" priority="3613" operator="lessThan">
      <formula>0</formula>
    </cfRule>
  </conditionalFormatting>
  <conditionalFormatting sqref="S429">
    <cfRule type="cellIs" dxfId="2466" priority="3611" operator="lessThan">
      <formula>0</formula>
    </cfRule>
  </conditionalFormatting>
  <conditionalFormatting sqref="P429">
    <cfRule type="cellIs" dxfId="2465" priority="3609" operator="equal">
      <formula>AS_DURATION_EFFORT</formula>
    </cfRule>
    <cfRule type="cellIs" dxfId="2464" priority="3610" operator="equal">
      <formula>AS_DEV_EFFORT</formula>
    </cfRule>
  </conditionalFormatting>
  <conditionalFormatting sqref="F429">
    <cfRule type="expression" dxfId="2463" priority="3608">
      <formula>$K429&lt;&gt;""</formula>
    </cfRule>
  </conditionalFormatting>
  <conditionalFormatting sqref="C429">
    <cfRule type="expression" dxfId="2462" priority="3607">
      <formula>$G429&lt;&gt;"-"</formula>
    </cfRule>
  </conditionalFormatting>
  <conditionalFormatting sqref="D429">
    <cfRule type="expression" dxfId="2461" priority="3606">
      <formula>$H429&lt;&gt;"-"</formula>
    </cfRule>
  </conditionalFormatting>
  <conditionalFormatting sqref="E429">
    <cfRule type="expression" dxfId="2460" priority="3605">
      <formula>$I429&lt;&gt;"-"</formula>
    </cfRule>
  </conditionalFormatting>
  <conditionalFormatting sqref="B444">
    <cfRule type="expression" dxfId="2459" priority="3203">
      <formula>AD444&lt;&gt;""</formula>
    </cfRule>
  </conditionalFormatting>
  <conditionalFormatting sqref="Z444">
    <cfRule type="cellIs" dxfId="2458" priority="3201" operator="greaterThan">
      <formula>0</formula>
    </cfRule>
    <cfRule type="cellIs" dxfId="2457" priority="3202" operator="lessThan">
      <formula>0</formula>
    </cfRule>
  </conditionalFormatting>
  <conditionalFormatting sqref="S444">
    <cfRule type="cellIs" dxfId="2456" priority="3200" operator="lessThan">
      <formula>0</formula>
    </cfRule>
  </conditionalFormatting>
  <conditionalFormatting sqref="T442:T443">
    <cfRule type="expression" dxfId="2455" priority="3204">
      <formula>#REF!="Yes"</formula>
    </cfRule>
  </conditionalFormatting>
  <conditionalFormatting sqref="P444">
    <cfRule type="cellIs" dxfId="2454" priority="3198" operator="equal">
      <formula>AS_DURATION_EFFORT</formula>
    </cfRule>
    <cfRule type="cellIs" dxfId="2453" priority="3199" operator="equal">
      <formula>AS_DEV_EFFORT</formula>
    </cfRule>
  </conditionalFormatting>
  <conditionalFormatting sqref="B442:B443">
    <cfRule type="expression" dxfId="2452" priority="3197">
      <formula>AD442&lt;&gt;""</formula>
    </cfRule>
  </conditionalFormatting>
  <conditionalFormatting sqref="F444">
    <cfRule type="expression" dxfId="2451" priority="3196">
      <formula>$K444&lt;&gt;""</formula>
    </cfRule>
  </conditionalFormatting>
  <conditionalFormatting sqref="C444">
    <cfRule type="expression" dxfId="2450" priority="3195">
      <formula>$G444&lt;&gt;"-"</formula>
    </cfRule>
  </conditionalFormatting>
  <conditionalFormatting sqref="D444">
    <cfRule type="expression" dxfId="2449" priority="3194">
      <formula>$H444&lt;&gt;"-"</formula>
    </cfRule>
  </conditionalFormatting>
  <conditionalFormatting sqref="E444">
    <cfRule type="expression" dxfId="2448" priority="3193">
      <formula>$I444&lt;&gt;"-"</formula>
    </cfRule>
  </conditionalFormatting>
  <conditionalFormatting sqref="B445">
    <cfRule type="expression" dxfId="2447" priority="3192">
      <formula>AD445&lt;&gt;""</formula>
    </cfRule>
  </conditionalFormatting>
  <conditionalFormatting sqref="Z445">
    <cfRule type="cellIs" dxfId="2446" priority="3190" operator="greaterThan">
      <formula>0</formula>
    </cfRule>
    <cfRule type="cellIs" dxfId="2445" priority="3191" operator="lessThan">
      <formula>0</formula>
    </cfRule>
  </conditionalFormatting>
  <conditionalFormatting sqref="S445">
    <cfRule type="cellIs" dxfId="2444" priority="3189" operator="lessThan">
      <formula>0</formula>
    </cfRule>
  </conditionalFormatting>
  <conditionalFormatting sqref="P445">
    <cfRule type="cellIs" dxfId="2443" priority="3187" operator="equal">
      <formula>AS_DURATION_EFFORT</formula>
    </cfRule>
    <cfRule type="cellIs" dxfId="2442" priority="3188" operator="equal">
      <formula>AS_DEV_EFFORT</formula>
    </cfRule>
  </conditionalFormatting>
  <conditionalFormatting sqref="F445">
    <cfRule type="expression" dxfId="2441" priority="3186">
      <formula>$K445&lt;&gt;""</formula>
    </cfRule>
  </conditionalFormatting>
  <conditionalFormatting sqref="C445">
    <cfRule type="expression" dxfId="2440" priority="3185">
      <formula>$G445&lt;&gt;"-"</formula>
    </cfRule>
  </conditionalFormatting>
  <conditionalFormatting sqref="D445">
    <cfRule type="expression" dxfId="2439" priority="3184">
      <formula>$H445&lt;&gt;"-"</formula>
    </cfRule>
  </conditionalFormatting>
  <conditionalFormatting sqref="E445">
    <cfRule type="expression" dxfId="2438" priority="3183">
      <formula>$I445&lt;&gt;"-"</formula>
    </cfRule>
  </conditionalFormatting>
  <conditionalFormatting sqref="B446">
    <cfRule type="expression" dxfId="2437" priority="3182">
      <formula>AD446&lt;&gt;""</formula>
    </cfRule>
  </conditionalFormatting>
  <conditionalFormatting sqref="Z446">
    <cfRule type="cellIs" dxfId="2436" priority="3180" operator="greaterThan">
      <formula>0</formula>
    </cfRule>
    <cfRule type="cellIs" dxfId="2435" priority="3181" operator="lessThan">
      <formula>0</formula>
    </cfRule>
  </conditionalFormatting>
  <conditionalFormatting sqref="S446">
    <cfRule type="cellIs" dxfId="2434" priority="3179" operator="lessThan">
      <formula>0</formula>
    </cfRule>
  </conditionalFormatting>
  <conditionalFormatting sqref="P446">
    <cfRule type="cellIs" dxfId="2433" priority="3177" operator="equal">
      <formula>AS_DURATION_EFFORT</formula>
    </cfRule>
    <cfRule type="cellIs" dxfId="2432" priority="3178" operator="equal">
      <formula>AS_DEV_EFFORT</formula>
    </cfRule>
  </conditionalFormatting>
  <conditionalFormatting sqref="F446">
    <cfRule type="expression" dxfId="2431" priority="3176">
      <formula>$K446&lt;&gt;""</formula>
    </cfRule>
  </conditionalFormatting>
  <conditionalFormatting sqref="C446">
    <cfRule type="expression" dxfId="2430" priority="3175">
      <formula>$G446&lt;&gt;"-"</formula>
    </cfRule>
  </conditionalFormatting>
  <conditionalFormatting sqref="D446">
    <cfRule type="expression" dxfId="2429" priority="3174">
      <formula>$H446&lt;&gt;"-"</formula>
    </cfRule>
  </conditionalFormatting>
  <conditionalFormatting sqref="E446">
    <cfRule type="expression" dxfId="2428" priority="3173">
      <formula>$I446&lt;&gt;"-"</formula>
    </cfRule>
  </conditionalFormatting>
  <conditionalFormatting sqref="B447">
    <cfRule type="expression" dxfId="2427" priority="3172">
      <formula>AD447&lt;&gt;""</formula>
    </cfRule>
  </conditionalFormatting>
  <conditionalFormatting sqref="Z447">
    <cfRule type="cellIs" dxfId="2426" priority="3170" operator="greaterThan">
      <formula>0</formula>
    </cfRule>
    <cfRule type="cellIs" dxfId="2425" priority="3171" operator="lessThan">
      <formula>0</formula>
    </cfRule>
  </conditionalFormatting>
  <conditionalFormatting sqref="S447">
    <cfRule type="cellIs" dxfId="2424" priority="3169" operator="lessThan">
      <formula>0</formula>
    </cfRule>
  </conditionalFormatting>
  <conditionalFormatting sqref="P447">
    <cfRule type="cellIs" dxfId="2423" priority="3167" operator="equal">
      <formula>AS_DURATION_EFFORT</formula>
    </cfRule>
    <cfRule type="cellIs" dxfId="2422" priority="3168" operator="equal">
      <formula>AS_DEV_EFFORT</formula>
    </cfRule>
  </conditionalFormatting>
  <conditionalFormatting sqref="F447">
    <cfRule type="expression" dxfId="2421" priority="3166">
      <formula>$K447&lt;&gt;""</formula>
    </cfRule>
  </conditionalFormatting>
  <conditionalFormatting sqref="C447">
    <cfRule type="expression" dxfId="2420" priority="3165">
      <formula>$G447&lt;&gt;"-"</formula>
    </cfRule>
  </conditionalFormatting>
  <conditionalFormatting sqref="D447">
    <cfRule type="expression" dxfId="2419" priority="3164">
      <formula>$H447&lt;&gt;"-"</formula>
    </cfRule>
  </conditionalFormatting>
  <conditionalFormatting sqref="E447">
    <cfRule type="expression" dxfId="2418" priority="3163">
      <formula>$I447&lt;&gt;"-"</formula>
    </cfRule>
  </conditionalFormatting>
  <conditionalFormatting sqref="B438">
    <cfRule type="expression" dxfId="2417" priority="3159">
      <formula>AD438&lt;&gt;""</formula>
    </cfRule>
  </conditionalFormatting>
  <conditionalFormatting sqref="Z438">
    <cfRule type="cellIs" dxfId="2416" priority="3157" operator="greaterThan">
      <formula>0</formula>
    </cfRule>
    <cfRule type="cellIs" dxfId="2415" priority="3158" operator="lessThan">
      <formula>0</formula>
    </cfRule>
  </conditionalFormatting>
  <conditionalFormatting sqref="S438">
    <cfRule type="cellIs" dxfId="2414" priority="3156" operator="lessThan">
      <formula>0</formula>
    </cfRule>
  </conditionalFormatting>
  <conditionalFormatting sqref="T436:T437">
    <cfRule type="expression" dxfId="2413" priority="3160">
      <formula>#REF!="Yes"</formula>
    </cfRule>
  </conditionalFormatting>
  <conditionalFormatting sqref="P438">
    <cfRule type="cellIs" dxfId="2412" priority="3154" operator="equal">
      <formula>AS_DURATION_EFFORT</formula>
    </cfRule>
    <cfRule type="cellIs" dxfId="2411" priority="3155" operator="equal">
      <formula>AS_DEV_EFFORT</formula>
    </cfRule>
  </conditionalFormatting>
  <conditionalFormatting sqref="B436:B437">
    <cfRule type="expression" dxfId="2410" priority="3153">
      <formula>AD436&lt;&gt;""</formula>
    </cfRule>
  </conditionalFormatting>
  <conditionalFormatting sqref="F438">
    <cfRule type="expression" dxfId="2409" priority="3152">
      <formula>$K438&lt;&gt;""</formula>
    </cfRule>
  </conditionalFormatting>
  <conditionalFormatting sqref="C438">
    <cfRule type="expression" dxfId="2408" priority="3151">
      <formula>$G438&lt;&gt;"-"</formula>
    </cfRule>
  </conditionalFormatting>
  <conditionalFormatting sqref="D438">
    <cfRule type="expression" dxfId="2407" priority="3150">
      <formula>$H438&lt;&gt;"-"</formula>
    </cfRule>
  </conditionalFormatting>
  <conditionalFormatting sqref="E438">
    <cfRule type="expression" dxfId="2406" priority="3149">
      <formula>$I438&lt;&gt;"-"</formula>
    </cfRule>
  </conditionalFormatting>
  <conditionalFormatting sqref="B439">
    <cfRule type="expression" dxfId="2405" priority="3144">
      <formula>AD439&lt;&gt;""</formula>
    </cfRule>
  </conditionalFormatting>
  <conditionalFormatting sqref="Z439">
    <cfRule type="cellIs" dxfId="2404" priority="3142" operator="greaterThan">
      <formula>0</formula>
    </cfRule>
    <cfRule type="cellIs" dxfId="2403" priority="3143" operator="lessThan">
      <formula>0</formula>
    </cfRule>
  </conditionalFormatting>
  <conditionalFormatting sqref="S439">
    <cfRule type="cellIs" dxfId="2402" priority="3141" operator="lessThan">
      <formula>0</formula>
    </cfRule>
  </conditionalFormatting>
  <conditionalFormatting sqref="F439">
    <cfRule type="expression" dxfId="2401" priority="3138">
      <formula>$K439&lt;&gt;""</formula>
    </cfRule>
  </conditionalFormatting>
  <conditionalFormatting sqref="C439">
    <cfRule type="expression" dxfId="2400" priority="3137">
      <formula>$G439&lt;&gt;"-"</formula>
    </cfRule>
  </conditionalFormatting>
  <conditionalFormatting sqref="D439">
    <cfRule type="expression" dxfId="2399" priority="3136">
      <formula>$H439&lt;&gt;"-"</formula>
    </cfRule>
  </conditionalFormatting>
  <conditionalFormatting sqref="E439">
    <cfRule type="expression" dxfId="2398" priority="3135">
      <formula>$I439&lt;&gt;"-"</formula>
    </cfRule>
  </conditionalFormatting>
  <conditionalFormatting sqref="P439">
    <cfRule type="cellIs" dxfId="2397" priority="3129" operator="equal">
      <formula>AS_DURATION_EFFORT</formula>
    </cfRule>
    <cfRule type="cellIs" dxfId="2396" priority="3130" operator="equal">
      <formula>AS_DEV_EFFORT</formula>
    </cfRule>
  </conditionalFormatting>
  <conditionalFormatting sqref="P452">
    <cfRule type="cellIs" dxfId="2395" priority="3123" operator="equal">
      <formula>AS_DURATION_EFFORT</formula>
    </cfRule>
    <cfRule type="cellIs" dxfId="2394" priority="3124" operator="equal">
      <formula>AS_DEV_EFFORT</formula>
    </cfRule>
  </conditionalFormatting>
  <conditionalFormatting sqref="B465">
    <cfRule type="expression" dxfId="2393" priority="3118">
      <formula>AD465&lt;&gt;""</formula>
    </cfRule>
  </conditionalFormatting>
  <conditionalFormatting sqref="Z465">
    <cfRule type="cellIs" dxfId="2392" priority="3116" operator="greaterThan">
      <formula>0</formula>
    </cfRule>
    <cfRule type="cellIs" dxfId="2391" priority="3117" operator="lessThan">
      <formula>0</formula>
    </cfRule>
  </conditionalFormatting>
  <conditionalFormatting sqref="S465">
    <cfRule type="cellIs" dxfId="2390" priority="3115" operator="lessThan">
      <formula>0</formula>
    </cfRule>
  </conditionalFormatting>
  <conditionalFormatting sqref="P465">
    <cfRule type="cellIs" dxfId="2389" priority="3113" operator="equal">
      <formula>AS_DURATION_EFFORT</formula>
    </cfRule>
    <cfRule type="cellIs" dxfId="2388" priority="3114" operator="equal">
      <formula>AS_DEV_EFFORT</formula>
    </cfRule>
  </conditionalFormatting>
  <conditionalFormatting sqref="F465">
    <cfRule type="expression" dxfId="2387" priority="3112">
      <formula>$K465&lt;&gt;""</formula>
    </cfRule>
  </conditionalFormatting>
  <conditionalFormatting sqref="C465">
    <cfRule type="expression" dxfId="2386" priority="3111">
      <formula>$G465&lt;&gt;"-"</formula>
    </cfRule>
  </conditionalFormatting>
  <conditionalFormatting sqref="D465">
    <cfRule type="expression" dxfId="2385" priority="3110">
      <formula>$H465&lt;&gt;"-"</formula>
    </cfRule>
  </conditionalFormatting>
  <conditionalFormatting sqref="E465">
    <cfRule type="expression" dxfId="2384" priority="3109">
      <formula>$I465&lt;&gt;"-"</formula>
    </cfRule>
  </conditionalFormatting>
  <conditionalFormatting sqref="B466">
    <cfRule type="expression" dxfId="2383" priority="3106">
      <formula>AD466&lt;&gt;""</formula>
    </cfRule>
  </conditionalFormatting>
  <conditionalFormatting sqref="Z466">
    <cfRule type="cellIs" dxfId="2382" priority="3104" operator="greaterThan">
      <formula>0</formula>
    </cfRule>
    <cfRule type="cellIs" dxfId="2381" priority="3105" operator="lessThan">
      <formula>0</formula>
    </cfRule>
  </conditionalFormatting>
  <conditionalFormatting sqref="S466">
    <cfRule type="cellIs" dxfId="2380" priority="3103" operator="lessThan">
      <formula>0</formula>
    </cfRule>
  </conditionalFormatting>
  <conditionalFormatting sqref="P466">
    <cfRule type="cellIs" dxfId="2379" priority="3101" operator="equal">
      <formula>AS_DURATION_EFFORT</formula>
    </cfRule>
    <cfRule type="cellIs" dxfId="2378" priority="3102" operator="equal">
      <formula>AS_DEV_EFFORT</formula>
    </cfRule>
  </conditionalFormatting>
  <conditionalFormatting sqref="F466">
    <cfRule type="expression" dxfId="2377" priority="3100">
      <formula>$K466&lt;&gt;""</formula>
    </cfRule>
  </conditionalFormatting>
  <conditionalFormatting sqref="C466">
    <cfRule type="expression" dxfId="2376" priority="3099">
      <formula>$G466&lt;&gt;"-"</formula>
    </cfRule>
  </conditionalFormatting>
  <conditionalFormatting sqref="D466">
    <cfRule type="expression" dxfId="2375" priority="3098">
      <formula>$H466&lt;&gt;"-"</formula>
    </cfRule>
  </conditionalFormatting>
  <conditionalFormatting sqref="E466">
    <cfRule type="expression" dxfId="2374" priority="3097">
      <formula>$I466&lt;&gt;"-"</formula>
    </cfRule>
  </conditionalFormatting>
  <conditionalFormatting sqref="B354">
    <cfRule type="expression" dxfId="2373" priority="3073">
      <formula>AD354&lt;&gt;""</formula>
    </cfRule>
  </conditionalFormatting>
  <conditionalFormatting sqref="Z354">
    <cfRule type="cellIs" dxfId="2372" priority="3071" operator="greaterThan">
      <formula>0</formula>
    </cfRule>
    <cfRule type="cellIs" dxfId="2371" priority="3072" operator="lessThan">
      <formula>0</formula>
    </cfRule>
  </conditionalFormatting>
  <conditionalFormatting sqref="S354">
    <cfRule type="cellIs" dxfId="2370" priority="3070" operator="lessThan">
      <formula>0</formula>
    </cfRule>
  </conditionalFormatting>
  <conditionalFormatting sqref="T350:T351">
    <cfRule type="expression" dxfId="2369" priority="3074">
      <formula>#REF!="Yes"</formula>
    </cfRule>
  </conditionalFormatting>
  <conditionalFormatting sqref="P354">
    <cfRule type="cellIs" dxfId="2368" priority="3068" operator="equal">
      <formula>AS_DURATION_EFFORT</formula>
    </cfRule>
    <cfRule type="cellIs" dxfId="2367" priority="3069" operator="equal">
      <formula>AS_DEV_EFFORT</formula>
    </cfRule>
  </conditionalFormatting>
  <conditionalFormatting sqref="B350:B351">
    <cfRule type="expression" dxfId="2366" priority="3067">
      <formula>AD350&lt;&gt;""</formula>
    </cfRule>
  </conditionalFormatting>
  <conditionalFormatting sqref="F354">
    <cfRule type="expression" dxfId="2365" priority="3066">
      <formula>$K354&lt;&gt;""</formula>
    </cfRule>
  </conditionalFormatting>
  <conditionalFormatting sqref="C354">
    <cfRule type="expression" dxfId="2364" priority="3065">
      <formula>$G354&lt;&gt;"-"</formula>
    </cfRule>
  </conditionalFormatting>
  <conditionalFormatting sqref="D354">
    <cfRule type="expression" dxfId="2363" priority="3064">
      <formula>$H354&lt;&gt;"-"</formula>
    </cfRule>
  </conditionalFormatting>
  <conditionalFormatting sqref="E354">
    <cfRule type="expression" dxfId="2362" priority="3063">
      <formula>$I354&lt;&gt;"-"</formula>
    </cfRule>
  </conditionalFormatting>
  <conditionalFormatting sqref="B355">
    <cfRule type="expression" dxfId="2361" priority="3028">
      <formula>AD355&lt;&gt;""</formula>
    </cfRule>
  </conditionalFormatting>
  <conditionalFormatting sqref="Z355">
    <cfRule type="cellIs" dxfId="2360" priority="3026" operator="greaterThan">
      <formula>0</formula>
    </cfRule>
    <cfRule type="cellIs" dxfId="2359" priority="3027" operator="lessThan">
      <formula>0</formula>
    </cfRule>
  </conditionalFormatting>
  <conditionalFormatting sqref="S355">
    <cfRule type="cellIs" dxfId="2358" priority="3025" operator="lessThan">
      <formula>0</formula>
    </cfRule>
  </conditionalFormatting>
  <conditionalFormatting sqref="P355">
    <cfRule type="cellIs" dxfId="2357" priority="3023" operator="equal">
      <formula>AS_DURATION_EFFORT</formula>
    </cfRule>
    <cfRule type="cellIs" dxfId="2356" priority="3024" operator="equal">
      <formula>AS_DEV_EFFORT</formula>
    </cfRule>
  </conditionalFormatting>
  <conditionalFormatting sqref="F355">
    <cfRule type="expression" dxfId="2355" priority="3022">
      <formula>$K355&lt;&gt;""</formula>
    </cfRule>
  </conditionalFormatting>
  <conditionalFormatting sqref="C355">
    <cfRule type="expression" dxfId="2354" priority="3021">
      <formula>$G355&lt;&gt;"-"</formula>
    </cfRule>
  </conditionalFormatting>
  <conditionalFormatting sqref="D355">
    <cfRule type="expression" dxfId="2353" priority="3020">
      <formula>$H355&lt;&gt;"-"</formula>
    </cfRule>
  </conditionalFormatting>
  <conditionalFormatting sqref="E355">
    <cfRule type="expression" dxfId="2352" priority="3019">
      <formula>$I355&lt;&gt;"-"</formula>
    </cfRule>
  </conditionalFormatting>
  <conditionalFormatting sqref="B362">
    <cfRule type="expression" dxfId="2351" priority="3005">
      <formula>AD362&lt;&gt;""</formula>
    </cfRule>
  </conditionalFormatting>
  <conditionalFormatting sqref="Z362">
    <cfRule type="cellIs" dxfId="2350" priority="3003" operator="greaterThan">
      <formula>0</formula>
    </cfRule>
    <cfRule type="cellIs" dxfId="2349" priority="3004" operator="lessThan">
      <formula>0</formula>
    </cfRule>
  </conditionalFormatting>
  <conditionalFormatting sqref="S362">
    <cfRule type="cellIs" dxfId="2348" priority="3002" operator="lessThan">
      <formula>0</formula>
    </cfRule>
  </conditionalFormatting>
  <conditionalFormatting sqref="T360:T361">
    <cfRule type="expression" dxfId="2347" priority="3006">
      <formula>#REF!="Yes"</formula>
    </cfRule>
  </conditionalFormatting>
  <conditionalFormatting sqref="P362">
    <cfRule type="cellIs" dxfId="2346" priority="3000" operator="equal">
      <formula>AS_DURATION_EFFORT</formula>
    </cfRule>
    <cfRule type="cellIs" dxfId="2345" priority="3001" operator="equal">
      <formula>AS_DEV_EFFORT</formula>
    </cfRule>
  </conditionalFormatting>
  <conditionalFormatting sqref="B360:B361">
    <cfRule type="expression" dxfId="2344" priority="2999">
      <formula>AD360&lt;&gt;""</formula>
    </cfRule>
  </conditionalFormatting>
  <conditionalFormatting sqref="F362">
    <cfRule type="expression" dxfId="2343" priority="2998">
      <formula>$K362&lt;&gt;""</formula>
    </cfRule>
  </conditionalFormatting>
  <conditionalFormatting sqref="C362">
    <cfRule type="expression" dxfId="2342" priority="2997">
      <formula>$G362&lt;&gt;"-"</formula>
    </cfRule>
  </conditionalFormatting>
  <conditionalFormatting sqref="D362">
    <cfRule type="expression" dxfId="2341" priority="2996">
      <formula>$H362&lt;&gt;"-"</formula>
    </cfRule>
  </conditionalFormatting>
  <conditionalFormatting sqref="E362">
    <cfRule type="expression" dxfId="2340" priority="2995">
      <formula>$I362&lt;&gt;"-"</formula>
    </cfRule>
  </conditionalFormatting>
  <conditionalFormatting sqref="B363">
    <cfRule type="expression" dxfId="2339" priority="2992">
      <formula>AD363&lt;&gt;""</formula>
    </cfRule>
  </conditionalFormatting>
  <conditionalFormatting sqref="Z363">
    <cfRule type="cellIs" dxfId="2338" priority="2990" operator="greaterThan">
      <formula>0</formula>
    </cfRule>
    <cfRule type="cellIs" dxfId="2337" priority="2991" operator="lessThan">
      <formula>0</formula>
    </cfRule>
  </conditionalFormatting>
  <conditionalFormatting sqref="S363">
    <cfRule type="cellIs" dxfId="2336" priority="2989" operator="lessThan">
      <formula>0</formula>
    </cfRule>
  </conditionalFormatting>
  <conditionalFormatting sqref="P363">
    <cfRule type="cellIs" dxfId="2335" priority="2987" operator="equal">
      <formula>AS_DURATION_EFFORT</formula>
    </cfRule>
    <cfRule type="cellIs" dxfId="2334" priority="2988" operator="equal">
      <formula>AS_DEV_EFFORT</formula>
    </cfRule>
  </conditionalFormatting>
  <conditionalFormatting sqref="F363">
    <cfRule type="expression" dxfId="2333" priority="2986">
      <formula>$K363&lt;&gt;""</formula>
    </cfRule>
  </conditionalFormatting>
  <conditionalFormatting sqref="C363">
    <cfRule type="expression" dxfId="2332" priority="2985">
      <formula>$G363&lt;&gt;"-"</formula>
    </cfRule>
  </conditionalFormatting>
  <conditionalFormatting sqref="D363">
    <cfRule type="expression" dxfId="2331" priority="2984">
      <formula>$H363&lt;&gt;"-"</formula>
    </cfRule>
  </conditionalFormatting>
  <conditionalFormatting sqref="E363">
    <cfRule type="expression" dxfId="2330" priority="2983">
      <formula>$I363&lt;&gt;"-"</formula>
    </cfRule>
  </conditionalFormatting>
  <conditionalFormatting sqref="B352">
    <cfRule type="expression" dxfId="2329" priority="2862">
      <formula>AD352&lt;&gt;""</formula>
    </cfRule>
  </conditionalFormatting>
  <conditionalFormatting sqref="Z352">
    <cfRule type="cellIs" dxfId="2328" priority="2860" operator="greaterThan">
      <formula>0</formula>
    </cfRule>
    <cfRule type="cellIs" dxfId="2327" priority="2861" operator="lessThan">
      <formula>0</formula>
    </cfRule>
  </conditionalFormatting>
  <conditionalFormatting sqref="S352">
    <cfRule type="cellIs" dxfId="2326" priority="2859" operator="lessThan">
      <formula>0</formula>
    </cfRule>
  </conditionalFormatting>
  <conditionalFormatting sqref="P352">
    <cfRule type="cellIs" dxfId="2325" priority="2857" operator="equal">
      <formula>AS_DURATION_EFFORT</formula>
    </cfRule>
    <cfRule type="cellIs" dxfId="2324" priority="2858" operator="equal">
      <formula>AS_DEV_EFFORT</formula>
    </cfRule>
  </conditionalFormatting>
  <conditionalFormatting sqref="F352">
    <cfRule type="expression" dxfId="2323" priority="2856">
      <formula>$K352&lt;&gt;""</formula>
    </cfRule>
  </conditionalFormatting>
  <conditionalFormatting sqref="C352">
    <cfRule type="expression" dxfId="2322" priority="2855">
      <formula>$G352&lt;&gt;"-"</formula>
    </cfRule>
  </conditionalFormatting>
  <conditionalFormatting sqref="D352">
    <cfRule type="expression" dxfId="2321" priority="2854">
      <formula>$H352&lt;&gt;"-"</formula>
    </cfRule>
  </conditionalFormatting>
  <conditionalFormatting sqref="E352">
    <cfRule type="expression" dxfId="2320" priority="2853">
      <formula>$I352&lt;&gt;"-"</formula>
    </cfRule>
  </conditionalFormatting>
  <conditionalFormatting sqref="B353">
    <cfRule type="expression" dxfId="2319" priority="2850">
      <formula>AD353&lt;&gt;""</formula>
    </cfRule>
  </conditionalFormatting>
  <conditionalFormatting sqref="Z353">
    <cfRule type="cellIs" dxfId="2318" priority="2848" operator="greaterThan">
      <formula>0</formula>
    </cfRule>
    <cfRule type="cellIs" dxfId="2317" priority="2849" operator="lessThan">
      <formula>0</formula>
    </cfRule>
  </conditionalFormatting>
  <conditionalFormatting sqref="S353">
    <cfRule type="cellIs" dxfId="2316" priority="2847" operator="lessThan">
      <formula>0</formula>
    </cfRule>
  </conditionalFormatting>
  <conditionalFormatting sqref="P353">
    <cfRule type="cellIs" dxfId="2315" priority="2845" operator="equal">
      <formula>AS_DURATION_EFFORT</formula>
    </cfRule>
    <cfRule type="cellIs" dxfId="2314" priority="2846" operator="equal">
      <formula>AS_DEV_EFFORT</formula>
    </cfRule>
  </conditionalFormatting>
  <conditionalFormatting sqref="F353">
    <cfRule type="expression" dxfId="2313" priority="2844">
      <formula>$K353&lt;&gt;""</formula>
    </cfRule>
  </conditionalFormatting>
  <conditionalFormatting sqref="C353">
    <cfRule type="expression" dxfId="2312" priority="2843">
      <formula>$G353&lt;&gt;"-"</formula>
    </cfRule>
  </conditionalFormatting>
  <conditionalFormatting sqref="D353">
    <cfRule type="expression" dxfId="2311" priority="2842">
      <formula>$H353&lt;&gt;"-"</formula>
    </cfRule>
  </conditionalFormatting>
  <conditionalFormatting sqref="E353">
    <cfRule type="expression" dxfId="2310" priority="2841">
      <formula>$I353&lt;&gt;"-"</formula>
    </cfRule>
  </conditionalFormatting>
  <conditionalFormatting sqref="B364">
    <cfRule type="expression" dxfId="2309" priority="2840">
      <formula>AD364&lt;&gt;""</formula>
    </cfRule>
  </conditionalFormatting>
  <conditionalFormatting sqref="Z364">
    <cfRule type="cellIs" dxfId="2308" priority="2838" operator="greaterThan">
      <formula>0</formula>
    </cfRule>
    <cfRule type="cellIs" dxfId="2307" priority="2839" operator="lessThan">
      <formula>0</formula>
    </cfRule>
  </conditionalFormatting>
  <conditionalFormatting sqref="S364">
    <cfRule type="cellIs" dxfId="2306" priority="2837" operator="lessThan">
      <formula>0</formula>
    </cfRule>
  </conditionalFormatting>
  <conditionalFormatting sqref="P364">
    <cfRule type="cellIs" dxfId="2305" priority="2835" operator="equal">
      <formula>AS_DURATION_EFFORT</formula>
    </cfRule>
    <cfRule type="cellIs" dxfId="2304" priority="2836" operator="equal">
      <formula>AS_DEV_EFFORT</formula>
    </cfRule>
  </conditionalFormatting>
  <conditionalFormatting sqref="F364">
    <cfRule type="expression" dxfId="2303" priority="2834">
      <formula>$K364&lt;&gt;""</formula>
    </cfRule>
  </conditionalFormatting>
  <conditionalFormatting sqref="C364">
    <cfRule type="expression" dxfId="2302" priority="2833">
      <formula>$G364&lt;&gt;"-"</formula>
    </cfRule>
  </conditionalFormatting>
  <conditionalFormatting sqref="D364">
    <cfRule type="expression" dxfId="2301" priority="2832">
      <formula>$H364&lt;&gt;"-"</formula>
    </cfRule>
  </conditionalFormatting>
  <conditionalFormatting sqref="E364">
    <cfRule type="expression" dxfId="2300" priority="2831">
      <formula>$I364&lt;&gt;"-"</formula>
    </cfRule>
  </conditionalFormatting>
  <conditionalFormatting sqref="B365">
    <cfRule type="expression" dxfId="2299" priority="2830">
      <formula>AD365&lt;&gt;""</formula>
    </cfRule>
  </conditionalFormatting>
  <conditionalFormatting sqref="Z365">
    <cfRule type="cellIs" dxfId="2298" priority="2828" operator="greaterThan">
      <formula>0</formula>
    </cfRule>
    <cfRule type="cellIs" dxfId="2297" priority="2829" operator="lessThan">
      <formula>0</formula>
    </cfRule>
  </conditionalFormatting>
  <conditionalFormatting sqref="S365">
    <cfRule type="cellIs" dxfId="2296" priority="2827" operator="lessThan">
      <formula>0</formula>
    </cfRule>
  </conditionalFormatting>
  <conditionalFormatting sqref="P365">
    <cfRule type="cellIs" dxfId="2295" priority="2825" operator="equal">
      <formula>AS_DURATION_EFFORT</formula>
    </cfRule>
    <cfRule type="cellIs" dxfId="2294" priority="2826" operator="equal">
      <formula>AS_DEV_EFFORT</formula>
    </cfRule>
  </conditionalFormatting>
  <conditionalFormatting sqref="F365">
    <cfRule type="expression" dxfId="2293" priority="2824">
      <formula>$K365&lt;&gt;""</formula>
    </cfRule>
  </conditionalFormatting>
  <conditionalFormatting sqref="C365">
    <cfRule type="expression" dxfId="2292" priority="2823">
      <formula>$G365&lt;&gt;"-"</formula>
    </cfRule>
  </conditionalFormatting>
  <conditionalFormatting sqref="D365">
    <cfRule type="expression" dxfId="2291" priority="2822">
      <formula>$H365&lt;&gt;"-"</formula>
    </cfRule>
  </conditionalFormatting>
  <conditionalFormatting sqref="E365">
    <cfRule type="expression" dxfId="2290" priority="2821">
      <formula>$I365&lt;&gt;"-"</formula>
    </cfRule>
  </conditionalFormatting>
  <conditionalFormatting sqref="B171">
    <cfRule type="expression" dxfId="2289" priority="2735">
      <formula>AD171&lt;&gt;""</formula>
    </cfRule>
  </conditionalFormatting>
  <conditionalFormatting sqref="Z171">
    <cfRule type="cellIs" dxfId="2288" priority="2733" operator="greaterThan">
      <formula>0</formula>
    </cfRule>
    <cfRule type="cellIs" dxfId="2287" priority="2734" operator="lessThan">
      <formula>0</formula>
    </cfRule>
  </conditionalFormatting>
  <conditionalFormatting sqref="S171">
    <cfRule type="cellIs" dxfId="2286" priority="2732" operator="lessThan">
      <formula>0</formula>
    </cfRule>
  </conditionalFormatting>
  <conditionalFormatting sqref="T169:T170">
    <cfRule type="expression" dxfId="2285" priority="2736">
      <formula>#REF!="Yes"</formula>
    </cfRule>
  </conditionalFormatting>
  <conditionalFormatting sqref="P171">
    <cfRule type="cellIs" dxfId="2284" priority="2730" operator="equal">
      <formula>AS_DURATION_EFFORT</formula>
    </cfRule>
    <cfRule type="cellIs" dxfId="2283" priority="2731" operator="equal">
      <formula>AS_DEV_EFFORT</formula>
    </cfRule>
  </conditionalFormatting>
  <conditionalFormatting sqref="B169:B170">
    <cfRule type="expression" dxfId="2282" priority="2729">
      <formula>AD169&lt;&gt;""</formula>
    </cfRule>
  </conditionalFormatting>
  <conditionalFormatting sqref="F171">
    <cfRule type="expression" dxfId="2281" priority="2728">
      <formula>$K171&lt;&gt;""</formula>
    </cfRule>
  </conditionalFormatting>
  <conditionalFormatting sqref="C171">
    <cfRule type="expression" dxfId="2280" priority="2727">
      <formula>$G171&lt;&gt;"-"</formula>
    </cfRule>
  </conditionalFormatting>
  <conditionalFormatting sqref="D171">
    <cfRule type="expression" dxfId="2279" priority="2726">
      <formula>$H171&lt;&gt;"-"</formula>
    </cfRule>
  </conditionalFormatting>
  <conditionalFormatting sqref="E171">
    <cfRule type="expression" dxfId="2278" priority="2725">
      <formula>$I171&lt;&gt;"-"</formula>
    </cfRule>
  </conditionalFormatting>
  <conditionalFormatting sqref="B172">
    <cfRule type="expression" dxfId="2277" priority="2720">
      <formula>AD172&lt;&gt;""</formula>
    </cfRule>
  </conditionalFormatting>
  <conditionalFormatting sqref="Z172">
    <cfRule type="cellIs" dxfId="2276" priority="2718" operator="greaterThan">
      <formula>0</formula>
    </cfRule>
    <cfRule type="cellIs" dxfId="2275" priority="2719" operator="lessThan">
      <formula>0</formula>
    </cfRule>
  </conditionalFormatting>
  <conditionalFormatting sqref="S172">
    <cfRule type="cellIs" dxfId="2274" priority="2717" operator="lessThan">
      <formula>0</formula>
    </cfRule>
  </conditionalFormatting>
  <conditionalFormatting sqref="P172">
    <cfRule type="cellIs" dxfId="2273" priority="2715" operator="equal">
      <formula>AS_DURATION_EFFORT</formula>
    </cfRule>
    <cfRule type="cellIs" dxfId="2272" priority="2716" operator="equal">
      <formula>AS_DEV_EFFORT</formula>
    </cfRule>
  </conditionalFormatting>
  <conditionalFormatting sqref="F172">
    <cfRule type="expression" dxfId="2271" priority="2714">
      <formula>$K172&lt;&gt;""</formula>
    </cfRule>
  </conditionalFormatting>
  <conditionalFormatting sqref="C172">
    <cfRule type="expression" dxfId="2270" priority="2713">
      <formula>$G172&lt;&gt;"-"</formula>
    </cfRule>
  </conditionalFormatting>
  <conditionalFormatting sqref="D172">
    <cfRule type="expression" dxfId="2269" priority="2712">
      <formula>$H172&lt;&gt;"-"</formula>
    </cfRule>
  </conditionalFormatting>
  <conditionalFormatting sqref="E172">
    <cfRule type="expression" dxfId="2268" priority="2711">
      <formula>$I172&lt;&gt;"-"</formula>
    </cfRule>
  </conditionalFormatting>
  <conditionalFormatting sqref="B173">
    <cfRule type="expression" dxfId="2267" priority="2708">
      <formula>AD173&lt;&gt;""</formula>
    </cfRule>
  </conditionalFormatting>
  <conditionalFormatting sqref="Z173">
    <cfRule type="cellIs" dxfId="2266" priority="2706" operator="greaterThan">
      <formula>0</formula>
    </cfRule>
    <cfRule type="cellIs" dxfId="2265" priority="2707" operator="lessThan">
      <formula>0</formula>
    </cfRule>
  </conditionalFormatting>
  <conditionalFormatting sqref="S173">
    <cfRule type="cellIs" dxfId="2264" priority="2705" operator="lessThan">
      <formula>0</formula>
    </cfRule>
  </conditionalFormatting>
  <conditionalFormatting sqref="P173">
    <cfRule type="cellIs" dxfId="2263" priority="2703" operator="equal">
      <formula>AS_DURATION_EFFORT</formula>
    </cfRule>
    <cfRule type="cellIs" dxfId="2262" priority="2704" operator="equal">
      <formula>AS_DEV_EFFORT</formula>
    </cfRule>
  </conditionalFormatting>
  <conditionalFormatting sqref="F173">
    <cfRule type="expression" dxfId="2261" priority="2702">
      <formula>$K173&lt;&gt;""</formula>
    </cfRule>
  </conditionalFormatting>
  <conditionalFormatting sqref="C173">
    <cfRule type="expression" dxfId="2260" priority="2701">
      <formula>$G173&lt;&gt;"-"</formula>
    </cfRule>
  </conditionalFormatting>
  <conditionalFormatting sqref="D173">
    <cfRule type="expression" dxfId="2259" priority="2700">
      <formula>$H173&lt;&gt;"-"</formula>
    </cfRule>
  </conditionalFormatting>
  <conditionalFormatting sqref="E173">
    <cfRule type="expression" dxfId="2258" priority="2699">
      <formula>$I173&lt;&gt;"-"</formula>
    </cfRule>
  </conditionalFormatting>
  <conditionalFormatting sqref="B174">
    <cfRule type="expression" dxfId="2257" priority="2696">
      <formula>AD174&lt;&gt;""</formula>
    </cfRule>
  </conditionalFormatting>
  <conditionalFormatting sqref="Z174">
    <cfRule type="cellIs" dxfId="2256" priority="2694" operator="greaterThan">
      <formula>0</formula>
    </cfRule>
    <cfRule type="cellIs" dxfId="2255" priority="2695" operator="lessThan">
      <formula>0</formula>
    </cfRule>
  </conditionalFormatting>
  <conditionalFormatting sqref="S174">
    <cfRule type="cellIs" dxfId="2254" priority="2693" operator="lessThan">
      <formula>0</formula>
    </cfRule>
  </conditionalFormatting>
  <conditionalFormatting sqref="P174">
    <cfRule type="cellIs" dxfId="2253" priority="2691" operator="equal">
      <formula>AS_DURATION_EFFORT</formula>
    </cfRule>
    <cfRule type="cellIs" dxfId="2252" priority="2692" operator="equal">
      <formula>AS_DEV_EFFORT</formula>
    </cfRule>
  </conditionalFormatting>
  <conditionalFormatting sqref="F174">
    <cfRule type="expression" dxfId="2251" priority="2690">
      <formula>$K174&lt;&gt;""</formula>
    </cfRule>
  </conditionalFormatting>
  <conditionalFormatting sqref="C174">
    <cfRule type="expression" dxfId="2250" priority="2689">
      <formula>$G174&lt;&gt;"-"</formula>
    </cfRule>
  </conditionalFormatting>
  <conditionalFormatting sqref="D174">
    <cfRule type="expression" dxfId="2249" priority="2688">
      <formula>$H174&lt;&gt;"-"</formula>
    </cfRule>
  </conditionalFormatting>
  <conditionalFormatting sqref="E174">
    <cfRule type="expression" dxfId="2248" priority="2687">
      <formula>$I174&lt;&gt;"-"</formula>
    </cfRule>
  </conditionalFormatting>
  <conditionalFormatting sqref="B179">
    <cfRule type="expression" dxfId="2247" priority="2683">
      <formula>AD179&lt;&gt;""</formula>
    </cfRule>
  </conditionalFormatting>
  <conditionalFormatting sqref="Z179">
    <cfRule type="cellIs" dxfId="2246" priority="2681" operator="greaterThan">
      <formula>0</formula>
    </cfRule>
    <cfRule type="cellIs" dxfId="2245" priority="2682" operator="lessThan">
      <formula>0</formula>
    </cfRule>
  </conditionalFormatting>
  <conditionalFormatting sqref="S179">
    <cfRule type="cellIs" dxfId="2244" priority="2680" operator="lessThan">
      <formula>0</formula>
    </cfRule>
  </conditionalFormatting>
  <conditionalFormatting sqref="T177:T178">
    <cfRule type="expression" dxfId="2243" priority="2684">
      <formula>#REF!="Yes"</formula>
    </cfRule>
  </conditionalFormatting>
  <conditionalFormatting sqref="P179">
    <cfRule type="cellIs" dxfId="2242" priority="2678" operator="equal">
      <formula>AS_DURATION_EFFORT</formula>
    </cfRule>
    <cfRule type="cellIs" dxfId="2241" priority="2679" operator="equal">
      <formula>AS_DEV_EFFORT</formula>
    </cfRule>
  </conditionalFormatting>
  <conditionalFormatting sqref="B177:B178">
    <cfRule type="expression" dxfId="2240" priority="2677">
      <formula>AD177&lt;&gt;""</formula>
    </cfRule>
  </conditionalFormatting>
  <conditionalFormatting sqref="F179">
    <cfRule type="expression" dxfId="2239" priority="2676">
      <formula>$K179&lt;&gt;""</formula>
    </cfRule>
  </conditionalFormatting>
  <conditionalFormatting sqref="C179">
    <cfRule type="expression" dxfId="2238" priority="2675">
      <formula>$G179&lt;&gt;"-"</formula>
    </cfRule>
  </conditionalFormatting>
  <conditionalFormatting sqref="D179">
    <cfRule type="expression" dxfId="2237" priority="2674">
      <formula>$H179&lt;&gt;"-"</formula>
    </cfRule>
  </conditionalFormatting>
  <conditionalFormatting sqref="E179">
    <cfRule type="expression" dxfId="2236" priority="2673">
      <formula>$I179&lt;&gt;"-"</formula>
    </cfRule>
  </conditionalFormatting>
  <conditionalFormatting sqref="B180">
    <cfRule type="expression" dxfId="2235" priority="2670">
      <formula>AD180&lt;&gt;""</formula>
    </cfRule>
  </conditionalFormatting>
  <conditionalFormatting sqref="Z180">
    <cfRule type="cellIs" dxfId="2234" priority="2668" operator="greaterThan">
      <formula>0</formula>
    </cfRule>
    <cfRule type="cellIs" dxfId="2233" priority="2669" operator="lessThan">
      <formula>0</formula>
    </cfRule>
  </conditionalFormatting>
  <conditionalFormatting sqref="S180">
    <cfRule type="cellIs" dxfId="2232" priority="2667" operator="lessThan">
      <formula>0</formula>
    </cfRule>
  </conditionalFormatting>
  <conditionalFormatting sqref="P180">
    <cfRule type="cellIs" dxfId="2231" priority="2665" operator="equal">
      <formula>AS_DURATION_EFFORT</formula>
    </cfRule>
    <cfRule type="cellIs" dxfId="2230" priority="2666" operator="equal">
      <formula>AS_DEV_EFFORT</formula>
    </cfRule>
  </conditionalFormatting>
  <conditionalFormatting sqref="F180">
    <cfRule type="expression" dxfId="2229" priority="2664">
      <formula>$K180&lt;&gt;""</formula>
    </cfRule>
  </conditionalFormatting>
  <conditionalFormatting sqref="C180">
    <cfRule type="expression" dxfId="2228" priority="2663">
      <formula>$G180&lt;&gt;"-"</formula>
    </cfRule>
  </conditionalFormatting>
  <conditionalFormatting sqref="D180">
    <cfRule type="expression" dxfId="2227" priority="2662">
      <formula>$H180&lt;&gt;"-"</formula>
    </cfRule>
  </conditionalFormatting>
  <conditionalFormatting sqref="E180">
    <cfRule type="expression" dxfId="2226" priority="2661">
      <formula>$I180&lt;&gt;"-"</formula>
    </cfRule>
  </conditionalFormatting>
  <conditionalFormatting sqref="B181">
    <cfRule type="expression" dxfId="2225" priority="2658">
      <formula>AD181&lt;&gt;""</formula>
    </cfRule>
  </conditionalFormatting>
  <conditionalFormatting sqref="Z181">
    <cfRule type="cellIs" dxfId="2224" priority="2656" operator="greaterThan">
      <formula>0</formula>
    </cfRule>
    <cfRule type="cellIs" dxfId="2223" priority="2657" operator="lessThan">
      <formula>0</formula>
    </cfRule>
  </conditionalFormatting>
  <conditionalFormatting sqref="S181">
    <cfRule type="cellIs" dxfId="2222" priority="2655" operator="lessThan">
      <formula>0</formula>
    </cfRule>
  </conditionalFormatting>
  <conditionalFormatting sqref="P181">
    <cfRule type="cellIs" dxfId="2221" priority="2653" operator="equal">
      <formula>AS_DURATION_EFFORT</formula>
    </cfRule>
    <cfRule type="cellIs" dxfId="2220" priority="2654" operator="equal">
      <formula>AS_DEV_EFFORT</formula>
    </cfRule>
  </conditionalFormatting>
  <conditionalFormatting sqref="F181">
    <cfRule type="expression" dxfId="2219" priority="2652">
      <formula>$K181&lt;&gt;""</formula>
    </cfRule>
  </conditionalFormatting>
  <conditionalFormatting sqref="C181">
    <cfRule type="expression" dxfId="2218" priority="2651">
      <formula>$G181&lt;&gt;"-"</formula>
    </cfRule>
  </conditionalFormatting>
  <conditionalFormatting sqref="D181">
    <cfRule type="expression" dxfId="2217" priority="2650">
      <formula>$H181&lt;&gt;"-"</formula>
    </cfRule>
  </conditionalFormatting>
  <conditionalFormatting sqref="E181">
    <cfRule type="expression" dxfId="2216" priority="2649">
      <formula>$I181&lt;&gt;"-"</formula>
    </cfRule>
  </conditionalFormatting>
  <conditionalFormatting sqref="B183">
    <cfRule type="expression" dxfId="2215" priority="2646">
      <formula>AD183&lt;&gt;""</formula>
    </cfRule>
  </conditionalFormatting>
  <conditionalFormatting sqref="Z183">
    <cfRule type="cellIs" dxfId="2214" priority="2644" operator="greaterThan">
      <formula>0</formula>
    </cfRule>
    <cfRule type="cellIs" dxfId="2213" priority="2645" operator="lessThan">
      <formula>0</formula>
    </cfRule>
  </conditionalFormatting>
  <conditionalFormatting sqref="S183">
    <cfRule type="cellIs" dxfId="2212" priority="2643" operator="lessThan">
      <formula>0</formula>
    </cfRule>
  </conditionalFormatting>
  <conditionalFormatting sqref="P183">
    <cfRule type="cellIs" dxfId="2211" priority="2641" operator="equal">
      <formula>AS_DURATION_EFFORT</formula>
    </cfRule>
    <cfRule type="cellIs" dxfId="2210" priority="2642" operator="equal">
      <formula>AS_DEV_EFFORT</formula>
    </cfRule>
  </conditionalFormatting>
  <conditionalFormatting sqref="F183">
    <cfRule type="expression" dxfId="2209" priority="2640">
      <formula>$K183&lt;&gt;""</formula>
    </cfRule>
  </conditionalFormatting>
  <conditionalFormatting sqref="C183">
    <cfRule type="expression" dxfId="2208" priority="2639">
      <formula>$G183&lt;&gt;"-"</formula>
    </cfRule>
  </conditionalFormatting>
  <conditionalFormatting sqref="D183">
    <cfRule type="expression" dxfId="2207" priority="2638">
      <formula>$H183&lt;&gt;"-"</formula>
    </cfRule>
  </conditionalFormatting>
  <conditionalFormatting sqref="E183">
    <cfRule type="expression" dxfId="2206" priority="2637">
      <formula>$I183&lt;&gt;"-"</formula>
    </cfRule>
  </conditionalFormatting>
  <conditionalFormatting sqref="B105">
    <cfRule type="expression" dxfId="2205" priority="2633">
      <formula>AD105&lt;&gt;""</formula>
    </cfRule>
  </conditionalFormatting>
  <conditionalFormatting sqref="Z105">
    <cfRule type="cellIs" dxfId="2204" priority="2631" operator="greaterThan">
      <formula>0</formula>
    </cfRule>
    <cfRule type="cellIs" dxfId="2203" priority="2632" operator="lessThan">
      <formula>0</formula>
    </cfRule>
  </conditionalFormatting>
  <conditionalFormatting sqref="S105">
    <cfRule type="cellIs" dxfId="2202" priority="2630" operator="lessThan">
      <formula>0</formula>
    </cfRule>
  </conditionalFormatting>
  <conditionalFormatting sqref="T103:T104">
    <cfRule type="expression" dxfId="2201" priority="2634">
      <formula>#REF!="Yes"</formula>
    </cfRule>
  </conditionalFormatting>
  <conditionalFormatting sqref="P105">
    <cfRule type="cellIs" dxfId="2200" priority="2628" operator="equal">
      <formula>AS_DURATION_EFFORT</formula>
    </cfRule>
    <cfRule type="cellIs" dxfId="2199" priority="2629" operator="equal">
      <formula>AS_DEV_EFFORT</formula>
    </cfRule>
  </conditionalFormatting>
  <conditionalFormatting sqref="B103:B104">
    <cfRule type="expression" dxfId="2198" priority="2627">
      <formula>AD103&lt;&gt;""</formula>
    </cfRule>
  </conditionalFormatting>
  <conditionalFormatting sqref="L105:AC105">
    <cfRule type="expression" dxfId="2197" priority="2635">
      <formula>AND($G105="Yes", $S$6="Exclude")</formula>
    </cfRule>
    <cfRule type="expression" dxfId="2196" priority="2636">
      <formula>$J105="Yes"</formula>
    </cfRule>
  </conditionalFormatting>
  <conditionalFormatting sqref="F105">
    <cfRule type="expression" dxfId="2195" priority="2626">
      <formula>$K105&lt;&gt;""</formula>
    </cfRule>
  </conditionalFormatting>
  <conditionalFormatting sqref="C105">
    <cfRule type="expression" dxfId="2194" priority="2625">
      <formula>$G105&lt;&gt;"-"</formula>
    </cfRule>
  </conditionalFormatting>
  <conditionalFormatting sqref="D105">
    <cfRule type="expression" dxfId="2193" priority="2624">
      <formula>$H105&lt;&gt;"-"</formula>
    </cfRule>
  </conditionalFormatting>
  <conditionalFormatting sqref="E105">
    <cfRule type="expression" dxfId="2192" priority="2623">
      <formula>$I105&lt;&gt;"-"</formula>
    </cfRule>
  </conditionalFormatting>
  <conditionalFormatting sqref="S102">
    <cfRule type="expression" dxfId="2191" priority="2622">
      <formula>#REF!="Yes"</formula>
    </cfRule>
  </conditionalFormatting>
  <conditionalFormatting sqref="B102">
    <cfRule type="expression" dxfId="2190" priority="2621">
      <formula>AD102&lt;&gt;""</formula>
    </cfRule>
  </conditionalFormatting>
  <conditionalFormatting sqref="B106">
    <cfRule type="expression" dxfId="2189" priority="2618">
      <formula>AD106&lt;&gt;""</formula>
    </cfRule>
  </conditionalFormatting>
  <conditionalFormatting sqref="Z106">
    <cfRule type="cellIs" dxfId="2188" priority="2616" operator="greaterThan">
      <formula>0</formula>
    </cfRule>
    <cfRule type="cellIs" dxfId="2187" priority="2617" operator="lessThan">
      <formula>0</formula>
    </cfRule>
  </conditionalFormatting>
  <conditionalFormatting sqref="S106">
    <cfRule type="cellIs" dxfId="2186" priority="2615" operator="lessThan">
      <formula>0</formula>
    </cfRule>
  </conditionalFormatting>
  <conditionalFormatting sqref="P106">
    <cfRule type="cellIs" dxfId="2185" priority="2613" operator="equal">
      <formula>AS_DURATION_EFFORT</formula>
    </cfRule>
    <cfRule type="cellIs" dxfId="2184" priority="2614" operator="equal">
      <formula>AS_DEV_EFFORT</formula>
    </cfRule>
  </conditionalFormatting>
  <conditionalFormatting sqref="L106:AC106">
    <cfRule type="expression" dxfId="2183" priority="2619">
      <formula>AND($G106="Yes", $S$6="Exclude")</formula>
    </cfRule>
    <cfRule type="expression" dxfId="2182" priority="2620">
      <formula>$J106="Yes"</formula>
    </cfRule>
  </conditionalFormatting>
  <conditionalFormatting sqref="F106">
    <cfRule type="expression" dxfId="2181" priority="2612">
      <formula>$K106&lt;&gt;""</formula>
    </cfRule>
  </conditionalFormatting>
  <conditionalFormatting sqref="C106">
    <cfRule type="expression" dxfId="2180" priority="2611">
      <formula>$G106&lt;&gt;"-"</formula>
    </cfRule>
  </conditionalFormatting>
  <conditionalFormatting sqref="D106">
    <cfRule type="expression" dxfId="2179" priority="2610">
      <formula>$H106&lt;&gt;"-"</formula>
    </cfRule>
  </conditionalFormatting>
  <conditionalFormatting sqref="E106">
    <cfRule type="expression" dxfId="2178" priority="2609">
      <formula>$I106&lt;&gt;"-"</formula>
    </cfRule>
  </conditionalFormatting>
  <conditionalFormatting sqref="B107">
    <cfRule type="expression" dxfId="2177" priority="2606">
      <formula>AD107&lt;&gt;""</formula>
    </cfRule>
  </conditionalFormatting>
  <conditionalFormatting sqref="Z107">
    <cfRule type="cellIs" dxfId="2176" priority="2604" operator="greaterThan">
      <formula>0</formula>
    </cfRule>
    <cfRule type="cellIs" dxfId="2175" priority="2605" operator="lessThan">
      <formula>0</formula>
    </cfRule>
  </conditionalFormatting>
  <conditionalFormatting sqref="S107">
    <cfRule type="cellIs" dxfId="2174" priority="2603" operator="lessThan">
      <formula>0</formula>
    </cfRule>
  </conditionalFormatting>
  <conditionalFormatting sqref="P107">
    <cfRule type="cellIs" dxfId="2173" priority="2601" operator="equal">
      <formula>AS_DURATION_EFFORT</formula>
    </cfRule>
    <cfRule type="cellIs" dxfId="2172" priority="2602" operator="equal">
      <formula>AS_DEV_EFFORT</formula>
    </cfRule>
  </conditionalFormatting>
  <conditionalFormatting sqref="L107:AC107">
    <cfRule type="expression" dxfId="2171" priority="2607">
      <formula>AND($G107="Yes", $S$6="Exclude")</formula>
    </cfRule>
    <cfRule type="expression" dxfId="2170" priority="2608">
      <formula>$J107="Yes"</formula>
    </cfRule>
  </conditionalFormatting>
  <conditionalFormatting sqref="F107">
    <cfRule type="expression" dxfId="2169" priority="2600">
      <formula>$K107&lt;&gt;""</formula>
    </cfRule>
  </conditionalFormatting>
  <conditionalFormatting sqref="C107">
    <cfRule type="expression" dxfId="2168" priority="2599">
      <formula>$G107&lt;&gt;"-"</formula>
    </cfRule>
  </conditionalFormatting>
  <conditionalFormatting sqref="D107">
    <cfRule type="expression" dxfId="2167" priority="2598">
      <formula>$H107&lt;&gt;"-"</formula>
    </cfRule>
  </conditionalFormatting>
  <conditionalFormatting sqref="E107">
    <cfRule type="expression" dxfId="2166" priority="2597">
      <formula>$I107&lt;&gt;"-"</formula>
    </cfRule>
  </conditionalFormatting>
  <conditionalFormatting sqref="B108">
    <cfRule type="expression" dxfId="2165" priority="2594">
      <formula>AD108&lt;&gt;""</formula>
    </cfRule>
  </conditionalFormatting>
  <conditionalFormatting sqref="Z108">
    <cfRule type="cellIs" dxfId="2164" priority="2592" operator="greaterThan">
      <formula>0</formula>
    </cfRule>
    <cfRule type="cellIs" dxfId="2163" priority="2593" operator="lessThan">
      <formula>0</formula>
    </cfRule>
  </conditionalFormatting>
  <conditionalFormatting sqref="S108">
    <cfRule type="cellIs" dxfId="2162" priority="2591" operator="lessThan">
      <formula>0</formula>
    </cfRule>
  </conditionalFormatting>
  <conditionalFormatting sqref="P108">
    <cfRule type="cellIs" dxfId="2161" priority="2589" operator="equal">
      <formula>AS_DURATION_EFFORT</formula>
    </cfRule>
    <cfRule type="cellIs" dxfId="2160" priority="2590" operator="equal">
      <formula>AS_DEV_EFFORT</formula>
    </cfRule>
  </conditionalFormatting>
  <conditionalFormatting sqref="L108:AC108">
    <cfRule type="expression" dxfId="2159" priority="2595">
      <formula>AND($G108="Yes", $S$6="Exclude")</formula>
    </cfRule>
    <cfRule type="expression" dxfId="2158" priority="2596">
      <formula>$J108="Yes"</formula>
    </cfRule>
  </conditionalFormatting>
  <conditionalFormatting sqref="F108">
    <cfRule type="expression" dxfId="2157" priority="2588">
      <formula>$K108&lt;&gt;""</formula>
    </cfRule>
  </conditionalFormatting>
  <conditionalFormatting sqref="C108">
    <cfRule type="expression" dxfId="2156" priority="2587">
      <formula>$G108&lt;&gt;"-"</formula>
    </cfRule>
  </conditionalFormatting>
  <conditionalFormatting sqref="D108">
    <cfRule type="expression" dxfId="2155" priority="2586">
      <formula>$H108&lt;&gt;"-"</formula>
    </cfRule>
  </conditionalFormatting>
  <conditionalFormatting sqref="E108">
    <cfRule type="expression" dxfId="2154" priority="2585">
      <formula>$I108&lt;&gt;"-"</formula>
    </cfRule>
  </conditionalFormatting>
  <conditionalFormatting sqref="B109">
    <cfRule type="expression" dxfId="2153" priority="2582">
      <formula>AD109&lt;&gt;""</formula>
    </cfRule>
  </conditionalFormatting>
  <conditionalFormatting sqref="Z109">
    <cfRule type="cellIs" dxfId="2152" priority="2580" operator="greaterThan">
      <formula>0</formula>
    </cfRule>
    <cfRule type="cellIs" dxfId="2151" priority="2581" operator="lessThan">
      <formula>0</formula>
    </cfRule>
  </conditionalFormatting>
  <conditionalFormatting sqref="S109">
    <cfRule type="cellIs" dxfId="2150" priority="2579" operator="lessThan">
      <formula>0</formula>
    </cfRule>
  </conditionalFormatting>
  <conditionalFormatting sqref="P109">
    <cfRule type="cellIs" dxfId="2149" priority="2577" operator="equal">
      <formula>AS_DURATION_EFFORT</formula>
    </cfRule>
    <cfRule type="cellIs" dxfId="2148" priority="2578" operator="equal">
      <formula>AS_DEV_EFFORT</formula>
    </cfRule>
  </conditionalFormatting>
  <conditionalFormatting sqref="L109:AC109">
    <cfRule type="expression" dxfId="2147" priority="2583">
      <formula>AND($G109="Yes", $S$6="Exclude")</formula>
    </cfRule>
    <cfRule type="expression" dxfId="2146" priority="2584">
      <formula>$J109="Yes"</formula>
    </cfRule>
  </conditionalFormatting>
  <conditionalFormatting sqref="F109">
    <cfRule type="expression" dxfId="2145" priority="2576">
      <formula>$K109&lt;&gt;""</formula>
    </cfRule>
  </conditionalFormatting>
  <conditionalFormatting sqref="C109">
    <cfRule type="expression" dxfId="2144" priority="2575">
      <formula>$G109&lt;&gt;"-"</formula>
    </cfRule>
  </conditionalFormatting>
  <conditionalFormatting sqref="D109">
    <cfRule type="expression" dxfId="2143" priority="2574">
      <formula>$H109&lt;&gt;"-"</formula>
    </cfRule>
  </conditionalFormatting>
  <conditionalFormatting sqref="E109">
    <cfRule type="expression" dxfId="2142" priority="2573">
      <formula>$I109&lt;&gt;"-"</formula>
    </cfRule>
  </conditionalFormatting>
  <conditionalFormatting sqref="B110">
    <cfRule type="expression" dxfId="2141" priority="2570">
      <formula>AD110&lt;&gt;""</formula>
    </cfRule>
  </conditionalFormatting>
  <conditionalFormatting sqref="Z110">
    <cfRule type="cellIs" dxfId="2140" priority="2568" operator="greaterThan">
      <formula>0</formula>
    </cfRule>
    <cfRule type="cellIs" dxfId="2139" priority="2569" operator="lessThan">
      <formula>0</formula>
    </cfRule>
  </conditionalFormatting>
  <conditionalFormatting sqref="S110">
    <cfRule type="cellIs" dxfId="2138" priority="2567" operator="lessThan">
      <formula>0</formula>
    </cfRule>
  </conditionalFormatting>
  <conditionalFormatting sqref="P110">
    <cfRule type="cellIs" dxfId="2137" priority="2565" operator="equal">
      <formula>AS_DURATION_EFFORT</formula>
    </cfRule>
    <cfRule type="cellIs" dxfId="2136" priority="2566" operator="equal">
      <formula>AS_DEV_EFFORT</formula>
    </cfRule>
  </conditionalFormatting>
  <conditionalFormatting sqref="L110:AC110">
    <cfRule type="expression" dxfId="2135" priority="2571">
      <formula>AND($G110="Yes", $S$6="Exclude")</formula>
    </cfRule>
    <cfRule type="expression" dxfId="2134" priority="2572">
      <formula>$J110="Yes"</formula>
    </cfRule>
  </conditionalFormatting>
  <conditionalFormatting sqref="F110">
    <cfRule type="expression" dxfId="2133" priority="2564">
      <formula>$K110&lt;&gt;""</formula>
    </cfRule>
  </conditionalFormatting>
  <conditionalFormatting sqref="C110">
    <cfRule type="expression" dxfId="2132" priority="2563">
      <formula>$G110&lt;&gt;"-"</formula>
    </cfRule>
  </conditionalFormatting>
  <conditionalFormatting sqref="D110">
    <cfRule type="expression" dxfId="2131" priority="2562">
      <formula>$H110&lt;&gt;"-"</formula>
    </cfRule>
  </conditionalFormatting>
  <conditionalFormatting sqref="E110">
    <cfRule type="expression" dxfId="2130" priority="2561">
      <formula>$I110&lt;&gt;"-"</formula>
    </cfRule>
  </conditionalFormatting>
  <conditionalFormatting sqref="B115">
    <cfRule type="expression" dxfId="2129" priority="2557">
      <formula>AD115&lt;&gt;""</formula>
    </cfRule>
  </conditionalFormatting>
  <conditionalFormatting sqref="Z115">
    <cfRule type="cellIs" dxfId="2128" priority="2555" operator="greaterThan">
      <formula>0</formula>
    </cfRule>
    <cfRule type="cellIs" dxfId="2127" priority="2556" operator="lessThan">
      <formula>0</formula>
    </cfRule>
  </conditionalFormatting>
  <conditionalFormatting sqref="S115">
    <cfRule type="cellIs" dxfId="2126" priority="2554" operator="lessThan">
      <formula>0</formula>
    </cfRule>
  </conditionalFormatting>
  <conditionalFormatting sqref="T113:T114">
    <cfRule type="expression" dxfId="2125" priority="2558">
      <formula>#REF!="Yes"</formula>
    </cfRule>
  </conditionalFormatting>
  <conditionalFormatting sqref="P115">
    <cfRule type="cellIs" dxfId="2124" priority="2552" operator="equal">
      <formula>AS_DURATION_EFFORT</formula>
    </cfRule>
    <cfRule type="cellIs" dxfId="2123" priority="2553" operator="equal">
      <formula>AS_DEV_EFFORT</formula>
    </cfRule>
  </conditionalFormatting>
  <conditionalFormatting sqref="B113:B114">
    <cfRule type="expression" dxfId="2122" priority="2551">
      <formula>AD113&lt;&gt;""</formula>
    </cfRule>
  </conditionalFormatting>
  <conditionalFormatting sqref="L115:AC115">
    <cfRule type="expression" dxfId="2121" priority="2559">
      <formula>AND($G115="Yes", $S$6="Exclude")</formula>
    </cfRule>
    <cfRule type="expression" dxfId="2120" priority="2560">
      <formula>$J115="Yes"</formula>
    </cfRule>
  </conditionalFormatting>
  <conditionalFormatting sqref="F115">
    <cfRule type="expression" dxfId="2119" priority="2550">
      <formula>$K115&lt;&gt;""</formula>
    </cfRule>
  </conditionalFormatting>
  <conditionalFormatting sqref="C115">
    <cfRule type="expression" dxfId="2118" priority="2549">
      <formula>$G115&lt;&gt;"-"</formula>
    </cfRule>
  </conditionalFormatting>
  <conditionalFormatting sqref="D115">
    <cfRule type="expression" dxfId="2117" priority="2548">
      <formula>$H115&lt;&gt;"-"</formula>
    </cfRule>
  </conditionalFormatting>
  <conditionalFormatting sqref="E115">
    <cfRule type="expression" dxfId="2116" priority="2547">
      <formula>$I115&lt;&gt;"-"</formula>
    </cfRule>
  </conditionalFormatting>
  <conditionalFormatting sqref="B116">
    <cfRule type="expression" dxfId="2115" priority="2544">
      <formula>AD116&lt;&gt;""</formula>
    </cfRule>
  </conditionalFormatting>
  <conditionalFormatting sqref="Z116">
    <cfRule type="cellIs" dxfId="2114" priority="2542" operator="greaterThan">
      <formula>0</formula>
    </cfRule>
    <cfRule type="cellIs" dxfId="2113" priority="2543" operator="lessThan">
      <formula>0</formula>
    </cfRule>
  </conditionalFormatting>
  <conditionalFormatting sqref="S116">
    <cfRule type="cellIs" dxfId="2112" priority="2541" operator="lessThan">
      <formula>0</formula>
    </cfRule>
  </conditionalFormatting>
  <conditionalFormatting sqref="P116">
    <cfRule type="cellIs" dxfId="2111" priority="2539" operator="equal">
      <formula>AS_DURATION_EFFORT</formula>
    </cfRule>
    <cfRule type="cellIs" dxfId="2110" priority="2540" operator="equal">
      <formula>AS_DEV_EFFORT</formula>
    </cfRule>
  </conditionalFormatting>
  <conditionalFormatting sqref="L116:AC116">
    <cfRule type="expression" dxfId="2109" priority="2545">
      <formula>AND($G116="Yes", $S$6="Exclude")</formula>
    </cfRule>
    <cfRule type="expression" dxfId="2108" priority="2546">
      <formula>$J116="Yes"</formula>
    </cfRule>
  </conditionalFormatting>
  <conditionalFormatting sqref="F116">
    <cfRule type="expression" dxfId="2107" priority="2538">
      <formula>$K116&lt;&gt;""</formula>
    </cfRule>
  </conditionalFormatting>
  <conditionalFormatting sqref="C116">
    <cfRule type="expression" dxfId="2106" priority="2537">
      <formula>$G116&lt;&gt;"-"</formula>
    </cfRule>
  </conditionalFormatting>
  <conditionalFormatting sqref="D116">
    <cfRule type="expression" dxfId="2105" priority="2536">
      <formula>$H116&lt;&gt;"-"</formula>
    </cfRule>
  </conditionalFormatting>
  <conditionalFormatting sqref="E116">
    <cfRule type="expression" dxfId="2104" priority="2535">
      <formula>$I116&lt;&gt;"-"</formula>
    </cfRule>
  </conditionalFormatting>
  <conditionalFormatting sqref="B117">
    <cfRule type="expression" dxfId="2103" priority="2532">
      <formula>AD117&lt;&gt;""</formula>
    </cfRule>
  </conditionalFormatting>
  <conditionalFormatting sqref="Z117">
    <cfRule type="cellIs" dxfId="2102" priority="2530" operator="greaterThan">
      <formula>0</formula>
    </cfRule>
    <cfRule type="cellIs" dxfId="2101" priority="2531" operator="lessThan">
      <formula>0</formula>
    </cfRule>
  </conditionalFormatting>
  <conditionalFormatting sqref="S117">
    <cfRule type="cellIs" dxfId="2100" priority="2529" operator="lessThan">
      <formula>0</formula>
    </cfRule>
  </conditionalFormatting>
  <conditionalFormatting sqref="P117">
    <cfRule type="cellIs" dxfId="2099" priority="2527" operator="equal">
      <formula>AS_DURATION_EFFORT</formula>
    </cfRule>
    <cfRule type="cellIs" dxfId="2098" priority="2528" operator="equal">
      <formula>AS_DEV_EFFORT</formula>
    </cfRule>
  </conditionalFormatting>
  <conditionalFormatting sqref="L117:AC117">
    <cfRule type="expression" dxfId="2097" priority="2533">
      <formula>AND($G117="Yes", $S$6="Exclude")</formula>
    </cfRule>
    <cfRule type="expression" dxfId="2096" priority="2534">
      <formula>$J117="Yes"</formula>
    </cfRule>
  </conditionalFormatting>
  <conditionalFormatting sqref="F117">
    <cfRule type="expression" dxfId="2095" priority="2526">
      <formula>$K117&lt;&gt;""</formula>
    </cfRule>
  </conditionalFormatting>
  <conditionalFormatting sqref="C117">
    <cfRule type="expression" dxfId="2094" priority="2525">
      <formula>$G117&lt;&gt;"-"</formula>
    </cfRule>
  </conditionalFormatting>
  <conditionalFormatting sqref="D117">
    <cfRule type="expression" dxfId="2093" priority="2524">
      <formula>$H117&lt;&gt;"-"</formula>
    </cfRule>
  </conditionalFormatting>
  <conditionalFormatting sqref="E117">
    <cfRule type="expression" dxfId="2092" priority="2523">
      <formula>$I117&lt;&gt;"-"</formula>
    </cfRule>
  </conditionalFormatting>
  <conditionalFormatting sqref="B118">
    <cfRule type="expression" dxfId="2091" priority="2520">
      <formula>AD118&lt;&gt;""</formula>
    </cfRule>
  </conditionalFormatting>
  <conditionalFormatting sqref="Z118">
    <cfRule type="cellIs" dxfId="2090" priority="2518" operator="greaterThan">
      <formula>0</formula>
    </cfRule>
    <cfRule type="cellIs" dxfId="2089" priority="2519" operator="lessThan">
      <formula>0</formula>
    </cfRule>
  </conditionalFormatting>
  <conditionalFormatting sqref="S118">
    <cfRule type="cellIs" dxfId="2088" priority="2517" operator="lessThan">
      <formula>0</formula>
    </cfRule>
  </conditionalFormatting>
  <conditionalFormatting sqref="P118">
    <cfRule type="cellIs" dxfId="2087" priority="2515" operator="equal">
      <formula>AS_DURATION_EFFORT</formula>
    </cfRule>
    <cfRule type="cellIs" dxfId="2086" priority="2516" operator="equal">
      <formula>AS_DEV_EFFORT</formula>
    </cfRule>
  </conditionalFormatting>
  <conditionalFormatting sqref="L118:AC118">
    <cfRule type="expression" dxfId="2085" priority="2521">
      <formula>AND($G118="Yes", $S$6="Exclude")</formula>
    </cfRule>
    <cfRule type="expression" dxfId="2084" priority="2522">
      <formula>$J118="Yes"</formula>
    </cfRule>
  </conditionalFormatting>
  <conditionalFormatting sqref="F118">
    <cfRule type="expression" dxfId="2083" priority="2514">
      <formula>$K118&lt;&gt;""</formula>
    </cfRule>
  </conditionalFormatting>
  <conditionalFormatting sqref="C118">
    <cfRule type="expression" dxfId="2082" priority="2513">
      <formula>$G118&lt;&gt;"-"</formula>
    </cfRule>
  </conditionalFormatting>
  <conditionalFormatting sqref="D118">
    <cfRule type="expression" dxfId="2081" priority="2512">
      <formula>$H118&lt;&gt;"-"</formula>
    </cfRule>
  </conditionalFormatting>
  <conditionalFormatting sqref="E118">
    <cfRule type="expression" dxfId="2080" priority="2511">
      <formula>$I118&lt;&gt;"-"</formula>
    </cfRule>
  </conditionalFormatting>
  <conditionalFormatting sqref="B119">
    <cfRule type="expression" dxfId="2079" priority="2508">
      <formula>AD119&lt;&gt;""</formula>
    </cfRule>
  </conditionalFormatting>
  <conditionalFormatting sqref="Z119">
    <cfRule type="cellIs" dxfId="2078" priority="2506" operator="greaterThan">
      <formula>0</formula>
    </cfRule>
    <cfRule type="cellIs" dxfId="2077" priority="2507" operator="lessThan">
      <formula>0</formula>
    </cfRule>
  </conditionalFormatting>
  <conditionalFormatting sqref="S119">
    <cfRule type="cellIs" dxfId="2076" priority="2505" operator="lessThan">
      <formula>0</formula>
    </cfRule>
  </conditionalFormatting>
  <conditionalFormatting sqref="P119">
    <cfRule type="cellIs" dxfId="2075" priority="2503" operator="equal">
      <formula>AS_DURATION_EFFORT</formula>
    </cfRule>
    <cfRule type="cellIs" dxfId="2074" priority="2504" operator="equal">
      <formula>AS_DEV_EFFORT</formula>
    </cfRule>
  </conditionalFormatting>
  <conditionalFormatting sqref="L119:AC119">
    <cfRule type="expression" dxfId="2073" priority="2509">
      <formula>AND($G119="Yes", $S$6="Exclude")</formula>
    </cfRule>
    <cfRule type="expression" dxfId="2072" priority="2510">
      <formula>$J119="Yes"</formula>
    </cfRule>
  </conditionalFormatting>
  <conditionalFormatting sqref="F119">
    <cfRule type="expression" dxfId="2071" priority="2502">
      <formula>$K119&lt;&gt;""</formula>
    </cfRule>
  </conditionalFormatting>
  <conditionalFormatting sqref="C119">
    <cfRule type="expression" dxfId="2070" priority="2501">
      <formula>$G119&lt;&gt;"-"</formula>
    </cfRule>
  </conditionalFormatting>
  <conditionalFormatting sqref="D119">
    <cfRule type="expression" dxfId="2069" priority="2500">
      <formula>$H119&lt;&gt;"-"</formula>
    </cfRule>
  </conditionalFormatting>
  <conditionalFormatting sqref="E119">
    <cfRule type="expression" dxfId="2068" priority="2499">
      <formula>$I119&lt;&gt;"-"</formula>
    </cfRule>
  </conditionalFormatting>
  <conditionalFormatting sqref="B128">
    <cfRule type="expression" dxfId="2067" priority="2483">
      <formula>AD128&lt;&gt;""</formula>
    </cfRule>
  </conditionalFormatting>
  <conditionalFormatting sqref="Z128">
    <cfRule type="cellIs" dxfId="2066" priority="2481" operator="greaterThan">
      <formula>0</formula>
    </cfRule>
    <cfRule type="cellIs" dxfId="2065" priority="2482" operator="lessThan">
      <formula>0</formula>
    </cfRule>
  </conditionalFormatting>
  <conditionalFormatting sqref="S128">
    <cfRule type="cellIs" dxfId="2064" priority="2480" operator="lessThan">
      <formula>0</formula>
    </cfRule>
  </conditionalFormatting>
  <conditionalFormatting sqref="T126:T127">
    <cfRule type="expression" dxfId="2063" priority="2484">
      <formula>#REF!="Yes"</formula>
    </cfRule>
  </conditionalFormatting>
  <conditionalFormatting sqref="P128">
    <cfRule type="cellIs" dxfId="2062" priority="2478" operator="equal">
      <formula>AS_DURATION_EFFORT</formula>
    </cfRule>
    <cfRule type="cellIs" dxfId="2061" priority="2479" operator="equal">
      <formula>AS_DEV_EFFORT</formula>
    </cfRule>
  </conditionalFormatting>
  <conditionalFormatting sqref="B126:B127">
    <cfRule type="expression" dxfId="2060" priority="2477">
      <formula>AD126&lt;&gt;""</formula>
    </cfRule>
  </conditionalFormatting>
  <conditionalFormatting sqref="L128:AC128">
    <cfRule type="expression" dxfId="2059" priority="2485">
      <formula>AND($G128="Yes", $S$6="Exclude")</formula>
    </cfRule>
    <cfRule type="expression" dxfId="2058" priority="2486">
      <formula>$J128="Yes"</formula>
    </cfRule>
  </conditionalFormatting>
  <conditionalFormatting sqref="F128">
    <cfRule type="expression" dxfId="2057" priority="2476">
      <formula>$K128&lt;&gt;""</formula>
    </cfRule>
  </conditionalFormatting>
  <conditionalFormatting sqref="C128">
    <cfRule type="expression" dxfId="2056" priority="2475">
      <formula>$G128&lt;&gt;"-"</formula>
    </cfRule>
  </conditionalFormatting>
  <conditionalFormatting sqref="D128">
    <cfRule type="expression" dxfId="2055" priority="2474">
      <formula>$H128&lt;&gt;"-"</formula>
    </cfRule>
  </conditionalFormatting>
  <conditionalFormatting sqref="E128">
    <cfRule type="expression" dxfId="2054" priority="2473">
      <formula>$I128&lt;&gt;"-"</formula>
    </cfRule>
  </conditionalFormatting>
  <conditionalFormatting sqref="B129">
    <cfRule type="expression" dxfId="2053" priority="2470">
      <formula>AD129&lt;&gt;""</formula>
    </cfRule>
  </conditionalFormatting>
  <conditionalFormatting sqref="Z129">
    <cfRule type="cellIs" dxfId="2052" priority="2468" operator="greaterThan">
      <formula>0</formula>
    </cfRule>
    <cfRule type="cellIs" dxfId="2051" priority="2469" operator="lessThan">
      <formula>0</formula>
    </cfRule>
  </conditionalFormatting>
  <conditionalFormatting sqref="S129">
    <cfRule type="cellIs" dxfId="2050" priority="2467" operator="lessThan">
      <formula>0</formula>
    </cfRule>
  </conditionalFormatting>
  <conditionalFormatting sqref="P129">
    <cfRule type="cellIs" dxfId="2049" priority="2465" operator="equal">
      <formula>AS_DURATION_EFFORT</formula>
    </cfRule>
    <cfRule type="cellIs" dxfId="2048" priority="2466" operator="equal">
      <formula>AS_DEV_EFFORT</formula>
    </cfRule>
  </conditionalFormatting>
  <conditionalFormatting sqref="L129:AC129">
    <cfRule type="expression" dxfId="2047" priority="2471">
      <formula>AND($G129="Yes", $S$6="Exclude")</formula>
    </cfRule>
    <cfRule type="expression" dxfId="2046" priority="2472">
      <formula>$J129="Yes"</formula>
    </cfRule>
  </conditionalFormatting>
  <conditionalFormatting sqref="F129">
    <cfRule type="expression" dxfId="2045" priority="2464">
      <formula>$K129&lt;&gt;""</formula>
    </cfRule>
  </conditionalFormatting>
  <conditionalFormatting sqref="C129">
    <cfRule type="expression" dxfId="2044" priority="2463">
      <formula>$G129&lt;&gt;"-"</formula>
    </cfRule>
  </conditionalFormatting>
  <conditionalFormatting sqref="D129">
    <cfRule type="expression" dxfId="2043" priority="2462">
      <formula>$H129&lt;&gt;"-"</formula>
    </cfRule>
  </conditionalFormatting>
  <conditionalFormatting sqref="E129">
    <cfRule type="expression" dxfId="2042" priority="2461">
      <formula>$I129&lt;&gt;"-"</formula>
    </cfRule>
  </conditionalFormatting>
  <conditionalFormatting sqref="B130">
    <cfRule type="expression" dxfId="2041" priority="2458">
      <formula>AD130&lt;&gt;""</formula>
    </cfRule>
  </conditionalFormatting>
  <conditionalFormatting sqref="Z130">
    <cfRule type="cellIs" dxfId="2040" priority="2456" operator="greaterThan">
      <formula>0</formula>
    </cfRule>
    <cfRule type="cellIs" dxfId="2039" priority="2457" operator="lessThan">
      <formula>0</formula>
    </cfRule>
  </conditionalFormatting>
  <conditionalFormatting sqref="S130">
    <cfRule type="cellIs" dxfId="2038" priority="2455" operator="lessThan">
      <formula>0</formula>
    </cfRule>
  </conditionalFormatting>
  <conditionalFormatting sqref="P130">
    <cfRule type="cellIs" dxfId="2037" priority="2453" operator="equal">
      <formula>AS_DURATION_EFFORT</formula>
    </cfRule>
    <cfRule type="cellIs" dxfId="2036" priority="2454" operator="equal">
      <formula>AS_DEV_EFFORT</formula>
    </cfRule>
  </conditionalFormatting>
  <conditionalFormatting sqref="L130:AC130">
    <cfRule type="expression" dxfId="2035" priority="2459">
      <formula>AND($G130="Yes", $S$6="Exclude")</formula>
    </cfRule>
    <cfRule type="expression" dxfId="2034" priority="2460">
      <formula>$J130="Yes"</formula>
    </cfRule>
  </conditionalFormatting>
  <conditionalFormatting sqref="F130">
    <cfRule type="expression" dxfId="2033" priority="2452">
      <formula>$K130&lt;&gt;""</formula>
    </cfRule>
  </conditionalFormatting>
  <conditionalFormatting sqref="C130">
    <cfRule type="expression" dxfId="2032" priority="2451">
      <formula>$G130&lt;&gt;"-"</formula>
    </cfRule>
  </conditionalFormatting>
  <conditionalFormatting sqref="D130">
    <cfRule type="expression" dxfId="2031" priority="2450">
      <formula>$H130&lt;&gt;"-"</formula>
    </cfRule>
  </conditionalFormatting>
  <conditionalFormatting sqref="E130">
    <cfRule type="expression" dxfId="2030" priority="2449">
      <formula>$I130&lt;&gt;"-"</formula>
    </cfRule>
  </conditionalFormatting>
  <conditionalFormatting sqref="B131">
    <cfRule type="expression" dxfId="2029" priority="2446">
      <formula>AD131&lt;&gt;""</formula>
    </cfRule>
  </conditionalFormatting>
  <conditionalFormatting sqref="Z131">
    <cfRule type="cellIs" dxfId="2028" priority="2444" operator="greaterThan">
      <formula>0</formula>
    </cfRule>
    <cfRule type="cellIs" dxfId="2027" priority="2445" operator="lessThan">
      <formula>0</formula>
    </cfRule>
  </conditionalFormatting>
  <conditionalFormatting sqref="S131">
    <cfRule type="cellIs" dxfId="2026" priority="2443" operator="lessThan">
      <formula>0</formula>
    </cfRule>
  </conditionalFormatting>
  <conditionalFormatting sqref="P131">
    <cfRule type="cellIs" dxfId="2025" priority="2441" operator="equal">
      <formula>AS_DURATION_EFFORT</formula>
    </cfRule>
    <cfRule type="cellIs" dxfId="2024" priority="2442" operator="equal">
      <formula>AS_DEV_EFFORT</formula>
    </cfRule>
  </conditionalFormatting>
  <conditionalFormatting sqref="L131:AC131">
    <cfRule type="expression" dxfId="2023" priority="2447">
      <formula>AND($G131="Yes", $S$6="Exclude")</formula>
    </cfRule>
    <cfRule type="expression" dxfId="2022" priority="2448">
      <formula>$J131="Yes"</formula>
    </cfRule>
  </conditionalFormatting>
  <conditionalFormatting sqref="F131">
    <cfRule type="expression" dxfId="2021" priority="2440">
      <formula>$K131&lt;&gt;""</formula>
    </cfRule>
  </conditionalFormatting>
  <conditionalFormatting sqref="C131">
    <cfRule type="expression" dxfId="2020" priority="2439">
      <formula>$G131&lt;&gt;"-"</formula>
    </cfRule>
  </conditionalFormatting>
  <conditionalFormatting sqref="D131">
    <cfRule type="expression" dxfId="2019" priority="2438">
      <formula>$H131&lt;&gt;"-"</formula>
    </cfRule>
  </conditionalFormatting>
  <conditionalFormatting sqref="E131">
    <cfRule type="expression" dxfId="2018" priority="2437">
      <formula>$I131&lt;&gt;"-"</formula>
    </cfRule>
  </conditionalFormatting>
  <conditionalFormatting sqref="B144">
    <cfRule type="expression" dxfId="2017" priority="2433">
      <formula>AD144&lt;&gt;""</formula>
    </cfRule>
  </conditionalFormatting>
  <conditionalFormatting sqref="Z144">
    <cfRule type="cellIs" dxfId="2016" priority="2431" operator="greaterThan">
      <formula>0</formula>
    </cfRule>
    <cfRule type="cellIs" dxfId="2015" priority="2432" operator="lessThan">
      <formula>0</formula>
    </cfRule>
  </conditionalFormatting>
  <conditionalFormatting sqref="S144">
    <cfRule type="cellIs" dxfId="2014" priority="2430" operator="lessThan">
      <formula>0</formula>
    </cfRule>
  </conditionalFormatting>
  <conditionalFormatting sqref="T142:T143">
    <cfRule type="expression" dxfId="2013" priority="2434">
      <formula>#REF!="Yes"</formula>
    </cfRule>
  </conditionalFormatting>
  <conditionalFormatting sqref="P144">
    <cfRule type="cellIs" dxfId="2012" priority="2428" operator="equal">
      <formula>AS_DURATION_EFFORT</formula>
    </cfRule>
    <cfRule type="cellIs" dxfId="2011" priority="2429" operator="equal">
      <formula>AS_DEV_EFFORT</formula>
    </cfRule>
  </conditionalFormatting>
  <conditionalFormatting sqref="B142:B143">
    <cfRule type="expression" dxfId="2010" priority="2427">
      <formula>AD142&lt;&gt;""</formula>
    </cfRule>
  </conditionalFormatting>
  <conditionalFormatting sqref="L144:AC144">
    <cfRule type="expression" dxfId="2009" priority="2435">
      <formula>AND($G144="Yes", $S$6="Exclude")</formula>
    </cfRule>
    <cfRule type="expression" dxfId="2008" priority="2436">
      <formula>$J144="Yes"</formula>
    </cfRule>
  </conditionalFormatting>
  <conditionalFormatting sqref="F144">
    <cfRule type="expression" dxfId="2007" priority="2426">
      <formula>$K144&lt;&gt;""</formula>
    </cfRule>
  </conditionalFormatting>
  <conditionalFormatting sqref="C144">
    <cfRule type="expression" dxfId="2006" priority="2425">
      <formula>$G144&lt;&gt;"-"</formula>
    </cfRule>
  </conditionalFormatting>
  <conditionalFormatting sqref="D144">
    <cfRule type="expression" dxfId="2005" priority="2424">
      <formula>$H144&lt;&gt;"-"</formula>
    </cfRule>
  </conditionalFormatting>
  <conditionalFormatting sqref="E144">
    <cfRule type="expression" dxfId="2004" priority="2423">
      <formula>$I144&lt;&gt;"-"</formula>
    </cfRule>
  </conditionalFormatting>
  <conditionalFormatting sqref="B145">
    <cfRule type="expression" dxfId="2003" priority="2420">
      <formula>AD145&lt;&gt;""</formula>
    </cfRule>
  </conditionalFormatting>
  <conditionalFormatting sqref="Z145">
    <cfRule type="cellIs" dxfId="2002" priority="2418" operator="greaterThan">
      <formula>0</formula>
    </cfRule>
    <cfRule type="cellIs" dxfId="2001" priority="2419" operator="lessThan">
      <formula>0</formula>
    </cfRule>
  </conditionalFormatting>
  <conditionalFormatting sqref="S145">
    <cfRule type="cellIs" dxfId="2000" priority="2417" operator="lessThan">
      <formula>0</formula>
    </cfRule>
  </conditionalFormatting>
  <conditionalFormatting sqref="P145">
    <cfRule type="cellIs" dxfId="1999" priority="2415" operator="equal">
      <formula>AS_DURATION_EFFORT</formula>
    </cfRule>
    <cfRule type="cellIs" dxfId="1998" priority="2416" operator="equal">
      <formula>AS_DEV_EFFORT</formula>
    </cfRule>
  </conditionalFormatting>
  <conditionalFormatting sqref="L145:AC145">
    <cfRule type="expression" dxfId="1997" priority="2421">
      <formula>AND($G145="Yes", $S$6="Exclude")</formula>
    </cfRule>
    <cfRule type="expression" dxfId="1996" priority="2422">
      <formula>$J145="Yes"</formula>
    </cfRule>
  </conditionalFormatting>
  <conditionalFormatting sqref="F145">
    <cfRule type="expression" dxfId="1995" priority="2414">
      <formula>$K145&lt;&gt;""</formula>
    </cfRule>
  </conditionalFormatting>
  <conditionalFormatting sqref="C145">
    <cfRule type="expression" dxfId="1994" priority="2413">
      <formula>$G145&lt;&gt;"-"</formula>
    </cfRule>
  </conditionalFormatting>
  <conditionalFormatting sqref="D145">
    <cfRule type="expression" dxfId="1993" priority="2412">
      <formula>$H145&lt;&gt;"-"</formula>
    </cfRule>
  </conditionalFormatting>
  <conditionalFormatting sqref="E145">
    <cfRule type="expression" dxfId="1992" priority="2411">
      <formula>$I145&lt;&gt;"-"</formula>
    </cfRule>
  </conditionalFormatting>
  <conditionalFormatting sqref="B146">
    <cfRule type="expression" dxfId="1991" priority="2408">
      <formula>AD146&lt;&gt;""</formula>
    </cfRule>
  </conditionalFormatting>
  <conditionalFormatting sqref="Z146">
    <cfRule type="cellIs" dxfId="1990" priority="2406" operator="greaterThan">
      <formula>0</formula>
    </cfRule>
    <cfRule type="cellIs" dxfId="1989" priority="2407" operator="lessThan">
      <formula>0</formula>
    </cfRule>
  </conditionalFormatting>
  <conditionalFormatting sqref="S146">
    <cfRule type="cellIs" dxfId="1988" priority="2405" operator="lessThan">
      <formula>0</formula>
    </cfRule>
  </conditionalFormatting>
  <conditionalFormatting sqref="P146">
    <cfRule type="cellIs" dxfId="1987" priority="2403" operator="equal">
      <formula>AS_DURATION_EFFORT</formula>
    </cfRule>
    <cfRule type="cellIs" dxfId="1986" priority="2404" operator="equal">
      <formula>AS_DEV_EFFORT</formula>
    </cfRule>
  </conditionalFormatting>
  <conditionalFormatting sqref="L146:AC146">
    <cfRule type="expression" dxfId="1985" priority="2409">
      <formula>AND($G146="Yes", $S$6="Exclude")</formula>
    </cfRule>
    <cfRule type="expression" dxfId="1984" priority="2410">
      <formula>$J146="Yes"</formula>
    </cfRule>
  </conditionalFormatting>
  <conditionalFormatting sqref="F146">
    <cfRule type="expression" dxfId="1983" priority="2402">
      <formula>$K146&lt;&gt;""</formula>
    </cfRule>
  </conditionalFormatting>
  <conditionalFormatting sqref="C146">
    <cfRule type="expression" dxfId="1982" priority="2401">
      <formula>$G146&lt;&gt;"-"</formula>
    </cfRule>
  </conditionalFormatting>
  <conditionalFormatting sqref="D146">
    <cfRule type="expression" dxfId="1981" priority="2400">
      <formula>$H146&lt;&gt;"-"</formula>
    </cfRule>
  </conditionalFormatting>
  <conditionalFormatting sqref="E146">
    <cfRule type="expression" dxfId="1980" priority="2399">
      <formula>$I146&lt;&gt;"-"</formula>
    </cfRule>
  </conditionalFormatting>
  <conditionalFormatting sqref="B147">
    <cfRule type="expression" dxfId="1979" priority="2396">
      <formula>AD147&lt;&gt;""</formula>
    </cfRule>
  </conditionalFormatting>
  <conditionalFormatting sqref="Z147">
    <cfRule type="cellIs" dxfId="1978" priority="2394" operator="greaterThan">
      <formula>0</formula>
    </cfRule>
    <cfRule type="cellIs" dxfId="1977" priority="2395" operator="lessThan">
      <formula>0</formula>
    </cfRule>
  </conditionalFormatting>
  <conditionalFormatting sqref="S147">
    <cfRule type="cellIs" dxfId="1976" priority="2393" operator="lessThan">
      <formula>0</formula>
    </cfRule>
  </conditionalFormatting>
  <conditionalFormatting sqref="P147">
    <cfRule type="cellIs" dxfId="1975" priority="2391" operator="equal">
      <formula>AS_DURATION_EFFORT</formula>
    </cfRule>
    <cfRule type="cellIs" dxfId="1974" priority="2392" operator="equal">
      <formula>AS_DEV_EFFORT</formula>
    </cfRule>
  </conditionalFormatting>
  <conditionalFormatting sqref="L147:AC147">
    <cfRule type="expression" dxfId="1973" priority="2397">
      <formula>AND($G147="Yes", $S$6="Exclude")</formula>
    </cfRule>
    <cfRule type="expression" dxfId="1972" priority="2398">
      <formula>$J147="Yes"</formula>
    </cfRule>
  </conditionalFormatting>
  <conditionalFormatting sqref="F147">
    <cfRule type="expression" dxfId="1971" priority="2390">
      <formula>$K147&lt;&gt;""</formula>
    </cfRule>
  </conditionalFormatting>
  <conditionalFormatting sqref="C147">
    <cfRule type="expression" dxfId="1970" priority="2389">
      <formula>$G147&lt;&gt;"-"</formula>
    </cfRule>
  </conditionalFormatting>
  <conditionalFormatting sqref="D147">
    <cfRule type="expression" dxfId="1969" priority="2388">
      <formula>$H147&lt;&gt;"-"</formula>
    </cfRule>
  </conditionalFormatting>
  <conditionalFormatting sqref="E147">
    <cfRule type="expression" dxfId="1968" priority="2387">
      <formula>$I147&lt;&gt;"-"</formula>
    </cfRule>
  </conditionalFormatting>
  <conditionalFormatting sqref="B175">
    <cfRule type="expression" dxfId="1967" priority="2336">
      <formula>AD175&lt;&gt;""</formula>
    </cfRule>
  </conditionalFormatting>
  <conditionalFormatting sqref="Z175">
    <cfRule type="cellIs" dxfId="1966" priority="2334" operator="greaterThan">
      <formula>0</formula>
    </cfRule>
    <cfRule type="cellIs" dxfId="1965" priority="2335" operator="lessThan">
      <formula>0</formula>
    </cfRule>
  </conditionalFormatting>
  <conditionalFormatting sqref="S175">
    <cfRule type="cellIs" dxfId="1964" priority="2333" operator="lessThan">
      <formula>0</formula>
    </cfRule>
  </conditionalFormatting>
  <conditionalFormatting sqref="P175">
    <cfRule type="cellIs" dxfId="1963" priority="2331" operator="equal">
      <formula>AS_DURATION_EFFORT</formula>
    </cfRule>
    <cfRule type="cellIs" dxfId="1962" priority="2332" operator="equal">
      <formula>AS_DEV_EFFORT</formula>
    </cfRule>
  </conditionalFormatting>
  <conditionalFormatting sqref="F175">
    <cfRule type="expression" dxfId="1961" priority="2330">
      <formula>$K175&lt;&gt;""</formula>
    </cfRule>
  </conditionalFormatting>
  <conditionalFormatting sqref="C175">
    <cfRule type="expression" dxfId="1960" priority="2329">
      <formula>$G175&lt;&gt;"-"</formula>
    </cfRule>
  </conditionalFormatting>
  <conditionalFormatting sqref="D175">
    <cfRule type="expression" dxfId="1959" priority="2328">
      <formula>$H175&lt;&gt;"-"</formula>
    </cfRule>
  </conditionalFormatting>
  <conditionalFormatting sqref="E175">
    <cfRule type="expression" dxfId="1958" priority="2327">
      <formula>$I175&lt;&gt;"-"</formula>
    </cfRule>
  </conditionalFormatting>
  <conditionalFormatting sqref="B195">
    <cfRule type="expression" dxfId="1957" priority="2323">
      <formula>AD195&lt;&gt;""</formula>
    </cfRule>
  </conditionalFormatting>
  <conditionalFormatting sqref="Z195">
    <cfRule type="cellIs" dxfId="1956" priority="2321" operator="greaterThan">
      <formula>0</formula>
    </cfRule>
    <cfRule type="cellIs" dxfId="1955" priority="2322" operator="lessThan">
      <formula>0</formula>
    </cfRule>
  </conditionalFormatting>
  <conditionalFormatting sqref="S195">
    <cfRule type="cellIs" dxfId="1954" priority="2320" operator="lessThan">
      <formula>0</formula>
    </cfRule>
  </conditionalFormatting>
  <conditionalFormatting sqref="T193:T194">
    <cfRule type="expression" dxfId="1953" priority="2324">
      <formula>#REF!="Yes"</formula>
    </cfRule>
  </conditionalFormatting>
  <conditionalFormatting sqref="P195">
    <cfRule type="cellIs" dxfId="1952" priority="2318" operator="equal">
      <formula>AS_DURATION_EFFORT</formula>
    </cfRule>
    <cfRule type="cellIs" dxfId="1951" priority="2319" operator="equal">
      <formula>AS_DEV_EFFORT</formula>
    </cfRule>
  </conditionalFormatting>
  <conditionalFormatting sqref="B193:B194">
    <cfRule type="expression" dxfId="1950" priority="2317">
      <formula>AD193&lt;&gt;""</formula>
    </cfRule>
  </conditionalFormatting>
  <conditionalFormatting sqref="F195">
    <cfRule type="expression" dxfId="1949" priority="2316">
      <formula>$K195&lt;&gt;""</formula>
    </cfRule>
  </conditionalFormatting>
  <conditionalFormatting sqref="C195">
    <cfRule type="expression" dxfId="1948" priority="2315">
      <formula>$G195&lt;&gt;"-"</formula>
    </cfRule>
  </conditionalFormatting>
  <conditionalFormatting sqref="D195">
    <cfRule type="expression" dxfId="1947" priority="2314">
      <formula>$H195&lt;&gt;"-"</formula>
    </cfRule>
  </conditionalFormatting>
  <conditionalFormatting sqref="E195">
    <cfRule type="expression" dxfId="1946" priority="2313">
      <formula>$I195&lt;&gt;"-"</formula>
    </cfRule>
  </conditionalFormatting>
  <conditionalFormatting sqref="B196">
    <cfRule type="expression" dxfId="1945" priority="2310">
      <formula>AD196&lt;&gt;""</formula>
    </cfRule>
  </conditionalFormatting>
  <conditionalFormatting sqref="Z196">
    <cfRule type="cellIs" dxfId="1944" priority="2308" operator="greaterThan">
      <formula>0</formula>
    </cfRule>
    <cfRule type="cellIs" dxfId="1943" priority="2309" operator="lessThan">
      <formula>0</formula>
    </cfRule>
  </conditionalFormatting>
  <conditionalFormatting sqref="S196">
    <cfRule type="cellIs" dxfId="1942" priority="2307" operator="lessThan">
      <formula>0</formula>
    </cfRule>
  </conditionalFormatting>
  <conditionalFormatting sqref="P196">
    <cfRule type="cellIs" dxfId="1941" priority="2305" operator="equal">
      <formula>AS_DURATION_EFFORT</formula>
    </cfRule>
    <cfRule type="cellIs" dxfId="1940" priority="2306" operator="equal">
      <formula>AS_DEV_EFFORT</formula>
    </cfRule>
  </conditionalFormatting>
  <conditionalFormatting sqref="F196">
    <cfRule type="expression" dxfId="1939" priority="2304">
      <formula>$K196&lt;&gt;""</formula>
    </cfRule>
  </conditionalFormatting>
  <conditionalFormatting sqref="C196">
    <cfRule type="expression" dxfId="1938" priority="2303">
      <formula>$G196&lt;&gt;"-"</formula>
    </cfRule>
  </conditionalFormatting>
  <conditionalFormatting sqref="D196">
    <cfRule type="expression" dxfId="1937" priority="2302">
      <formula>$H196&lt;&gt;"-"</formula>
    </cfRule>
  </conditionalFormatting>
  <conditionalFormatting sqref="E196">
    <cfRule type="expression" dxfId="1936" priority="2301">
      <formula>$I196&lt;&gt;"-"</formula>
    </cfRule>
  </conditionalFormatting>
  <conditionalFormatting sqref="B197">
    <cfRule type="expression" dxfId="1935" priority="2298">
      <formula>AD197&lt;&gt;""</formula>
    </cfRule>
  </conditionalFormatting>
  <conditionalFormatting sqref="Z197">
    <cfRule type="cellIs" dxfId="1934" priority="2296" operator="greaterThan">
      <formula>0</formula>
    </cfRule>
    <cfRule type="cellIs" dxfId="1933" priority="2297" operator="lessThan">
      <formula>0</formula>
    </cfRule>
  </conditionalFormatting>
  <conditionalFormatting sqref="S197">
    <cfRule type="cellIs" dxfId="1932" priority="2295" operator="lessThan">
      <formula>0</formula>
    </cfRule>
  </conditionalFormatting>
  <conditionalFormatting sqref="P197">
    <cfRule type="cellIs" dxfId="1931" priority="2293" operator="equal">
      <formula>AS_DURATION_EFFORT</formula>
    </cfRule>
    <cfRule type="cellIs" dxfId="1930" priority="2294" operator="equal">
      <formula>AS_DEV_EFFORT</formula>
    </cfRule>
  </conditionalFormatting>
  <conditionalFormatting sqref="F197">
    <cfRule type="expression" dxfId="1929" priority="2292">
      <formula>$K197&lt;&gt;""</formula>
    </cfRule>
  </conditionalFormatting>
  <conditionalFormatting sqref="C197">
    <cfRule type="expression" dxfId="1928" priority="2291">
      <formula>$G197&lt;&gt;"-"</formula>
    </cfRule>
  </conditionalFormatting>
  <conditionalFormatting sqref="D197">
    <cfRule type="expression" dxfId="1927" priority="2290">
      <formula>$H197&lt;&gt;"-"</formula>
    </cfRule>
  </conditionalFormatting>
  <conditionalFormatting sqref="E197">
    <cfRule type="expression" dxfId="1926" priority="2289">
      <formula>$I197&lt;&gt;"-"</formula>
    </cfRule>
  </conditionalFormatting>
  <conditionalFormatting sqref="B198">
    <cfRule type="expression" dxfId="1925" priority="2286">
      <formula>AD198&lt;&gt;""</formula>
    </cfRule>
  </conditionalFormatting>
  <conditionalFormatting sqref="Z198">
    <cfRule type="cellIs" dxfId="1924" priority="2284" operator="greaterThan">
      <formula>0</formula>
    </cfRule>
    <cfRule type="cellIs" dxfId="1923" priority="2285" operator="lessThan">
      <formula>0</formula>
    </cfRule>
  </conditionalFormatting>
  <conditionalFormatting sqref="S198">
    <cfRule type="cellIs" dxfId="1922" priority="2283" operator="lessThan">
      <formula>0</formula>
    </cfRule>
  </conditionalFormatting>
  <conditionalFormatting sqref="P198">
    <cfRule type="cellIs" dxfId="1921" priority="2281" operator="equal">
      <formula>AS_DURATION_EFFORT</formula>
    </cfRule>
    <cfRule type="cellIs" dxfId="1920" priority="2282" operator="equal">
      <formula>AS_DEV_EFFORT</formula>
    </cfRule>
  </conditionalFormatting>
  <conditionalFormatting sqref="F198">
    <cfRule type="expression" dxfId="1919" priority="2280">
      <formula>$K198&lt;&gt;""</formula>
    </cfRule>
  </conditionalFormatting>
  <conditionalFormatting sqref="C198">
    <cfRule type="expression" dxfId="1918" priority="2279">
      <formula>$G198&lt;&gt;"-"</formula>
    </cfRule>
  </conditionalFormatting>
  <conditionalFormatting sqref="D198">
    <cfRule type="expression" dxfId="1917" priority="2278">
      <formula>$H198&lt;&gt;"-"</formula>
    </cfRule>
  </conditionalFormatting>
  <conditionalFormatting sqref="E198">
    <cfRule type="expression" dxfId="1916" priority="2277">
      <formula>$I198&lt;&gt;"-"</formula>
    </cfRule>
  </conditionalFormatting>
  <conditionalFormatting sqref="B202">
    <cfRule type="expression" dxfId="1915" priority="2273">
      <formula>AD202&lt;&gt;""</formula>
    </cfRule>
  </conditionalFormatting>
  <conditionalFormatting sqref="Z202">
    <cfRule type="cellIs" dxfId="1914" priority="2271" operator="greaterThan">
      <formula>0</formula>
    </cfRule>
    <cfRule type="cellIs" dxfId="1913" priority="2272" operator="lessThan">
      <formula>0</formula>
    </cfRule>
  </conditionalFormatting>
  <conditionalFormatting sqref="S202">
    <cfRule type="cellIs" dxfId="1912" priority="2270" operator="lessThan">
      <formula>0</formula>
    </cfRule>
  </conditionalFormatting>
  <conditionalFormatting sqref="T200:T201">
    <cfRule type="expression" dxfId="1911" priority="2274">
      <formula>#REF!="Yes"</formula>
    </cfRule>
  </conditionalFormatting>
  <conditionalFormatting sqref="P202">
    <cfRule type="cellIs" dxfId="1910" priority="2268" operator="equal">
      <formula>AS_DURATION_EFFORT</formula>
    </cfRule>
    <cfRule type="cellIs" dxfId="1909" priority="2269" operator="equal">
      <formula>AS_DEV_EFFORT</formula>
    </cfRule>
  </conditionalFormatting>
  <conditionalFormatting sqref="B200:B201">
    <cfRule type="expression" dxfId="1908" priority="2267">
      <formula>AD200&lt;&gt;""</formula>
    </cfRule>
  </conditionalFormatting>
  <conditionalFormatting sqref="F202">
    <cfRule type="expression" dxfId="1907" priority="2266">
      <formula>$K202&lt;&gt;""</formula>
    </cfRule>
  </conditionalFormatting>
  <conditionalFormatting sqref="C202">
    <cfRule type="expression" dxfId="1906" priority="2265">
      <formula>$G202&lt;&gt;"-"</formula>
    </cfRule>
  </conditionalFormatting>
  <conditionalFormatting sqref="D202">
    <cfRule type="expression" dxfId="1905" priority="2264">
      <formula>$H202&lt;&gt;"-"</formula>
    </cfRule>
  </conditionalFormatting>
  <conditionalFormatting sqref="E202">
    <cfRule type="expression" dxfId="1904" priority="2263">
      <formula>$I202&lt;&gt;"-"</formula>
    </cfRule>
  </conditionalFormatting>
  <conditionalFormatting sqref="B203">
    <cfRule type="expression" dxfId="1903" priority="2260">
      <formula>AD203&lt;&gt;""</formula>
    </cfRule>
  </conditionalFormatting>
  <conditionalFormatting sqref="Z203">
    <cfRule type="cellIs" dxfId="1902" priority="2258" operator="greaterThan">
      <formula>0</formula>
    </cfRule>
    <cfRule type="cellIs" dxfId="1901" priority="2259" operator="lessThan">
      <formula>0</formula>
    </cfRule>
  </conditionalFormatting>
  <conditionalFormatting sqref="S203">
    <cfRule type="cellIs" dxfId="1900" priority="2257" operator="lessThan">
      <formula>0</formula>
    </cfRule>
  </conditionalFormatting>
  <conditionalFormatting sqref="P203">
    <cfRule type="cellIs" dxfId="1899" priority="2255" operator="equal">
      <formula>AS_DURATION_EFFORT</formula>
    </cfRule>
    <cfRule type="cellIs" dxfId="1898" priority="2256" operator="equal">
      <formula>AS_DEV_EFFORT</formula>
    </cfRule>
  </conditionalFormatting>
  <conditionalFormatting sqref="F203">
    <cfRule type="expression" dxfId="1897" priority="2254">
      <formula>$K203&lt;&gt;""</formula>
    </cfRule>
  </conditionalFormatting>
  <conditionalFormatting sqref="C203">
    <cfRule type="expression" dxfId="1896" priority="2253">
      <formula>$G203&lt;&gt;"-"</formula>
    </cfRule>
  </conditionalFormatting>
  <conditionalFormatting sqref="D203">
    <cfRule type="expression" dxfId="1895" priority="2252">
      <formula>$H203&lt;&gt;"-"</formula>
    </cfRule>
  </conditionalFormatting>
  <conditionalFormatting sqref="E203">
    <cfRule type="expression" dxfId="1894" priority="2251">
      <formula>$I203&lt;&gt;"-"</formula>
    </cfRule>
  </conditionalFormatting>
  <conditionalFormatting sqref="B204">
    <cfRule type="expression" dxfId="1893" priority="2248">
      <formula>AD204&lt;&gt;""</formula>
    </cfRule>
  </conditionalFormatting>
  <conditionalFormatting sqref="Z204">
    <cfRule type="cellIs" dxfId="1892" priority="2246" operator="greaterThan">
      <formula>0</formula>
    </cfRule>
    <cfRule type="cellIs" dxfId="1891" priority="2247" operator="lessThan">
      <formula>0</formula>
    </cfRule>
  </conditionalFormatting>
  <conditionalFormatting sqref="S204">
    <cfRule type="cellIs" dxfId="1890" priority="2245" operator="lessThan">
      <formula>0</formula>
    </cfRule>
  </conditionalFormatting>
  <conditionalFormatting sqref="P204">
    <cfRule type="cellIs" dxfId="1889" priority="2243" operator="equal">
      <formula>AS_DURATION_EFFORT</formula>
    </cfRule>
    <cfRule type="cellIs" dxfId="1888" priority="2244" operator="equal">
      <formula>AS_DEV_EFFORT</formula>
    </cfRule>
  </conditionalFormatting>
  <conditionalFormatting sqref="F204">
    <cfRule type="expression" dxfId="1887" priority="2242">
      <formula>$K204&lt;&gt;""</formula>
    </cfRule>
  </conditionalFormatting>
  <conditionalFormatting sqref="C204">
    <cfRule type="expression" dxfId="1886" priority="2241">
      <formula>$G204&lt;&gt;"-"</formula>
    </cfRule>
  </conditionalFormatting>
  <conditionalFormatting sqref="D204">
    <cfRule type="expression" dxfId="1885" priority="2240">
      <formula>$H204&lt;&gt;"-"</formula>
    </cfRule>
  </conditionalFormatting>
  <conditionalFormatting sqref="E204">
    <cfRule type="expression" dxfId="1884" priority="2239">
      <formula>$I204&lt;&gt;"-"</formula>
    </cfRule>
  </conditionalFormatting>
  <conditionalFormatting sqref="B220">
    <cfRule type="expression" dxfId="1883" priority="2235">
      <formula>AD220&lt;&gt;""</formula>
    </cfRule>
  </conditionalFormatting>
  <conditionalFormatting sqref="Z220">
    <cfRule type="cellIs" dxfId="1882" priority="2233" operator="greaterThan">
      <formula>0</formula>
    </cfRule>
    <cfRule type="cellIs" dxfId="1881" priority="2234" operator="lessThan">
      <formula>0</formula>
    </cfRule>
  </conditionalFormatting>
  <conditionalFormatting sqref="S220">
    <cfRule type="cellIs" dxfId="1880" priority="2232" operator="lessThan">
      <formula>0</formula>
    </cfRule>
  </conditionalFormatting>
  <conditionalFormatting sqref="T218:T219">
    <cfRule type="expression" dxfId="1879" priority="2236">
      <formula>#REF!="Yes"</formula>
    </cfRule>
  </conditionalFormatting>
  <conditionalFormatting sqref="P220">
    <cfRule type="cellIs" dxfId="1878" priority="2230" operator="equal">
      <formula>AS_DURATION_EFFORT</formula>
    </cfRule>
    <cfRule type="cellIs" dxfId="1877" priority="2231" operator="equal">
      <formula>AS_DEV_EFFORT</formula>
    </cfRule>
  </conditionalFormatting>
  <conditionalFormatting sqref="B218:B219">
    <cfRule type="expression" dxfId="1876" priority="2229">
      <formula>AD218&lt;&gt;""</formula>
    </cfRule>
  </conditionalFormatting>
  <conditionalFormatting sqref="F220">
    <cfRule type="expression" dxfId="1875" priority="2228">
      <formula>$K220&lt;&gt;""</formula>
    </cfRule>
  </conditionalFormatting>
  <conditionalFormatting sqref="C220">
    <cfRule type="expression" dxfId="1874" priority="2227">
      <formula>$G220&lt;&gt;"-"</formula>
    </cfRule>
  </conditionalFormatting>
  <conditionalFormatting sqref="D220">
    <cfRule type="expression" dxfId="1873" priority="2226">
      <formula>$H220&lt;&gt;"-"</formula>
    </cfRule>
  </conditionalFormatting>
  <conditionalFormatting sqref="E220">
    <cfRule type="expression" dxfId="1872" priority="2225">
      <formula>$I220&lt;&gt;"-"</formula>
    </cfRule>
  </conditionalFormatting>
  <conditionalFormatting sqref="B229">
    <cfRule type="expression" dxfId="1871" priority="2219">
      <formula>AD229&lt;&gt;""</formula>
    </cfRule>
  </conditionalFormatting>
  <conditionalFormatting sqref="Z229">
    <cfRule type="cellIs" dxfId="1870" priority="2217" operator="greaterThan">
      <formula>0</formula>
    </cfRule>
    <cfRule type="cellIs" dxfId="1869" priority="2218" operator="lessThan">
      <formula>0</formula>
    </cfRule>
  </conditionalFormatting>
  <conditionalFormatting sqref="S229">
    <cfRule type="cellIs" dxfId="1868" priority="2216" operator="lessThan">
      <formula>0</formula>
    </cfRule>
  </conditionalFormatting>
  <conditionalFormatting sqref="T227:T228">
    <cfRule type="expression" dxfId="1867" priority="2220">
      <formula>#REF!="Yes"</formula>
    </cfRule>
  </conditionalFormatting>
  <conditionalFormatting sqref="P229">
    <cfRule type="cellIs" dxfId="1866" priority="2214" operator="equal">
      <formula>AS_DURATION_EFFORT</formula>
    </cfRule>
    <cfRule type="cellIs" dxfId="1865" priority="2215" operator="equal">
      <formula>AS_DEV_EFFORT</formula>
    </cfRule>
  </conditionalFormatting>
  <conditionalFormatting sqref="B227:B228">
    <cfRule type="expression" dxfId="1864" priority="2213">
      <formula>AD227&lt;&gt;""</formula>
    </cfRule>
  </conditionalFormatting>
  <conditionalFormatting sqref="F229">
    <cfRule type="expression" dxfId="1863" priority="2212">
      <formula>$K229&lt;&gt;""</formula>
    </cfRule>
  </conditionalFormatting>
  <conditionalFormatting sqref="C229">
    <cfRule type="expression" dxfId="1862" priority="2211">
      <formula>$G229&lt;&gt;"-"</formula>
    </cfRule>
  </conditionalFormatting>
  <conditionalFormatting sqref="D229">
    <cfRule type="expression" dxfId="1861" priority="2210">
      <formula>$H229&lt;&gt;"-"</formula>
    </cfRule>
  </conditionalFormatting>
  <conditionalFormatting sqref="E229">
    <cfRule type="expression" dxfId="1860" priority="2209">
      <formula>$I229&lt;&gt;"-"</formula>
    </cfRule>
  </conditionalFormatting>
  <conditionalFormatting sqref="B111">
    <cfRule type="expression" dxfId="1859" priority="2206">
      <formula>AD111&lt;&gt;""</formula>
    </cfRule>
  </conditionalFormatting>
  <conditionalFormatting sqref="Z111">
    <cfRule type="cellIs" dxfId="1858" priority="2204" operator="greaterThan">
      <formula>0</formula>
    </cfRule>
    <cfRule type="cellIs" dxfId="1857" priority="2205" operator="lessThan">
      <formula>0</formula>
    </cfRule>
  </conditionalFormatting>
  <conditionalFormatting sqref="S111">
    <cfRule type="cellIs" dxfId="1856" priority="2203" operator="lessThan">
      <formula>0</formula>
    </cfRule>
  </conditionalFormatting>
  <conditionalFormatting sqref="P111">
    <cfRule type="cellIs" dxfId="1855" priority="2201" operator="equal">
      <formula>AS_DURATION_EFFORT</formula>
    </cfRule>
    <cfRule type="cellIs" dxfId="1854" priority="2202" operator="equal">
      <formula>AS_DEV_EFFORT</formula>
    </cfRule>
  </conditionalFormatting>
  <conditionalFormatting sqref="L111:AC111">
    <cfRule type="expression" dxfId="1853" priority="2207">
      <formula>AND($G111="Yes", $S$6="Exclude")</formula>
    </cfRule>
    <cfRule type="expression" dxfId="1852" priority="2208">
      <formula>$J111="Yes"</formula>
    </cfRule>
  </conditionalFormatting>
  <conditionalFormatting sqref="F111">
    <cfRule type="expression" dxfId="1851" priority="2200">
      <formula>$K111&lt;&gt;""</formula>
    </cfRule>
  </conditionalFormatting>
  <conditionalFormatting sqref="C111">
    <cfRule type="expression" dxfId="1850" priority="2199">
      <formula>$G111&lt;&gt;"-"</formula>
    </cfRule>
  </conditionalFormatting>
  <conditionalFormatting sqref="D111">
    <cfRule type="expression" dxfId="1849" priority="2198">
      <formula>$H111&lt;&gt;"-"</formula>
    </cfRule>
  </conditionalFormatting>
  <conditionalFormatting sqref="E111">
    <cfRule type="expression" dxfId="1848" priority="2197">
      <formula>$I111&lt;&gt;"-"</formula>
    </cfRule>
  </conditionalFormatting>
  <conditionalFormatting sqref="B120">
    <cfRule type="expression" dxfId="1847" priority="2194">
      <formula>AD120&lt;&gt;""</formula>
    </cfRule>
  </conditionalFormatting>
  <conditionalFormatting sqref="Z120">
    <cfRule type="cellIs" dxfId="1846" priority="2192" operator="greaterThan">
      <formula>0</formula>
    </cfRule>
    <cfRule type="cellIs" dxfId="1845" priority="2193" operator="lessThan">
      <formula>0</formula>
    </cfRule>
  </conditionalFormatting>
  <conditionalFormatting sqref="S120">
    <cfRule type="cellIs" dxfId="1844" priority="2191" operator="lessThan">
      <formula>0</formula>
    </cfRule>
  </conditionalFormatting>
  <conditionalFormatting sqref="P120">
    <cfRule type="cellIs" dxfId="1843" priority="2189" operator="equal">
      <formula>AS_DURATION_EFFORT</formula>
    </cfRule>
    <cfRule type="cellIs" dxfId="1842" priority="2190" operator="equal">
      <formula>AS_DEV_EFFORT</formula>
    </cfRule>
  </conditionalFormatting>
  <conditionalFormatting sqref="L120:AC120">
    <cfRule type="expression" dxfId="1841" priority="2195">
      <formula>AND($G120="Yes", $S$6="Exclude")</formula>
    </cfRule>
    <cfRule type="expression" dxfId="1840" priority="2196">
      <formula>$J120="Yes"</formula>
    </cfRule>
  </conditionalFormatting>
  <conditionalFormatting sqref="F120">
    <cfRule type="expression" dxfId="1839" priority="2188">
      <formula>$K120&lt;&gt;""</formula>
    </cfRule>
  </conditionalFormatting>
  <conditionalFormatting sqref="C120">
    <cfRule type="expression" dxfId="1838" priority="2187">
      <formula>$G120&lt;&gt;"-"</formula>
    </cfRule>
  </conditionalFormatting>
  <conditionalFormatting sqref="D120">
    <cfRule type="expression" dxfId="1837" priority="2186">
      <formula>$H120&lt;&gt;"-"</formula>
    </cfRule>
  </conditionalFormatting>
  <conditionalFormatting sqref="E120">
    <cfRule type="expression" dxfId="1836" priority="2185">
      <formula>$I120&lt;&gt;"-"</formula>
    </cfRule>
  </conditionalFormatting>
  <conditionalFormatting sqref="B121">
    <cfRule type="expression" dxfId="1835" priority="2182">
      <formula>AD121&lt;&gt;""</formula>
    </cfRule>
  </conditionalFormatting>
  <conditionalFormatting sqref="Z121">
    <cfRule type="cellIs" dxfId="1834" priority="2180" operator="greaterThan">
      <formula>0</formula>
    </cfRule>
    <cfRule type="cellIs" dxfId="1833" priority="2181" operator="lessThan">
      <formula>0</formula>
    </cfRule>
  </conditionalFormatting>
  <conditionalFormatting sqref="S121">
    <cfRule type="cellIs" dxfId="1832" priority="2179" operator="lessThan">
      <formula>0</formula>
    </cfRule>
  </conditionalFormatting>
  <conditionalFormatting sqref="P121">
    <cfRule type="cellIs" dxfId="1831" priority="2177" operator="equal">
      <formula>AS_DURATION_EFFORT</formula>
    </cfRule>
    <cfRule type="cellIs" dxfId="1830" priority="2178" operator="equal">
      <formula>AS_DEV_EFFORT</formula>
    </cfRule>
  </conditionalFormatting>
  <conditionalFormatting sqref="L121:AC121">
    <cfRule type="expression" dxfId="1829" priority="2183">
      <formula>AND($G121="Yes", $S$6="Exclude")</formula>
    </cfRule>
    <cfRule type="expression" dxfId="1828" priority="2184">
      <formula>$J121="Yes"</formula>
    </cfRule>
  </conditionalFormatting>
  <conditionalFormatting sqref="F121">
    <cfRule type="expression" dxfId="1827" priority="2176">
      <formula>$K121&lt;&gt;""</formula>
    </cfRule>
  </conditionalFormatting>
  <conditionalFormatting sqref="C121">
    <cfRule type="expression" dxfId="1826" priority="2175">
      <formula>$G121&lt;&gt;"-"</formula>
    </cfRule>
  </conditionalFormatting>
  <conditionalFormatting sqref="D121">
    <cfRule type="expression" dxfId="1825" priority="2174">
      <formula>$H121&lt;&gt;"-"</formula>
    </cfRule>
  </conditionalFormatting>
  <conditionalFormatting sqref="E121">
    <cfRule type="expression" dxfId="1824" priority="2173">
      <formula>$I121&lt;&gt;"-"</formula>
    </cfRule>
  </conditionalFormatting>
  <conditionalFormatting sqref="B132">
    <cfRule type="expression" dxfId="1823" priority="2170">
      <formula>AD132&lt;&gt;""</formula>
    </cfRule>
  </conditionalFormatting>
  <conditionalFormatting sqref="Z132">
    <cfRule type="cellIs" dxfId="1822" priority="2168" operator="greaterThan">
      <formula>0</formula>
    </cfRule>
    <cfRule type="cellIs" dxfId="1821" priority="2169" operator="lessThan">
      <formula>0</formula>
    </cfRule>
  </conditionalFormatting>
  <conditionalFormatting sqref="S132">
    <cfRule type="cellIs" dxfId="1820" priority="2167" operator="lessThan">
      <formula>0</formula>
    </cfRule>
  </conditionalFormatting>
  <conditionalFormatting sqref="P132">
    <cfRule type="cellIs" dxfId="1819" priority="2165" operator="equal">
      <formula>AS_DURATION_EFFORT</formula>
    </cfRule>
    <cfRule type="cellIs" dxfId="1818" priority="2166" operator="equal">
      <formula>AS_DEV_EFFORT</formula>
    </cfRule>
  </conditionalFormatting>
  <conditionalFormatting sqref="L132:AC132">
    <cfRule type="expression" dxfId="1817" priority="2171">
      <formula>AND($G132="Yes", $S$6="Exclude")</formula>
    </cfRule>
    <cfRule type="expression" dxfId="1816" priority="2172">
      <formula>$J132="Yes"</formula>
    </cfRule>
  </conditionalFormatting>
  <conditionalFormatting sqref="F132">
    <cfRule type="expression" dxfId="1815" priority="2164">
      <formula>$K132&lt;&gt;""</formula>
    </cfRule>
  </conditionalFormatting>
  <conditionalFormatting sqref="C132">
    <cfRule type="expression" dxfId="1814" priority="2163">
      <formula>$G132&lt;&gt;"-"</formula>
    </cfRule>
  </conditionalFormatting>
  <conditionalFormatting sqref="D132">
    <cfRule type="expression" dxfId="1813" priority="2162">
      <formula>$H132&lt;&gt;"-"</formula>
    </cfRule>
  </conditionalFormatting>
  <conditionalFormatting sqref="E132">
    <cfRule type="expression" dxfId="1812" priority="2161">
      <formula>$I132&lt;&gt;"-"</formula>
    </cfRule>
  </conditionalFormatting>
  <conditionalFormatting sqref="B136">
    <cfRule type="expression" dxfId="1811" priority="2157">
      <formula>AD136&lt;&gt;""</formula>
    </cfRule>
  </conditionalFormatting>
  <conditionalFormatting sqref="Z136">
    <cfRule type="cellIs" dxfId="1810" priority="2155" operator="greaterThan">
      <formula>0</formula>
    </cfRule>
    <cfRule type="cellIs" dxfId="1809" priority="2156" operator="lessThan">
      <formula>0</formula>
    </cfRule>
  </conditionalFormatting>
  <conditionalFormatting sqref="S136">
    <cfRule type="cellIs" dxfId="1808" priority="2154" operator="lessThan">
      <formula>0</formula>
    </cfRule>
  </conditionalFormatting>
  <conditionalFormatting sqref="T134:T135">
    <cfRule type="expression" dxfId="1807" priority="2158">
      <formula>#REF!="Yes"</formula>
    </cfRule>
  </conditionalFormatting>
  <conditionalFormatting sqref="P136">
    <cfRule type="cellIs" dxfId="1806" priority="2152" operator="equal">
      <formula>AS_DURATION_EFFORT</formula>
    </cfRule>
    <cfRule type="cellIs" dxfId="1805" priority="2153" operator="equal">
      <formula>AS_DEV_EFFORT</formula>
    </cfRule>
  </conditionalFormatting>
  <conditionalFormatting sqref="B134:B135">
    <cfRule type="expression" dxfId="1804" priority="2151">
      <formula>AD134&lt;&gt;""</formula>
    </cfRule>
  </conditionalFormatting>
  <conditionalFormatting sqref="L136:AC136">
    <cfRule type="expression" dxfId="1803" priority="2159">
      <formula>AND($G136="Yes", $S$6="Exclude")</formula>
    </cfRule>
    <cfRule type="expression" dxfId="1802" priority="2160">
      <formula>$J136="Yes"</formula>
    </cfRule>
  </conditionalFormatting>
  <conditionalFormatting sqref="F136">
    <cfRule type="expression" dxfId="1801" priority="2150">
      <formula>$K136&lt;&gt;""</formula>
    </cfRule>
  </conditionalFormatting>
  <conditionalFormatting sqref="C136">
    <cfRule type="expression" dxfId="1800" priority="2149">
      <formula>$G136&lt;&gt;"-"</formula>
    </cfRule>
  </conditionalFormatting>
  <conditionalFormatting sqref="D136">
    <cfRule type="expression" dxfId="1799" priority="2148">
      <formula>$H136&lt;&gt;"-"</formula>
    </cfRule>
  </conditionalFormatting>
  <conditionalFormatting sqref="E136">
    <cfRule type="expression" dxfId="1798" priority="2147">
      <formula>$I136&lt;&gt;"-"</formula>
    </cfRule>
  </conditionalFormatting>
  <conditionalFormatting sqref="B137">
    <cfRule type="expression" dxfId="1797" priority="2144">
      <formula>AD137&lt;&gt;""</formula>
    </cfRule>
  </conditionalFormatting>
  <conditionalFormatting sqref="Z137">
    <cfRule type="cellIs" dxfId="1796" priority="2142" operator="greaterThan">
      <formula>0</formula>
    </cfRule>
    <cfRule type="cellIs" dxfId="1795" priority="2143" operator="lessThan">
      <formula>0</formula>
    </cfRule>
  </conditionalFormatting>
  <conditionalFormatting sqref="S137">
    <cfRule type="cellIs" dxfId="1794" priority="2141" operator="lessThan">
      <formula>0</formula>
    </cfRule>
  </conditionalFormatting>
  <conditionalFormatting sqref="P137">
    <cfRule type="cellIs" dxfId="1793" priority="2139" operator="equal">
      <formula>AS_DURATION_EFFORT</formula>
    </cfRule>
    <cfRule type="cellIs" dxfId="1792" priority="2140" operator="equal">
      <formula>AS_DEV_EFFORT</formula>
    </cfRule>
  </conditionalFormatting>
  <conditionalFormatting sqref="L137:AC137">
    <cfRule type="expression" dxfId="1791" priority="2145">
      <formula>AND($G137="Yes", $S$6="Exclude")</formula>
    </cfRule>
    <cfRule type="expression" dxfId="1790" priority="2146">
      <formula>$J137="Yes"</formula>
    </cfRule>
  </conditionalFormatting>
  <conditionalFormatting sqref="F137">
    <cfRule type="expression" dxfId="1789" priority="2138">
      <formula>$K137&lt;&gt;""</formula>
    </cfRule>
  </conditionalFormatting>
  <conditionalFormatting sqref="C137">
    <cfRule type="expression" dxfId="1788" priority="2137">
      <formula>$G137&lt;&gt;"-"</formula>
    </cfRule>
  </conditionalFormatting>
  <conditionalFormatting sqref="D137">
    <cfRule type="expression" dxfId="1787" priority="2136">
      <formula>$H137&lt;&gt;"-"</formula>
    </cfRule>
  </conditionalFormatting>
  <conditionalFormatting sqref="E137">
    <cfRule type="expression" dxfId="1786" priority="2135">
      <formula>$I137&lt;&gt;"-"</formula>
    </cfRule>
  </conditionalFormatting>
  <conditionalFormatting sqref="B138">
    <cfRule type="expression" dxfId="1785" priority="2132">
      <formula>AD138&lt;&gt;""</formula>
    </cfRule>
  </conditionalFormatting>
  <conditionalFormatting sqref="Z138">
    <cfRule type="cellIs" dxfId="1784" priority="2130" operator="greaterThan">
      <formula>0</formula>
    </cfRule>
    <cfRule type="cellIs" dxfId="1783" priority="2131" operator="lessThan">
      <formula>0</formula>
    </cfRule>
  </conditionalFormatting>
  <conditionalFormatting sqref="S138">
    <cfRule type="cellIs" dxfId="1782" priority="2129" operator="lessThan">
      <formula>0</formula>
    </cfRule>
  </conditionalFormatting>
  <conditionalFormatting sqref="P138">
    <cfRule type="cellIs" dxfId="1781" priority="2127" operator="equal">
      <formula>AS_DURATION_EFFORT</formula>
    </cfRule>
    <cfRule type="cellIs" dxfId="1780" priority="2128" operator="equal">
      <formula>AS_DEV_EFFORT</formula>
    </cfRule>
  </conditionalFormatting>
  <conditionalFormatting sqref="L138:AC138">
    <cfRule type="expression" dxfId="1779" priority="2133">
      <formula>AND($G138="Yes", $S$6="Exclude")</formula>
    </cfRule>
    <cfRule type="expression" dxfId="1778" priority="2134">
      <formula>$J138="Yes"</formula>
    </cfRule>
  </conditionalFormatting>
  <conditionalFormatting sqref="F138">
    <cfRule type="expression" dxfId="1777" priority="2126">
      <formula>$K138&lt;&gt;""</formula>
    </cfRule>
  </conditionalFormatting>
  <conditionalFormatting sqref="C138">
    <cfRule type="expression" dxfId="1776" priority="2125">
      <formula>$G138&lt;&gt;"-"</formula>
    </cfRule>
  </conditionalFormatting>
  <conditionalFormatting sqref="D138">
    <cfRule type="expression" dxfId="1775" priority="2124">
      <formula>$H138&lt;&gt;"-"</formula>
    </cfRule>
  </conditionalFormatting>
  <conditionalFormatting sqref="E138">
    <cfRule type="expression" dxfId="1774" priority="2123">
      <formula>$I138&lt;&gt;"-"</formula>
    </cfRule>
  </conditionalFormatting>
  <conditionalFormatting sqref="B139">
    <cfRule type="expression" dxfId="1773" priority="2120">
      <formula>AD139&lt;&gt;""</formula>
    </cfRule>
  </conditionalFormatting>
  <conditionalFormatting sqref="Z139">
    <cfRule type="cellIs" dxfId="1772" priority="2118" operator="greaterThan">
      <formula>0</formula>
    </cfRule>
    <cfRule type="cellIs" dxfId="1771" priority="2119" operator="lessThan">
      <formula>0</formula>
    </cfRule>
  </conditionalFormatting>
  <conditionalFormatting sqref="S139">
    <cfRule type="cellIs" dxfId="1770" priority="2117" operator="lessThan">
      <formula>0</formula>
    </cfRule>
  </conditionalFormatting>
  <conditionalFormatting sqref="P139">
    <cfRule type="cellIs" dxfId="1769" priority="2115" operator="equal">
      <formula>AS_DURATION_EFFORT</formula>
    </cfRule>
    <cfRule type="cellIs" dxfId="1768" priority="2116" operator="equal">
      <formula>AS_DEV_EFFORT</formula>
    </cfRule>
  </conditionalFormatting>
  <conditionalFormatting sqref="L139:AC139">
    <cfRule type="expression" dxfId="1767" priority="2121">
      <formula>AND($G139="Yes", $S$6="Exclude")</formula>
    </cfRule>
    <cfRule type="expression" dxfId="1766" priority="2122">
      <formula>$J139="Yes"</formula>
    </cfRule>
  </conditionalFormatting>
  <conditionalFormatting sqref="F139">
    <cfRule type="expression" dxfId="1765" priority="2114">
      <formula>$K139&lt;&gt;""</formula>
    </cfRule>
  </conditionalFormatting>
  <conditionalFormatting sqref="C139">
    <cfRule type="expression" dxfId="1764" priority="2113">
      <formula>$G139&lt;&gt;"-"</formula>
    </cfRule>
  </conditionalFormatting>
  <conditionalFormatting sqref="D139">
    <cfRule type="expression" dxfId="1763" priority="2112">
      <formula>$H139&lt;&gt;"-"</formula>
    </cfRule>
  </conditionalFormatting>
  <conditionalFormatting sqref="E139">
    <cfRule type="expression" dxfId="1762" priority="2111">
      <formula>$I139&lt;&gt;"-"</formula>
    </cfRule>
  </conditionalFormatting>
  <conditionalFormatting sqref="B140">
    <cfRule type="expression" dxfId="1761" priority="2108">
      <formula>AD140&lt;&gt;""</formula>
    </cfRule>
  </conditionalFormatting>
  <conditionalFormatting sqref="Z140">
    <cfRule type="cellIs" dxfId="1760" priority="2106" operator="greaterThan">
      <formula>0</formula>
    </cfRule>
    <cfRule type="cellIs" dxfId="1759" priority="2107" operator="lessThan">
      <formula>0</formula>
    </cfRule>
  </conditionalFormatting>
  <conditionalFormatting sqref="S140">
    <cfRule type="cellIs" dxfId="1758" priority="2105" operator="lessThan">
      <formula>0</formula>
    </cfRule>
  </conditionalFormatting>
  <conditionalFormatting sqref="P140">
    <cfRule type="cellIs" dxfId="1757" priority="2103" operator="equal">
      <formula>AS_DURATION_EFFORT</formula>
    </cfRule>
    <cfRule type="cellIs" dxfId="1756" priority="2104" operator="equal">
      <formula>AS_DEV_EFFORT</formula>
    </cfRule>
  </conditionalFormatting>
  <conditionalFormatting sqref="L140:AC140">
    <cfRule type="expression" dxfId="1755" priority="2109">
      <formula>AND($G140="Yes", $S$6="Exclude")</formula>
    </cfRule>
    <cfRule type="expression" dxfId="1754" priority="2110">
      <formula>$J140="Yes"</formula>
    </cfRule>
  </conditionalFormatting>
  <conditionalFormatting sqref="F140">
    <cfRule type="expression" dxfId="1753" priority="2102">
      <formula>$K140&lt;&gt;""</formula>
    </cfRule>
  </conditionalFormatting>
  <conditionalFormatting sqref="C140">
    <cfRule type="expression" dxfId="1752" priority="2101">
      <formula>$G140&lt;&gt;"-"</formula>
    </cfRule>
  </conditionalFormatting>
  <conditionalFormatting sqref="D140">
    <cfRule type="expression" dxfId="1751" priority="2100">
      <formula>$H140&lt;&gt;"-"</formula>
    </cfRule>
  </conditionalFormatting>
  <conditionalFormatting sqref="E140">
    <cfRule type="expression" dxfId="1750" priority="2099">
      <formula>$I140&lt;&gt;"-"</formula>
    </cfRule>
  </conditionalFormatting>
  <conditionalFormatting sqref="B148">
    <cfRule type="expression" dxfId="1749" priority="2096">
      <formula>AD148&lt;&gt;""</formula>
    </cfRule>
  </conditionalFormatting>
  <conditionalFormatting sqref="Z148">
    <cfRule type="cellIs" dxfId="1748" priority="2094" operator="greaterThan">
      <formula>0</formula>
    </cfRule>
    <cfRule type="cellIs" dxfId="1747" priority="2095" operator="lessThan">
      <formula>0</formula>
    </cfRule>
  </conditionalFormatting>
  <conditionalFormatting sqref="S148">
    <cfRule type="cellIs" dxfId="1746" priority="2093" operator="lessThan">
      <formula>0</formula>
    </cfRule>
  </conditionalFormatting>
  <conditionalFormatting sqref="P148">
    <cfRule type="cellIs" dxfId="1745" priority="2091" operator="equal">
      <formula>AS_DURATION_EFFORT</formula>
    </cfRule>
    <cfRule type="cellIs" dxfId="1744" priority="2092" operator="equal">
      <formula>AS_DEV_EFFORT</formula>
    </cfRule>
  </conditionalFormatting>
  <conditionalFormatting sqref="L148:AC148">
    <cfRule type="expression" dxfId="1743" priority="2097">
      <formula>AND($G148="Yes", $S$6="Exclude")</formula>
    </cfRule>
    <cfRule type="expression" dxfId="1742" priority="2098">
      <formula>$J148="Yes"</formula>
    </cfRule>
  </conditionalFormatting>
  <conditionalFormatting sqref="F148">
    <cfRule type="expression" dxfId="1741" priority="2090">
      <formula>$K148&lt;&gt;""</formula>
    </cfRule>
  </conditionalFormatting>
  <conditionalFormatting sqref="C148">
    <cfRule type="expression" dxfId="1740" priority="2089">
      <formula>$G148&lt;&gt;"-"</formula>
    </cfRule>
  </conditionalFormatting>
  <conditionalFormatting sqref="D148">
    <cfRule type="expression" dxfId="1739" priority="2088">
      <formula>$H148&lt;&gt;"-"</formula>
    </cfRule>
  </conditionalFormatting>
  <conditionalFormatting sqref="E148">
    <cfRule type="expression" dxfId="1738" priority="2087">
      <formula>$I148&lt;&gt;"-"</formula>
    </cfRule>
  </conditionalFormatting>
  <conditionalFormatting sqref="B182">
    <cfRule type="expression" dxfId="1737" priority="2074">
      <formula>AD182&lt;&gt;""</formula>
    </cfRule>
  </conditionalFormatting>
  <conditionalFormatting sqref="Z182">
    <cfRule type="cellIs" dxfId="1736" priority="2072" operator="greaterThan">
      <formula>0</formula>
    </cfRule>
    <cfRule type="cellIs" dxfId="1735" priority="2073" operator="lessThan">
      <formula>0</formula>
    </cfRule>
  </conditionalFormatting>
  <conditionalFormatting sqref="S182">
    <cfRule type="cellIs" dxfId="1734" priority="2071" operator="lessThan">
      <formula>0</formula>
    </cfRule>
  </conditionalFormatting>
  <conditionalFormatting sqref="P182">
    <cfRule type="cellIs" dxfId="1733" priority="2069" operator="equal">
      <formula>AS_DURATION_EFFORT</formula>
    </cfRule>
    <cfRule type="cellIs" dxfId="1732" priority="2070" operator="equal">
      <formula>AS_DEV_EFFORT</formula>
    </cfRule>
  </conditionalFormatting>
  <conditionalFormatting sqref="F182">
    <cfRule type="expression" dxfId="1731" priority="2068">
      <formula>$K182&lt;&gt;""</formula>
    </cfRule>
  </conditionalFormatting>
  <conditionalFormatting sqref="C182">
    <cfRule type="expression" dxfId="1730" priority="2067">
      <formula>$G182&lt;&gt;"-"</formula>
    </cfRule>
  </conditionalFormatting>
  <conditionalFormatting sqref="D182">
    <cfRule type="expression" dxfId="1729" priority="2066">
      <formula>$H182&lt;&gt;"-"</formula>
    </cfRule>
  </conditionalFormatting>
  <conditionalFormatting sqref="E182">
    <cfRule type="expression" dxfId="1728" priority="2065">
      <formula>$I182&lt;&gt;"-"</formula>
    </cfRule>
  </conditionalFormatting>
  <conditionalFormatting sqref="B187">
    <cfRule type="expression" dxfId="1727" priority="2061">
      <formula>AD187&lt;&gt;""</formula>
    </cfRule>
  </conditionalFormatting>
  <conditionalFormatting sqref="Z187">
    <cfRule type="cellIs" dxfId="1726" priority="2059" operator="greaterThan">
      <formula>0</formula>
    </cfRule>
    <cfRule type="cellIs" dxfId="1725" priority="2060" operator="lessThan">
      <formula>0</formula>
    </cfRule>
  </conditionalFormatting>
  <conditionalFormatting sqref="S187">
    <cfRule type="cellIs" dxfId="1724" priority="2058" operator="lessThan">
      <formula>0</formula>
    </cfRule>
  </conditionalFormatting>
  <conditionalFormatting sqref="T185:T186">
    <cfRule type="expression" dxfId="1723" priority="2062">
      <formula>#REF!="Yes"</formula>
    </cfRule>
  </conditionalFormatting>
  <conditionalFormatting sqref="P187">
    <cfRule type="cellIs" dxfId="1722" priority="2056" operator="equal">
      <formula>AS_DURATION_EFFORT</formula>
    </cfRule>
    <cfRule type="cellIs" dxfId="1721" priority="2057" operator="equal">
      <formula>AS_DEV_EFFORT</formula>
    </cfRule>
  </conditionalFormatting>
  <conditionalFormatting sqref="B185:B186">
    <cfRule type="expression" dxfId="1720" priority="2055">
      <formula>AD185&lt;&gt;""</formula>
    </cfRule>
  </conditionalFormatting>
  <conditionalFormatting sqref="F187">
    <cfRule type="expression" dxfId="1719" priority="2054">
      <formula>$K187&lt;&gt;""</formula>
    </cfRule>
  </conditionalFormatting>
  <conditionalFormatting sqref="C187">
    <cfRule type="expression" dxfId="1718" priority="2053">
      <formula>$G187&lt;&gt;"-"</formula>
    </cfRule>
  </conditionalFormatting>
  <conditionalFormatting sqref="D187">
    <cfRule type="expression" dxfId="1717" priority="2052">
      <formula>$H187&lt;&gt;"-"</formula>
    </cfRule>
  </conditionalFormatting>
  <conditionalFormatting sqref="E187">
    <cfRule type="expression" dxfId="1716" priority="2051">
      <formula>$I187&lt;&gt;"-"</formula>
    </cfRule>
  </conditionalFormatting>
  <conditionalFormatting sqref="B188">
    <cfRule type="expression" dxfId="1715" priority="2048">
      <formula>AD188&lt;&gt;""</formula>
    </cfRule>
  </conditionalFormatting>
  <conditionalFormatting sqref="Z188">
    <cfRule type="cellIs" dxfId="1714" priority="2046" operator="greaterThan">
      <formula>0</formula>
    </cfRule>
    <cfRule type="cellIs" dxfId="1713" priority="2047" operator="lessThan">
      <formula>0</formula>
    </cfRule>
  </conditionalFormatting>
  <conditionalFormatting sqref="S188">
    <cfRule type="cellIs" dxfId="1712" priority="2045" operator="lessThan">
      <formula>0</formula>
    </cfRule>
  </conditionalFormatting>
  <conditionalFormatting sqref="P188">
    <cfRule type="cellIs" dxfId="1711" priority="2043" operator="equal">
      <formula>AS_DURATION_EFFORT</formula>
    </cfRule>
    <cfRule type="cellIs" dxfId="1710" priority="2044" operator="equal">
      <formula>AS_DEV_EFFORT</formula>
    </cfRule>
  </conditionalFormatting>
  <conditionalFormatting sqref="F188">
    <cfRule type="expression" dxfId="1709" priority="2042">
      <formula>$K188&lt;&gt;""</formula>
    </cfRule>
  </conditionalFormatting>
  <conditionalFormatting sqref="C188">
    <cfRule type="expression" dxfId="1708" priority="2041">
      <formula>$G188&lt;&gt;"-"</formula>
    </cfRule>
  </conditionalFormatting>
  <conditionalFormatting sqref="D188">
    <cfRule type="expression" dxfId="1707" priority="2040">
      <formula>$H188&lt;&gt;"-"</formula>
    </cfRule>
  </conditionalFormatting>
  <conditionalFormatting sqref="E188">
    <cfRule type="expression" dxfId="1706" priority="2039">
      <formula>$I188&lt;&gt;"-"</formula>
    </cfRule>
  </conditionalFormatting>
  <conditionalFormatting sqref="B189">
    <cfRule type="expression" dxfId="1705" priority="2036">
      <formula>AD189&lt;&gt;""</formula>
    </cfRule>
  </conditionalFormatting>
  <conditionalFormatting sqref="Z189">
    <cfRule type="cellIs" dxfId="1704" priority="2034" operator="greaterThan">
      <formula>0</formula>
    </cfRule>
    <cfRule type="cellIs" dxfId="1703" priority="2035" operator="lessThan">
      <formula>0</formula>
    </cfRule>
  </conditionalFormatting>
  <conditionalFormatting sqref="S189">
    <cfRule type="cellIs" dxfId="1702" priority="2033" operator="lessThan">
      <formula>0</formula>
    </cfRule>
  </conditionalFormatting>
  <conditionalFormatting sqref="P189">
    <cfRule type="cellIs" dxfId="1701" priority="2031" operator="equal">
      <formula>AS_DURATION_EFFORT</formula>
    </cfRule>
    <cfRule type="cellIs" dxfId="1700" priority="2032" operator="equal">
      <formula>AS_DEV_EFFORT</formula>
    </cfRule>
  </conditionalFormatting>
  <conditionalFormatting sqref="F189">
    <cfRule type="expression" dxfId="1699" priority="2030">
      <formula>$K189&lt;&gt;""</formula>
    </cfRule>
  </conditionalFormatting>
  <conditionalFormatting sqref="C189">
    <cfRule type="expression" dxfId="1698" priority="2029">
      <formula>$G189&lt;&gt;"-"</formula>
    </cfRule>
  </conditionalFormatting>
  <conditionalFormatting sqref="D189">
    <cfRule type="expression" dxfId="1697" priority="2028">
      <formula>$H189&lt;&gt;"-"</formula>
    </cfRule>
  </conditionalFormatting>
  <conditionalFormatting sqref="E189">
    <cfRule type="expression" dxfId="1696" priority="2027">
      <formula>$I189&lt;&gt;"-"</formula>
    </cfRule>
  </conditionalFormatting>
  <conditionalFormatting sqref="B190">
    <cfRule type="expression" dxfId="1695" priority="2024">
      <formula>AD190&lt;&gt;""</formula>
    </cfRule>
  </conditionalFormatting>
  <conditionalFormatting sqref="Z190">
    <cfRule type="cellIs" dxfId="1694" priority="2022" operator="greaterThan">
      <formula>0</formula>
    </cfRule>
    <cfRule type="cellIs" dxfId="1693" priority="2023" operator="lessThan">
      <formula>0</formula>
    </cfRule>
  </conditionalFormatting>
  <conditionalFormatting sqref="S190">
    <cfRule type="cellIs" dxfId="1692" priority="2021" operator="lessThan">
      <formula>0</formula>
    </cfRule>
  </conditionalFormatting>
  <conditionalFormatting sqref="P190">
    <cfRule type="cellIs" dxfId="1691" priority="2019" operator="equal">
      <formula>AS_DURATION_EFFORT</formula>
    </cfRule>
    <cfRule type="cellIs" dxfId="1690" priority="2020" operator="equal">
      <formula>AS_DEV_EFFORT</formula>
    </cfRule>
  </conditionalFormatting>
  <conditionalFormatting sqref="F190">
    <cfRule type="expression" dxfId="1689" priority="2018">
      <formula>$K190&lt;&gt;""</formula>
    </cfRule>
  </conditionalFormatting>
  <conditionalFormatting sqref="C190">
    <cfRule type="expression" dxfId="1688" priority="2017">
      <formula>$G190&lt;&gt;"-"</formula>
    </cfRule>
  </conditionalFormatting>
  <conditionalFormatting sqref="D190">
    <cfRule type="expression" dxfId="1687" priority="2016">
      <formula>$H190&lt;&gt;"-"</formula>
    </cfRule>
  </conditionalFormatting>
  <conditionalFormatting sqref="E190">
    <cfRule type="expression" dxfId="1686" priority="2015">
      <formula>$I190&lt;&gt;"-"</formula>
    </cfRule>
  </conditionalFormatting>
  <conditionalFormatting sqref="B191">
    <cfRule type="expression" dxfId="1685" priority="2012">
      <formula>AD191&lt;&gt;""</formula>
    </cfRule>
  </conditionalFormatting>
  <conditionalFormatting sqref="Z191">
    <cfRule type="cellIs" dxfId="1684" priority="2010" operator="greaterThan">
      <formula>0</formula>
    </cfRule>
    <cfRule type="cellIs" dxfId="1683" priority="2011" operator="lessThan">
      <formula>0</formula>
    </cfRule>
  </conditionalFormatting>
  <conditionalFormatting sqref="S191">
    <cfRule type="cellIs" dxfId="1682" priority="2009" operator="lessThan">
      <formula>0</formula>
    </cfRule>
  </conditionalFormatting>
  <conditionalFormatting sqref="P191">
    <cfRule type="cellIs" dxfId="1681" priority="2007" operator="equal">
      <formula>AS_DURATION_EFFORT</formula>
    </cfRule>
    <cfRule type="cellIs" dxfId="1680" priority="2008" operator="equal">
      <formula>AS_DEV_EFFORT</formula>
    </cfRule>
  </conditionalFormatting>
  <conditionalFormatting sqref="F191">
    <cfRule type="expression" dxfId="1679" priority="2006">
      <formula>$K191&lt;&gt;""</formula>
    </cfRule>
  </conditionalFormatting>
  <conditionalFormatting sqref="C191">
    <cfRule type="expression" dxfId="1678" priority="2005">
      <formula>$G191&lt;&gt;"-"</formula>
    </cfRule>
  </conditionalFormatting>
  <conditionalFormatting sqref="D191">
    <cfRule type="expression" dxfId="1677" priority="2004">
      <formula>$H191&lt;&gt;"-"</formula>
    </cfRule>
  </conditionalFormatting>
  <conditionalFormatting sqref="E191">
    <cfRule type="expression" dxfId="1676" priority="2003">
      <formula>$I191&lt;&gt;"-"</formula>
    </cfRule>
  </conditionalFormatting>
  <conditionalFormatting sqref="B205">
    <cfRule type="expression" dxfId="1675" priority="2000">
      <formula>AD205&lt;&gt;""</formula>
    </cfRule>
  </conditionalFormatting>
  <conditionalFormatting sqref="Z205">
    <cfRule type="cellIs" dxfId="1674" priority="1998" operator="greaterThan">
      <formula>0</formula>
    </cfRule>
    <cfRule type="cellIs" dxfId="1673" priority="1999" operator="lessThan">
      <formula>0</formula>
    </cfRule>
  </conditionalFormatting>
  <conditionalFormatting sqref="S205">
    <cfRule type="cellIs" dxfId="1672" priority="1997" operator="lessThan">
      <formula>0</formula>
    </cfRule>
  </conditionalFormatting>
  <conditionalFormatting sqref="P205">
    <cfRule type="cellIs" dxfId="1671" priority="1995" operator="equal">
      <formula>AS_DURATION_EFFORT</formula>
    </cfRule>
    <cfRule type="cellIs" dxfId="1670" priority="1996" operator="equal">
      <formula>AS_DEV_EFFORT</formula>
    </cfRule>
  </conditionalFormatting>
  <conditionalFormatting sqref="F205">
    <cfRule type="expression" dxfId="1669" priority="1994">
      <formula>$K205&lt;&gt;""</formula>
    </cfRule>
  </conditionalFormatting>
  <conditionalFormatting sqref="C205">
    <cfRule type="expression" dxfId="1668" priority="1993">
      <formula>$G205&lt;&gt;"-"</formula>
    </cfRule>
  </conditionalFormatting>
  <conditionalFormatting sqref="D205">
    <cfRule type="expression" dxfId="1667" priority="1992">
      <formula>$H205&lt;&gt;"-"</formula>
    </cfRule>
  </conditionalFormatting>
  <conditionalFormatting sqref="E205">
    <cfRule type="expression" dxfId="1666" priority="1991">
      <formula>$I205&lt;&gt;"-"</formula>
    </cfRule>
  </conditionalFormatting>
  <conditionalFormatting sqref="B206">
    <cfRule type="expression" dxfId="1665" priority="1988">
      <formula>AD206&lt;&gt;""</formula>
    </cfRule>
  </conditionalFormatting>
  <conditionalFormatting sqref="Z206">
    <cfRule type="cellIs" dxfId="1664" priority="1986" operator="greaterThan">
      <formula>0</formula>
    </cfRule>
    <cfRule type="cellIs" dxfId="1663" priority="1987" operator="lessThan">
      <formula>0</formula>
    </cfRule>
  </conditionalFormatting>
  <conditionalFormatting sqref="S206">
    <cfRule type="cellIs" dxfId="1662" priority="1985" operator="lessThan">
      <formula>0</formula>
    </cfRule>
  </conditionalFormatting>
  <conditionalFormatting sqref="P206">
    <cfRule type="cellIs" dxfId="1661" priority="1983" operator="equal">
      <formula>AS_DURATION_EFFORT</formula>
    </cfRule>
    <cfRule type="cellIs" dxfId="1660" priority="1984" operator="equal">
      <formula>AS_DEV_EFFORT</formula>
    </cfRule>
  </conditionalFormatting>
  <conditionalFormatting sqref="F206">
    <cfRule type="expression" dxfId="1659" priority="1982">
      <formula>$K206&lt;&gt;""</formula>
    </cfRule>
  </conditionalFormatting>
  <conditionalFormatting sqref="C206">
    <cfRule type="expression" dxfId="1658" priority="1981">
      <formula>$G206&lt;&gt;"-"</formula>
    </cfRule>
  </conditionalFormatting>
  <conditionalFormatting sqref="D206">
    <cfRule type="expression" dxfId="1657" priority="1980">
      <formula>$H206&lt;&gt;"-"</formula>
    </cfRule>
  </conditionalFormatting>
  <conditionalFormatting sqref="E206">
    <cfRule type="expression" dxfId="1656" priority="1979">
      <formula>$I206&lt;&gt;"-"</formula>
    </cfRule>
  </conditionalFormatting>
  <conditionalFormatting sqref="B221">
    <cfRule type="expression" dxfId="1655" priority="1976">
      <formula>AD221&lt;&gt;""</formula>
    </cfRule>
  </conditionalFormatting>
  <conditionalFormatting sqref="Z221">
    <cfRule type="cellIs" dxfId="1654" priority="1974" operator="greaterThan">
      <formula>0</formula>
    </cfRule>
    <cfRule type="cellIs" dxfId="1653" priority="1975" operator="lessThan">
      <formula>0</formula>
    </cfRule>
  </conditionalFormatting>
  <conditionalFormatting sqref="S221">
    <cfRule type="cellIs" dxfId="1652" priority="1973" operator="lessThan">
      <formula>0</formula>
    </cfRule>
  </conditionalFormatting>
  <conditionalFormatting sqref="P221">
    <cfRule type="cellIs" dxfId="1651" priority="1971" operator="equal">
      <formula>AS_DURATION_EFFORT</formula>
    </cfRule>
    <cfRule type="cellIs" dxfId="1650" priority="1972" operator="equal">
      <formula>AS_DEV_EFFORT</formula>
    </cfRule>
  </conditionalFormatting>
  <conditionalFormatting sqref="F221">
    <cfRule type="expression" dxfId="1649" priority="1970">
      <formula>$K221&lt;&gt;""</formula>
    </cfRule>
  </conditionalFormatting>
  <conditionalFormatting sqref="C221">
    <cfRule type="expression" dxfId="1648" priority="1969">
      <formula>$G221&lt;&gt;"-"</formula>
    </cfRule>
  </conditionalFormatting>
  <conditionalFormatting sqref="D221">
    <cfRule type="expression" dxfId="1647" priority="1968">
      <formula>$H221&lt;&gt;"-"</formula>
    </cfRule>
  </conditionalFormatting>
  <conditionalFormatting sqref="E221">
    <cfRule type="expression" dxfId="1646" priority="1967">
      <formula>$I221&lt;&gt;"-"</formula>
    </cfRule>
  </conditionalFormatting>
  <conditionalFormatting sqref="B222">
    <cfRule type="expression" dxfId="1645" priority="1964">
      <formula>AD222&lt;&gt;""</formula>
    </cfRule>
  </conditionalFormatting>
  <conditionalFormatting sqref="Z222">
    <cfRule type="cellIs" dxfId="1644" priority="1962" operator="greaterThan">
      <formula>0</formula>
    </cfRule>
    <cfRule type="cellIs" dxfId="1643" priority="1963" operator="lessThan">
      <formula>0</formula>
    </cfRule>
  </conditionalFormatting>
  <conditionalFormatting sqref="S222">
    <cfRule type="cellIs" dxfId="1642" priority="1961" operator="lessThan">
      <formula>0</formula>
    </cfRule>
  </conditionalFormatting>
  <conditionalFormatting sqref="P222">
    <cfRule type="cellIs" dxfId="1641" priority="1959" operator="equal">
      <formula>AS_DURATION_EFFORT</formula>
    </cfRule>
    <cfRule type="cellIs" dxfId="1640" priority="1960" operator="equal">
      <formula>AS_DEV_EFFORT</formula>
    </cfRule>
  </conditionalFormatting>
  <conditionalFormatting sqref="F222">
    <cfRule type="expression" dxfId="1639" priority="1958">
      <formula>$K222&lt;&gt;""</formula>
    </cfRule>
  </conditionalFormatting>
  <conditionalFormatting sqref="C222">
    <cfRule type="expression" dxfId="1638" priority="1957">
      <formula>$G222&lt;&gt;"-"</formula>
    </cfRule>
  </conditionalFormatting>
  <conditionalFormatting sqref="D222">
    <cfRule type="expression" dxfId="1637" priority="1956">
      <formula>$H222&lt;&gt;"-"</formula>
    </cfRule>
  </conditionalFormatting>
  <conditionalFormatting sqref="E222">
    <cfRule type="expression" dxfId="1636" priority="1955">
      <formula>$I222&lt;&gt;"-"</formula>
    </cfRule>
  </conditionalFormatting>
  <conditionalFormatting sqref="B223">
    <cfRule type="expression" dxfId="1635" priority="1952">
      <formula>AD223&lt;&gt;""</formula>
    </cfRule>
  </conditionalFormatting>
  <conditionalFormatting sqref="Z223">
    <cfRule type="cellIs" dxfId="1634" priority="1950" operator="greaterThan">
      <formula>0</formula>
    </cfRule>
    <cfRule type="cellIs" dxfId="1633" priority="1951" operator="lessThan">
      <formula>0</formula>
    </cfRule>
  </conditionalFormatting>
  <conditionalFormatting sqref="S223">
    <cfRule type="cellIs" dxfId="1632" priority="1949" operator="lessThan">
      <formula>0</formula>
    </cfRule>
  </conditionalFormatting>
  <conditionalFormatting sqref="P223">
    <cfRule type="cellIs" dxfId="1631" priority="1947" operator="equal">
      <formula>AS_DURATION_EFFORT</formula>
    </cfRule>
    <cfRule type="cellIs" dxfId="1630" priority="1948" operator="equal">
      <formula>AS_DEV_EFFORT</formula>
    </cfRule>
  </conditionalFormatting>
  <conditionalFormatting sqref="F223">
    <cfRule type="expression" dxfId="1629" priority="1946">
      <formula>$K223&lt;&gt;""</formula>
    </cfRule>
  </conditionalFormatting>
  <conditionalFormatting sqref="C223">
    <cfRule type="expression" dxfId="1628" priority="1945">
      <formula>$G223&lt;&gt;"-"</formula>
    </cfRule>
  </conditionalFormatting>
  <conditionalFormatting sqref="D223">
    <cfRule type="expression" dxfId="1627" priority="1944">
      <formula>$H223&lt;&gt;"-"</formula>
    </cfRule>
  </conditionalFormatting>
  <conditionalFormatting sqref="E223">
    <cfRule type="expression" dxfId="1626" priority="1943">
      <formula>$I223&lt;&gt;"-"</formula>
    </cfRule>
  </conditionalFormatting>
  <conditionalFormatting sqref="B224">
    <cfRule type="expression" dxfId="1625" priority="1940">
      <formula>AD224&lt;&gt;""</formula>
    </cfRule>
  </conditionalFormatting>
  <conditionalFormatting sqref="Z224">
    <cfRule type="cellIs" dxfId="1624" priority="1938" operator="greaterThan">
      <formula>0</formula>
    </cfRule>
    <cfRule type="cellIs" dxfId="1623" priority="1939" operator="lessThan">
      <formula>0</formula>
    </cfRule>
  </conditionalFormatting>
  <conditionalFormatting sqref="S224">
    <cfRule type="cellIs" dxfId="1622" priority="1937" operator="lessThan">
      <formula>0</formula>
    </cfRule>
  </conditionalFormatting>
  <conditionalFormatting sqref="P224">
    <cfRule type="cellIs" dxfId="1621" priority="1935" operator="equal">
      <formula>AS_DURATION_EFFORT</formula>
    </cfRule>
    <cfRule type="cellIs" dxfId="1620" priority="1936" operator="equal">
      <formula>AS_DEV_EFFORT</formula>
    </cfRule>
  </conditionalFormatting>
  <conditionalFormatting sqref="F224">
    <cfRule type="expression" dxfId="1619" priority="1934">
      <formula>$K224&lt;&gt;""</formula>
    </cfRule>
  </conditionalFormatting>
  <conditionalFormatting sqref="C224">
    <cfRule type="expression" dxfId="1618" priority="1933">
      <formula>$G224&lt;&gt;"-"</formula>
    </cfRule>
  </conditionalFormatting>
  <conditionalFormatting sqref="D224">
    <cfRule type="expression" dxfId="1617" priority="1932">
      <formula>$H224&lt;&gt;"-"</formula>
    </cfRule>
  </conditionalFormatting>
  <conditionalFormatting sqref="E224">
    <cfRule type="expression" dxfId="1616" priority="1931">
      <formula>$I224&lt;&gt;"-"</formula>
    </cfRule>
  </conditionalFormatting>
  <conditionalFormatting sqref="B225">
    <cfRule type="expression" dxfId="1615" priority="1928">
      <formula>AD225&lt;&gt;""</formula>
    </cfRule>
  </conditionalFormatting>
  <conditionalFormatting sqref="Z225">
    <cfRule type="cellIs" dxfId="1614" priority="1926" operator="greaterThan">
      <formula>0</formula>
    </cfRule>
    <cfRule type="cellIs" dxfId="1613" priority="1927" operator="lessThan">
      <formula>0</formula>
    </cfRule>
  </conditionalFormatting>
  <conditionalFormatting sqref="S225">
    <cfRule type="cellIs" dxfId="1612" priority="1925" operator="lessThan">
      <formula>0</formula>
    </cfRule>
  </conditionalFormatting>
  <conditionalFormatting sqref="P225">
    <cfRule type="cellIs" dxfId="1611" priority="1923" operator="equal">
      <formula>AS_DURATION_EFFORT</formula>
    </cfRule>
    <cfRule type="cellIs" dxfId="1610" priority="1924" operator="equal">
      <formula>AS_DEV_EFFORT</formula>
    </cfRule>
  </conditionalFormatting>
  <conditionalFormatting sqref="F225">
    <cfRule type="expression" dxfId="1609" priority="1922">
      <formula>$K225&lt;&gt;""</formula>
    </cfRule>
  </conditionalFormatting>
  <conditionalFormatting sqref="C225">
    <cfRule type="expression" dxfId="1608" priority="1921">
      <formula>$G225&lt;&gt;"-"</formula>
    </cfRule>
  </conditionalFormatting>
  <conditionalFormatting sqref="D225">
    <cfRule type="expression" dxfId="1607" priority="1920">
      <formula>$H225&lt;&gt;"-"</formula>
    </cfRule>
  </conditionalFormatting>
  <conditionalFormatting sqref="E225">
    <cfRule type="expression" dxfId="1606" priority="1919">
      <formula>$I225&lt;&gt;"-"</formula>
    </cfRule>
  </conditionalFormatting>
  <conditionalFormatting sqref="B230">
    <cfRule type="expression" dxfId="1605" priority="1916">
      <formula>AD230&lt;&gt;""</formula>
    </cfRule>
  </conditionalFormatting>
  <conditionalFormatting sqref="Z230">
    <cfRule type="cellIs" dxfId="1604" priority="1914" operator="greaterThan">
      <formula>0</formula>
    </cfRule>
    <cfRule type="cellIs" dxfId="1603" priority="1915" operator="lessThan">
      <formula>0</formula>
    </cfRule>
  </conditionalFormatting>
  <conditionalFormatting sqref="S230">
    <cfRule type="cellIs" dxfId="1602" priority="1913" operator="lessThan">
      <formula>0</formula>
    </cfRule>
  </conditionalFormatting>
  <conditionalFormatting sqref="P230">
    <cfRule type="cellIs" dxfId="1601" priority="1911" operator="equal">
      <formula>AS_DURATION_EFFORT</formula>
    </cfRule>
    <cfRule type="cellIs" dxfId="1600" priority="1912" operator="equal">
      <formula>AS_DEV_EFFORT</formula>
    </cfRule>
  </conditionalFormatting>
  <conditionalFormatting sqref="F230">
    <cfRule type="expression" dxfId="1599" priority="1910">
      <formula>$K230&lt;&gt;""</formula>
    </cfRule>
  </conditionalFormatting>
  <conditionalFormatting sqref="C230">
    <cfRule type="expression" dxfId="1598" priority="1909">
      <formula>$G230&lt;&gt;"-"</formula>
    </cfRule>
  </conditionalFormatting>
  <conditionalFormatting sqref="D230">
    <cfRule type="expression" dxfId="1597" priority="1908">
      <formula>$H230&lt;&gt;"-"</formula>
    </cfRule>
  </conditionalFormatting>
  <conditionalFormatting sqref="E230">
    <cfRule type="expression" dxfId="1596" priority="1907">
      <formula>$I230&lt;&gt;"-"</formula>
    </cfRule>
  </conditionalFormatting>
  <conditionalFormatting sqref="B231">
    <cfRule type="expression" dxfId="1595" priority="1904">
      <formula>AD231&lt;&gt;""</formula>
    </cfRule>
  </conditionalFormatting>
  <conditionalFormatting sqref="Z231">
    <cfRule type="cellIs" dxfId="1594" priority="1902" operator="greaterThan">
      <formula>0</formula>
    </cfRule>
    <cfRule type="cellIs" dxfId="1593" priority="1903" operator="lessThan">
      <formula>0</formula>
    </cfRule>
  </conditionalFormatting>
  <conditionalFormatting sqref="S231">
    <cfRule type="cellIs" dxfId="1592" priority="1901" operator="lessThan">
      <formula>0</formula>
    </cfRule>
  </conditionalFormatting>
  <conditionalFormatting sqref="P231">
    <cfRule type="cellIs" dxfId="1591" priority="1899" operator="equal">
      <formula>AS_DURATION_EFFORT</formula>
    </cfRule>
    <cfRule type="cellIs" dxfId="1590" priority="1900" operator="equal">
      <formula>AS_DEV_EFFORT</formula>
    </cfRule>
  </conditionalFormatting>
  <conditionalFormatting sqref="F231">
    <cfRule type="expression" dxfId="1589" priority="1898">
      <formula>$K231&lt;&gt;""</formula>
    </cfRule>
  </conditionalFormatting>
  <conditionalFormatting sqref="C231">
    <cfRule type="expression" dxfId="1588" priority="1897">
      <formula>$G231&lt;&gt;"-"</formula>
    </cfRule>
  </conditionalFormatting>
  <conditionalFormatting sqref="D231">
    <cfRule type="expression" dxfId="1587" priority="1896">
      <formula>$H231&lt;&gt;"-"</formula>
    </cfRule>
  </conditionalFormatting>
  <conditionalFormatting sqref="E231">
    <cfRule type="expression" dxfId="1586" priority="1895">
      <formula>$I231&lt;&gt;"-"</formula>
    </cfRule>
  </conditionalFormatting>
  <conditionalFormatting sqref="B232">
    <cfRule type="expression" dxfId="1585" priority="1892">
      <formula>AD232&lt;&gt;""</formula>
    </cfRule>
  </conditionalFormatting>
  <conditionalFormatting sqref="Z232">
    <cfRule type="cellIs" dxfId="1584" priority="1890" operator="greaterThan">
      <formula>0</formula>
    </cfRule>
    <cfRule type="cellIs" dxfId="1583" priority="1891" operator="lessThan">
      <formula>0</formula>
    </cfRule>
  </conditionalFormatting>
  <conditionalFormatting sqref="S232">
    <cfRule type="cellIs" dxfId="1582" priority="1889" operator="lessThan">
      <formula>0</formula>
    </cfRule>
  </conditionalFormatting>
  <conditionalFormatting sqref="P232">
    <cfRule type="cellIs" dxfId="1581" priority="1887" operator="equal">
      <formula>AS_DURATION_EFFORT</formula>
    </cfRule>
    <cfRule type="cellIs" dxfId="1580" priority="1888" operator="equal">
      <formula>AS_DEV_EFFORT</formula>
    </cfRule>
  </conditionalFormatting>
  <conditionalFormatting sqref="F232">
    <cfRule type="expression" dxfId="1579" priority="1886">
      <formula>$K232&lt;&gt;""</formula>
    </cfRule>
  </conditionalFormatting>
  <conditionalFormatting sqref="C232">
    <cfRule type="expression" dxfId="1578" priority="1885">
      <formula>$G232&lt;&gt;"-"</formula>
    </cfRule>
  </conditionalFormatting>
  <conditionalFormatting sqref="D232">
    <cfRule type="expression" dxfId="1577" priority="1884">
      <formula>$H232&lt;&gt;"-"</formula>
    </cfRule>
  </conditionalFormatting>
  <conditionalFormatting sqref="E232">
    <cfRule type="expression" dxfId="1576" priority="1883">
      <formula>$I232&lt;&gt;"-"</formula>
    </cfRule>
  </conditionalFormatting>
  <conditionalFormatting sqref="B233">
    <cfRule type="expression" dxfId="1575" priority="1880">
      <formula>AD233&lt;&gt;""</formula>
    </cfRule>
  </conditionalFormatting>
  <conditionalFormatting sqref="Z233">
    <cfRule type="cellIs" dxfId="1574" priority="1878" operator="greaterThan">
      <formula>0</formula>
    </cfRule>
    <cfRule type="cellIs" dxfId="1573" priority="1879" operator="lessThan">
      <formula>0</formula>
    </cfRule>
  </conditionalFormatting>
  <conditionalFormatting sqref="S233">
    <cfRule type="cellIs" dxfId="1572" priority="1877" operator="lessThan">
      <formula>0</formula>
    </cfRule>
  </conditionalFormatting>
  <conditionalFormatting sqref="P233">
    <cfRule type="cellIs" dxfId="1571" priority="1875" operator="equal">
      <formula>AS_DURATION_EFFORT</formula>
    </cfRule>
    <cfRule type="cellIs" dxfId="1570" priority="1876" operator="equal">
      <formula>AS_DEV_EFFORT</formula>
    </cfRule>
  </conditionalFormatting>
  <conditionalFormatting sqref="F233">
    <cfRule type="expression" dxfId="1569" priority="1874">
      <formula>$K233&lt;&gt;""</formula>
    </cfRule>
  </conditionalFormatting>
  <conditionalFormatting sqref="C233">
    <cfRule type="expression" dxfId="1568" priority="1873">
      <formula>$G233&lt;&gt;"-"</formula>
    </cfRule>
  </conditionalFormatting>
  <conditionalFormatting sqref="D233">
    <cfRule type="expression" dxfId="1567" priority="1872">
      <formula>$H233&lt;&gt;"-"</formula>
    </cfRule>
  </conditionalFormatting>
  <conditionalFormatting sqref="E233">
    <cfRule type="expression" dxfId="1566" priority="1871">
      <formula>$I233&lt;&gt;"-"</formula>
    </cfRule>
  </conditionalFormatting>
  <conditionalFormatting sqref="B234">
    <cfRule type="expression" dxfId="1565" priority="1868">
      <formula>AD234&lt;&gt;""</formula>
    </cfRule>
  </conditionalFormatting>
  <conditionalFormatting sqref="Z234">
    <cfRule type="cellIs" dxfId="1564" priority="1866" operator="greaterThan">
      <formula>0</formula>
    </cfRule>
    <cfRule type="cellIs" dxfId="1563" priority="1867" operator="lessThan">
      <formula>0</formula>
    </cfRule>
  </conditionalFormatting>
  <conditionalFormatting sqref="S234">
    <cfRule type="cellIs" dxfId="1562" priority="1865" operator="lessThan">
      <formula>0</formula>
    </cfRule>
  </conditionalFormatting>
  <conditionalFormatting sqref="P234">
    <cfRule type="cellIs" dxfId="1561" priority="1863" operator="equal">
      <formula>AS_DURATION_EFFORT</formula>
    </cfRule>
    <cfRule type="cellIs" dxfId="1560" priority="1864" operator="equal">
      <formula>AS_DEV_EFFORT</formula>
    </cfRule>
  </conditionalFormatting>
  <conditionalFormatting sqref="F234">
    <cfRule type="expression" dxfId="1559" priority="1862">
      <formula>$K234&lt;&gt;""</formula>
    </cfRule>
  </conditionalFormatting>
  <conditionalFormatting sqref="C234">
    <cfRule type="expression" dxfId="1558" priority="1861">
      <formula>$G234&lt;&gt;"-"</formula>
    </cfRule>
  </conditionalFormatting>
  <conditionalFormatting sqref="D234">
    <cfRule type="expression" dxfId="1557" priority="1860">
      <formula>$H234&lt;&gt;"-"</formula>
    </cfRule>
  </conditionalFormatting>
  <conditionalFormatting sqref="E234">
    <cfRule type="expression" dxfId="1556" priority="1859">
      <formula>$I234&lt;&gt;"-"</formula>
    </cfRule>
  </conditionalFormatting>
  <conditionalFormatting sqref="B238">
    <cfRule type="expression" dxfId="1555" priority="1855">
      <formula>AD238&lt;&gt;""</formula>
    </cfRule>
  </conditionalFormatting>
  <conditionalFormatting sqref="Z238">
    <cfRule type="cellIs" dxfId="1554" priority="1853" operator="greaterThan">
      <formula>0</formula>
    </cfRule>
    <cfRule type="cellIs" dxfId="1553" priority="1854" operator="lessThan">
      <formula>0</formula>
    </cfRule>
  </conditionalFormatting>
  <conditionalFormatting sqref="S238">
    <cfRule type="cellIs" dxfId="1552" priority="1852" operator="lessThan">
      <formula>0</formula>
    </cfRule>
  </conditionalFormatting>
  <conditionalFormatting sqref="T236:T237">
    <cfRule type="expression" dxfId="1551" priority="1856">
      <formula>#REF!="Yes"</formula>
    </cfRule>
  </conditionalFormatting>
  <conditionalFormatting sqref="P238">
    <cfRule type="cellIs" dxfId="1550" priority="1850" operator="equal">
      <formula>AS_DURATION_EFFORT</formula>
    </cfRule>
    <cfRule type="cellIs" dxfId="1549" priority="1851" operator="equal">
      <formula>AS_DEV_EFFORT</formula>
    </cfRule>
  </conditionalFormatting>
  <conditionalFormatting sqref="B236:B237">
    <cfRule type="expression" dxfId="1548" priority="1849">
      <formula>AD236&lt;&gt;""</formula>
    </cfRule>
  </conditionalFormatting>
  <conditionalFormatting sqref="F238">
    <cfRule type="expression" dxfId="1547" priority="1848">
      <formula>$K238&lt;&gt;""</formula>
    </cfRule>
  </conditionalFormatting>
  <conditionalFormatting sqref="C238">
    <cfRule type="expression" dxfId="1546" priority="1847">
      <formula>$G238&lt;&gt;"-"</formula>
    </cfRule>
  </conditionalFormatting>
  <conditionalFormatting sqref="D238">
    <cfRule type="expression" dxfId="1545" priority="1846">
      <formula>$H238&lt;&gt;"-"</formula>
    </cfRule>
  </conditionalFormatting>
  <conditionalFormatting sqref="E238">
    <cfRule type="expression" dxfId="1544" priority="1845">
      <formula>$I238&lt;&gt;"-"</formula>
    </cfRule>
  </conditionalFormatting>
  <conditionalFormatting sqref="B239">
    <cfRule type="expression" dxfId="1543" priority="1842">
      <formula>AD239&lt;&gt;""</formula>
    </cfRule>
  </conditionalFormatting>
  <conditionalFormatting sqref="Z239">
    <cfRule type="cellIs" dxfId="1542" priority="1840" operator="greaterThan">
      <formula>0</formula>
    </cfRule>
    <cfRule type="cellIs" dxfId="1541" priority="1841" operator="lessThan">
      <formula>0</formula>
    </cfRule>
  </conditionalFormatting>
  <conditionalFormatting sqref="S239">
    <cfRule type="cellIs" dxfId="1540" priority="1839" operator="lessThan">
      <formula>0</formula>
    </cfRule>
  </conditionalFormatting>
  <conditionalFormatting sqref="P239">
    <cfRule type="cellIs" dxfId="1539" priority="1837" operator="equal">
      <formula>AS_DURATION_EFFORT</formula>
    </cfRule>
    <cfRule type="cellIs" dxfId="1538" priority="1838" operator="equal">
      <formula>AS_DEV_EFFORT</formula>
    </cfRule>
  </conditionalFormatting>
  <conditionalFormatting sqref="F239">
    <cfRule type="expression" dxfId="1537" priority="1836">
      <formula>$K239&lt;&gt;""</formula>
    </cfRule>
  </conditionalFormatting>
  <conditionalFormatting sqref="C239">
    <cfRule type="expression" dxfId="1536" priority="1835">
      <formula>$G239&lt;&gt;"-"</formula>
    </cfRule>
  </conditionalFormatting>
  <conditionalFormatting sqref="D239">
    <cfRule type="expression" dxfId="1535" priority="1834">
      <formula>$H239&lt;&gt;"-"</formula>
    </cfRule>
  </conditionalFormatting>
  <conditionalFormatting sqref="E239">
    <cfRule type="expression" dxfId="1534" priority="1833">
      <formula>$I239&lt;&gt;"-"</formula>
    </cfRule>
  </conditionalFormatting>
  <conditionalFormatting sqref="B240">
    <cfRule type="expression" dxfId="1533" priority="1830">
      <formula>AD240&lt;&gt;""</formula>
    </cfRule>
  </conditionalFormatting>
  <conditionalFormatting sqref="Z240">
    <cfRule type="cellIs" dxfId="1532" priority="1828" operator="greaterThan">
      <formula>0</formula>
    </cfRule>
    <cfRule type="cellIs" dxfId="1531" priority="1829" operator="lessThan">
      <formula>0</formula>
    </cfRule>
  </conditionalFormatting>
  <conditionalFormatting sqref="S240">
    <cfRule type="cellIs" dxfId="1530" priority="1827" operator="lessThan">
      <formula>0</formula>
    </cfRule>
  </conditionalFormatting>
  <conditionalFormatting sqref="P240">
    <cfRule type="cellIs" dxfId="1529" priority="1825" operator="equal">
      <formula>AS_DURATION_EFFORT</formula>
    </cfRule>
    <cfRule type="cellIs" dxfId="1528" priority="1826" operator="equal">
      <formula>AS_DEV_EFFORT</formula>
    </cfRule>
  </conditionalFormatting>
  <conditionalFormatting sqref="F240">
    <cfRule type="expression" dxfId="1527" priority="1824">
      <formula>$K240&lt;&gt;""</formula>
    </cfRule>
  </conditionalFormatting>
  <conditionalFormatting sqref="C240">
    <cfRule type="expression" dxfId="1526" priority="1823">
      <formula>$G240&lt;&gt;"-"</formula>
    </cfRule>
  </conditionalFormatting>
  <conditionalFormatting sqref="D240">
    <cfRule type="expression" dxfId="1525" priority="1822">
      <formula>$H240&lt;&gt;"-"</formula>
    </cfRule>
  </conditionalFormatting>
  <conditionalFormatting sqref="E240">
    <cfRule type="expression" dxfId="1524" priority="1821">
      <formula>$I240&lt;&gt;"-"</formula>
    </cfRule>
  </conditionalFormatting>
  <conditionalFormatting sqref="B241">
    <cfRule type="expression" dxfId="1523" priority="1818">
      <formula>AD241&lt;&gt;""</formula>
    </cfRule>
  </conditionalFormatting>
  <conditionalFormatting sqref="Z241">
    <cfRule type="cellIs" dxfId="1522" priority="1816" operator="greaterThan">
      <formula>0</formula>
    </cfRule>
    <cfRule type="cellIs" dxfId="1521" priority="1817" operator="lessThan">
      <formula>0</formula>
    </cfRule>
  </conditionalFormatting>
  <conditionalFormatting sqref="S241">
    <cfRule type="cellIs" dxfId="1520" priority="1815" operator="lessThan">
      <formula>0</formula>
    </cfRule>
  </conditionalFormatting>
  <conditionalFormatting sqref="P241">
    <cfRule type="cellIs" dxfId="1519" priority="1813" operator="equal">
      <formula>AS_DURATION_EFFORT</formula>
    </cfRule>
    <cfRule type="cellIs" dxfId="1518" priority="1814" operator="equal">
      <formula>AS_DEV_EFFORT</formula>
    </cfRule>
  </conditionalFormatting>
  <conditionalFormatting sqref="F241">
    <cfRule type="expression" dxfId="1517" priority="1812">
      <formula>$K241&lt;&gt;""</formula>
    </cfRule>
  </conditionalFormatting>
  <conditionalFormatting sqref="C241">
    <cfRule type="expression" dxfId="1516" priority="1811">
      <formula>$G241&lt;&gt;"-"</formula>
    </cfRule>
  </conditionalFormatting>
  <conditionalFormatting sqref="D241">
    <cfRule type="expression" dxfId="1515" priority="1810">
      <formula>$H241&lt;&gt;"-"</formula>
    </cfRule>
  </conditionalFormatting>
  <conditionalFormatting sqref="E241">
    <cfRule type="expression" dxfId="1514" priority="1809">
      <formula>$I241&lt;&gt;"-"</formula>
    </cfRule>
  </conditionalFormatting>
  <conditionalFormatting sqref="B242">
    <cfRule type="expression" dxfId="1513" priority="1806">
      <formula>AD242&lt;&gt;""</formula>
    </cfRule>
  </conditionalFormatting>
  <conditionalFormatting sqref="Z242">
    <cfRule type="cellIs" dxfId="1512" priority="1804" operator="greaterThan">
      <formula>0</formula>
    </cfRule>
    <cfRule type="cellIs" dxfId="1511" priority="1805" operator="lessThan">
      <formula>0</formula>
    </cfRule>
  </conditionalFormatting>
  <conditionalFormatting sqref="S242">
    <cfRule type="cellIs" dxfId="1510" priority="1803" operator="lessThan">
      <formula>0</formula>
    </cfRule>
  </conditionalFormatting>
  <conditionalFormatting sqref="P242">
    <cfRule type="cellIs" dxfId="1509" priority="1801" operator="equal">
      <formula>AS_DURATION_EFFORT</formula>
    </cfRule>
    <cfRule type="cellIs" dxfId="1508" priority="1802" operator="equal">
      <formula>AS_DEV_EFFORT</formula>
    </cfRule>
  </conditionalFormatting>
  <conditionalFormatting sqref="F242">
    <cfRule type="expression" dxfId="1507" priority="1800">
      <formula>$K242&lt;&gt;""</formula>
    </cfRule>
  </conditionalFormatting>
  <conditionalFormatting sqref="C242">
    <cfRule type="expression" dxfId="1506" priority="1799">
      <formula>$G242&lt;&gt;"-"</formula>
    </cfRule>
  </conditionalFormatting>
  <conditionalFormatting sqref="D242">
    <cfRule type="expression" dxfId="1505" priority="1798">
      <formula>$H242&lt;&gt;"-"</formula>
    </cfRule>
  </conditionalFormatting>
  <conditionalFormatting sqref="E242">
    <cfRule type="expression" dxfId="1504" priority="1797">
      <formula>$I242&lt;&gt;"-"</formula>
    </cfRule>
  </conditionalFormatting>
  <conditionalFormatting sqref="B262">
    <cfRule type="expression" dxfId="1503" priority="1793">
      <formula>AD262&lt;&gt;""</formula>
    </cfRule>
  </conditionalFormatting>
  <conditionalFormatting sqref="Z262">
    <cfRule type="cellIs" dxfId="1502" priority="1791" operator="greaterThan">
      <formula>0</formula>
    </cfRule>
    <cfRule type="cellIs" dxfId="1501" priority="1792" operator="lessThan">
      <formula>0</formula>
    </cfRule>
  </conditionalFormatting>
  <conditionalFormatting sqref="S262">
    <cfRule type="cellIs" dxfId="1500" priority="1790" operator="lessThan">
      <formula>0</formula>
    </cfRule>
  </conditionalFormatting>
  <conditionalFormatting sqref="T260:T261">
    <cfRule type="expression" dxfId="1499" priority="1794">
      <formula>#REF!="Yes"</formula>
    </cfRule>
  </conditionalFormatting>
  <conditionalFormatting sqref="P262">
    <cfRule type="cellIs" dxfId="1498" priority="1788" operator="equal">
      <formula>AS_DURATION_EFFORT</formula>
    </cfRule>
    <cfRule type="cellIs" dxfId="1497" priority="1789" operator="equal">
      <formula>AS_DEV_EFFORT</formula>
    </cfRule>
  </conditionalFormatting>
  <conditionalFormatting sqref="B260:B261">
    <cfRule type="expression" dxfId="1496" priority="1787">
      <formula>AD260&lt;&gt;""</formula>
    </cfRule>
  </conditionalFormatting>
  <conditionalFormatting sqref="F262">
    <cfRule type="expression" dxfId="1495" priority="1786">
      <formula>$K262&lt;&gt;""</formula>
    </cfRule>
  </conditionalFormatting>
  <conditionalFormatting sqref="C262">
    <cfRule type="expression" dxfId="1494" priority="1785">
      <formula>$G262&lt;&gt;"-"</formula>
    </cfRule>
  </conditionalFormatting>
  <conditionalFormatting sqref="D262">
    <cfRule type="expression" dxfId="1493" priority="1784">
      <formula>$H262&lt;&gt;"-"</formula>
    </cfRule>
  </conditionalFormatting>
  <conditionalFormatting sqref="E262">
    <cfRule type="expression" dxfId="1492" priority="1783">
      <formula>$I262&lt;&gt;"-"</formula>
    </cfRule>
  </conditionalFormatting>
  <conditionalFormatting sqref="B263">
    <cfRule type="expression" dxfId="1491" priority="1778">
      <formula>AD263&lt;&gt;""</formula>
    </cfRule>
  </conditionalFormatting>
  <conditionalFormatting sqref="Z263">
    <cfRule type="cellIs" dxfId="1490" priority="1776" operator="greaterThan">
      <formula>0</formula>
    </cfRule>
    <cfRule type="cellIs" dxfId="1489" priority="1777" operator="lessThan">
      <formula>0</formula>
    </cfRule>
  </conditionalFormatting>
  <conditionalFormatting sqref="S263">
    <cfRule type="cellIs" dxfId="1488" priority="1775" operator="lessThan">
      <formula>0</formula>
    </cfRule>
  </conditionalFormatting>
  <conditionalFormatting sqref="P263">
    <cfRule type="cellIs" dxfId="1487" priority="1773" operator="equal">
      <formula>AS_DURATION_EFFORT</formula>
    </cfRule>
    <cfRule type="cellIs" dxfId="1486" priority="1774" operator="equal">
      <formula>AS_DEV_EFFORT</formula>
    </cfRule>
  </conditionalFormatting>
  <conditionalFormatting sqref="F263">
    <cfRule type="expression" dxfId="1485" priority="1772">
      <formula>$K263&lt;&gt;""</formula>
    </cfRule>
  </conditionalFormatting>
  <conditionalFormatting sqref="C263">
    <cfRule type="expression" dxfId="1484" priority="1771">
      <formula>$G263&lt;&gt;"-"</formula>
    </cfRule>
  </conditionalFormatting>
  <conditionalFormatting sqref="D263">
    <cfRule type="expression" dxfId="1483" priority="1770">
      <formula>$H263&lt;&gt;"-"</formula>
    </cfRule>
  </conditionalFormatting>
  <conditionalFormatting sqref="E263">
    <cfRule type="expression" dxfId="1482" priority="1769">
      <formula>$I263&lt;&gt;"-"</formula>
    </cfRule>
  </conditionalFormatting>
  <conditionalFormatting sqref="B264">
    <cfRule type="expression" dxfId="1481" priority="1766">
      <formula>AD264&lt;&gt;""</formula>
    </cfRule>
  </conditionalFormatting>
  <conditionalFormatting sqref="Z264">
    <cfRule type="cellIs" dxfId="1480" priority="1764" operator="greaterThan">
      <formula>0</formula>
    </cfRule>
    <cfRule type="cellIs" dxfId="1479" priority="1765" operator="lessThan">
      <formula>0</formula>
    </cfRule>
  </conditionalFormatting>
  <conditionalFormatting sqref="S264">
    <cfRule type="cellIs" dxfId="1478" priority="1763" operator="lessThan">
      <formula>0</formula>
    </cfRule>
  </conditionalFormatting>
  <conditionalFormatting sqref="P264">
    <cfRule type="cellIs" dxfId="1477" priority="1761" operator="equal">
      <formula>AS_DURATION_EFFORT</formula>
    </cfRule>
    <cfRule type="cellIs" dxfId="1476" priority="1762" operator="equal">
      <formula>AS_DEV_EFFORT</formula>
    </cfRule>
  </conditionalFormatting>
  <conditionalFormatting sqref="F264">
    <cfRule type="expression" dxfId="1475" priority="1760">
      <formula>$K264&lt;&gt;""</formula>
    </cfRule>
  </conditionalFormatting>
  <conditionalFormatting sqref="C264">
    <cfRule type="expression" dxfId="1474" priority="1759">
      <formula>$G264&lt;&gt;"-"</formula>
    </cfRule>
  </conditionalFormatting>
  <conditionalFormatting sqref="D264">
    <cfRule type="expression" dxfId="1473" priority="1758">
      <formula>$H264&lt;&gt;"-"</formula>
    </cfRule>
  </conditionalFormatting>
  <conditionalFormatting sqref="E264">
    <cfRule type="expression" dxfId="1472" priority="1757">
      <formula>$I264&lt;&gt;"-"</formula>
    </cfRule>
  </conditionalFormatting>
  <conditionalFormatting sqref="B265">
    <cfRule type="expression" dxfId="1471" priority="1754">
      <formula>AD265&lt;&gt;""</formula>
    </cfRule>
  </conditionalFormatting>
  <conditionalFormatting sqref="Z265">
    <cfRule type="cellIs" dxfId="1470" priority="1752" operator="greaterThan">
      <formula>0</formula>
    </cfRule>
    <cfRule type="cellIs" dxfId="1469" priority="1753" operator="lessThan">
      <formula>0</formula>
    </cfRule>
  </conditionalFormatting>
  <conditionalFormatting sqref="S265">
    <cfRule type="cellIs" dxfId="1468" priority="1751" operator="lessThan">
      <formula>0</formula>
    </cfRule>
  </conditionalFormatting>
  <conditionalFormatting sqref="P265">
    <cfRule type="cellIs" dxfId="1467" priority="1749" operator="equal">
      <formula>AS_DURATION_EFFORT</formula>
    </cfRule>
    <cfRule type="cellIs" dxfId="1466" priority="1750" operator="equal">
      <formula>AS_DEV_EFFORT</formula>
    </cfRule>
  </conditionalFormatting>
  <conditionalFormatting sqref="F265">
    <cfRule type="expression" dxfId="1465" priority="1748">
      <formula>$K265&lt;&gt;""</formula>
    </cfRule>
  </conditionalFormatting>
  <conditionalFormatting sqref="C265">
    <cfRule type="expression" dxfId="1464" priority="1747">
      <formula>$G265&lt;&gt;"-"</formula>
    </cfRule>
  </conditionalFormatting>
  <conditionalFormatting sqref="D265">
    <cfRule type="expression" dxfId="1463" priority="1746">
      <formula>$H265&lt;&gt;"-"</formula>
    </cfRule>
  </conditionalFormatting>
  <conditionalFormatting sqref="E265">
    <cfRule type="expression" dxfId="1462" priority="1745">
      <formula>$I265&lt;&gt;"-"</formula>
    </cfRule>
  </conditionalFormatting>
  <conditionalFormatting sqref="B266">
    <cfRule type="expression" dxfId="1461" priority="1742">
      <formula>AD266&lt;&gt;""</formula>
    </cfRule>
  </conditionalFormatting>
  <conditionalFormatting sqref="Z266">
    <cfRule type="cellIs" dxfId="1460" priority="1740" operator="greaterThan">
      <formula>0</formula>
    </cfRule>
    <cfRule type="cellIs" dxfId="1459" priority="1741" operator="lessThan">
      <formula>0</formula>
    </cfRule>
  </conditionalFormatting>
  <conditionalFormatting sqref="S266">
    <cfRule type="cellIs" dxfId="1458" priority="1739" operator="lessThan">
      <formula>0</formula>
    </cfRule>
  </conditionalFormatting>
  <conditionalFormatting sqref="P266">
    <cfRule type="cellIs" dxfId="1457" priority="1737" operator="equal">
      <formula>AS_DURATION_EFFORT</formula>
    </cfRule>
    <cfRule type="cellIs" dxfId="1456" priority="1738" operator="equal">
      <formula>AS_DEV_EFFORT</formula>
    </cfRule>
  </conditionalFormatting>
  <conditionalFormatting sqref="F266">
    <cfRule type="expression" dxfId="1455" priority="1736">
      <formula>$K266&lt;&gt;""</formula>
    </cfRule>
  </conditionalFormatting>
  <conditionalFormatting sqref="C266">
    <cfRule type="expression" dxfId="1454" priority="1735">
      <formula>$G266&lt;&gt;"-"</formula>
    </cfRule>
  </conditionalFormatting>
  <conditionalFormatting sqref="D266">
    <cfRule type="expression" dxfId="1453" priority="1734">
      <formula>$H266&lt;&gt;"-"</formula>
    </cfRule>
  </conditionalFormatting>
  <conditionalFormatting sqref="E266">
    <cfRule type="expression" dxfId="1452" priority="1733">
      <formula>$I266&lt;&gt;"-"</formula>
    </cfRule>
  </conditionalFormatting>
  <conditionalFormatting sqref="B273">
    <cfRule type="expression" dxfId="1451" priority="1729">
      <formula>AD273&lt;&gt;""</formula>
    </cfRule>
  </conditionalFormatting>
  <conditionalFormatting sqref="Z273">
    <cfRule type="cellIs" dxfId="1450" priority="1727" operator="greaterThan">
      <formula>0</formula>
    </cfRule>
    <cfRule type="cellIs" dxfId="1449" priority="1728" operator="lessThan">
      <formula>0</formula>
    </cfRule>
  </conditionalFormatting>
  <conditionalFormatting sqref="S273">
    <cfRule type="cellIs" dxfId="1448" priority="1726" operator="lessThan">
      <formula>0</formula>
    </cfRule>
  </conditionalFormatting>
  <conditionalFormatting sqref="T271:T272">
    <cfRule type="expression" dxfId="1447" priority="1730">
      <formula>#REF!="Yes"</formula>
    </cfRule>
  </conditionalFormatting>
  <conditionalFormatting sqref="P273">
    <cfRule type="cellIs" dxfId="1446" priority="1724" operator="equal">
      <formula>AS_DURATION_EFFORT</formula>
    </cfRule>
    <cfRule type="cellIs" dxfId="1445" priority="1725" operator="equal">
      <formula>AS_DEV_EFFORT</formula>
    </cfRule>
  </conditionalFormatting>
  <conditionalFormatting sqref="B271:B272">
    <cfRule type="expression" dxfId="1444" priority="1723">
      <formula>AD271&lt;&gt;""</formula>
    </cfRule>
  </conditionalFormatting>
  <conditionalFormatting sqref="F273">
    <cfRule type="expression" dxfId="1443" priority="1722">
      <formula>$K273&lt;&gt;""</formula>
    </cfRule>
  </conditionalFormatting>
  <conditionalFormatting sqref="C273">
    <cfRule type="expression" dxfId="1442" priority="1721">
      <formula>$G273&lt;&gt;"-"</formula>
    </cfRule>
  </conditionalFormatting>
  <conditionalFormatting sqref="D273">
    <cfRule type="expression" dxfId="1441" priority="1720">
      <formula>$H273&lt;&gt;"-"</formula>
    </cfRule>
  </conditionalFormatting>
  <conditionalFormatting sqref="E273">
    <cfRule type="expression" dxfId="1440" priority="1719">
      <formula>$I273&lt;&gt;"-"</formula>
    </cfRule>
  </conditionalFormatting>
  <conditionalFormatting sqref="B274">
    <cfRule type="expression" dxfId="1439" priority="1716">
      <formula>AD274&lt;&gt;""</formula>
    </cfRule>
  </conditionalFormatting>
  <conditionalFormatting sqref="Z274">
    <cfRule type="cellIs" dxfId="1438" priority="1714" operator="greaterThan">
      <formula>0</formula>
    </cfRule>
    <cfRule type="cellIs" dxfId="1437" priority="1715" operator="lessThan">
      <formula>0</formula>
    </cfRule>
  </conditionalFormatting>
  <conditionalFormatting sqref="S274">
    <cfRule type="cellIs" dxfId="1436" priority="1713" operator="lessThan">
      <formula>0</formula>
    </cfRule>
  </conditionalFormatting>
  <conditionalFormatting sqref="P274">
    <cfRule type="cellIs" dxfId="1435" priority="1711" operator="equal">
      <formula>AS_DURATION_EFFORT</formula>
    </cfRule>
    <cfRule type="cellIs" dxfId="1434" priority="1712" operator="equal">
      <formula>AS_DEV_EFFORT</formula>
    </cfRule>
  </conditionalFormatting>
  <conditionalFormatting sqref="F274">
    <cfRule type="expression" dxfId="1433" priority="1710">
      <formula>$K274&lt;&gt;""</formula>
    </cfRule>
  </conditionalFormatting>
  <conditionalFormatting sqref="C274">
    <cfRule type="expression" dxfId="1432" priority="1709">
      <formula>$G274&lt;&gt;"-"</formula>
    </cfRule>
  </conditionalFormatting>
  <conditionalFormatting sqref="D274">
    <cfRule type="expression" dxfId="1431" priority="1708">
      <formula>$H274&lt;&gt;"-"</formula>
    </cfRule>
  </conditionalFormatting>
  <conditionalFormatting sqref="E274">
    <cfRule type="expression" dxfId="1430" priority="1707">
      <formula>$I274&lt;&gt;"-"</formula>
    </cfRule>
  </conditionalFormatting>
  <conditionalFormatting sqref="B275">
    <cfRule type="expression" dxfId="1429" priority="1704">
      <formula>AD275&lt;&gt;""</formula>
    </cfRule>
  </conditionalFormatting>
  <conditionalFormatting sqref="Z275">
    <cfRule type="cellIs" dxfId="1428" priority="1702" operator="greaterThan">
      <formula>0</formula>
    </cfRule>
    <cfRule type="cellIs" dxfId="1427" priority="1703" operator="lessThan">
      <formula>0</formula>
    </cfRule>
  </conditionalFormatting>
  <conditionalFormatting sqref="S275">
    <cfRule type="cellIs" dxfId="1426" priority="1701" operator="lessThan">
      <formula>0</formula>
    </cfRule>
  </conditionalFormatting>
  <conditionalFormatting sqref="P275">
    <cfRule type="cellIs" dxfId="1425" priority="1699" operator="equal">
      <formula>AS_DURATION_EFFORT</formula>
    </cfRule>
    <cfRule type="cellIs" dxfId="1424" priority="1700" operator="equal">
      <formula>AS_DEV_EFFORT</formula>
    </cfRule>
  </conditionalFormatting>
  <conditionalFormatting sqref="F275">
    <cfRule type="expression" dxfId="1423" priority="1698">
      <formula>$K275&lt;&gt;""</formula>
    </cfRule>
  </conditionalFormatting>
  <conditionalFormatting sqref="C275">
    <cfRule type="expression" dxfId="1422" priority="1697">
      <formula>$G275&lt;&gt;"-"</formula>
    </cfRule>
  </conditionalFormatting>
  <conditionalFormatting sqref="D275">
    <cfRule type="expression" dxfId="1421" priority="1696">
      <formula>$H275&lt;&gt;"-"</formula>
    </cfRule>
  </conditionalFormatting>
  <conditionalFormatting sqref="E275">
    <cfRule type="expression" dxfId="1420" priority="1695">
      <formula>$I275&lt;&gt;"-"</formula>
    </cfRule>
  </conditionalFormatting>
  <conditionalFormatting sqref="B276">
    <cfRule type="expression" dxfId="1419" priority="1692">
      <formula>AD276&lt;&gt;""</formula>
    </cfRule>
  </conditionalFormatting>
  <conditionalFormatting sqref="Z276">
    <cfRule type="cellIs" dxfId="1418" priority="1690" operator="greaterThan">
      <formula>0</formula>
    </cfRule>
    <cfRule type="cellIs" dxfId="1417" priority="1691" operator="lessThan">
      <formula>0</formula>
    </cfRule>
  </conditionalFormatting>
  <conditionalFormatting sqref="S276">
    <cfRule type="cellIs" dxfId="1416" priority="1689" operator="lessThan">
      <formula>0</formula>
    </cfRule>
  </conditionalFormatting>
  <conditionalFormatting sqref="P276">
    <cfRule type="cellIs" dxfId="1415" priority="1687" operator="equal">
      <formula>AS_DURATION_EFFORT</formula>
    </cfRule>
    <cfRule type="cellIs" dxfId="1414" priority="1688" operator="equal">
      <formula>AS_DEV_EFFORT</formula>
    </cfRule>
  </conditionalFormatting>
  <conditionalFormatting sqref="F276">
    <cfRule type="expression" dxfId="1413" priority="1686">
      <formula>$K276&lt;&gt;""</formula>
    </cfRule>
  </conditionalFormatting>
  <conditionalFormatting sqref="C276">
    <cfRule type="expression" dxfId="1412" priority="1685">
      <formula>$G276&lt;&gt;"-"</formula>
    </cfRule>
  </conditionalFormatting>
  <conditionalFormatting sqref="D276">
    <cfRule type="expression" dxfId="1411" priority="1684">
      <formula>$H276&lt;&gt;"-"</formula>
    </cfRule>
  </conditionalFormatting>
  <conditionalFormatting sqref="E276">
    <cfRule type="expression" dxfId="1410" priority="1683">
      <formula>$I276&lt;&gt;"-"</formula>
    </cfRule>
  </conditionalFormatting>
  <conditionalFormatting sqref="B277">
    <cfRule type="expression" dxfId="1409" priority="1680">
      <formula>AD277&lt;&gt;""</formula>
    </cfRule>
  </conditionalFormatting>
  <conditionalFormatting sqref="Z277">
    <cfRule type="cellIs" dxfId="1408" priority="1678" operator="greaterThan">
      <formula>0</formula>
    </cfRule>
    <cfRule type="cellIs" dxfId="1407" priority="1679" operator="lessThan">
      <formula>0</formula>
    </cfRule>
  </conditionalFormatting>
  <conditionalFormatting sqref="S277">
    <cfRule type="cellIs" dxfId="1406" priority="1677" operator="lessThan">
      <formula>0</formula>
    </cfRule>
  </conditionalFormatting>
  <conditionalFormatting sqref="P277">
    <cfRule type="cellIs" dxfId="1405" priority="1675" operator="equal">
      <formula>AS_DURATION_EFFORT</formula>
    </cfRule>
    <cfRule type="cellIs" dxfId="1404" priority="1676" operator="equal">
      <formula>AS_DEV_EFFORT</formula>
    </cfRule>
  </conditionalFormatting>
  <conditionalFormatting sqref="F277">
    <cfRule type="expression" dxfId="1403" priority="1674">
      <formula>$K277&lt;&gt;""</formula>
    </cfRule>
  </conditionalFormatting>
  <conditionalFormatting sqref="C277">
    <cfRule type="expression" dxfId="1402" priority="1673">
      <formula>$G277&lt;&gt;"-"</formula>
    </cfRule>
  </conditionalFormatting>
  <conditionalFormatting sqref="D277">
    <cfRule type="expression" dxfId="1401" priority="1672">
      <formula>$H277&lt;&gt;"-"</formula>
    </cfRule>
  </conditionalFormatting>
  <conditionalFormatting sqref="E277">
    <cfRule type="expression" dxfId="1400" priority="1671">
      <formula>$I277&lt;&gt;"-"</formula>
    </cfRule>
  </conditionalFormatting>
  <conditionalFormatting sqref="B281">
    <cfRule type="expression" dxfId="1399" priority="1667">
      <formula>AD281&lt;&gt;""</formula>
    </cfRule>
  </conditionalFormatting>
  <conditionalFormatting sqref="Z281">
    <cfRule type="cellIs" dxfId="1398" priority="1665" operator="greaterThan">
      <formula>0</formula>
    </cfRule>
    <cfRule type="cellIs" dxfId="1397" priority="1666" operator="lessThan">
      <formula>0</formula>
    </cfRule>
  </conditionalFormatting>
  <conditionalFormatting sqref="S281">
    <cfRule type="cellIs" dxfId="1396" priority="1664" operator="lessThan">
      <formula>0</formula>
    </cfRule>
  </conditionalFormatting>
  <conditionalFormatting sqref="T279:T280">
    <cfRule type="expression" dxfId="1395" priority="1668">
      <formula>#REF!="Yes"</formula>
    </cfRule>
  </conditionalFormatting>
  <conditionalFormatting sqref="P281">
    <cfRule type="cellIs" dxfId="1394" priority="1662" operator="equal">
      <formula>AS_DURATION_EFFORT</formula>
    </cfRule>
    <cfRule type="cellIs" dxfId="1393" priority="1663" operator="equal">
      <formula>AS_DEV_EFFORT</formula>
    </cfRule>
  </conditionalFormatting>
  <conditionalFormatting sqref="B279:B280">
    <cfRule type="expression" dxfId="1392" priority="1661">
      <formula>AD279&lt;&gt;""</formula>
    </cfRule>
  </conditionalFormatting>
  <conditionalFormatting sqref="F281">
    <cfRule type="expression" dxfId="1391" priority="1660">
      <formula>$K281&lt;&gt;""</formula>
    </cfRule>
  </conditionalFormatting>
  <conditionalFormatting sqref="C281">
    <cfRule type="expression" dxfId="1390" priority="1659">
      <formula>$G281&lt;&gt;"-"</formula>
    </cfRule>
  </conditionalFormatting>
  <conditionalFormatting sqref="D281">
    <cfRule type="expression" dxfId="1389" priority="1658">
      <formula>$H281&lt;&gt;"-"</formula>
    </cfRule>
  </conditionalFormatting>
  <conditionalFormatting sqref="E281">
    <cfRule type="expression" dxfId="1388" priority="1657">
      <formula>$I281&lt;&gt;"-"</formula>
    </cfRule>
  </conditionalFormatting>
  <conditionalFormatting sqref="B282">
    <cfRule type="expression" dxfId="1387" priority="1654">
      <formula>AD282&lt;&gt;""</formula>
    </cfRule>
  </conditionalFormatting>
  <conditionalFormatting sqref="Z282">
    <cfRule type="cellIs" dxfId="1386" priority="1652" operator="greaterThan">
      <formula>0</formula>
    </cfRule>
    <cfRule type="cellIs" dxfId="1385" priority="1653" operator="lessThan">
      <formula>0</formula>
    </cfRule>
  </conditionalFormatting>
  <conditionalFormatting sqref="S282">
    <cfRule type="cellIs" dxfId="1384" priority="1651" operator="lessThan">
      <formula>0</formula>
    </cfRule>
  </conditionalFormatting>
  <conditionalFormatting sqref="P282">
    <cfRule type="cellIs" dxfId="1383" priority="1649" operator="equal">
      <formula>AS_DURATION_EFFORT</formula>
    </cfRule>
    <cfRule type="cellIs" dxfId="1382" priority="1650" operator="equal">
      <formula>AS_DEV_EFFORT</formula>
    </cfRule>
  </conditionalFormatting>
  <conditionalFormatting sqref="F282">
    <cfRule type="expression" dxfId="1381" priority="1648">
      <formula>$K282&lt;&gt;""</formula>
    </cfRule>
  </conditionalFormatting>
  <conditionalFormatting sqref="C282">
    <cfRule type="expression" dxfId="1380" priority="1647">
      <formula>$G282&lt;&gt;"-"</formula>
    </cfRule>
  </conditionalFormatting>
  <conditionalFormatting sqref="D282">
    <cfRule type="expression" dxfId="1379" priority="1646">
      <formula>$H282&lt;&gt;"-"</formula>
    </cfRule>
  </conditionalFormatting>
  <conditionalFormatting sqref="E282">
    <cfRule type="expression" dxfId="1378" priority="1645">
      <formula>$I282&lt;&gt;"-"</formula>
    </cfRule>
  </conditionalFormatting>
  <conditionalFormatting sqref="B283">
    <cfRule type="expression" dxfId="1377" priority="1642">
      <formula>AD283&lt;&gt;""</formula>
    </cfRule>
  </conditionalFormatting>
  <conditionalFormatting sqref="Z283">
    <cfRule type="cellIs" dxfId="1376" priority="1640" operator="greaterThan">
      <formula>0</formula>
    </cfRule>
    <cfRule type="cellIs" dxfId="1375" priority="1641" operator="lessThan">
      <formula>0</formula>
    </cfRule>
  </conditionalFormatting>
  <conditionalFormatting sqref="S283">
    <cfRule type="cellIs" dxfId="1374" priority="1639" operator="lessThan">
      <formula>0</formula>
    </cfRule>
  </conditionalFormatting>
  <conditionalFormatting sqref="P283">
    <cfRule type="cellIs" dxfId="1373" priority="1637" operator="equal">
      <formula>AS_DURATION_EFFORT</formula>
    </cfRule>
    <cfRule type="cellIs" dxfId="1372" priority="1638" operator="equal">
      <formula>AS_DEV_EFFORT</formula>
    </cfRule>
  </conditionalFormatting>
  <conditionalFormatting sqref="F283">
    <cfRule type="expression" dxfId="1371" priority="1636">
      <formula>$K283&lt;&gt;""</formula>
    </cfRule>
  </conditionalFormatting>
  <conditionalFormatting sqref="C283">
    <cfRule type="expression" dxfId="1370" priority="1635">
      <formula>$G283&lt;&gt;"-"</formula>
    </cfRule>
  </conditionalFormatting>
  <conditionalFormatting sqref="D283">
    <cfRule type="expression" dxfId="1369" priority="1634">
      <formula>$H283&lt;&gt;"-"</formula>
    </cfRule>
  </conditionalFormatting>
  <conditionalFormatting sqref="E283">
    <cfRule type="expression" dxfId="1368" priority="1633">
      <formula>$I283&lt;&gt;"-"</formula>
    </cfRule>
  </conditionalFormatting>
  <conditionalFormatting sqref="B284">
    <cfRule type="expression" dxfId="1367" priority="1630">
      <formula>AD284&lt;&gt;""</formula>
    </cfRule>
  </conditionalFormatting>
  <conditionalFormatting sqref="Z284">
    <cfRule type="cellIs" dxfId="1366" priority="1628" operator="greaterThan">
      <formula>0</formula>
    </cfRule>
    <cfRule type="cellIs" dxfId="1365" priority="1629" operator="lessThan">
      <formula>0</formula>
    </cfRule>
  </conditionalFormatting>
  <conditionalFormatting sqref="S284">
    <cfRule type="cellIs" dxfId="1364" priority="1627" operator="lessThan">
      <formula>0</formula>
    </cfRule>
  </conditionalFormatting>
  <conditionalFormatting sqref="P284">
    <cfRule type="cellIs" dxfId="1363" priority="1625" operator="equal">
      <formula>AS_DURATION_EFFORT</formula>
    </cfRule>
    <cfRule type="cellIs" dxfId="1362" priority="1626" operator="equal">
      <formula>AS_DEV_EFFORT</formula>
    </cfRule>
  </conditionalFormatting>
  <conditionalFormatting sqref="F284">
    <cfRule type="expression" dxfId="1361" priority="1624">
      <formula>$K284&lt;&gt;""</formula>
    </cfRule>
  </conditionalFormatting>
  <conditionalFormatting sqref="C284">
    <cfRule type="expression" dxfId="1360" priority="1623">
      <formula>$G284&lt;&gt;"-"</formula>
    </cfRule>
  </conditionalFormatting>
  <conditionalFormatting sqref="D284">
    <cfRule type="expression" dxfId="1359" priority="1622">
      <formula>$H284&lt;&gt;"-"</formula>
    </cfRule>
  </conditionalFormatting>
  <conditionalFormatting sqref="E284">
    <cfRule type="expression" dxfId="1358" priority="1621">
      <formula>$I284&lt;&gt;"-"</formula>
    </cfRule>
  </conditionalFormatting>
  <conditionalFormatting sqref="B285">
    <cfRule type="expression" dxfId="1357" priority="1618">
      <formula>AD285&lt;&gt;""</formula>
    </cfRule>
  </conditionalFormatting>
  <conditionalFormatting sqref="Z285">
    <cfRule type="cellIs" dxfId="1356" priority="1616" operator="greaterThan">
      <formula>0</formula>
    </cfRule>
    <cfRule type="cellIs" dxfId="1355" priority="1617" operator="lessThan">
      <formula>0</formula>
    </cfRule>
  </conditionalFormatting>
  <conditionalFormatting sqref="S285">
    <cfRule type="cellIs" dxfId="1354" priority="1615" operator="lessThan">
      <formula>0</formula>
    </cfRule>
  </conditionalFormatting>
  <conditionalFormatting sqref="P285">
    <cfRule type="cellIs" dxfId="1353" priority="1613" operator="equal">
      <formula>AS_DURATION_EFFORT</formula>
    </cfRule>
    <cfRule type="cellIs" dxfId="1352" priority="1614" operator="equal">
      <formula>AS_DEV_EFFORT</formula>
    </cfRule>
  </conditionalFormatting>
  <conditionalFormatting sqref="F285">
    <cfRule type="expression" dxfId="1351" priority="1612">
      <formula>$K285&lt;&gt;""</formula>
    </cfRule>
  </conditionalFormatting>
  <conditionalFormatting sqref="C285">
    <cfRule type="expression" dxfId="1350" priority="1611">
      <formula>$G285&lt;&gt;"-"</formula>
    </cfRule>
  </conditionalFormatting>
  <conditionalFormatting sqref="D285">
    <cfRule type="expression" dxfId="1349" priority="1610">
      <formula>$H285&lt;&gt;"-"</formula>
    </cfRule>
  </conditionalFormatting>
  <conditionalFormatting sqref="E285">
    <cfRule type="expression" dxfId="1348" priority="1609">
      <formula>$I285&lt;&gt;"-"</formula>
    </cfRule>
  </conditionalFormatting>
  <conditionalFormatting sqref="B292">
    <cfRule type="expression" dxfId="1347" priority="1605">
      <formula>AD292&lt;&gt;""</formula>
    </cfRule>
  </conditionalFormatting>
  <conditionalFormatting sqref="Z292">
    <cfRule type="cellIs" dxfId="1346" priority="1603" operator="greaterThan">
      <formula>0</formula>
    </cfRule>
    <cfRule type="cellIs" dxfId="1345" priority="1604" operator="lessThan">
      <formula>0</formula>
    </cfRule>
  </conditionalFormatting>
  <conditionalFormatting sqref="S292">
    <cfRule type="cellIs" dxfId="1344" priority="1602" operator="lessThan">
      <formula>0</formula>
    </cfRule>
  </conditionalFormatting>
  <conditionalFormatting sqref="T290:T291">
    <cfRule type="expression" dxfId="1343" priority="1606">
      <formula>#REF!="Yes"</formula>
    </cfRule>
  </conditionalFormatting>
  <conditionalFormatting sqref="P292">
    <cfRule type="cellIs" dxfId="1342" priority="1600" operator="equal">
      <formula>AS_DURATION_EFFORT</formula>
    </cfRule>
    <cfRule type="cellIs" dxfId="1341" priority="1601" operator="equal">
      <formula>AS_DEV_EFFORT</formula>
    </cfRule>
  </conditionalFormatting>
  <conditionalFormatting sqref="B290:B291">
    <cfRule type="expression" dxfId="1340" priority="1599">
      <formula>AD290&lt;&gt;""</formula>
    </cfRule>
  </conditionalFormatting>
  <conditionalFormatting sqref="F292">
    <cfRule type="expression" dxfId="1339" priority="1598">
      <formula>$K292&lt;&gt;""</formula>
    </cfRule>
  </conditionalFormatting>
  <conditionalFormatting sqref="C292">
    <cfRule type="expression" dxfId="1338" priority="1597">
      <formula>$G292&lt;&gt;"-"</formula>
    </cfRule>
  </conditionalFormatting>
  <conditionalFormatting sqref="D292">
    <cfRule type="expression" dxfId="1337" priority="1596">
      <formula>$H292&lt;&gt;"-"</formula>
    </cfRule>
  </conditionalFormatting>
  <conditionalFormatting sqref="E292">
    <cfRule type="expression" dxfId="1336" priority="1595">
      <formula>$I292&lt;&gt;"-"</formula>
    </cfRule>
  </conditionalFormatting>
  <conditionalFormatting sqref="B293">
    <cfRule type="expression" dxfId="1335" priority="1592">
      <formula>AD293&lt;&gt;""</formula>
    </cfRule>
  </conditionalFormatting>
  <conditionalFormatting sqref="Z293">
    <cfRule type="cellIs" dxfId="1334" priority="1590" operator="greaterThan">
      <formula>0</formula>
    </cfRule>
    <cfRule type="cellIs" dxfId="1333" priority="1591" operator="lessThan">
      <formula>0</formula>
    </cfRule>
  </conditionalFormatting>
  <conditionalFormatting sqref="S293">
    <cfRule type="cellIs" dxfId="1332" priority="1589" operator="lessThan">
      <formula>0</formula>
    </cfRule>
  </conditionalFormatting>
  <conditionalFormatting sqref="P293">
    <cfRule type="cellIs" dxfId="1331" priority="1587" operator="equal">
      <formula>AS_DURATION_EFFORT</formula>
    </cfRule>
    <cfRule type="cellIs" dxfId="1330" priority="1588" operator="equal">
      <formula>AS_DEV_EFFORT</formula>
    </cfRule>
  </conditionalFormatting>
  <conditionalFormatting sqref="F293">
    <cfRule type="expression" dxfId="1329" priority="1586">
      <formula>$K293&lt;&gt;""</formula>
    </cfRule>
  </conditionalFormatting>
  <conditionalFormatting sqref="C293">
    <cfRule type="expression" dxfId="1328" priority="1585">
      <formula>$G293&lt;&gt;"-"</formula>
    </cfRule>
  </conditionalFormatting>
  <conditionalFormatting sqref="D293">
    <cfRule type="expression" dxfId="1327" priority="1584">
      <formula>$H293&lt;&gt;"-"</formula>
    </cfRule>
  </conditionalFormatting>
  <conditionalFormatting sqref="E293">
    <cfRule type="expression" dxfId="1326" priority="1583">
      <formula>$I293&lt;&gt;"-"</formula>
    </cfRule>
  </conditionalFormatting>
  <conditionalFormatting sqref="B294">
    <cfRule type="expression" dxfId="1325" priority="1580">
      <formula>AD294&lt;&gt;""</formula>
    </cfRule>
  </conditionalFormatting>
  <conditionalFormatting sqref="Z294">
    <cfRule type="cellIs" dxfId="1324" priority="1578" operator="greaterThan">
      <formula>0</formula>
    </cfRule>
    <cfRule type="cellIs" dxfId="1323" priority="1579" operator="lessThan">
      <formula>0</formula>
    </cfRule>
  </conditionalFormatting>
  <conditionalFormatting sqref="S294">
    <cfRule type="cellIs" dxfId="1322" priority="1577" operator="lessThan">
      <formula>0</formula>
    </cfRule>
  </conditionalFormatting>
  <conditionalFormatting sqref="P294">
    <cfRule type="cellIs" dxfId="1321" priority="1575" operator="equal">
      <formula>AS_DURATION_EFFORT</formula>
    </cfRule>
    <cfRule type="cellIs" dxfId="1320" priority="1576" operator="equal">
      <formula>AS_DEV_EFFORT</formula>
    </cfRule>
  </conditionalFormatting>
  <conditionalFormatting sqref="F294">
    <cfRule type="expression" dxfId="1319" priority="1574">
      <formula>$K294&lt;&gt;""</formula>
    </cfRule>
  </conditionalFormatting>
  <conditionalFormatting sqref="C294">
    <cfRule type="expression" dxfId="1318" priority="1573">
      <formula>$G294&lt;&gt;"-"</formula>
    </cfRule>
  </conditionalFormatting>
  <conditionalFormatting sqref="D294">
    <cfRule type="expression" dxfId="1317" priority="1572">
      <formula>$H294&lt;&gt;"-"</formula>
    </cfRule>
  </conditionalFormatting>
  <conditionalFormatting sqref="E294">
    <cfRule type="expression" dxfId="1316" priority="1571">
      <formula>$I294&lt;&gt;"-"</formula>
    </cfRule>
  </conditionalFormatting>
  <conditionalFormatting sqref="B295">
    <cfRule type="expression" dxfId="1315" priority="1568">
      <formula>AD295&lt;&gt;""</formula>
    </cfRule>
  </conditionalFormatting>
  <conditionalFormatting sqref="Z295">
    <cfRule type="cellIs" dxfId="1314" priority="1566" operator="greaterThan">
      <formula>0</formula>
    </cfRule>
    <cfRule type="cellIs" dxfId="1313" priority="1567" operator="lessThan">
      <formula>0</formula>
    </cfRule>
  </conditionalFormatting>
  <conditionalFormatting sqref="S295">
    <cfRule type="cellIs" dxfId="1312" priority="1565" operator="lessThan">
      <formula>0</formula>
    </cfRule>
  </conditionalFormatting>
  <conditionalFormatting sqref="P295">
    <cfRule type="cellIs" dxfId="1311" priority="1563" operator="equal">
      <formula>AS_DURATION_EFFORT</formula>
    </cfRule>
    <cfRule type="cellIs" dxfId="1310" priority="1564" operator="equal">
      <formula>AS_DEV_EFFORT</formula>
    </cfRule>
  </conditionalFormatting>
  <conditionalFormatting sqref="F295">
    <cfRule type="expression" dxfId="1309" priority="1562">
      <formula>$K295&lt;&gt;""</formula>
    </cfRule>
  </conditionalFormatting>
  <conditionalFormatting sqref="C295">
    <cfRule type="expression" dxfId="1308" priority="1561">
      <formula>$G295&lt;&gt;"-"</formula>
    </cfRule>
  </conditionalFormatting>
  <conditionalFormatting sqref="D295">
    <cfRule type="expression" dxfId="1307" priority="1560">
      <formula>$H295&lt;&gt;"-"</formula>
    </cfRule>
  </conditionalFormatting>
  <conditionalFormatting sqref="E295">
    <cfRule type="expression" dxfId="1306" priority="1559">
      <formula>$I295&lt;&gt;"-"</formula>
    </cfRule>
  </conditionalFormatting>
  <conditionalFormatting sqref="B296">
    <cfRule type="expression" dxfId="1305" priority="1556">
      <formula>AD296&lt;&gt;""</formula>
    </cfRule>
  </conditionalFormatting>
  <conditionalFormatting sqref="Z296">
    <cfRule type="cellIs" dxfId="1304" priority="1554" operator="greaterThan">
      <formula>0</formula>
    </cfRule>
    <cfRule type="cellIs" dxfId="1303" priority="1555" operator="lessThan">
      <formula>0</formula>
    </cfRule>
  </conditionalFormatting>
  <conditionalFormatting sqref="S296">
    <cfRule type="cellIs" dxfId="1302" priority="1553" operator="lessThan">
      <formula>0</formula>
    </cfRule>
  </conditionalFormatting>
  <conditionalFormatting sqref="P296">
    <cfRule type="cellIs" dxfId="1301" priority="1551" operator="equal">
      <formula>AS_DURATION_EFFORT</formula>
    </cfRule>
    <cfRule type="cellIs" dxfId="1300" priority="1552" operator="equal">
      <formula>AS_DEV_EFFORT</formula>
    </cfRule>
  </conditionalFormatting>
  <conditionalFormatting sqref="F296">
    <cfRule type="expression" dxfId="1299" priority="1550">
      <formula>$K296&lt;&gt;""</formula>
    </cfRule>
  </conditionalFormatting>
  <conditionalFormatting sqref="C296">
    <cfRule type="expression" dxfId="1298" priority="1549">
      <formula>$G296&lt;&gt;"-"</formula>
    </cfRule>
  </conditionalFormatting>
  <conditionalFormatting sqref="D296">
    <cfRule type="expression" dxfId="1297" priority="1548">
      <formula>$H296&lt;&gt;"-"</formula>
    </cfRule>
  </conditionalFormatting>
  <conditionalFormatting sqref="E296">
    <cfRule type="expression" dxfId="1296" priority="1547">
      <formula>$I296&lt;&gt;"-"</formula>
    </cfRule>
  </conditionalFormatting>
  <conditionalFormatting sqref="B305">
    <cfRule type="expression" dxfId="1295" priority="1543">
      <formula>AD305&lt;&gt;""</formula>
    </cfRule>
  </conditionalFormatting>
  <conditionalFormatting sqref="Z305">
    <cfRule type="cellIs" dxfId="1294" priority="1541" operator="greaterThan">
      <formula>0</formula>
    </cfRule>
    <cfRule type="cellIs" dxfId="1293" priority="1542" operator="lessThan">
      <formula>0</formula>
    </cfRule>
  </conditionalFormatting>
  <conditionalFormatting sqref="S305">
    <cfRule type="cellIs" dxfId="1292" priority="1540" operator="lessThan">
      <formula>0</formula>
    </cfRule>
  </conditionalFormatting>
  <conditionalFormatting sqref="T303:T304">
    <cfRule type="expression" dxfId="1291" priority="1544">
      <formula>#REF!="Yes"</formula>
    </cfRule>
  </conditionalFormatting>
  <conditionalFormatting sqref="P305">
    <cfRule type="cellIs" dxfId="1290" priority="1538" operator="equal">
      <formula>AS_DURATION_EFFORT</formula>
    </cfRule>
    <cfRule type="cellIs" dxfId="1289" priority="1539" operator="equal">
      <formula>AS_DEV_EFFORT</formula>
    </cfRule>
  </conditionalFormatting>
  <conditionalFormatting sqref="B303:B304">
    <cfRule type="expression" dxfId="1288" priority="1537">
      <formula>AD303&lt;&gt;""</formula>
    </cfRule>
  </conditionalFormatting>
  <conditionalFormatting sqref="F305">
    <cfRule type="expression" dxfId="1287" priority="1536">
      <formula>$K305&lt;&gt;""</formula>
    </cfRule>
  </conditionalFormatting>
  <conditionalFormatting sqref="C305">
    <cfRule type="expression" dxfId="1286" priority="1535">
      <formula>$G305&lt;&gt;"-"</formula>
    </cfRule>
  </conditionalFormatting>
  <conditionalFormatting sqref="D305">
    <cfRule type="expression" dxfId="1285" priority="1534">
      <formula>$H305&lt;&gt;"-"</formula>
    </cfRule>
  </conditionalFormatting>
  <conditionalFormatting sqref="E305">
    <cfRule type="expression" dxfId="1284" priority="1533">
      <formula>$I305&lt;&gt;"-"</formula>
    </cfRule>
  </conditionalFormatting>
  <conditionalFormatting sqref="B306">
    <cfRule type="expression" dxfId="1283" priority="1528">
      <formula>AD306&lt;&gt;""</formula>
    </cfRule>
  </conditionalFormatting>
  <conditionalFormatting sqref="Z306">
    <cfRule type="cellIs" dxfId="1282" priority="1526" operator="greaterThan">
      <formula>0</formula>
    </cfRule>
    <cfRule type="cellIs" dxfId="1281" priority="1527" operator="lessThan">
      <formula>0</formula>
    </cfRule>
  </conditionalFormatting>
  <conditionalFormatting sqref="S306">
    <cfRule type="cellIs" dxfId="1280" priority="1525" operator="lessThan">
      <formula>0</formula>
    </cfRule>
  </conditionalFormatting>
  <conditionalFormatting sqref="P306">
    <cfRule type="cellIs" dxfId="1279" priority="1523" operator="equal">
      <formula>AS_DURATION_EFFORT</formula>
    </cfRule>
    <cfRule type="cellIs" dxfId="1278" priority="1524" operator="equal">
      <formula>AS_DEV_EFFORT</formula>
    </cfRule>
  </conditionalFormatting>
  <conditionalFormatting sqref="F306">
    <cfRule type="expression" dxfId="1277" priority="1522">
      <formula>$K306&lt;&gt;""</formula>
    </cfRule>
  </conditionalFormatting>
  <conditionalFormatting sqref="C306">
    <cfRule type="expression" dxfId="1276" priority="1521">
      <formula>$G306&lt;&gt;"-"</formula>
    </cfRule>
  </conditionalFormatting>
  <conditionalFormatting sqref="D306">
    <cfRule type="expression" dxfId="1275" priority="1520">
      <formula>$H306&lt;&gt;"-"</formula>
    </cfRule>
  </conditionalFormatting>
  <conditionalFormatting sqref="E306">
    <cfRule type="expression" dxfId="1274" priority="1519">
      <formula>$I306&lt;&gt;"-"</formula>
    </cfRule>
  </conditionalFormatting>
  <conditionalFormatting sqref="B307">
    <cfRule type="expression" dxfId="1273" priority="1516">
      <formula>AD307&lt;&gt;""</formula>
    </cfRule>
  </conditionalFormatting>
  <conditionalFormatting sqref="Z307">
    <cfRule type="cellIs" dxfId="1272" priority="1514" operator="greaterThan">
      <formula>0</formula>
    </cfRule>
    <cfRule type="cellIs" dxfId="1271" priority="1515" operator="lessThan">
      <formula>0</formula>
    </cfRule>
  </conditionalFormatting>
  <conditionalFormatting sqref="S307">
    <cfRule type="cellIs" dxfId="1270" priority="1513" operator="lessThan">
      <formula>0</formula>
    </cfRule>
  </conditionalFormatting>
  <conditionalFormatting sqref="P307">
    <cfRule type="cellIs" dxfId="1269" priority="1511" operator="equal">
      <formula>AS_DURATION_EFFORT</formula>
    </cfRule>
    <cfRule type="cellIs" dxfId="1268" priority="1512" operator="equal">
      <formula>AS_DEV_EFFORT</formula>
    </cfRule>
  </conditionalFormatting>
  <conditionalFormatting sqref="F307">
    <cfRule type="expression" dxfId="1267" priority="1510">
      <formula>$K307&lt;&gt;""</formula>
    </cfRule>
  </conditionalFormatting>
  <conditionalFormatting sqref="C307">
    <cfRule type="expression" dxfId="1266" priority="1509">
      <formula>$G307&lt;&gt;"-"</formula>
    </cfRule>
  </conditionalFormatting>
  <conditionalFormatting sqref="D307">
    <cfRule type="expression" dxfId="1265" priority="1508">
      <formula>$H307&lt;&gt;"-"</formula>
    </cfRule>
  </conditionalFormatting>
  <conditionalFormatting sqref="E307">
    <cfRule type="expression" dxfId="1264" priority="1507">
      <formula>$I307&lt;&gt;"-"</formula>
    </cfRule>
  </conditionalFormatting>
  <conditionalFormatting sqref="B308">
    <cfRule type="expression" dxfId="1263" priority="1504">
      <formula>AD308&lt;&gt;""</formula>
    </cfRule>
  </conditionalFormatting>
  <conditionalFormatting sqref="Z308">
    <cfRule type="cellIs" dxfId="1262" priority="1502" operator="greaterThan">
      <formula>0</formula>
    </cfRule>
    <cfRule type="cellIs" dxfId="1261" priority="1503" operator="lessThan">
      <formula>0</formula>
    </cfRule>
  </conditionalFormatting>
  <conditionalFormatting sqref="S308">
    <cfRule type="cellIs" dxfId="1260" priority="1501" operator="lessThan">
      <formula>0</formula>
    </cfRule>
  </conditionalFormatting>
  <conditionalFormatting sqref="P308">
    <cfRule type="cellIs" dxfId="1259" priority="1499" operator="equal">
      <formula>AS_DURATION_EFFORT</formula>
    </cfRule>
    <cfRule type="cellIs" dxfId="1258" priority="1500" operator="equal">
      <formula>AS_DEV_EFFORT</formula>
    </cfRule>
  </conditionalFormatting>
  <conditionalFormatting sqref="F308">
    <cfRule type="expression" dxfId="1257" priority="1498">
      <formula>$K308&lt;&gt;""</formula>
    </cfRule>
  </conditionalFormatting>
  <conditionalFormatting sqref="C308">
    <cfRule type="expression" dxfId="1256" priority="1497">
      <formula>$G308&lt;&gt;"-"</formula>
    </cfRule>
  </conditionalFormatting>
  <conditionalFormatting sqref="D308">
    <cfRule type="expression" dxfId="1255" priority="1496">
      <formula>$H308&lt;&gt;"-"</formula>
    </cfRule>
  </conditionalFormatting>
  <conditionalFormatting sqref="E308">
    <cfRule type="expression" dxfId="1254" priority="1495">
      <formula>$I308&lt;&gt;"-"</formula>
    </cfRule>
  </conditionalFormatting>
  <conditionalFormatting sqref="B309">
    <cfRule type="expression" dxfId="1253" priority="1492">
      <formula>AD309&lt;&gt;""</formula>
    </cfRule>
  </conditionalFormatting>
  <conditionalFormatting sqref="Z309">
    <cfRule type="cellIs" dxfId="1252" priority="1490" operator="greaterThan">
      <formula>0</formula>
    </cfRule>
    <cfRule type="cellIs" dxfId="1251" priority="1491" operator="lessThan">
      <formula>0</formula>
    </cfRule>
  </conditionalFormatting>
  <conditionalFormatting sqref="S309">
    <cfRule type="cellIs" dxfId="1250" priority="1489" operator="lessThan">
      <formula>0</formula>
    </cfRule>
  </conditionalFormatting>
  <conditionalFormatting sqref="P309">
    <cfRule type="cellIs" dxfId="1249" priority="1487" operator="equal">
      <formula>AS_DURATION_EFFORT</formula>
    </cfRule>
    <cfRule type="cellIs" dxfId="1248" priority="1488" operator="equal">
      <formula>AS_DEV_EFFORT</formula>
    </cfRule>
  </conditionalFormatting>
  <conditionalFormatting sqref="F309">
    <cfRule type="expression" dxfId="1247" priority="1486">
      <formula>$K309&lt;&gt;""</formula>
    </cfRule>
  </conditionalFormatting>
  <conditionalFormatting sqref="C309">
    <cfRule type="expression" dxfId="1246" priority="1485">
      <formula>$G309&lt;&gt;"-"</formula>
    </cfRule>
  </conditionalFormatting>
  <conditionalFormatting sqref="D309">
    <cfRule type="expression" dxfId="1245" priority="1484">
      <formula>$H309&lt;&gt;"-"</formula>
    </cfRule>
  </conditionalFormatting>
  <conditionalFormatting sqref="E309">
    <cfRule type="expression" dxfId="1244" priority="1483">
      <formula>$I309&lt;&gt;"-"</formula>
    </cfRule>
  </conditionalFormatting>
  <conditionalFormatting sqref="B313">
    <cfRule type="expression" dxfId="1243" priority="1479">
      <formula>AD313&lt;&gt;""</formula>
    </cfRule>
  </conditionalFormatting>
  <conditionalFormatting sqref="Z313">
    <cfRule type="cellIs" dxfId="1242" priority="1477" operator="greaterThan">
      <formula>0</formula>
    </cfRule>
    <cfRule type="cellIs" dxfId="1241" priority="1478" operator="lessThan">
      <formula>0</formula>
    </cfRule>
  </conditionalFormatting>
  <conditionalFormatting sqref="S313">
    <cfRule type="cellIs" dxfId="1240" priority="1476" operator="lessThan">
      <formula>0</formula>
    </cfRule>
  </conditionalFormatting>
  <conditionalFormatting sqref="T311:T312">
    <cfRule type="expression" dxfId="1239" priority="1480">
      <formula>#REF!="Yes"</formula>
    </cfRule>
  </conditionalFormatting>
  <conditionalFormatting sqref="P313">
    <cfRule type="cellIs" dxfId="1238" priority="1474" operator="equal">
      <formula>AS_DURATION_EFFORT</formula>
    </cfRule>
    <cfRule type="cellIs" dxfId="1237" priority="1475" operator="equal">
      <formula>AS_DEV_EFFORT</formula>
    </cfRule>
  </conditionalFormatting>
  <conditionalFormatting sqref="B311:B312">
    <cfRule type="expression" dxfId="1236" priority="1473">
      <formula>AD311&lt;&gt;""</formula>
    </cfRule>
  </conditionalFormatting>
  <conditionalFormatting sqref="F313">
    <cfRule type="expression" dxfId="1235" priority="1472">
      <formula>$K313&lt;&gt;""</formula>
    </cfRule>
  </conditionalFormatting>
  <conditionalFormatting sqref="C313">
    <cfRule type="expression" dxfId="1234" priority="1471">
      <formula>$G313&lt;&gt;"-"</formula>
    </cfRule>
  </conditionalFormatting>
  <conditionalFormatting sqref="D313">
    <cfRule type="expression" dxfId="1233" priority="1470">
      <formula>$H313&lt;&gt;"-"</formula>
    </cfRule>
  </conditionalFormatting>
  <conditionalFormatting sqref="E313">
    <cfRule type="expression" dxfId="1232" priority="1469">
      <formula>$I313&lt;&gt;"-"</formula>
    </cfRule>
  </conditionalFormatting>
  <conditionalFormatting sqref="B314">
    <cfRule type="expression" dxfId="1231" priority="1466">
      <formula>AD314&lt;&gt;""</formula>
    </cfRule>
  </conditionalFormatting>
  <conditionalFormatting sqref="Z314">
    <cfRule type="cellIs" dxfId="1230" priority="1464" operator="greaterThan">
      <formula>0</formula>
    </cfRule>
    <cfRule type="cellIs" dxfId="1229" priority="1465" operator="lessThan">
      <formula>0</formula>
    </cfRule>
  </conditionalFormatting>
  <conditionalFormatting sqref="S314">
    <cfRule type="cellIs" dxfId="1228" priority="1463" operator="lessThan">
      <formula>0</formula>
    </cfRule>
  </conditionalFormatting>
  <conditionalFormatting sqref="P314">
    <cfRule type="cellIs" dxfId="1227" priority="1461" operator="equal">
      <formula>AS_DURATION_EFFORT</formula>
    </cfRule>
    <cfRule type="cellIs" dxfId="1226" priority="1462" operator="equal">
      <formula>AS_DEV_EFFORT</formula>
    </cfRule>
  </conditionalFormatting>
  <conditionalFormatting sqref="F314">
    <cfRule type="expression" dxfId="1225" priority="1460">
      <formula>$K314&lt;&gt;""</formula>
    </cfRule>
  </conditionalFormatting>
  <conditionalFormatting sqref="C314">
    <cfRule type="expression" dxfId="1224" priority="1459">
      <formula>$G314&lt;&gt;"-"</formula>
    </cfRule>
  </conditionalFormatting>
  <conditionalFormatting sqref="D314">
    <cfRule type="expression" dxfId="1223" priority="1458">
      <formula>$H314&lt;&gt;"-"</formula>
    </cfRule>
  </conditionalFormatting>
  <conditionalFormatting sqref="E314">
    <cfRule type="expression" dxfId="1222" priority="1457">
      <formula>$I314&lt;&gt;"-"</formula>
    </cfRule>
  </conditionalFormatting>
  <conditionalFormatting sqref="B315">
    <cfRule type="expression" dxfId="1221" priority="1442">
      <formula>AD315&lt;&gt;""</formula>
    </cfRule>
  </conditionalFormatting>
  <conditionalFormatting sqref="Z315">
    <cfRule type="cellIs" dxfId="1220" priority="1440" operator="greaterThan">
      <formula>0</formula>
    </cfRule>
    <cfRule type="cellIs" dxfId="1219" priority="1441" operator="lessThan">
      <formula>0</formula>
    </cfRule>
  </conditionalFormatting>
  <conditionalFormatting sqref="S315">
    <cfRule type="cellIs" dxfId="1218" priority="1439" operator="lessThan">
      <formula>0</formula>
    </cfRule>
  </conditionalFormatting>
  <conditionalFormatting sqref="P315">
    <cfRule type="cellIs" dxfId="1217" priority="1437" operator="equal">
      <formula>AS_DURATION_EFFORT</formula>
    </cfRule>
    <cfRule type="cellIs" dxfId="1216" priority="1438" operator="equal">
      <formula>AS_DEV_EFFORT</formula>
    </cfRule>
  </conditionalFormatting>
  <conditionalFormatting sqref="F315">
    <cfRule type="expression" dxfId="1215" priority="1436">
      <formula>$K315&lt;&gt;""</formula>
    </cfRule>
  </conditionalFormatting>
  <conditionalFormatting sqref="C315">
    <cfRule type="expression" dxfId="1214" priority="1435">
      <formula>$G315&lt;&gt;"-"</formula>
    </cfRule>
  </conditionalFormatting>
  <conditionalFormatting sqref="D315">
    <cfRule type="expression" dxfId="1213" priority="1434">
      <formula>$H315&lt;&gt;"-"</formula>
    </cfRule>
  </conditionalFormatting>
  <conditionalFormatting sqref="E315">
    <cfRule type="expression" dxfId="1212" priority="1433">
      <formula>$I315&lt;&gt;"-"</formula>
    </cfRule>
  </conditionalFormatting>
  <conditionalFormatting sqref="B321">
    <cfRule type="expression" dxfId="1211" priority="1429">
      <formula>AD321&lt;&gt;""</formula>
    </cfRule>
  </conditionalFormatting>
  <conditionalFormatting sqref="Z321">
    <cfRule type="cellIs" dxfId="1210" priority="1427" operator="greaterThan">
      <formula>0</formula>
    </cfRule>
    <cfRule type="cellIs" dxfId="1209" priority="1428" operator="lessThan">
      <formula>0</formula>
    </cfRule>
  </conditionalFormatting>
  <conditionalFormatting sqref="S321">
    <cfRule type="cellIs" dxfId="1208" priority="1426" operator="lessThan">
      <formula>0</formula>
    </cfRule>
  </conditionalFormatting>
  <conditionalFormatting sqref="T319:T320">
    <cfRule type="expression" dxfId="1207" priority="1430">
      <formula>#REF!="Yes"</formula>
    </cfRule>
  </conditionalFormatting>
  <conditionalFormatting sqref="P321">
    <cfRule type="cellIs" dxfId="1206" priority="1424" operator="equal">
      <formula>AS_DURATION_EFFORT</formula>
    </cfRule>
    <cfRule type="cellIs" dxfId="1205" priority="1425" operator="equal">
      <formula>AS_DEV_EFFORT</formula>
    </cfRule>
  </conditionalFormatting>
  <conditionalFormatting sqref="B319:B320">
    <cfRule type="expression" dxfId="1204" priority="1423">
      <formula>AD319&lt;&gt;""</formula>
    </cfRule>
  </conditionalFormatting>
  <conditionalFormatting sqref="F321">
    <cfRule type="expression" dxfId="1203" priority="1422">
      <formula>$K321&lt;&gt;""</formula>
    </cfRule>
  </conditionalFormatting>
  <conditionalFormatting sqref="C321">
    <cfRule type="expression" dxfId="1202" priority="1421">
      <formula>$G321&lt;&gt;"-"</formula>
    </cfRule>
  </conditionalFormatting>
  <conditionalFormatting sqref="D321">
    <cfRule type="expression" dxfId="1201" priority="1420">
      <formula>$H321&lt;&gt;"-"</formula>
    </cfRule>
  </conditionalFormatting>
  <conditionalFormatting sqref="E321">
    <cfRule type="expression" dxfId="1200" priority="1419">
      <formula>$I321&lt;&gt;"-"</formula>
    </cfRule>
  </conditionalFormatting>
  <conditionalFormatting sqref="B329">
    <cfRule type="expression" dxfId="1199" priority="1377">
      <formula>AD329&lt;&gt;""</formula>
    </cfRule>
  </conditionalFormatting>
  <conditionalFormatting sqref="Z329">
    <cfRule type="cellIs" dxfId="1198" priority="1375" operator="greaterThan">
      <formula>0</formula>
    </cfRule>
    <cfRule type="cellIs" dxfId="1197" priority="1376" operator="lessThan">
      <formula>0</formula>
    </cfRule>
  </conditionalFormatting>
  <conditionalFormatting sqref="S329">
    <cfRule type="cellIs" dxfId="1196" priority="1374" operator="lessThan">
      <formula>0</formula>
    </cfRule>
  </conditionalFormatting>
  <conditionalFormatting sqref="T327:T328">
    <cfRule type="expression" dxfId="1195" priority="1378">
      <formula>#REF!="Yes"</formula>
    </cfRule>
  </conditionalFormatting>
  <conditionalFormatting sqref="P329">
    <cfRule type="cellIs" dxfId="1194" priority="1372" operator="equal">
      <formula>AS_DURATION_EFFORT</formula>
    </cfRule>
    <cfRule type="cellIs" dxfId="1193" priority="1373" operator="equal">
      <formula>AS_DEV_EFFORT</formula>
    </cfRule>
  </conditionalFormatting>
  <conditionalFormatting sqref="B327:B328">
    <cfRule type="expression" dxfId="1192" priority="1371">
      <formula>AD327&lt;&gt;""</formula>
    </cfRule>
  </conditionalFormatting>
  <conditionalFormatting sqref="F329">
    <cfRule type="expression" dxfId="1191" priority="1370">
      <formula>$K329&lt;&gt;""</formula>
    </cfRule>
  </conditionalFormatting>
  <conditionalFormatting sqref="C329">
    <cfRule type="expression" dxfId="1190" priority="1369">
      <formula>$G329&lt;&gt;"-"</formula>
    </cfRule>
  </conditionalFormatting>
  <conditionalFormatting sqref="D329">
    <cfRule type="expression" dxfId="1189" priority="1368">
      <formula>$H329&lt;&gt;"-"</formula>
    </cfRule>
  </conditionalFormatting>
  <conditionalFormatting sqref="E329">
    <cfRule type="expression" dxfId="1188" priority="1367">
      <formula>$I329&lt;&gt;"-"</formula>
    </cfRule>
  </conditionalFormatting>
  <conditionalFormatting sqref="B330">
    <cfRule type="expression" dxfId="1187" priority="1364">
      <formula>AD330&lt;&gt;""</formula>
    </cfRule>
  </conditionalFormatting>
  <conditionalFormatting sqref="Z330">
    <cfRule type="cellIs" dxfId="1186" priority="1362" operator="greaterThan">
      <formula>0</formula>
    </cfRule>
    <cfRule type="cellIs" dxfId="1185" priority="1363" operator="lessThan">
      <formula>0</formula>
    </cfRule>
  </conditionalFormatting>
  <conditionalFormatting sqref="S330">
    <cfRule type="cellIs" dxfId="1184" priority="1361" operator="lessThan">
      <formula>0</formula>
    </cfRule>
  </conditionalFormatting>
  <conditionalFormatting sqref="P330">
    <cfRule type="cellIs" dxfId="1183" priority="1359" operator="equal">
      <formula>AS_DURATION_EFFORT</formula>
    </cfRule>
    <cfRule type="cellIs" dxfId="1182" priority="1360" operator="equal">
      <formula>AS_DEV_EFFORT</formula>
    </cfRule>
  </conditionalFormatting>
  <conditionalFormatting sqref="F330">
    <cfRule type="expression" dxfId="1181" priority="1358">
      <formula>$K330&lt;&gt;""</formula>
    </cfRule>
  </conditionalFormatting>
  <conditionalFormatting sqref="C330">
    <cfRule type="expression" dxfId="1180" priority="1357">
      <formula>$G330&lt;&gt;"-"</formula>
    </cfRule>
  </conditionalFormatting>
  <conditionalFormatting sqref="D330">
    <cfRule type="expression" dxfId="1179" priority="1356">
      <formula>$H330&lt;&gt;"-"</formula>
    </cfRule>
  </conditionalFormatting>
  <conditionalFormatting sqref="E330">
    <cfRule type="expression" dxfId="1178" priority="1355">
      <formula>$I330&lt;&gt;"-"</formula>
    </cfRule>
  </conditionalFormatting>
  <conditionalFormatting sqref="B331">
    <cfRule type="expression" dxfId="1177" priority="1352">
      <formula>AD331&lt;&gt;""</formula>
    </cfRule>
  </conditionalFormatting>
  <conditionalFormatting sqref="Z331">
    <cfRule type="cellIs" dxfId="1176" priority="1350" operator="greaterThan">
      <formula>0</formula>
    </cfRule>
    <cfRule type="cellIs" dxfId="1175" priority="1351" operator="lessThan">
      <formula>0</formula>
    </cfRule>
  </conditionalFormatting>
  <conditionalFormatting sqref="S331">
    <cfRule type="cellIs" dxfId="1174" priority="1349" operator="lessThan">
      <formula>0</formula>
    </cfRule>
  </conditionalFormatting>
  <conditionalFormatting sqref="P331">
    <cfRule type="cellIs" dxfId="1173" priority="1347" operator="equal">
      <formula>AS_DURATION_EFFORT</formula>
    </cfRule>
    <cfRule type="cellIs" dxfId="1172" priority="1348" operator="equal">
      <formula>AS_DEV_EFFORT</formula>
    </cfRule>
  </conditionalFormatting>
  <conditionalFormatting sqref="F331">
    <cfRule type="expression" dxfId="1171" priority="1346">
      <formula>$K331&lt;&gt;""</formula>
    </cfRule>
  </conditionalFormatting>
  <conditionalFormatting sqref="C331">
    <cfRule type="expression" dxfId="1170" priority="1345">
      <formula>$G331&lt;&gt;"-"</formula>
    </cfRule>
  </conditionalFormatting>
  <conditionalFormatting sqref="D331">
    <cfRule type="expression" dxfId="1169" priority="1344">
      <formula>$H331&lt;&gt;"-"</formula>
    </cfRule>
  </conditionalFormatting>
  <conditionalFormatting sqref="E331">
    <cfRule type="expression" dxfId="1168" priority="1343">
      <formula>$I331&lt;&gt;"-"</formula>
    </cfRule>
  </conditionalFormatting>
  <conditionalFormatting sqref="B335">
    <cfRule type="expression" dxfId="1167" priority="1315">
      <formula>AD335&lt;&gt;""</formula>
    </cfRule>
  </conditionalFormatting>
  <conditionalFormatting sqref="Z335">
    <cfRule type="cellIs" dxfId="1166" priority="1313" operator="greaterThan">
      <formula>0</formula>
    </cfRule>
    <cfRule type="cellIs" dxfId="1165" priority="1314" operator="lessThan">
      <formula>0</formula>
    </cfRule>
  </conditionalFormatting>
  <conditionalFormatting sqref="S335">
    <cfRule type="cellIs" dxfId="1164" priority="1312" operator="lessThan">
      <formula>0</formula>
    </cfRule>
  </conditionalFormatting>
  <conditionalFormatting sqref="T333:T334">
    <cfRule type="expression" dxfId="1163" priority="1316">
      <formula>#REF!="Yes"</formula>
    </cfRule>
  </conditionalFormatting>
  <conditionalFormatting sqref="P335">
    <cfRule type="cellIs" dxfId="1162" priority="1310" operator="equal">
      <formula>AS_DURATION_EFFORT</formula>
    </cfRule>
    <cfRule type="cellIs" dxfId="1161" priority="1311" operator="equal">
      <formula>AS_DEV_EFFORT</formula>
    </cfRule>
  </conditionalFormatting>
  <conditionalFormatting sqref="B333:B334">
    <cfRule type="expression" dxfId="1160" priority="1309">
      <formula>AD333&lt;&gt;""</formula>
    </cfRule>
  </conditionalFormatting>
  <conditionalFormatting sqref="F335">
    <cfRule type="expression" dxfId="1159" priority="1308">
      <formula>$K335&lt;&gt;""</formula>
    </cfRule>
  </conditionalFormatting>
  <conditionalFormatting sqref="C335">
    <cfRule type="expression" dxfId="1158" priority="1307">
      <formula>$G335&lt;&gt;"-"</formula>
    </cfRule>
  </conditionalFormatting>
  <conditionalFormatting sqref="D335">
    <cfRule type="expression" dxfId="1157" priority="1306">
      <formula>$H335&lt;&gt;"-"</formula>
    </cfRule>
  </conditionalFormatting>
  <conditionalFormatting sqref="E335">
    <cfRule type="expression" dxfId="1156" priority="1305">
      <formula>$I335&lt;&gt;"-"</formula>
    </cfRule>
  </conditionalFormatting>
  <conditionalFormatting sqref="B336">
    <cfRule type="expression" dxfId="1155" priority="1302">
      <formula>AD336&lt;&gt;""</formula>
    </cfRule>
  </conditionalFormatting>
  <conditionalFormatting sqref="Z336">
    <cfRule type="cellIs" dxfId="1154" priority="1300" operator="greaterThan">
      <formula>0</formula>
    </cfRule>
    <cfRule type="cellIs" dxfId="1153" priority="1301" operator="lessThan">
      <formula>0</formula>
    </cfRule>
  </conditionalFormatting>
  <conditionalFormatting sqref="S336">
    <cfRule type="cellIs" dxfId="1152" priority="1299" operator="lessThan">
      <formula>0</formula>
    </cfRule>
  </conditionalFormatting>
  <conditionalFormatting sqref="P336">
    <cfRule type="cellIs" dxfId="1151" priority="1297" operator="equal">
      <formula>AS_DURATION_EFFORT</formula>
    </cfRule>
    <cfRule type="cellIs" dxfId="1150" priority="1298" operator="equal">
      <formula>AS_DEV_EFFORT</formula>
    </cfRule>
  </conditionalFormatting>
  <conditionalFormatting sqref="F336">
    <cfRule type="expression" dxfId="1149" priority="1296">
      <formula>$K336&lt;&gt;""</formula>
    </cfRule>
  </conditionalFormatting>
  <conditionalFormatting sqref="C336">
    <cfRule type="expression" dxfId="1148" priority="1295">
      <formula>$G336&lt;&gt;"-"</formula>
    </cfRule>
  </conditionalFormatting>
  <conditionalFormatting sqref="D336">
    <cfRule type="expression" dxfId="1147" priority="1294">
      <formula>$H336&lt;&gt;"-"</formula>
    </cfRule>
  </conditionalFormatting>
  <conditionalFormatting sqref="E336">
    <cfRule type="expression" dxfId="1146" priority="1293">
      <formula>$I336&lt;&gt;"-"</formula>
    </cfRule>
  </conditionalFormatting>
  <conditionalFormatting sqref="B356">
    <cfRule type="expression" dxfId="1145" priority="1268">
      <formula>AD356&lt;&gt;""</formula>
    </cfRule>
  </conditionalFormatting>
  <conditionalFormatting sqref="Z356">
    <cfRule type="cellIs" dxfId="1144" priority="1266" operator="greaterThan">
      <formula>0</formula>
    </cfRule>
    <cfRule type="cellIs" dxfId="1143" priority="1267" operator="lessThan">
      <formula>0</formula>
    </cfRule>
  </conditionalFormatting>
  <conditionalFormatting sqref="S356">
    <cfRule type="cellIs" dxfId="1142" priority="1265" operator="lessThan">
      <formula>0</formula>
    </cfRule>
  </conditionalFormatting>
  <conditionalFormatting sqref="P356">
    <cfRule type="cellIs" dxfId="1141" priority="1263" operator="equal">
      <formula>AS_DURATION_EFFORT</formula>
    </cfRule>
    <cfRule type="cellIs" dxfId="1140" priority="1264" operator="equal">
      <formula>AS_DEV_EFFORT</formula>
    </cfRule>
  </conditionalFormatting>
  <conditionalFormatting sqref="F356">
    <cfRule type="expression" dxfId="1139" priority="1262">
      <formula>$K356&lt;&gt;""</formula>
    </cfRule>
  </conditionalFormatting>
  <conditionalFormatting sqref="C356">
    <cfRule type="expression" dxfId="1138" priority="1261">
      <formula>$G356&lt;&gt;"-"</formula>
    </cfRule>
  </conditionalFormatting>
  <conditionalFormatting sqref="D356">
    <cfRule type="expression" dxfId="1137" priority="1260">
      <formula>$H356&lt;&gt;"-"</formula>
    </cfRule>
  </conditionalFormatting>
  <conditionalFormatting sqref="E356">
    <cfRule type="expression" dxfId="1136" priority="1259">
      <formula>$I356&lt;&gt;"-"</formula>
    </cfRule>
  </conditionalFormatting>
  <conditionalFormatting sqref="B357">
    <cfRule type="expression" dxfId="1135" priority="1258">
      <formula>AD357&lt;&gt;""</formula>
    </cfRule>
  </conditionalFormatting>
  <conditionalFormatting sqref="Z357">
    <cfRule type="cellIs" dxfId="1134" priority="1256" operator="greaterThan">
      <formula>0</formula>
    </cfRule>
    <cfRule type="cellIs" dxfId="1133" priority="1257" operator="lessThan">
      <formula>0</formula>
    </cfRule>
  </conditionalFormatting>
  <conditionalFormatting sqref="S357">
    <cfRule type="cellIs" dxfId="1132" priority="1255" operator="lessThan">
      <formula>0</formula>
    </cfRule>
  </conditionalFormatting>
  <conditionalFormatting sqref="P357">
    <cfRule type="cellIs" dxfId="1131" priority="1253" operator="equal">
      <formula>AS_DURATION_EFFORT</formula>
    </cfRule>
    <cfRule type="cellIs" dxfId="1130" priority="1254" operator="equal">
      <formula>AS_DEV_EFFORT</formula>
    </cfRule>
  </conditionalFormatting>
  <conditionalFormatting sqref="F357">
    <cfRule type="expression" dxfId="1129" priority="1252">
      <formula>$K357&lt;&gt;""</formula>
    </cfRule>
  </conditionalFormatting>
  <conditionalFormatting sqref="C357">
    <cfRule type="expression" dxfId="1128" priority="1251">
      <formula>$G357&lt;&gt;"-"</formula>
    </cfRule>
  </conditionalFormatting>
  <conditionalFormatting sqref="D357">
    <cfRule type="expression" dxfId="1127" priority="1250">
      <formula>$H357&lt;&gt;"-"</formula>
    </cfRule>
  </conditionalFormatting>
  <conditionalFormatting sqref="E357">
    <cfRule type="expression" dxfId="1126" priority="1249">
      <formula>$I357&lt;&gt;"-"</formula>
    </cfRule>
  </conditionalFormatting>
  <conditionalFormatting sqref="B358">
    <cfRule type="expression" dxfId="1125" priority="1248">
      <formula>AD358&lt;&gt;""</formula>
    </cfRule>
  </conditionalFormatting>
  <conditionalFormatting sqref="Z358">
    <cfRule type="cellIs" dxfId="1124" priority="1246" operator="greaterThan">
      <formula>0</formula>
    </cfRule>
    <cfRule type="cellIs" dxfId="1123" priority="1247" operator="lessThan">
      <formula>0</formula>
    </cfRule>
  </conditionalFormatting>
  <conditionalFormatting sqref="S358">
    <cfRule type="cellIs" dxfId="1122" priority="1245" operator="lessThan">
      <formula>0</formula>
    </cfRule>
  </conditionalFormatting>
  <conditionalFormatting sqref="P358">
    <cfRule type="cellIs" dxfId="1121" priority="1243" operator="equal">
      <formula>AS_DURATION_EFFORT</formula>
    </cfRule>
    <cfRule type="cellIs" dxfId="1120" priority="1244" operator="equal">
      <formula>AS_DEV_EFFORT</formula>
    </cfRule>
  </conditionalFormatting>
  <conditionalFormatting sqref="F358">
    <cfRule type="expression" dxfId="1119" priority="1242">
      <formula>$K358&lt;&gt;""</formula>
    </cfRule>
  </conditionalFormatting>
  <conditionalFormatting sqref="C358">
    <cfRule type="expression" dxfId="1118" priority="1241">
      <formula>$G358&lt;&gt;"-"</formula>
    </cfRule>
  </conditionalFormatting>
  <conditionalFormatting sqref="D358">
    <cfRule type="expression" dxfId="1117" priority="1240">
      <formula>$H358&lt;&gt;"-"</formula>
    </cfRule>
  </conditionalFormatting>
  <conditionalFormatting sqref="E358">
    <cfRule type="expression" dxfId="1116" priority="1239">
      <formula>$I358&lt;&gt;"-"</formula>
    </cfRule>
  </conditionalFormatting>
  <conditionalFormatting sqref="B366">
    <cfRule type="expression" dxfId="1115" priority="1238">
      <formula>AD366&lt;&gt;""</formula>
    </cfRule>
  </conditionalFormatting>
  <conditionalFormatting sqref="Z366">
    <cfRule type="cellIs" dxfId="1114" priority="1236" operator="greaterThan">
      <formula>0</formula>
    </cfRule>
    <cfRule type="cellIs" dxfId="1113" priority="1237" operator="lessThan">
      <formula>0</formula>
    </cfRule>
  </conditionalFormatting>
  <conditionalFormatting sqref="S366">
    <cfRule type="cellIs" dxfId="1112" priority="1235" operator="lessThan">
      <formula>0</formula>
    </cfRule>
  </conditionalFormatting>
  <conditionalFormatting sqref="P366">
    <cfRule type="cellIs" dxfId="1111" priority="1233" operator="equal">
      <formula>AS_DURATION_EFFORT</formula>
    </cfRule>
    <cfRule type="cellIs" dxfId="1110" priority="1234" operator="equal">
      <formula>AS_DEV_EFFORT</formula>
    </cfRule>
  </conditionalFormatting>
  <conditionalFormatting sqref="F366">
    <cfRule type="expression" dxfId="1109" priority="1232">
      <formula>$K366&lt;&gt;""</formula>
    </cfRule>
  </conditionalFormatting>
  <conditionalFormatting sqref="C366">
    <cfRule type="expression" dxfId="1108" priority="1231">
      <formula>$G366&lt;&gt;"-"</formula>
    </cfRule>
  </conditionalFormatting>
  <conditionalFormatting sqref="D366">
    <cfRule type="expression" dxfId="1107" priority="1230">
      <formula>$H366&lt;&gt;"-"</formula>
    </cfRule>
  </conditionalFormatting>
  <conditionalFormatting sqref="E366">
    <cfRule type="expression" dxfId="1106" priority="1229">
      <formula>$I366&lt;&gt;"-"</formula>
    </cfRule>
  </conditionalFormatting>
  <conditionalFormatting sqref="B367">
    <cfRule type="expression" dxfId="1105" priority="1228">
      <formula>AD367&lt;&gt;""</formula>
    </cfRule>
  </conditionalFormatting>
  <conditionalFormatting sqref="Z367">
    <cfRule type="cellIs" dxfId="1104" priority="1226" operator="greaterThan">
      <formula>0</formula>
    </cfRule>
    <cfRule type="cellIs" dxfId="1103" priority="1227" operator="lessThan">
      <formula>0</formula>
    </cfRule>
  </conditionalFormatting>
  <conditionalFormatting sqref="S367">
    <cfRule type="cellIs" dxfId="1102" priority="1225" operator="lessThan">
      <formula>0</formula>
    </cfRule>
  </conditionalFormatting>
  <conditionalFormatting sqref="P367">
    <cfRule type="cellIs" dxfId="1101" priority="1223" operator="equal">
      <formula>AS_DURATION_EFFORT</formula>
    </cfRule>
    <cfRule type="cellIs" dxfId="1100" priority="1224" operator="equal">
      <formula>AS_DEV_EFFORT</formula>
    </cfRule>
  </conditionalFormatting>
  <conditionalFormatting sqref="F367">
    <cfRule type="expression" dxfId="1099" priority="1222">
      <formula>$K367&lt;&gt;""</formula>
    </cfRule>
  </conditionalFormatting>
  <conditionalFormatting sqref="C367">
    <cfRule type="expression" dxfId="1098" priority="1221">
      <formula>$G367&lt;&gt;"-"</formula>
    </cfRule>
  </conditionalFormatting>
  <conditionalFormatting sqref="D367">
    <cfRule type="expression" dxfId="1097" priority="1220">
      <formula>$H367&lt;&gt;"-"</formula>
    </cfRule>
  </conditionalFormatting>
  <conditionalFormatting sqref="E367">
    <cfRule type="expression" dxfId="1096" priority="1219">
      <formula>$I367&lt;&gt;"-"</formula>
    </cfRule>
  </conditionalFormatting>
  <conditionalFormatting sqref="B368">
    <cfRule type="expression" dxfId="1095" priority="1218">
      <formula>AD368&lt;&gt;""</formula>
    </cfRule>
  </conditionalFormatting>
  <conditionalFormatting sqref="Z368">
    <cfRule type="cellIs" dxfId="1094" priority="1216" operator="greaterThan">
      <formula>0</formula>
    </cfRule>
    <cfRule type="cellIs" dxfId="1093" priority="1217" operator="lessThan">
      <formula>0</formula>
    </cfRule>
  </conditionalFormatting>
  <conditionalFormatting sqref="S368">
    <cfRule type="cellIs" dxfId="1092" priority="1215" operator="lessThan">
      <formula>0</formula>
    </cfRule>
  </conditionalFormatting>
  <conditionalFormatting sqref="P368">
    <cfRule type="cellIs" dxfId="1091" priority="1213" operator="equal">
      <formula>AS_DURATION_EFFORT</formula>
    </cfRule>
    <cfRule type="cellIs" dxfId="1090" priority="1214" operator="equal">
      <formula>AS_DEV_EFFORT</formula>
    </cfRule>
  </conditionalFormatting>
  <conditionalFormatting sqref="F368">
    <cfRule type="expression" dxfId="1089" priority="1212">
      <formula>$K368&lt;&gt;""</formula>
    </cfRule>
  </conditionalFormatting>
  <conditionalFormatting sqref="C368">
    <cfRule type="expression" dxfId="1088" priority="1211">
      <formula>$G368&lt;&gt;"-"</formula>
    </cfRule>
  </conditionalFormatting>
  <conditionalFormatting sqref="D368">
    <cfRule type="expression" dxfId="1087" priority="1210">
      <formula>$H368&lt;&gt;"-"</formula>
    </cfRule>
  </conditionalFormatting>
  <conditionalFormatting sqref="E368">
    <cfRule type="expression" dxfId="1086" priority="1209">
      <formula>$I368&lt;&gt;"-"</formula>
    </cfRule>
  </conditionalFormatting>
  <conditionalFormatting sqref="B372">
    <cfRule type="expression" dxfId="1085" priority="1205">
      <formula>AD372&lt;&gt;""</formula>
    </cfRule>
  </conditionalFormatting>
  <conditionalFormatting sqref="Z372">
    <cfRule type="cellIs" dxfId="1084" priority="1203" operator="greaterThan">
      <formula>0</formula>
    </cfRule>
    <cfRule type="cellIs" dxfId="1083" priority="1204" operator="lessThan">
      <formula>0</formula>
    </cfRule>
  </conditionalFormatting>
  <conditionalFormatting sqref="S372">
    <cfRule type="cellIs" dxfId="1082" priority="1202" operator="lessThan">
      <formula>0</formula>
    </cfRule>
  </conditionalFormatting>
  <conditionalFormatting sqref="T370:T371">
    <cfRule type="expression" dxfId="1081" priority="1206">
      <formula>#REF!="Yes"</formula>
    </cfRule>
  </conditionalFormatting>
  <conditionalFormatting sqref="P372">
    <cfRule type="cellIs" dxfId="1080" priority="1200" operator="equal">
      <formula>AS_DURATION_EFFORT</formula>
    </cfRule>
    <cfRule type="cellIs" dxfId="1079" priority="1201" operator="equal">
      <formula>AS_DEV_EFFORT</formula>
    </cfRule>
  </conditionalFormatting>
  <conditionalFormatting sqref="B370:B371">
    <cfRule type="expression" dxfId="1078" priority="1199">
      <formula>AD370&lt;&gt;""</formula>
    </cfRule>
  </conditionalFormatting>
  <conditionalFormatting sqref="F372">
    <cfRule type="expression" dxfId="1077" priority="1198">
      <formula>$K372&lt;&gt;""</formula>
    </cfRule>
  </conditionalFormatting>
  <conditionalFormatting sqref="C372">
    <cfRule type="expression" dxfId="1076" priority="1197">
      <formula>$G372&lt;&gt;"-"</formula>
    </cfRule>
  </conditionalFormatting>
  <conditionalFormatting sqref="D372">
    <cfRule type="expression" dxfId="1075" priority="1196">
      <formula>$H372&lt;&gt;"-"</formula>
    </cfRule>
  </conditionalFormatting>
  <conditionalFormatting sqref="E372">
    <cfRule type="expression" dxfId="1074" priority="1195">
      <formula>$I372&lt;&gt;"-"</formula>
    </cfRule>
  </conditionalFormatting>
  <conditionalFormatting sqref="B373">
    <cfRule type="expression" dxfId="1073" priority="1192">
      <formula>AD373&lt;&gt;""</formula>
    </cfRule>
  </conditionalFormatting>
  <conditionalFormatting sqref="Z373">
    <cfRule type="cellIs" dxfId="1072" priority="1190" operator="greaterThan">
      <formula>0</formula>
    </cfRule>
    <cfRule type="cellIs" dxfId="1071" priority="1191" operator="lessThan">
      <formula>0</formula>
    </cfRule>
  </conditionalFormatting>
  <conditionalFormatting sqref="S373">
    <cfRule type="cellIs" dxfId="1070" priority="1189" operator="lessThan">
      <formula>0</formula>
    </cfRule>
  </conditionalFormatting>
  <conditionalFormatting sqref="P373">
    <cfRule type="cellIs" dxfId="1069" priority="1187" operator="equal">
      <formula>AS_DURATION_EFFORT</formula>
    </cfRule>
    <cfRule type="cellIs" dxfId="1068" priority="1188" operator="equal">
      <formula>AS_DEV_EFFORT</formula>
    </cfRule>
  </conditionalFormatting>
  <conditionalFormatting sqref="F373">
    <cfRule type="expression" dxfId="1067" priority="1186">
      <formula>$K373&lt;&gt;""</formula>
    </cfRule>
  </conditionalFormatting>
  <conditionalFormatting sqref="C373">
    <cfRule type="expression" dxfId="1066" priority="1185">
      <formula>$G373&lt;&gt;"-"</formula>
    </cfRule>
  </conditionalFormatting>
  <conditionalFormatting sqref="D373">
    <cfRule type="expression" dxfId="1065" priority="1184">
      <formula>$H373&lt;&gt;"-"</formula>
    </cfRule>
  </conditionalFormatting>
  <conditionalFormatting sqref="E373">
    <cfRule type="expression" dxfId="1064" priority="1183">
      <formula>$I373&lt;&gt;"-"</formula>
    </cfRule>
  </conditionalFormatting>
  <conditionalFormatting sqref="B374">
    <cfRule type="expression" dxfId="1063" priority="1180">
      <formula>AD374&lt;&gt;""</formula>
    </cfRule>
  </conditionalFormatting>
  <conditionalFormatting sqref="Z374">
    <cfRule type="cellIs" dxfId="1062" priority="1178" operator="greaterThan">
      <formula>0</formula>
    </cfRule>
    <cfRule type="cellIs" dxfId="1061" priority="1179" operator="lessThan">
      <formula>0</formula>
    </cfRule>
  </conditionalFormatting>
  <conditionalFormatting sqref="S374">
    <cfRule type="cellIs" dxfId="1060" priority="1177" operator="lessThan">
      <formula>0</formula>
    </cfRule>
  </conditionalFormatting>
  <conditionalFormatting sqref="P374">
    <cfRule type="cellIs" dxfId="1059" priority="1175" operator="equal">
      <formula>AS_DURATION_EFFORT</formula>
    </cfRule>
    <cfRule type="cellIs" dxfId="1058" priority="1176" operator="equal">
      <formula>AS_DEV_EFFORT</formula>
    </cfRule>
  </conditionalFormatting>
  <conditionalFormatting sqref="F374">
    <cfRule type="expression" dxfId="1057" priority="1174">
      <formula>$K374&lt;&gt;""</formula>
    </cfRule>
  </conditionalFormatting>
  <conditionalFormatting sqref="C374">
    <cfRule type="expression" dxfId="1056" priority="1173">
      <formula>$G374&lt;&gt;"-"</formula>
    </cfRule>
  </conditionalFormatting>
  <conditionalFormatting sqref="D374">
    <cfRule type="expression" dxfId="1055" priority="1172">
      <formula>$H374&lt;&gt;"-"</formula>
    </cfRule>
  </conditionalFormatting>
  <conditionalFormatting sqref="E374">
    <cfRule type="expression" dxfId="1054" priority="1171">
      <formula>$I374&lt;&gt;"-"</formula>
    </cfRule>
  </conditionalFormatting>
  <conditionalFormatting sqref="B375">
    <cfRule type="expression" dxfId="1053" priority="1168">
      <formula>AD375&lt;&gt;""</formula>
    </cfRule>
  </conditionalFormatting>
  <conditionalFormatting sqref="Z375">
    <cfRule type="cellIs" dxfId="1052" priority="1166" operator="greaterThan">
      <formula>0</formula>
    </cfRule>
    <cfRule type="cellIs" dxfId="1051" priority="1167" operator="lessThan">
      <formula>0</formula>
    </cfRule>
  </conditionalFormatting>
  <conditionalFormatting sqref="S375">
    <cfRule type="cellIs" dxfId="1050" priority="1165" operator="lessThan">
      <formula>0</formula>
    </cfRule>
  </conditionalFormatting>
  <conditionalFormatting sqref="P375">
    <cfRule type="cellIs" dxfId="1049" priority="1163" operator="equal">
      <formula>AS_DURATION_EFFORT</formula>
    </cfRule>
    <cfRule type="cellIs" dxfId="1048" priority="1164" operator="equal">
      <formula>AS_DEV_EFFORT</formula>
    </cfRule>
  </conditionalFormatting>
  <conditionalFormatting sqref="F375">
    <cfRule type="expression" dxfId="1047" priority="1162">
      <formula>$K375&lt;&gt;""</formula>
    </cfRule>
  </conditionalFormatting>
  <conditionalFormatting sqref="C375">
    <cfRule type="expression" dxfId="1046" priority="1161">
      <formula>$G375&lt;&gt;"-"</formula>
    </cfRule>
  </conditionalFormatting>
  <conditionalFormatting sqref="D375">
    <cfRule type="expression" dxfId="1045" priority="1160">
      <formula>$H375&lt;&gt;"-"</formula>
    </cfRule>
  </conditionalFormatting>
  <conditionalFormatting sqref="E375">
    <cfRule type="expression" dxfId="1044" priority="1159">
      <formula>$I375&lt;&gt;"-"</formula>
    </cfRule>
  </conditionalFormatting>
  <conditionalFormatting sqref="B376">
    <cfRule type="expression" dxfId="1043" priority="1156">
      <formula>AD376&lt;&gt;""</formula>
    </cfRule>
  </conditionalFormatting>
  <conditionalFormatting sqref="Z376">
    <cfRule type="cellIs" dxfId="1042" priority="1154" operator="greaterThan">
      <formula>0</formula>
    </cfRule>
    <cfRule type="cellIs" dxfId="1041" priority="1155" operator="lessThan">
      <formula>0</formula>
    </cfRule>
  </conditionalFormatting>
  <conditionalFormatting sqref="S376">
    <cfRule type="cellIs" dxfId="1040" priority="1153" operator="lessThan">
      <formula>0</formula>
    </cfRule>
  </conditionalFormatting>
  <conditionalFormatting sqref="P376">
    <cfRule type="cellIs" dxfId="1039" priority="1151" operator="equal">
      <formula>AS_DURATION_EFFORT</formula>
    </cfRule>
    <cfRule type="cellIs" dxfId="1038" priority="1152" operator="equal">
      <formula>AS_DEV_EFFORT</formula>
    </cfRule>
  </conditionalFormatting>
  <conditionalFormatting sqref="F376">
    <cfRule type="expression" dxfId="1037" priority="1150">
      <formula>$K376&lt;&gt;""</formula>
    </cfRule>
  </conditionalFormatting>
  <conditionalFormatting sqref="C376">
    <cfRule type="expression" dxfId="1036" priority="1149">
      <formula>$G376&lt;&gt;"-"</formula>
    </cfRule>
  </conditionalFormatting>
  <conditionalFormatting sqref="D376">
    <cfRule type="expression" dxfId="1035" priority="1148">
      <formula>$H376&lt;&gt;"-"</formula>
    </cfRule>
  </conditionalFormatting>
  <conditionalFormatting sqref="E376">
    <cfRule type="expression" dxfId="1034" priority="1147">
      <formula>$I376&lt;&gt;"-"</formula>
    </cfRule>
  </conditionalFormatting>
  <conditionalFormatting sqref="B377">
    <cfRule type="expression" dxfId="1033" priority="1144">
      <formula>AD377&lt;&gt;""</formula>
    </cfRule>
  </conditionalFormatting>
  <conditionalFormatting sqref="Z377">
    <cfRule type="cellIs" dxfId="1032" priority="1142" operator="greaterThan">
      <formula>0</formula>
    </cfRule>
    <cfRule type="cellIs" dxfId="1031" priority="1143" operator="lessThan">
      <formula>0</formula>
    </cfRule>
  </conditionalFormatting>
  <conditionalFormatting sqref="S377">
    <cfRule type="cellIs" dxfId="1030" priority="1141" operator="lessThan">
      <formula>0</formula>
    </cfRule>
  </conditionalFormatting>
  <conditionalFormatting sqref="P377">
    <cfRule type="cellIs" dxfId="1029" priority="1139" operator="equal">
      <formula>AS_DURATION_EFFORT</formula>
    </cfRule>
    <cfRule type="cellIs" dxfId="1028" priority="1140" operator="equal">
      <formula>AS_DEV_EFFORT</formula>
    </cfRule>
  </conditionalFormatting>
  <conditionalFormatting sqref="F377">
    <cfRule type="expression" dxfId="1027" priority="1138">
      <formula>$K377&lt;&gt;""</formula>
    </cfRule>
  </conditionalFormatting>
  <conditionalFormatting sqref="C377">
    <cfRule type="expression" dxfId="1026" priority="1137">
      <formula>$G377&lt;&gt;"-"</formula>
    </cfRule>
  </conditionalFormatting>
  <conditionalFormatting sqref="D377">
    <cfRule type="expression" dxfId="1025" priority="1136">
      <formula>$H377&lt;&gt;"-"</formula>
    </cfRule>
  </conditionalFormatting>
  <conditionalFormatting sqref="E377">
    <cfRule type="expression" dxfId="1024" priority="1135">
      <formula>$I377&lt;&gt;"-"</formula>
    </cfRule>
  </conditionalFormatting>
  <conditionalFormatting sqref="B378">
    <cfRule type="expression" dxfId="1023" priority="1132">
      <formula>AD378&lt;&gt;""</formula>
    </cfRule>
  </conditionalFormatting>
  <conditionalFormatting sqref="Z378">
    <cfRule type="cellIs" dxfId="1022" priority="1130" operator="greaterThan">
      <formula>0</formula>
    </cfRule>
    <cfRule type="cellIs" dxfId="1021" priority="1131" operator="lessThan">
      <formula>0</formula>
    </cfRule>
  </conditionalFormatting>
  <conditionalFormatting sqref="S378">
    <cfRule type="cellIs" dxfId="1020" priority="1129" operator="lessThan">
      <formula>0</formula>
    </cfRule>
  </conditionalFormatting>
  <conditionalFormatting sqref="P378">
    <cfRule type="cellIs" dxfId="1019" priority="1127" operator="equal">
      <formula>AS_DURATION_EFFORT</formula>
    </cfRule>
    <cfRule type="cellIs" dxfId="1018" priority="1128" operator="equal">
      <formula>AS_DEV_EFFORT</formula>
    </cfRule>
  </conditionalFormatting>
  <conditionalFormatting sqref="F378">
    <cfRule type="expression" dxfId="1017" priority="1126">
      <formula>$K378&lt;&gt;""</formula>
    </cfRule>
  </conditionalFormatting>
  <conditionalFormatting sqref="C378">
    <cfRule type="expression" dxfId="1016" priority="1125">
      <formula>$G378&lt;&gt;"-"</formula>
    </cfRule>
  </conditionalFormatting>
  <conditionalFormatting sqref="D378">
    <cfRule type="expression" dxfId="1015" priority="1124">
      <formula>$H378&lt;&gt;"-"</formula>
    </cfRule>
  </conditionalFormatting>
  <conditionalFormatting sqref="E378">
    <cfRule type="expression" dxfId="1014" priority="1123">
      <formula>$I378&lt;&gt;"-"</formula>
    </cfRule>
  </conditionalFormatting>
  <conditionalFormatting sqref="B379">
    <cfRule type="expression" dxfId="1013" priority="1120">
      <formula>AD379&lt;&gt;""</formula>
    </cfRule>
  </conditionalFormatting>
  <conditionalFormatting sqref="Z379">
    <cfRule type="cellIs" dxfId="1012" priority="1118" operator="greaterThan">
      <formula>0</formula>
    </cfRule>
    <cfRule type="cellIs" dxfId="1011" priority="1119" operator="lessThan">
      <formula>0</formula>
    </cfRule>
  </conditionalFormatting>
  <conditionalFormatting sqref="S379">
    <cfRule type="cellIs" dxfId="1010" priority="1117" operator="lessThan">
      <formula>0</formula>
    </cfRule>
  </conditionalFormatting>
  <conditionalFormatting sqref="P379">
    <cfRule type="cellIs" dxfId="1009" priority="1115" operator="equal">
      <formula>AS_DURATION_EFFORT</formula>
    </cfRule>
    <cfRule type="cellIs" dxfId="1008" priority="1116" operator="equal">
      <formula>AS_DEV_EFFORT</formula>
    </cfRule>
  </conditionalFormatting>
  <conditionalFormatting sqref="F379">
    <cfRule type="expression" dxfId="1007" priority="1114">
      <formula>$K379&lt;&gt;""</formula>
    </cfRule>
  </conditionalFormatting>
  <conditionalFormatting sqref="C379">
    <cfRule type="expression" dxfId="1006" priority="1113">
      <formula>$G379&lt;&gt;"-"</formula>
    </cfRule>
  </conditionalFormatting>
  <conditionalFormatting sqref="D379">
    <cfRule type="expression" dxfId="1005" priority="1112">
      <formula>$H379&lt;&gt;"-"</formula>
    </cfRule>
  </conditionalFormatting>
  <conditionalFormatting sqref="E379">
    <cfRule type="expression" dxfId="1004" priority="1111">
      <formula>$I379&lt;&gt;"-"</formula>
    </cfRule>
  </conditionalFormatting>
  <conditionalFormatting sqref="B380">
    <cfRule type="expression" dxfId="1003" priority="1108">
      <formula>AD380&lt;&gt;""</formula>
    </cfRule>
  </conditionalFormatting>
  <conditionalFormatting sqref="Z380">
    <cfRule type="cellIs" dxfId="1002" priority="1106" operator="greaterThan">
      <formula>0</formula>
    </cfRule>
    <cfRule type="cellIs" dxfId="1001" priority="1107" operator="lessThan">
      <formula>0</formula>
    </cfRule>
  </conditionalFormatting>
  <conditionalFormatting sqref="S380">
    <cfRule type="cellIs" dxfId="1000" priority="1105" operator="lessThan">
      <formula>0</formula>
    </cfRule>
  </conditionalFormatting>
  <conditionalFormatting sqref="P380">
    <cfRule type="cellIs" dxfId="999" priority="1103" operator="equal">
      <formula>AS_DURATION_EFFORT</formula>
    </cfRule>
    <cfRule type="cellIs" dxfId="998" priority="1104" operator="equal">
      <formula>AS_DEV_EFFORT</formula>
    </cfRule>
  </conditionalFormatting>
  <conditionalFormatting sqref="F380">
    <cfRule type="expression" dxfId="997" priority="1102">
      <formula>$K380&lt;&gt;""</formula>
    </cfRule>
  </conditionalFormatting>
  <conditionalFormatting sqref="C380">
    <cfRule type="expression" dxfId="996" priority="1101">
      <formula>$G380&lt;&gt;"-"</formula>
    </cfRule>
  </conditionalFormatting>
  <conditionalFormatting sqref="D380">
    <cfRule type="expression" dxfId="995" priority="1100">
      <formula>$H380&lt;&gt;"-"</formula>
    </cfRule>
  </conditionalFormatting>
  <conditionalFormatting sqref="E380">
    <cfRule type="expression" dxfId="994" priority="1099">
      <formula>$I380&lt;&gt;"-"</formula>
    </cfRule>
  </conditionalFormatting>
  <conditionalFormatting sqref="B381">
    <cfRule type="expression" dxfId="993" priority="1096">
      <formula>AD381&lt;&gt;""</formula>
    </cfRule>
  </conditionalFormatting>
  <conditionalFormatting sqref="Z381">
    <cfRule type="cellIs" dxfId="992" priority="1094" operator="greaterThan">
      <formula>0</formula>
    </cfRule>
    <cfRule type="cellIs" dxfId="991" priority="1095" operator="lessThan">
      <formula>0</formula>
    </cfRule>
  </conditionalFormatting>
  <conditionalFormatting sqref="S381">
    <cfRule type="cellIs" dxfId="990" priority="1093" operator="lessThan">
      <formula>0</formula>
    </cfRule>
  </conditionalFormatting>
  <conditionalFormatting sqref="P381">
    <cfRule type="cellIs" dxfId="989" priority="1091" operator="equal">
      <formula>AS_DURATION_EFFORT</formula>
    </cfRule>
    <cfRule type="cellIs" dxfId="988" priority="1092" operator="equal">
      <formula>AS_DEV_EFFORT</formula>
    </cfRule>
  </conditionalFormatting>
  <conditionalFormatting sqref="F381">
    <cfRule type="expression" dxfId="987" priority="1090">
      <formula>$K381&lt;&gt;""</formula>
    </cfRule>
  </conditionalFormatting>
  <conditionalFormatting sqref="C381">
    <cfRule type="expression" dxfId="986" priority="1089">
      <formula>$G381&lt;&gt;"-"</formula>
    </cfRule>
  </conditionalFormatting>
  <conditionalFormatting sqref="D381">
    <cfRule type="expression" dxfId="985" priority="1088">
      <formula>$H381&lt;&gt;"-"</formula>
    </cfRule>
  </conditionalFormatting>
  <conditionalFormatting sqref="E381">
    <cfRule type="expression" dxfId="984" priority="1087">
      <formula>$I381&lt;&gt;"-"</formula>
    </cfRule>
  </conditionalFormatting>
  <conditionalFormatting sqref="B386">
    <cfRule type="expression" dxfId="983" priority="1083">
      <formula>AD386&lt;&gt;""</formula>
    </cfRule>
  </conditionalFormatting>
  <conditionalFormatting sqref="Z386">
    <cfRule type="cellIs" dxfId="982" priority="1081" operator="greaterThan">
      <formula>0</formula>
    </cfRule>
    <cfRule type="cellIs" dxfId="981" priority="1082" operator="lessThan">
      <formula>0</formula>
    </cfRule>
  </conditionalFormatting>
  <conditionalFormatting sqref="S386">
    <cfRule type="cellIs" dxfId="980" priority="1080" operator="lessThan">
      <formula>0</formula>
    </cfRule>
  </conditionalFormatting>
  <conditionalFormatting sqref="T384:T385">
    <cfRule type="expression" dxfId="979" priority="1084">
      <formula>#REF!="Yes"</formula>
    </cfRule>
  </conditionalFormatting>
  <conditionalFormatting sqref="P386">
    <cfRule type="cellIs" dxfId="978" priority="1078" operator="equal">
      <formula>AS_DURATION_EFFORT</formula>
    </cfRule>
    <cfRule type="cellIs" dxfId="977" priority="1079" operator="equal">
      <formula>AS_DEV_EFFORT</formula>
    </cfRule>
  </conditionalFormatting>
  <conditionalFormatting sqref="B384:B385">
    <cfRule type="expression" dxfId="976" priority="1077">
      <formula>AD384&lt;&gt;""</formula>
    </cfRule>
  </conditionalFormatting>
  <conditionalFormatting sqref="F386">
    <cfRule type="expression" dxfId="975" priority="1076">
      <formula>$K386&lt;&gt;""</formula>
    </cfRule>
  </conditionalFormatting>
  <conditionalFormatting sqref="C386">
    <cfRule type="expression" dxfId="974" priority="1075">
      <formula>$G386&lt;&gt;"-"</formula>
    </cfRule>
  </conditionalFormatting>
  <conditionalFormatting sqref="D386">
    <cfRule type="expression" dxfId="973" priority="1074">
      <formula>$H386&lt;&gt;"-"</formula>
    </cfRule>
  </conditionalFormatting>
  <conditionalFormatting sqref="E386">
    <cfRule type="expression" dxfId="972" priority="1073">
      <formula>$I386&lt;&gt;"-"</formula>
    </cfRule>
  </conditionalFormatting>
  <conditionalFormatting sqref="B387">
    <cfRule type="expression" dxfId="971" priority="1070">
      <formula>AD387&lt;&gt;""</formula>
    </cfRule>
  </conditionalFormatting>
  <conditionalFormatting sqref="Z387">
    <cfRule type="cellIs" dxfId="970" priority="1068" operator="greaterThan">
      <formula>0</formula>
    </cfRule>
    <cfRule type="cellIs" dxfId="969" priority="1069" operator="lessThan">
      <formula>0</formula>
    </cfRule>
  </conditionalFormatting>
  <conditionalFormatting sqref="S387">
    <cfRule type="cellIs" dxfId="968" priority="1067" operator="lessThan">
      <formula>0</formula>
    </cfRule>
  </conditionalFormatting>
  <conditionalFormatting sqref="P387">
    <cfRule type="cellIs" dxfId="967" priority="1065" operator="equal">
      <formula>AS_DURATION_EFFORT</formula>
    </cfRule>
    <cfRule type="cellIs" dxfId="966" priority="1066" operator="equal">
      <formula>AS_DEV_EFFORT</formula>
    </cfRule>
  </conditionalFormatting>
  <conditionalFormatting sqref="F387">
    <cfRule type="expression" dxfId="965" priority="1064">
      <formula>$K387&lt;&gt;""</formula>
    </cfRule>
  </conditionalFormatting>
  <conditionalFormatting sqref="C387">
    <cfRule type="expression" dxfId="964" priority="1063">
      <formula>$G387&lt;&gt;"-"</formula>
    </cfRule>
  </conditionalFormatting>
  <conditionalFormatting sqref="D387">
    <cfRule type="expression" dxfId="963" priority="1062">
      <formula>$H387&lt;&gt;"-"</formula>
    </cfRule>
  </conditionalFormatting>
  <conditionalFormatting sqref="E387">
    <cfRule type="expression" dxfId="962" priority="1061">
      <formula>$I387&lt;&gt;"-"</formula>
    </cfRule>
  </conditionalFormatting>
  <conditionalFormatting sqref="B388">
    <cfRule type="expression" dxfId="961" priority="1058">
      <formula>AD388&lt;&gt;""</formula>
    </cfRule>
  </conditionalFormatting>
  <conditionalFormatting sqref="Z388">
    <cfRule type="cellIs" dxfId="960" priority="1056" operator="greaterThan">
      <formula>0</formula>
    </cfRule>
    <cfRule type="cellIs" dxfId="959" priority="1057" operator="lessThan">
      <formula>0</formula>
    </cfRule>
  </conditionalFormatting>
  <conditionalFormatting sqref="S388">
    <cfRule type="cellIs" dxfId="958" priority="1055" operator="lessThan">
      <formula>0</formula>
    </cfRule>
  </conditionalFormatting>
  <conditionalFormatting sqref="P388">
    <cfRule type="cellIs" dxfId="957" priority="1053" operator="equal">
      <formula>AS_DURATION_EFFORT</formula>
    </cfRule>
    <cfRule type="cellIs" dxfId="956" priority="1054" operator="equal">
      <formula>AS_DEV_EFFORT</formula>
    </cfRule>
  </conditionalFormatting>
  <conditionalFormatting sqref="F388">
    <cfRule type="expression" dxfId="955" priority="1052">
      <formula>$K388&lt;&gt;""</formula>
    </cfRule>
  </conditionalFormatting>
  <conditionalFormatting sqref="C388">
    <cfRule type="expression" dxfId="954" priority="1051">
      <formula>$G388&lt;&gt;"-"</formula>
    </cfRule>
  </conditionalFormatting>
  <conditionalFormatting sqref="D388">
    <cfRule type="expression" dxfId="953" priority="1050">
      <formula>$H388&lt;&gt;"-"</formula>
    </cfRule>
  </conditionalFormatting>
  <conditionalFormatting sqref="E388">
    <cfRule type="expression" dxfId="952" priority="1049">
      <formula>$I388&lt;&gt;"-"</formula>
    </cfRule>
  </conditionalFormatting>
  <conditionalFormatting sqref="B389">
    <cfRule type="expression" dxfId="951" priority="1046">
      <formula>AD389&lt;&gt;""</formula>
    </cfRule>
  </conditionalFormatting>
  <conditionalFormatting sqref="Z389">
    <cfRule type="cellIs" dxfId="950" priority="1044" operator="greaterThan">
      <formula>0</formula>
    </cfRule>
    <cfRule type="cellIs" dxfId="949" priority="1045" operator="lessThan">
      <formula>0</formula>
    </cfRule>
  </conditionalFormatting>
  <conditionalFormatting sqref="S389">
    <cfRule type="cellIs" dxfId="948" priority="1043" operator="lessThan">
      <formula>0</formula>
    </cfRule>
  </conditionalFormatting>
  <conditionalFormatting sqref="P389">
    <cfRule type="cellIs" dxfId="947" priority="1041" operator="equal">
      <formula>AS_DURATION_EFFORT</formula>
    </cfRule>
    <cfRule type="cellIs" dxfId="946" priority="1042" operator="equal">
      <formula>AS_DEV_EFFORT</formula>
    </cfRule>
  </conditionalFormatting>
  <conditionalFormatting sqref="F389">
    <cfRule type="expression" dxfId="945" priority="1040">
      <formula>$K389&lt;&gt;""</formula>
    </cfRule>
  </conditionalFormatting>
  <conditionalFormatting sqref="C389">
    <cfRule type="expression" dxfId="944" priority="1039">
      <formula>$G389&lt;&gt;"-"</formula>
    </cfRule>
  </conditionalFormatting>
  <conditionalFormatting sqref="D389">
    <cfRule type="expression" dxfId="943" priority="1038">
      <formula>$H389&lt;&gt;"-"</formula>
    </cfRule>
  </conditionalFormatting>
  <conditionalFormatting sqref="E389">
    <cfRule type="expression" dxfId="942" priority="1037">
      <formula>$I389&lt;&gt;"-"</formula>
    </cfRule>
  </conditionalFormatting>
  <conditionalFormatting sqref="B390">
    <cfRule type="expression" dxfId="941" priority="1034">
      <formula>AD390&lt;&gt;""</formula>
    </cfRule>
  </conditionalFormatting>
  <conditionalFormatting sqref="Z390">
    <cfRule type="cellIs" dxfId="940" priority="1032" operator="greaterThan">
      <formula>0</formula>
    </cfRule>
    <cfRule type="cellIs" dxfId="939" priority="1033" operator="lessThan">
      <formula>0</formula>
    </cfRule>
  </conditionalFormatting>
  <conditionalFormatting sqref="S390">
    <cfRule type="cellIs" dxfId="938" priority="1031" operator="lessThan">
      <formula>0</formula>
    </cfRule>
  </conditionalFormatting>
  <conditionalFormatting sqref="P390">
    <cfRule type="cellIs" dxfId="937" priority="1029" operator="equal">
      <formula>AS_DURATION_EFFORT</formula>
    </cfRule>
    <cfRule type="cellIs" dxfId="936" priority="1030" operator="equal">
      <formula>AS_DEV_EFFORT</formula>
    </cfRule>
  </conditionalFormatting>
  <conditionalFormatting sqref="F390">
    <cfRule type="expression" dxfId="935" priority="1028">
      <formula>$K390&lt;&gt;""</formula>
    </cfRule>
  </conditionalFormatting>
  <conditionalFormatting sqref="C390">
    <cfRule type="expression" dxfId="934" priority="1027">
      <formula>$G390&lt;&gt;"-"</formula>
    </cfRule>
  </conditionalFormatting>
  <conditionalFormatting sqref="D390">
    <cfRule type="expression" dxfId="933" priority="1026">
      <formula>$H390&lt;&gt;"-"</formula>
    </cfRule>
  </conditionalFormatting>
  <conditionalFormatting sqref="E390">
    <cfRule type="expression" dxfId="932" priority="1025">
      <formula>$I390&lt;&gt;"-"</formula>
    </cfRule>
  </conditionalFormatting>
  <conditionalFormatting sqref="B391">
    <cfRule type="expression" dxfId="931" priority="1022">
      <formula>AD391&lt;&gt;""</formula>
    </cfRule>
  </conditionalFormatting>
  <conditionalFormatting sqref="Z391">
    <cfRule type="cellIs" dxfId="930" priority="1020" operator="greaterThan">
      <formula>0</formula>
    </cfRule>
    <cfRule type="cellIs" dxfId="929" priority="1021" operator="lessThan">
      <formula>0</formula>
    </cfRule>
  </conditionalFormatting>
  <conditionalFormatting sqref="S391">
    <cfRule type="cellIs" dxfId="928" priority="1019" operator="lessThan">
      <formula>0</formula>
    </cfRule>
  </conditionalFormatting>
  <conditionalFormatting sqref="P391">
    <cfRule type="cellIs" dxfId="927" priority="1017" operator="equal">
      <formula>AS_DURATION_EFFORT</formula>
    </cfRule>
    <cfRule type="cellIs" dxfId="926" priority="1018" operator="equal">
      <formula>AS_DEV_EFFORT</formula>
    </cfRule>
  </conditionalFormatting>
  <conditionalFormatting sqref="F391">
    <cfRule type="expression" dxfId="925" priority="1016">
      <formula>$K391&lt;&gt;""</formula>
    </cfRule>
  </conditionalFormatting>
  <conditionalFormatting sqref="C391">
    <cfRule type="expression" dxfId="924" priority="1015">
      <formula>$G391&lt;&gt;"-"</formula>
    </cfRule>
  </conditionalFormatting>
  <conditionalFormatting sqref="D391">
    <cfRule type="expression" dxfId="923" priority="1014">
      <formula>$H391&lt;&gt;"-"</formula>
    </cfRule>
  </conditionalFormatting>
  <conditionalFormatting sqref="E391">
    <cfRule type="expression" dxfId="922" priority="1013">
      <formula>$I391&lt;&gt;"-"</formula>
    </cfRule>
  </conditionalFormatting>
  <conditionalFormatting sqref="B392">
    <cfRule type="expression" dxfId="921" priority="1010">
      <formula>AD392&lt;&gt;""</formula>
    </cfRule>
  </conditionalFormatting>
  <conditionalFormatting sqref="Z392">
    <cfRule type="cellIs" dxfId="920" priority="1008" operator="greaterThan">
      <formula>0</formula>
    </cfRule>
    <cfRule type="cellIs" dxfId="919" priority="1009" operator="lessThan">
      <formula>0</formula>
    </cfRule>
  </conditionalFormatting>
  <conditionalFormatting sqref="S392">
    <cfRule type="cellIs" dxfId="918" priority="1007" operator="lessThan">
      <formula>0</formula>
    </cfRule>
  </conditionalFormatting>
  <conditionalFormatting sqref="P392">
    <cfRule type="cellIs" dxfId="917" priority="1005" operator="equal">
      <formula>AS_DURATION_EFFORT</formula>
    </cfRule>
    <cfRule type="cellIs" dxfId="916" priority="1006" operator="equal">
      <formula>AS_DEV_EFFORT</formula>
    </cfRule>
  </conditionalFormatting>
  <conditionalFormatting sqref="F392">
    <cfRule type="expression" dxfId="915" priority="1004">
      <formula>$K392&lt;&gt;""</formula>
    </cfRule>
  </conditionalFormatting>
  <conditionalFormatting sqref="C392">
    <cfRule type="expression" dxfId="914" priority="1003">
      <formula>$G392&lt;&gt;"-"</formula>
    </cfRule>
  </conditionalFormatting>
  <conditionalFormatting sqref="D392">
    <cfRule type="expression" dxfId="913" priority="1002">
      <formula>$H392&lt;&gt;"-"</formula>
    </cfRule>
  </conditionalFormatting>
  <conditionalFormatting sqref="E392">
    <cfRule type="expression" dxfId="912" priority="1001">
      <formula>$I392&lt;&gt;"-"</formula>
    </cfRule>
  </conditionalFormatting>
  <conditionalFormatting sqref="B393">
    <cfRule type="expression" dxfId="911" priority="998">
      <formula>AD393&lt;&gt;""</formula>
    </cfRule>
  </conditionalFormatting>
  <conditionalFormatting sqref="Z393">
    <cfRule type="cellIs" dxfId="910" priority="996" operator="greaterThan">
      <formula>0</formula>
    </cfRule>
    <cfRule type="cellIs" dxfId="909" priority="997" operator="lessThan">
      <formula>0</formula>
    </cfRule>
  </conditionalFormatting>
  <conditionalFormatting sqref="S393">
    <cfRule type="cellIs" dxfId="908" priority="995" operator="lessThan">
      <formula>0</formula>
    </cfRule>
  </conditionalFormatting>
  <conditionalFormatting sqref="P393">
    <cfRule type="cellIs" dxfId="907" priority="993" operator="equal">
      <formula>AS_DURATION_EFFORT</formula>
    </cfRule>
    <cfRule type="cellIs" dxfId="906" priority="994" operator="equal">
      <formula>AS_DEV_EFFORT</formula>
    </cfRule>
  </conditionalFormatting>
  <conditionalFormatting sqref="F393">
    <cfRule type="expression" dxfId="905" priority="992">
      <formula>$K393&lt;&gt;""</formula>
    </cfRule>
  </conditionalFormatting>
  <conditionalFormatting sqref="C393">
    <cfRule type="expression" dxfId="904" priority="991">
      <formula>$G393&lt;&gt;"-"</formula>
    </cfRule>
  </conditionalFormatting>
  <conditionalFormatting sqref="D393">
    <cfRule type="expression" dxfId="903" priority="990">
      <formula>$H393&lt;&gt;"-"</formula>
    </cfRule>
  </conditionalFormatting>
  <conditionalFormatting sqref="E393">
    <cfRule type="expression" dxfId="902" priority="989">
      <formula>$I393&lt;&gt;"-"</formula>
    </cfRule>
  </conditionalFormatting>
  <conditionalFormatting sqref="B397">
    <cfRule type="expression" dxfId="901" priority="985">
      <formula>AD397&lt;&gt;""</formula>
    </cfRule>
  </conditionalFormatting>
  <conditionalFormatting sqref="Z397">
    <cfRule type="cellIs" dxfId="900" priority="983" operator="greaterThan">
      <formula>0</formula>
    </cfRule>
    <cfRule type="cellIs" dxfId="899" priority="984" operator="lessThan">
      <formula>0</formula>
    </cfRule>
  </conditionalFormatting>
  <conditionalFormatting sqref="S397">
    <cfRule type="cellIs" dxfId="898" priority="982" operator="lessThan">
      <formula>0</formula>
    </cfRule>
  </conditionalFormatting>
  <conditionalFormatting sqref="T395:T396">
    <cfRule type="expression" dxfId="897" priority="986">
      <formula>#REF!="Yes"</formula>
    </cfRule>
  </conditionalFormatting>
  <conditionalFormatting sqref="P397">
    <cfRule type="cellIs" dxfId="896" priority="980" operator="equal">
      <formula>AS_DURATION_EFFORT</formula>
    </cfRule>
    <cfRule type="cellIs" dxfId="895" priority="981" operator="equal">
      <formula>AS_DEV_EFFORT</formula>
    </cfRule>
  </conditionalFormatting>
  <conditionalFormatting sqref="B395:B396">
    <cfRule type="expression" dxfId="894" priority="979">
      <formula>AD395&lt;&gt;""</formula>
    </cfRule>
  </conditionalFormatting>
  <conditionalFormatting sqref="F397">
    <cfRule type="expression" dxfId="893" priority="978">
      <formula>$K397&lt;&gt;""</formula>
    </cfRule>
  </conditionalFormatting>
  <conditionalFormatting sqref="C397">
    <cfRule type="expression" dxfId="892" priority="977">
      <formula>$G397&lt;&gt;"-"</formula>
    </cfRule>
  </conditionalFormatting>
  <conditionalFormatting sqref="D397">
    <cfRule type="expression" dxfId="891" priority="976">
      <formula>$H397&lt;&gt;"-"</formula>
    </cfRule>
  </conditionalFormatting>
  <conditionalFormatting sqref="E397">
    <cfRule type="expression" dxfId="890" priority="975">
      <formula>$I397&lt;&gt;"-"</formula>
    </cfRule>
  </conditionalFormatting>
  <conditionalFormatting sqref="B398">
    <cfRule type="expression" dxfId="889" priority="972">
      <formula>AD398&lt;&gt;""</formula>
    </cfRule>
  </conditionalFormatting>
  <conditionalFormatting sqref="Z398">
    <cfRule type="cellIs" dxfId="888" priority="970" operator="greaterThan">
      <formula>0</formula>
    </cfRule>
    <cfRule type="cellIs" dxfId="887" priority="971" operator="lessThan">
      <formula>0</formula>
    </cfRule>
  </conditionalFormatting>
  <conditionalFormatting sqref="S398">
    <cfRule type="cellIs" dxfId="886" priority="969" operator="lessThan">
      <formula>0</formula>
    </cfRule>
  </conditionalFormatting>
  <conditionalFormatting sqref="P398">
    <cfRule type="cellIs" dxfId="885" priority="967" operator="equal">
      <formula>AS_DURATION_EFFORT</formula>
    </cfRule>
    <cfRule type="cellIs" dxfId="884" priority="968" operator="equal">
      <formula>AS_DEV_EFFORT</formula>
    </cfRule>
  </conditionalFormatting>
  <conditionalFormatting sqref="F398">
    <cfRule type="expression" dxfId="883" priority="966">
      <formula>$K398&lt;&gt;""</formula>
    </cfRule>
  </conditionalFormatting>
  <conditionalFormatting sqref="C398">
    <cfRule type="expression" dxfId="882" priority="965">
      <formula>$G398&lt;&gt;"-"</formula>
    </cfRule>
  </conditionalFormatting>
  <conditionalFormatting sqref="D398">
    <cfRule type="expression" dxfId="881" priority="964">
      <formula>$H398&lt;&gt;"-"</formula>
    </cfRule>
  </conditionalFormatting>
  <conditionalFormatting sqref="E398">
    <cfRule type="expression" dxfId="880" priority="963">
      <formula>$I398&lt;&gt;"-"</formula>
    </cfRule>
  </conditionalFormatting>
  <conditionalFormatting sqref="B399">
    <cfRule type="expression" dxfId="879" priority="960">
      <formula>AD399&lt;&gt;""</formula>
    </cfRule>
  </conditionalFormatting>
  <conditionalFormatting sqref="Z399">
    <cfRule type="cellIs" dxfId="878" priority="958" operator="greaterThan">
      <formula>0</formula>
    </cfRule>
    <cfRule type="cellIs" dxfId="877" priority="959" operator="lessThan">
      <formula>0</formula>
    </cfRule>
  </conditionalFormatting>
  <conditionalFormatting sqref="S399">
    <cfRule type="cellIs" dxfId="876" priority="957" operator="lessThan">
      <formula>0</formula>
    </cfRule>
  </conditionalFormatting>
  <conditionalFormatting sqref="P399">
    <cfRule type="cellIs" dxfId="875" priority="955" operator="equal">
      <formula>AS_DURATION_EFFORT</formula>
    </cfRule>
    <cfRule type="cellIs" dxfId="874" priority="956" operator="equal">
      <formula>AS_DEV_EFFORT</formula>
    </cfRule>
  </conditionalFormatting>
  <conditionalFormatting sqref="F399">
    <cfRule type="expression" dxfId="873" priority="954">
      <formula>$K399&lt;&gt;""</formula>
    </cfRule>
  </conditionalFormatting>
  <conditionalFormatting sqref="C399">
    <cfRule type="expression" dxfId="872" priority="953">
      <formula>$G399&lt;&gt;"-"</formula>
    </cfRule>
  </conditionalFormatting>
  <conditionalFormatting sqref="D399">
    <cfRule type="expression" dxfId="871" priority="952">
      <formula>$H399&lt;&gt;"-"</formula>
    </cfRule>
  </conditionalFormatting>
  <conditionalFormatting sqref="E399">
    <cfRule type="expression" dxfId="870" priority="951">
      <formula>$I399&lt;&gt;"-"</formula>
    </cfRule>
  </conditionalFormatting>
  <conditionalFormatting sqref="B400">
    <cfRule type="expression" dxfId="869" priority="948">
      <formula>AD400&lt;&gt;""</formula>
    </cfRule>
  </conditionalFormatting>
  <conditionalFormatting sqref="Z400">
    <cfRule type="cellIs" dxfId="868" priority="946" operator="greaterThan">
      <formula>0</formula>
    </cfRule>
    <cfRule type="cellIs" dxfId="867" priority="947" operator="lessThan">
      <formula>0</formula>
    </cfRule>
  </conditionalFormatting>
  <conditionalFormatting sqref="S400">
    <cfRule type="cellIs" dxfId="866" priority="945" operator="lessThan">
      <formula>0</formula>
    </cfRule>
  </conditionalFormatting>
  <conditionalFormatting sqref="P400">
    <cfRule type="cellIs" dxfId="865" priority="943" operator="equal">
      <formula>AS_DURATION_EFFORT</formula>
    </cfRule>
    <cfRule type="cellIs" dxfId="864" priority="944" operator="equal">
      <formula>AS_DEV_EFFORT</formula>
    </cfRule>
  </conditionalFormatting>
  <conditionalFormatting sqref="F400">
    <cfRule type="expression" dxfId="863" priority="942">
      <formula>$K400&lt;&gt;""</formula>
    </cfRule>
  </conditionalFormatting>
  <conditionalFormatting sqref="C400">
    <cfRule type="expression" dxfId="862" priority="941">
      <formula>$G400&lt;&gt;"-"</formula>
    </cfRule>
  </conditionalFormatting>
  <conditionalFormatting sqref="D400">
    <cfRule type="expression" dxfId="861" priority="940">
      <formula>$H400&lt;&gt;"-"</formula>
    </cfRule>
  </conditionalFormatting>
  <conditionalFormatting sqref="E400">
    <cfRule type="expression" dxfId="860" priority="939">
      <formula>$I400&lt;&gt;"-"</formula>
    </cfRule>
  </conditionalFormatting>
  <conditionalFormatting sqref="B401">
    <cfRule type="expression" dxfId="859" priority="936">
      <formula>AD401&lt;&gt;""</formula>
    </cfRule>
  </conditionalFormatting>
  <conditionalFormatting sqref="Z401">
    <cfRule type="cellIs" dxfId="858" priority="934" operator="greaterThan">
      <formula>0</formula>
    </cfRule>
    <cfRule type="cellIs" dxfId="857" priority="935" operator="lessThan">
      <formula>0</formula>
    </cfRule>
  </conditionalFormatting>
  <conditionalFormatting sqref="S401">
    <cfRule type="cellIs" dxfId="856" priority="933" operator="lessThan">
      <formula>0</formula>
    </cfRule>
  </conditionalFormatting>
  <conditionalFormatting sqref="P401">
    <cfRule type="cellIs" dxfId="855" priority="931" operator="equal">
      <formula>AS_DURATION_EFFORT</formula>
    </cfRule>
    <cfRule type="cellIs" dxfId="854" priority="932" operator="equal">
      <formula>AS_DEV_EFFORT</formula>
    </cfRule>
  </conditionalFormatting>
  <conditionalFormatting sqref="F401">
    <cfRule type="expression" dxfId="853" priority="930">
      <formula>$K401&lt;&gt;""</formula>
    </cfRule>
  </conditionalFormatting>
  <conditionalFormatting sqref="C401">
    <cfRule type="expression" dxfId="852" priority="929">
      <formula>$G401&lt;&gt;"-"</formula>
    </cfRule>
  </conditionalFormatting>
  <conditionalFormatting sqref="D401">
    <cfRule type="expression" dxfId="851" priority="928">
      <formula>$H401&lt;&gt;"-"</formula>
    </cfRule>
  </conditionalFormatting>
  <conditionalFormatting sqref="E401">
    <cfRule type="expression" dxfId="850" priority="927">
      <formula>$I401&lt;&gt;"-"</formula>
    </cfRule>
  </conditionalFormatting>
  <conditionalFormatting sqref="B402">
    <cfRule type="expression" dxfId="849" priority="924">
      <formula>AD402&lt;&gt;""</formula>
    </cfRule>
  </conditionalFormatting>
  <conditionalFormatting sqref="Z402">
    <cfRule type="cellIs" dxfId="848" priority="922" operator="greaterThan">
      <formula>0</formula>
    </cfRule>
    <cfRule type="cellIs" dxfId="847" priority="923" operator="lessThan">
      <formula>0</formula>
    </cfRule>
  </conditionalFormatting>
  <conditionalFormatting sqref="S402">
    <cfRule type="cellIs" dxfId="846" priority="921" operator="lessThan">
      <formula>0</formula>
    </cfRule>
  </conditionalFormatting>
  <conditionalFormatting sqref="P402">
    <cfRule type="cellIs" dxfId="845" priority="919" operator="equal">
      <formula>AS_DURATION_EFFORT</formula>
    </cfRule>
    <cfRule type="cellIs" dxfId="844" priority="920" operator="equal">
      <formula>AS_DEV_EFFORT</formula>
    </cfRule>
  </conditionalFormatting>
  <conditionalFormatting sqref="F402">
    <cfRule type="expression" dxfId="843" priority="918">
      <formula>$K402&lt;&gt;""</formula>
    </cfRule>
  </conditionalFormatting>
  <conditionalFormatting sqref="C402">
    <cfRule type="expression" dxfId="842" priority="917">
      <formula>$G402&lt;&gt;"-"</formula>
    </cfRule>
  </conditionalFormatting>
  <conditionalFormatting sqref="D402">
    <cfRule type="expression" dxfId="841" priority="916">
      <formula>$H402&lt;&gt;"-"</formula>
    </cfRule>
  </conditionalFormatting>
  <conditionalFormatting sqref="E402">
    <cfRule type="expression" dxfId="840" priority="915">
      <formula>$I402&lt;&gt;"-"</formula>
    </cfRule>
  </conditionalFormatting>
  <conditionalFormatting sqref="B409">
    <cfRule type="expression" dxfId="839" priority="911">
      <formula>AD409&lt;&gt;""</formula>
    </cfRule>
  </conditionalFormatting>
  <conditionalFormatting sqref="Z409">
    <cfRule type="cellIs" dxfId="838" priority="909" operator="greaterThan">
      <formula>0</formula>
    </cfRule>
    <cfRule type="cellIs" dxfId="837" priority="910" operator="lessThan">
      <formula>0</formula>
    </cfRule>
  </conditionalFormatting>
  <conditionalFormatting sqref="S409">
    <cfRule type="cellIs" dxfId="836" priority="908" operator="lessThan">
      <formula>0</formula>
    </cfRule>
  </conditionalFormatting>
  <conditionalFormatting sqref="T407:T408">
    <cfRule type="expression" dxfId="835" priority="912">
      <formula>#REF!="Yes"</formula>
    </cfRule>
  </conditionalFormatting>
  <conditionalFormatting sqref="P409">
    <cfRule type="cellIs" dxfId="834" priority="906" operator="equal">
      <formula>AS_DURATION_EFFORT</formula>
    </cfRule>
    <cfRule type="cellIs" dxfId="833" priority="907" operator="equal">
      <formula>AS_DEV_EFFORT</formula>
    </cfRule>
  </conditionalFormatting>
  <conditionalFormatting sqref="B407:B408">
    <cfRule type="expression" dxfId="832" priority="905">
      <formula>AD407&lt;&gt;""</formula>
    </cfRule>
  </conditionalFormatting>
  <conditionalFormatting sqref="F409">
    <cfRule type="expression" dxfId="831" priority="904">
      <formula>$K409&lt;&gt;""</formula>
    </cfRule>
  </conditionalFormatting>
  <conditionalFormatting sqref="C409">
    <cfRule type="expression" dxfId="830" priority="903">
      <formula>$G409&lt;&gt;"-"</formula>
    </cfRule>
  </conditionalFormatting>
  <conditionalFormatting sqref="D409">
    <cfRule type="expression" dxfId="829" priority="902">
      <formula>$H409&lt;&gt;"-"</formula>
    </cfRule>
  </conditionalFormatting>
  <conditionalFormatting sqref="E409">
    <cfRule type="expression" dxfId="828" priority="901">
      <formula>$I409&lt;&gt;"-"</formula>
    </cfRule>
  </conditionalFormatting>
  <conditionalFormatting sqref="B410">
    <cfRule type="expression" dxfId="827" priority="898">
      <formula>AD410&lt;&gt;""</formula>
    </cfRule>
  </conditionalFormatting>
  <conditionalFormatting sqref="Z410">
    <cfRule type="cellIs" dxfId="826" priority="896" operator="greaterThan">
      <formula>0</formula>
    </cfRule>
    <cfRule type="cellIs" dxfId="825" priority="897" operator="lessThan">
      <formula>0</formula>
    </cfRule>
  </conditionalFormatting>
  <conditionalFormatting sqref="S410">
    <cfRule type="cellIs" dxfId="824" priority="895" operator="lessThan">
      <formula>0</formula>
    </cfRule>
  </conditionalFormatting>
  <conditionalFormatting sqref="P410">
    <cfRule type="cellIs" dxfId="823" priority="893" operator="equal">
      <formula>AS_DURATION_EFFORT</formula>
    </cfRule>
    <cfRule type="cellIs" dxfId="822" priority="894" operator="equal">
      <formula>AS_DEV_EFFORT</formula>
    </cfRule>
  </conditionalFormatting>
  <conditionalFormatting sqref="F410">
    <cfRule type="expression" dxfId="821" priority="892">
      <formula>$K410&lt;&gt;""</formula>
    </cfRule>
  </conditionalFormatting>
  <conditionalFormatting sqref="C410">
    <cfRule type="expression" dxfId="820" priority="891">
      <formula>$G410&lt;&gt;"-"</formula>
    </cfRule>
  </conditionalFormatting>
  <conditionalFormatting sqref="D410">
    <cfRule type="expression" dxfId="819" priority="890">
      <formula>$H410&lt;&gt;"-"</formula>
    </cfRule>
  </conditionalFormatting>
  <conditionalFormatting sqref="E410">
    <cfRule type="expression" dxfId="818" priority="889">
      <formula>$I410&lt;&gt;"-"</formula>
    </cfRule>
  </conditionalFormatting>
  <conditionalFormatting sqref="B411">
    <cfRule type="expression" dxfId="817" priority="886">
      <formula>AD411&lt;&gt;""</formula>
    </cfRule>
  </conditionalFormatting>
  <conditionalFormatting sqref="Z411">
    <cfRule type="cellIs" dxfId="816" priority="884" operator="greaterThan">
      <formula>0</formula>
    </cfRule>
    <cfRule type="cellIs" dxfId="815" priority="885" operator="lessThan">
      <formula>0</formula>
    </cfRule>
  </conditionalFormatting>
  <conditionalFormatting sqref="S411">
    <cfRule type="cellIs" dxfId="814" priority="883" operator="lessThan">
      <formula>0</formula>
    </cfRule>
  </conditionalFormatting>
  <conditionalFormatting sqref="P411">
    <cfRule type="cellIs" dxfId="813" priority="881" operator="equal">
      <formula>AS_DURATION_EFFORT</formula>
    </cfRule>
    <cfRule type="cellIs" dxfId="812" priority="882" operator="equal">
      <formula>AS_DEV_EFFORT</formula>
    </cfRule>
  </conditionalFormatting>
  <conditionalFormatting sqref="F411">
    <cfRule type="expression" dxfId="811" priority="880">
      <formula>$K411&lt;&gt;""</formula>
    </cfRule>
  </conditionalFormatting>
  <conditionalFormatting sqref="C411">
    <cfRule type="expression" dxfId="810" priority="879">
      <formula>$G411&lt;&gt;"-"</formula>
    </cfRule>
  </conditionalFormatting>
  <conditionalFormatting sqref="D411">
    <cfRule type="expression" dxfId="809" priority="878">
      <formula>$H411&lt;&gt;"-"</formula>
    </cfRule>
  </conditionalFormatting>
  <conditionalFormatting sqref="E411">
    <cfRule type="expression" dxfId="808" priority="877">
      <formula>$I411&lt;&gt;"-"</formula>
    </cfRule>
  </conditionalFormatting>
  <conditionalFormatting sqref="B412">
    <cfRule type="expression" dxfId="807" priority="874">
      <formula>AD412&lt;&gt;""</formula>
    </cfRule>
  </conditionalFormatting>
  <conditionalFormatting sqref="Z412">
    <cfRule type="cellIs" dxfId="806" priority="872" operator="greaterThan">
      <formula>0</formula>
    </cfRule>
    <cfRule type="cellIs" dxfId="805" priority="873" operator="lessThan">
      <formula>0</formula>
    </cfRule>
  </conditionalFormatting>
  <conditionalFormatting sqref="S412">
    <cfRule type="cellIs" dxfId="804" priority="871" operator="lessThan">
      <formula>0</formula>
    </cfRule>
  </conditionalFormatting>
  <conditionalFormatting sqref="P412">
    <cfRule type="cellIs" dxfId="803" priority="869" operator="equal">
      <formula>AS_DURATION_EFFORT</formula>
    </cfRule>
    <cfRule type="cellIs" dxfId="802" priority="870" operator="equal">
      <formula>AS_DEV_EFFORT</formula>
    </cfRule>
  </conditionalFormatting>
  <conditionalFormatting sqref="F412">
    <cfRule type="expression" dxfId="801" priority="868">
      <formula>$K412&lt;&gt;""</formula>
    </cfRule>
  </conditionalFormatting>
  <conditionalFormatting sqref="C412">
    <cfRule type="expression" dxfId="800" priority="867">
      <formula>$G412&lt;&gt;"-"</formula>
    </cfRule>
  </conditionalFormatting>
  <conditionalFormatting sqref="D412">
    <cfRule type="expression" dxfId="799" priority="866">
      <formula>$H412&lt;&gt;"-"</formula>
    </cfRule>
  </conditionalFormatting>
  <conditionalFormatting sqref="E412">
    <cfRule type="expression" dxfId="798" priority="865">
      <formula>$I412&lt;&gt;"-"</formula>
    </cfRule>
  </conditionalFormatting>
  <conditionalFormatting sqref="B413">
    <cfRule type="expression" dxfId="797" priority="862">
      <formula>AD413&lt;&gt;""</formula>
    </cfRule>
  </conditionalFormatting>
  <conditionalFormatting sqref="Z413">
    <cfRule type="cellIs" dxfId="796" priority="860" operator="greaterThan">
      <formula>0</formula>
    </cfRule>
    <cfRule type="cellIs" dxfId="795" priority="861" operator="lessThan">
      <formula>0</formula>
    </cfRule>
  </conditionalFormatting>
  <conditionalFormatting sqref="S413">
    <cfRule type="cellIs" dxfId="794" priority="859" operator="lessThan">
      <formula>0</formula>
    </cfRule>
  </conditionalFormatting>
  <conditionalFormatting sqref="P413">
    <cfRule type="cellIs" dxfId="793" priority="857" operator="equal">
      <formula>AS_DURATION_EFFORT</formula>
    </cfRule>
    <cfRule type="cellIs" dxfId="792" priority="858" operator="equal">
      <formula>AS_DEV_EFFORT</formula>
    </cfRule>
  </conditionalFormatting>
  <conditionalFormatting sqref="F413">
    <cfRule type="expression" dxfId="791" priority="856">
      <formula>$K413&lt;&gt;""</formula>
    </cfRule>
  </conditionalFormatting>
  <conditionalFormatting sqref="C413">
    <cfRule type="expression" dxfId="790" priority="855">
      <formula>$G413&lt;&gt;"-"</formula>
    </cfRule>
  </conditionalFormatting>
  <conditionalFormatting sqref="D413">
    <cfRule type="expression" dxfId="789" priority="854">
      <formula>$H413&lt;&gt;"-"</formula>
    </cfRule>
  </conditionalFormatting>
  <conditionalFormatting sqref="E413">
    <cfRule type="expression" dxfId="788" priority="853">
      <formula>$I413&lt;&gt;"-"</formula>
    </cfRule>
  </conditionalFormatting>
  <conditionalFormatting sqref="B417">
    <cfRule type="expression" dxfId="787" priority="849">
      <formula>AD417&lt;&gt;""</formula>
    </cfRule>
  </conditionalFormatting>
  <conditionalFormatting sqref="Z417">
    <cfRule type="cellIs" dxfId="786" priority="847" operator="greaterThan">
      <formula>0</formula>
    </cfRule>
    <cfRule type="cellIs" dxfId="785" priority="848" operator="lessThan">
      <formula>0</formula>
    </cfRule>
  </conditionalFormatting>
  <conditionalFormatting sqref="S417">
    <cfRule type="cellIs" dxfId="784" priority="846" operator="lessThan">
      <formula>0</formula>
    </cfRule>
  </conditionalFormatting>
  <conditionalFormatting sqref="T415:T416">
    <cfRule type="expression" dxfId="783" priority="850">
      <formula>#REF!="Yes"</formula>
    </cfRule>
  </conditionalFormatting>
  <conditionalFormatting sqref="P417">
    <cfRule type="cellIs" dxfId="782" priority="844" operator="equal">
      <formula>AS_DURATION_EFFORT</formula>
    </cfRule>
    <cfRule type="cellIs" dxfId="781" priority="845" operator="equal">
      <formula>AS_DEV_EFFORT</formula>
    </cfRule>
  </conditionalFormatting>
  <conditionalFormatting sqref="B415:B416">
    <cfRule type="expression" dxfId="780" priority="843">
      <formula>AD415&lt;&gt;""</formula>
    </cfRule>
  </conditionalFormatting>
  <conditionalFormatting sqref="F417">
    <cfRule type="expression" dxfId="779" priority="842">
      <formula>$K417&lt;&gt;""</formula>
    </cfRule>
  </conditionalFormatting>
  <conditionalFormatting sqref="C417">
    <cfRule type="expression" dxfId="778" priority="841">
      <formula>$G417&lt;&gt;"-"</formula>
    </cfRule>
  </conditionalFormatting>
  <conditionalFormatting sqref="D417">
    <cfRule type="expression" dxfId="777" priority="840">
      <formula>$H417&lt;&gt;"-"</formula>
    </cfRule>
  </conditionalFormatting>
  <conditionalFormatting sqref="E417">
    <cfRule type="expression" dxfId="776" priority="839">
      <formula>$I417&lt;&gt;"-"</formula>
    </cfRule>
  </conditionalFormatting>
  <conditionalFormatting sqref="B418">
    <cfRule type="expression" dxfId="775" priority="836">
      <formula>AD418&lt;&gt;""</formula>
    </cfRule>
  </conditionalFormatting>
  <conditionalFormatting sqref="Z418">
    <cfRule type="cellIs" dxfId="774" priority="834" operator="greaterThan">
      <formula>0</formula>
    </cfRule>
    <cfRule type="cellIs" dxfId="773" priority="835" operator="lessThan">
      <formula>0</formula>
    </cfRule>
  </conditionalFormatting>
  <conditionalFormatting sqref="S418">
    <cfRule type="cellIs" dxfId="772" priority="833" operator="lessThan">
      <formula>0</formula>
    </cfRule>
  </conditionalFormatting>
  <conditionalFormatting sqref="P418">
    <cfRule type="cellIs" dxfId="771" priority="831" operator="equal">
      <formula>AS_DURATION_EFFORT</formula>
    </cfRule>
    <cfRule type="cellIs" dxfId="770" priority="832" operator="equal">
      <formula>AS_DEV_EFFORT</formula>
    </cfRule>
  </conditionalFormatting>
  <conditionalFormatting sqref="F418">
    <cfRule type="expression" dxfId="769" priority="830">
      <formula>$K418&lt;&gt;""</formula>
    </cfRule>
  </conditionalFormatting>
  <conditionalFormatting sqref="C418">
    <cfRule type="expression" dxfId="768" priority="829">
      <formula>$G418&lt;&gt;"-"</formula>
    </cfRule>
  </conditionalFormatting>
  <conditionalFormatting sqref="D418">
    <cfRule type="expression" dxfId="767" priority="828">
      <formula>$H418&lt;&gt;"-"</formula>
    </cfRule>
  </conditionalFormatting>
  <conditionalFormatting sqref="E418">
    <cfRule type="expression" dxfId="766" priority="827">
      <formula>$I418&lt;&gt;"-"</formula>
    </cfRule>
  </conditionalFormatting>
  <conditionalFormatting sqref="B419">
    <cfRule type="expression" dxfId="765" priority="824">
      <formula>AD419&lt;&gt;""</formula>
    </cfRule>
  </conditionalFormatting>
  <conditionalFormatting sqref="Z419">
    <cfRule type="cellIs" dxfId="764" priority="822" operator="greaterThan">
      <formula>0</formula>
    </cfRule>
    <cfRule type="cellIs" dxfId="763" priority="823" operator="lessThan">
      <formula>0</formula>
    </cfRule>
  </conditionalFormatting>
  <conditionalFormatting sqref="S419">
    <cfRule type="cellIs" dxfId="762" priority="821" operator="lessThan">
      <formula>0</formula>
    </cfRule>
  </conditionalFormatting>
  <conditionalFormatting sqref="P419">
    <cfRule type="cellIs" dxfId="761" priority="819" operator="equal">
      <formula>AS_DURATION_EFFORT</formula>
    </cfRule>
    <cfRule type="cellIs" dxfId="760" priority="820" operator="equal">
      <formula>AS_DEV_EFFORT</formula>
    </cfRule>
  </conditionalFormatting>
  <conditionalFormatting sqref="F419">
    <cfRule type="expression" dxfId="759" priority="818">
      <formula>$K419&lt;&gt;""</formula>
    </cfRule>
  </conditionalFormatting>
  <conditionalFormatting sqref="C419">
    <cfRule type="expression" dxfId="758" priority="817">
      <formula>$G419&lt;&gt;"-"</formula>
    </cfRule>
  </conditionalFormatting>
  <conditionalFormatting sqref="D419">
    <cfRule type="expression" dxfId="757" priority="816">
      <formula>$H419&lt;&gt;"-"</formula>
    </cfRule>
  </conditionalFormatting>
  <conditionalFormatting sqref="E419">
    <cfRule type="expression" dxfId="756" priority="815">
      <formula>$I419&lt;&gt;"-"</formula>
    </cfRule>
  </conditionalFormatting>
  <conditionalFormatting sqref="B420">
    <cfRule type="expression" dxfId="755" priority="812">
      <formula>AD420&lt;&gt;""</formula>
    </cfRule>
  </conditionalFormatting>
  <conditionalFormatting sqref="Z420">
    <cfRule type="cellIs" dxfId="754" priority="810" operator="greaterThan">
      <formula>0</formula>
    </cfRule>
    <cfRule type="cellIs" dxfId="753" priority="811" operator="lessThan">
      <formula>0</formula>
    </cfRule>
  </conditionalFormatting>
  <conditionalFormatting sqref="S420">
    <cfRule type="cellIs" dxfId="752" priority="809" operator="lessThan">
      <formula>0</formula>
    </cfRule>
  </conditionalFormatting>
  <conditionalFormatting sqref="P420">
    <cfRule type="cellIs" dxfId="751" priority="807" operator="equal">
      <formula>AS_DURATION_EFFORT</formula>
    </cfRule>
    <cfRule type="cellIs" dxfId="750" priority="808" operator="equal">
      <formula>AS_DEV_EFFORT</formula>
    </cfRule>
  </conditionalFormatting>
  <conditionalFormatting sqref="F420">
    <cfRule type="expression" dxfId="749" priority="806">
      <formula>$K420&lt;&gt;""</formula>
    </cfRule>
  </conditionalFormatting>
  <conditionalFormatting sqref="C420">
    <cfRule type="expression" dxfId="748" priority="805">
      <formula>$G420&lt;&gt;"-"</formula>
    </cfRule>
  </conditionalFormatting>
  <conditionalFormatting sqref="D420">
    <cfRule type="expression" dxfId="747" priority="804">
      <formula>$H420&lt;&gt;"-"</formula>
    </cfRule>
  </conditionalFormatting>
  <conditionalFormatting sqref="E420">
    <cfRule type="expression" dxfId="746" priority="803">
      <formula>$I420&lt;&gt;"-"</formula>
    </cfRule>
  </conditionalFormatting>
  <conditionalFormatting sqref="B421">
    <cfRule type="expression" dxfId="745" priority="800">
      <formula>AD421&lt;&gt;""</formula>
    </cfRule>
  </conditionalFormatting>
  <conditionalFormatting sqref="Z421">
    <cfRule type="cellIs" dxfId="744" priority="798" operator="greaterThan">
      <formula>0</formula>
    </cfRule>
    <cfRule type="cellIs" dxfId="743" priority="799" operator="lessThan">
      <formula>0</formula>
    </cfRule>
  </conditionalFormatting>
  <conditionalFormatting sqref="S421">
    <cfRule type="cellIs" dxfId="742" priority="797" operator="lessThan">
      <formula>0</formula>
    </cfRule>
  </conditionalFormatting>
  <conditionalFormatting sqref="P421">
    <cfRule type="cellIs" dxfId="741" priority="795" operator="equal">
      <formula>AS_DURATION_EFFORT</formula>
    </cfRule>
    <cfRule type="cellIs" dxfId="740" priority="796" operator="equal">
      <formula>AS_DEV_EFFORT</formula>
    </cfRule>
  </conditionalFormatting>
  <conditionalFormatting sqref="F421">
    <cfRule type="expression" dxfId="739" priority="794">
      <formula>$K421&lt;&gt;""</formula>
    </cfRule>
  </conditionalFormatting>
  <conditionalFormatting sqref="C421">
    <cfRule type="expression" dxfId="738" priority="793">
      <formula>$G421&lt;&gt;"-"</formula>
    </cfRule>
  </conditionalFormatting>
  <conditionalFormatting sqref="D421">
    <cfRule type="expression" dxfId="737" priority="792">
      <formula>$H421&lt;&gt;"-"</formula>
    </cfRule>
  </conditionalFormatting>
  <conditionalFormatting sqref="E421">
    <cfRule type="expression" dxfId="736" priority="791">
      <formula>$I421&lt;&gt;"-"</formula>
    </cfRule>
  </conditionalFormatting>
  <conditionalFormatting sqref="B422">
    <cfRule type="expression" dxfId="735" priority="788">
      <formula>AD422&lt;&gt;""</formula>
    </cfRule>
  </conditionalFormatting>
  <conditionalFormatting sqref="Z422">
    <cfRule type="cellIs" dxfId="734" priority="786" operator="greaterThan">
      <formula>0</formula>
    </cfRule>
    <cfRule type="cellIs" dxfId="733" priority="787" operator="lessThan">
      <formula>0</formula>
    </cfRule>
  </conditionalFormatting>
  <conditionalFormatting sqref="S422">
    <cfRule type="cellIs" dxfId="732" priority="785" operator="lessThan">
      <formula>0</formula>
    </cfRule>
  </conditionalFormatting>
  <conditionalFormatting sqref="P422">
    <cfRule type="cellIs" dxfId="731" priority="783" operator="equal">
      <formula>AS_DURATION_EFFORT</formula>
    </cfRule>
    <cfRule type="cellIs" dxfId="730" priority="784" operator="equal">
      <formula>AS_DEV_EFFORT</formula>
    </cfRule>
  </conditionalFormatting>
  <conditionalFormatting sqref="F422">
    <cfRule type="expression" dxfId="729" priority="782">
      <formula>$K422&lt;&gt;""</formula>
    </cfRule>
  </conditionalFormatting>
  <conditionalFormatting sqref="C422">
    <cfRule type="expression" dxfId="728" priority="781">
      <formula>$G422&lt;&gt;"-"</formula>
    </cfRule>
  </conditionalFormatting>
  <conditionalFormatting sqref="D422">
    <cfRule type="expression" dxfId="727" priority="780">
      <formula>$H422&lt;&gt;"-"</formula>
    </cfRule>
  </conditionalFormatting>
  <conditionalFormatting sqref="E422">
    <cfRule type="expression" dxfId="726" priority="779">
      <formula>$I422&lt;&gt;"-"</formula>
    </cfRule>
  </conditionalFormatting>
  <conditionalFormatting sqref="B423">
    <cfRule type="expression" dxfId="725" priority="776">
      <formula>AD423&lt;&gt;""</formula>
    </cfRule>
  </conditionalFormatting>
  <conditionalFormatting sqref="Z423">
    <cfRule type="cellIs" dxfId="724" priority="774" operator="greaterThan">
      <formula>0</formula>
    </cfRule>
    <cfRule type="cellIs" dxfId="723" priority="775" operator="lessThan">
      <formula>0</formula>
    </cfRule>
  </conditionalFormatting>
  <conditionalFormatting sqref="S423">
    <cfRule type="cellIs" dxfId="722" priority="773" operator="lessThan">
      <formula>0</formula>
    </cfRule>
  </conditionalFormatting>
  <conditionalFormatting sqref="P423">
    <cfRule type="cellIs" dxfId="721" priority="771" operator="equal">
      <formula>AS_DURATION_EFFORT</formula>
    </cfRule>
    <cfRule type="cellIs" dxfId="720" priority="772" operator="equal">
      <formula>AS_DEV_EFFORT</formula>
    </cfRule>
  </conditionalFormatting>
  <conditionalFormatting sqref="F423">
    <cfRule type="expression" dxfId="719" priority="770">
      <formula>$K423&lt;&gt;""</formula>
    </cfRule>
  </conditionalFormatting>
  <conditionalFormatting sqref="C423">
    <cfRule type="expression" dxfId="718" priority="769">
      <formula>$G423&lt;&gt;"-"</formula>
    </cfRule>
  </conditionalFormatting>
  <conditionalFormatting sqref="D423">
    <cfRule type="expression" dxfId="717" priority="768">
      <formula>$H423&lt;&gt;"-"</formula>
    </cfRule>
  </conditionalFormatting>
  <conditionalFormatting sqref="E423">
    <cfRule type="expression" dxfId="716" priority="767">
      <formula>$I423&lt;&gt;"-"</formula>
    </cfRule>
  </conditionalFormatting>
  <conditionalFormatting sqref="B322">
    <cfRule type="expression" dxfId="715" priority="750">
      <formula>AD322&lt;&gt;""</formula>
    </cfRule>
  </conditionalFormatting>
  <conditionalFormatting sqref="Z322">
    <cfRule type="cellIs" dxfId="714" priority="748" operator="greaterThan">
      <formula>0</formula>
    </cfRule>
    <cfRule type="cellIs" dxfId="713" priority="749" operator="lessThan">
      <formula>0</formula>
    </cfRule>
  </conditionalFormatting>
  <conditionalFormatting sqref="S322">
    <cfRule type="cellIs" dxfId="712" priority="747" operator="lessThan">
      <formula>0</formula>
    </cfRule>
  </conditionalFormatting>
  <conditionalFormatting sqref="P322">
    <cfRule type="cellIs" dxfId="711" priority="745" operator="equal">
      <formula>AS_DURATION_EFFORT</formula>
    </cfRule>
    <cfRule type="cellIs" dxfId="710" priority="746" operator="equal">
      <formula>AS_DEV_EFFORT</formula>
    </cfRule>
  </conditionalFormatting>
  <conditionalFormatting sqref="F322">
    <cfRule type="expression" dxfId="709" priority="744">
      <formula>$K322&lt;&gt;""</formula>
    </cfRule>
  </conditionalFormatting>
  <conditionalFormatting sqref="C322">
    <cfRule type="expression" dxfId="708" priority="743">
      <formula>$G322&lt;&gt;"-"</formula>
    </cfRule>
  </conditionalFormatting>
  <conditionalFormatting sqref="D322">
    <cfRule type="expression" dxfId="707" priority="742">
      <formula>$H322&lt;&gt;"-"</formula>
    </cfRule>
  </conditionalFormatting>
  <conditionalFormatting sqref="E322">
    <cfRule type="expression" dxfId="706" priority="741">
      <formula>$I322&lt;&gt;"-"</formula>
    </cfRule>
  </conditionalFormatting>
  <conditionalFormatting sqref="B323">
    <cfRule type="expression" dxfId="705" priority="738">
      <formula>AD323&lt;&gt;""</formula>
    </cfRule>
  </conditionalFormatting>
  <conditionalFormatting sqref="Z323">
    <cfRule type="cellIs" dxfId="704" priority="736" operator="greaterThan">
      <formula>0</formula>
    </cfRule>
    <cfRule type="cellIs" dxfId="703" priority="737" operator="lessThan">
      <formula>0</formula>
    </cfRule>
  </conditionalFormatting>
  <conditionalFormatting sqref="S323">
    <cfRule type="cellIs" dxfId="702" priority="735" operator="lessThan">
      <formula>0</formula>
    </cfRule>
  </conditionalFormatting>
  <conditionalFormatting sqref="P323">
    <cfRule type="cellIs" dxfId="701" priority="733" operator="equal">
      <formula>AS_DURATION_EFFORT</formula>
    </cfRule>
    <cfRule type="cellIs" dxfId="700" priority="734" operator="equal">
      <formula>AS_DEV_EFFORT</formula>
    </cfRule>
  </conditionalFormatting>
  <conditionalFormatting sqref="F323">
    <cfRule type="expression" dxfId="699" priority="732">
      <formula>$K323&lt;&gt;""</formula>
    </cfRule>
  </conditionalFormatting>
  <conditionalFormatting sqref="C323">
    <cfRule type="expression" dxfId="698" priority="731">
      <formula>$G323&lt;&gt;"-"</formula>
    </cfRule>
  </conditionalFormatting>
  <conditionalFormatting sqref="D323">
    <cfRule type="expression" dxfId="697" priority="730">
      <formula>$H323&lt;&gt;"-"</formula>
    </cfRule>
  </conditionalFormatting>
  <conditionalFormatting sqref="E323">
    <cfRule type="expression" dxfId="696" priority="729">
      <formula>$I323&lt;&gt;"-"</formula>
    </cfRule>
  </conditionalFormatting>
  <conditionalFormatting sqref="B324">
    <cfRule type="expression" dxfId="695" priority="726">
      <formula>AD324&lt;&gt;""</formula>
    </cfRule>
  </conditionalFormatting>
  <conditionalFormatting sqref="Z324">
    <cfRule type="cellIs" dxfId="694" priority="724" operator="greaterThan">
      <formula>0</formula>
    </cfRule>
    <cfRule type="cellIs" dxfId="693" priority="725" operator="lessThan">
      <formula>0</formula>
    </cfRule>
  </conditionalFormatting>
  <conditionalFormatting sqref="S324">
    <cfRule type="cellIs" dxfId="692" priority="723" operator="lessThan">
      <formula>0</formula>
    </cfRule>
  </conditionalFormatting>
  <conditionalFormatting sqref="P324">
    <cfRule type="cellIs" dxfId="691" priority="721" operator="equal">
      <formula>AS_DURATION_EFFORT</formula>
    </cfRule>
    <cfRule type="cellIs" dxfId="690" priority="722" operator="equal">
      <formula>AS_DEV_EFFORT</formula>
    </cfRule>
  </conditionalFormatting>
  <conditionalFormatting sqref="F324">
    <cfRule type="expression" dxfId="689" priority="720">
      <formula>$K324&lt;&gt;""</formula>
    </cfRule>
  </conditionalFormatting>
  <conditionalFormatting sqref="C324">
    <cfRule type="expression" dxfId="688" priority="719">
      <formula>$G324&lt;&gt;"-"</formula>
    </cfRule>
  </conditionalFormatting>
  <conditionalFormatting sqref="D324">
    <cfRule type="expression" dxfId="687" priority="718">
      <formula>$H324&lt;&gt;"-"</formula>
    </cfRule>
  </conditionalFormatting>
  <conditionalFormatting sqref="E324">
    <cfRule type="expression" dxfId="686" priority="717">
      <formula>$I324&lt;&gt;"-"</formula>
    </cfRule>
  </conditionalFormatting>
  <conditionalFormatting sqref="B325">
    <cfRule type="expression" dxfId="685" priority="714">
      <formula>AD325&lt;&gt;""</formula>
    </cfRule>
  </conditionalFormatting>
  <conditionalFormatting sqref="Z325">
    <cfRule type="cellIs" dxfId="684" priority="712" operator="greaterThan">
      <formula>0</formula>
    </cfRule>
    <cfRule type="cellIs" dxfId="683" priority="713" operator="lessThan">
      <formula>0</formula>
    </cfRule>
  </conditionalFormatting>
  <conditionalFormatting sqref="S325">
    <cfRule type="cellIs" dxfId="682" priority="711" operator="lessThan">
      <formula>0</formula>
    </cfRule>
  </conditionalFormatting>
  <conditionalFormatting sqref="P325">
    <cfRule type="cellIs" dxfId="681" priority="709" operator="equal">
      <formula>AS_DURATION_EFFORT</formula>
    </cfRule>
    <cfRule type="cellIs" dxfId="680" priority="710" operator="equal">
      <formula>AS_DEV_EFFORT</formula>
    </cfRule>
  </conditionalFormatting>
  <conditionalFormatting sqref="F325">
    <cfRule type="expression" dxfId="679" priority="708">
      <formula>$K325&lt;&gt;""</formula>
    </cfRule>
  </conditionalFormatting>
  <conditionalFormatting sqref="C325">
    <cfRule type="expression" dxfId="678" priority="707">
      <formula>$G325&lt;&gt;"-"</formula>
    </cfRule>
  </conditionalFormatting>
  <conditionalFormatting sqref="D325">
    <cfRule type="expression" dxfId="677" priority="706">
      <formula>$H325&lt;&gt;"-"</formula>
    </cfRule>
  </conditionalFormatting>
  <conditionalFormatting sqref="E325">
    <cfRule type="expression" dxfId="676" priority="705">
      <formula>$I325&lt;&gt;"-"</formula>
    </cfRule>
  </conditionalFormatting>
  <conditionalFormatting sqref="B341">
    <cfRule type="expression" dxfId="675" priority="701">
      <formula>AD341&lt;&gt;""</formula>
    </cfRule>
  </conditionalFormatting>
  <conditionalFormatting sqref="Z341">
    <cfRule type="cellIs" dxfId="674" priority="699" operator="greaterThan">
      <formula>0</formula>
    </cfRule>
    <cfRule type="cellIs" dxfId="673" priority="700" operator="lessThan">
      <formula>0</formula>
    </cfRule>
  </conditionalFormatting>
  <conditionalFormatting sqref="S341">
    <cfRule type="cellIs" dxfId="672" priority="698" operator="lessThan">
      <formula>0</formula>
    </cfRule>
  </conditionalFormatting>
  <conditionalFormatting sqref="T339:T340">
    <cfRule type="expression" dxfId="671" priority="702">
      <formula>#REF!="Yes"</formula>
    </cfRule>
  </conditionalFormatting>
  <conditionalFormatting sqref="P341">
    <cfRule type="cellIs" dxfId="670" priority="696" operator="equal">
      <formula>AS_DURATION_EFFORT</formula>
    </cfRule>
    <cfRule type="cellIs" dxfId="669" priority="697" operator="equal">
      <formula>AS_DEV_EFFORT</formula>
    </cfRule>
  </conditionalFormatting>
  <conditionalFormatting sqref="B339:B340">
    <cfRule type="expression" dxfId="668" priority="695">
      <formula>AD339&lt;&gt;""</formula>
    </cfRule>
  </conditionalFormatting>
  <conditionalFormatting sqref="F341">
    <cfRule type="expression" dxfId="667" priority="694">
      <formula>$K341&lt;&gt;""</formula>
    </cfRule>
  </conditionalFormatting>
  <conditionalFormatting sqref="C341">
    <cfRule type="expression" dxfId="666" priority="693">
      <formula>$G341&lt;&gt;"-"</formula>
    </cfRule>
  </conditionalFormatting>
  <conditionalFormatting sqref="D341">
    <cfRule type="expression" dxfId="665" priority="692">
      <formula>$H341&lt;&gt;"-"</formula>
    </cfRule>
  </conditionalFormatting>
  <conditionalFormatting sqref="E341">
    <cfRule type="expression" dxfId="664" priority="691">
      <formula>$I341&lt;&gt;"-"</formula>
    </cfRule>
  </conditionalFormatting>
  <conditionalFormatting sqref="B342">
    <cfRule type="expression" dxfId="663" priority="688">
      <formula>AD342&lt;&gt;""</formula>
    </cfRule>
  </conditionalFormatting>
  <conditionalFormatting sqref="Z342">
    <cfRule type="cellIs" dxfId="662" priority="686" operator="greaterThan">
      <formula>0</formula>
    </cfRule>
    <cfRule type="cellIs" dxfId="661" priority="687" operator="lessThan">
      <formula>0</formula>
    </cfRule>
  </conditionalFormatting>
  <conditionalFormatting sqref="S342">
    <cfRule type="cellIs" dxfId="660" priority="685" operator="lessThan">
      <formula>0</formula>
    </cfRule>
  </conditionalFormatting>
  <conditionalFormatting sqref="P342">
    <cfRule type="cellIs" dxfId="659" priority="683" operator="equal">
      <formula>AS_DURATION_EFFORT</formula>
    </cfRule>
    <cfRule type="cellIs" dxfId="658" priority="684" operator="equal">
      <formula>AS_DEV_EFFORT</formula>
    </cfRule>
  </conditionalFormatting>
  <conditionalFormatting sqref="F342">
    <cfRule type="expression" dxfId="657" priority="682">
      <formula>$K342&lt;&gt;""</formula>
    </cfRule>
  </conditionalFormatting>
  <conditionalFormatting sqref="C342">
    <cfRule type="expression" dxfId="656" priority="681">
      <formula>$G342&lt;&gt;"-"</formula>
    </cfRule>
  </conditionalFormatting>
  <conditionalFormatting sqref="D342">
    <cfRule type="expression" dxfId="655" priority="680">
      <formula>$H342&lt;&gt;"-"</formula>
    </cfRule>
  </conditionalFormatting>
  <conditionalFormatting sqref="E342">
    <cfRule type="expression" dxfId="654" priority="679">
      <formula>$I342&lt;&gt;"-"</formula>
    </cfRule>
  </conditionalFormatting>
  <conditionalFormatting sqref="B346">
    <cfRule type="expression" dxfId="653" priority="675">
      <formula>AD346&lt;&gt;""</formula>
    </cfRule>
  </conditionalFormatting>
  <conditionalFormatting sqref="Z346">
    <cfRule type="cellIs" dxfId="652" priority="673" operator="greaterThan">
      <formula>0</formula>
    </cfRule>
    <cfRule type="cellIs" dxfId="651" priority="674" operator="lessThan">
      <formula>0</formula>
    </cfRule>
  </conditionalFormatting>
  <conditionalFormatting sqref="S346">
    <cfRule type="cellIs" dxfId="650" priority="672" operator="lessThan">
      <formula>0</formula>
    </cfRule>
  </conditionalFormatting>
  <conditionalFormatting sqref="T344:T345">
    <cfRule type="expression" dxfId="649" priority="676">
      <formula>#REF!="Yes"</formula>
    </cfRule>
  </conditionalFormatting>
  <conditionalFormatting sqref="P346">
    <cfRule type="cellIs" dxfId="648" priority="670" operator="equal">
      <formula>AS_DURATION_EFFORT</formula>
    </cfRule>
    <cfRule type="cellIs" dxfId="647" priority="671" operator="equal">
      <formula>AS_DEV_EFFORT</formula>
    </cfRule>
  </conditionalFormatting>
  <conditionalFormatting sqref="B344:B345">
    <cfRule type="expression" dxfId="646" priority="669">
      <formula>AD344&lt;&gt;""</formula>
    </cfRule>
  </conditionalFormatting>
  <conditionalFormatting sqref="F346">
    <cfRule type="expression" dxfId="645" priority="668">
      <formula>$K346&lt;&gt;""</formula>
    </cfRule>
  </conditionalFormatting>
  <conditionalFormatting sqref="C346">
    <cfRule type="expression" dxfId="644" priority="667">
      <formula>$G346&lt;&gt;"-"</formula>
    </cfRule>
  </conditionalFormatting>
  <conditionalFormatting sqref="D346">
    <cfRule type="expression" dxfId="643" priority="666">
      <formula>$H346&lt;&gt;"-"</formula>
    </cfRule>
  </conditionalFormatting>
  <conditionalFormatting sqref="E346">
    <cfRule type="expression" dxfId="642" priority="665">
      <formula>$I346&lt;&gt;"-"</formula>
    </cfRule>
  </conditionalFormatting>
  <conditionalFormatting sqref="B347">
    <cfRule type="expression" dxfId="641" priority="662">
      <formula>AD347&lt;&gt;""</formula>
    </cfRule>
  </conditionalFormatting>
  <conditionalFormatting sqref="Z347">
    <cfRule type="cellIs" dxfId="640" priority="660" operator="greaterThan">
      <formula>0</formula>
    </cfRule>
    <cfRule type="cellIs" dxfId="639" priority="661" operator="lessThan">
      <formula>0</formula>
    </cfRule>
  </conditionalFormatting>
  <conditionalFormatting sqref="S347">
    <cfRule type="cellIs" dxfId="638" priority="659" operator="lessThan">
      <formula>0</formula>
    </cfRule>
  </conditionalFormatting>
  <conditionalFormatting sqref="P347">
    <cfRule type="cellIs" dxfId="637" priority="657" operator="equal">
      <formula>AS_DURATION_EFFORT</formula>
    </cfRule>
    <cfRule type="cellIs" dxfId="636" priority="658" operator="equal">
      <formula>AS_DEV_EFFORT</formula>
    </cfRule>
  </conditionalFormatting>
  <conditionalFormatting sqref="F347">
    <cfRule type="expression" dxfId="635" priority="656">
      <formula>$K347&lt;&gt;""</formula>
    </cfRule>
  </conditionalFormatting>
  <conditionalFormatting sqref="C347">
    <cfRule type="expression" dxfId="634" priority="655">
      <formula>$G347&lt;&gt;"-"</formula>
    </cfRule>
  </conditionalFormatting>
  <conditionalFormatting sqref="D347">
    <cfRule type="expression" dxfId="633" priority="654">
      <formula>$H347&lt;&gt;"-"</formula>
    </cfRule>
  </conditionalFormatting>
  <conditionalFormatting sqref="E347">
    <cfRule type="expression" dxfId="632" priority="653">
      <formula>$I347&lt;&gt;"-"</formula>
    </cfRule>
  </conditionalFormatting>
  <conditionalFormatting sqref="B430">
    <cfRule type="expression" dxfId="631" priority="652">
      <formula>AD430&lt;&gt;""</formula>
    </cfRule>
  </conditionalFormatting>
  <conditionalFormatting sqref="Z430">
    <cfRule type="cellIs" dxfId="630" priority="650" operator="greaterThan">
      <formula>0</formula>
    </cfRule>
    <cfRule type="cellIs" dxfId="629" priority="651" operator="lessThan">
      <formula>0</formula>
    </cfRule>
  </conditionalFormatting>
  <conditionalFormatting sqref="S430">
    <cfRule type="cellIs" dxfId="628" priority="649" operator="lessThan">
      <formula>0</formula>
    </cfRule>
  </conditionalFormatting>
  <conditionalFormatting sqref="P430">
    <cfRule type="cellIs" dxfId="627" priority="647" operator="equal">
      <formula>AS_DURATION_EFFORT</formula>
    </cfRule>
    <cfRule type="cellIs" dxfId="626" priority="648" operator="equal">
      <formula>AS_DEV_EFFORT</formula>
    </cfRule>
  </conditionalFormatting>
  <conditionalFormatting sqref="F430">
    <cfRule type="expression" dxfId="625" priority="646">
      <formula>$K430&lt;&gt;""</formula>
    </cfRule>
  </conditionalFormatting>
  <conditionalFormatting sqref="C430">
    <cfRule type="expression" dxfId="624" priority="645">
      <formula>$G430&lt;&gt;"-"</formula>
    </cfRule>
  </conditionalFormatting>
  <conditionalFormatting sqref="D430">
    <cfRule type="expression" dxfId="623" priority="644">
      <formula>$H430&lt;&gt;"-"</formula>
    </cfRule>
  </conditionalFormatting>
  <conditionalFormatting sqref="E430">
    <cfRule type="expression" dxfId="622" priority="643">
      <formula>$I430&lt;&gt;"-"</formula>
    </cfRule>
  </conditionalFormatting>
  <conditionalFormatting sqref="S168">
    <cfRule type="expression" dxfId="621" priority="642">
      <formula>#REF!="Yes"</formula>
    </cfRule>
  </conditionalFormatting>
  <conditionalFormatting sqref="B168">
    <cfRule type="expression" dxfId="620" priority="641">
      <formula>AD168&lt;&gt;""</formula>
    </cfRule>
  </conditionalFormatting>
  <conditionalFormatting sqref="S217">
    <cfRule type="expression" dxfId="619" priority="640">
      <formula>#REF!="Yes"</formula>
    </cfRule>
  </conditionalFormatting>
  <conditionalFormatting sqref="B217">
    <cfRule type="expression" dxfId="618" priority="639">
      <formula>AD217&lt;&gt;""</formula>
    </cfRule>
  </conditionalFormatting>
  <conditionalFormatting sqref="S259">
    <cfRule type="expression" dxfId="617" priority="638">
      <formula>#REF!="Yes"</formula>
    </cfRule>
  </conditionalFormatting>
  <conditionalFormatting sqref="B259">
    <cfRule type="expression" dxfId="616" priority="637">
      <formula>AD259&lt;&gt;""</formula>
    </cfRule>
  </conditionalFormatting>
  <conditionalFormatting sqref="S302">
    <cfRule type="expression" dxfId="615" priority="636">
      <formula>#REF!="Yes"</formula>
    </cfRule>
  </conditionalFormatting>
  <conditionalFormatting sqref="B302">
    <cfRule type="expression" dxfId="614" priority="635">
      <formula>AD302&lt;&gt;""</formula>
    </cfRule>
  </conditionalFormatting>
  <conditionalFormatting sqref="S349">
    <cfRule type="expression" dxfId="613" priority="632">
      <formula>#REF!="Yes"</formula>
    </cfRule>
  </conditionalFormatting>
  <conditionalFormatting sqref="B349">
    <cfRule type="expression" dxfId="612" priority="631">
      <formula>AD349&lt;&gt;""</formula>
    </cfRule>
  </conditionalFormatting>
  <conditionalFormatting sqref="S318">
    <cfRule type="expression" dxfId="611" priority="626">
      <formula>#REF!="Yes"</formula>
    </cfRule>
  </conditionalFormatting>
  <conditionalFormatting sqref="B318">
    <cfRule type="expression" dxfId="610" priority="625">
      <formula>AD318&lt;&gt;""</formula>
    </cfRule>
  </conditionalFormatting>
  <conditionalFormatting sqref="S425">
    <cfRule type="expression" dxfId="609" priority="624">
      <formula>#REF!="Yes"</formula>
    </cfRule>
  </conditionalFormatting>
  <conditionalFormatting sqref="B425">
    <cfRule type="expression" dxfId="608" priority="623">
      <formula>AD425&lt;&gt;""</formula>
    </cfRule>
  </conditionalFormatting>
  <conditionalFormatting sqref="S435">
    <cfRule type="expression" dxfId="607" priority="608">
      <formula>#REF!="Yes"</formula>
    </cfRule>
  </conditionalFormatting>
  <conditionalFormatting sqref="B435">
    <cfRule type="expression" dxfId="606" priority="607">
      <formula>AD435&lt;&gt;""</formula>
    </cfRule>
  </conditionalFormatting>
  <conditionalFormatting sqref="S441">
    <cfRule type="expression" dxfId="605" priority="606">
      <formula>#REF!="Yes"</formula>
    </cfRule>
  </conditionalFormatting>
  <conditionalFormatting sqref="B441">
    <cfRule type="expression" dxfId="604" priority="605">
      <formula>AD441&lt;&gt;""</formula>
    </cfRule>
  </conditionalFormatting>
  <conditionalFormatting sqref="B481">
    <cfRule type="expression" dxfId="603" priority="604">
      <formula>AD481&lt;&gt;""</formula>
    </cfRule>
  </conditionalFormatting>
  <conditionalFormatting sqref="Z481">
    <cfRule type="cellIs" dxfId="602" priority="602" operator="greaterThan">
      <formula>0</formula>
    </cfRule>
    <cfRule type="cellIs" dxfId="601" priority="603" operator="lessThan">
      <formula>0</formula>
    </cfRule>
  </conditionalFormatting>
  <conditionalFormatting sqref="S481">
    <cfRule type="cellIs" dxfId="600" priority="601" operator="lessThan">
      <formula>0</formula>
    </cfRule>
  </conditionalFormatting>
  <conditionalFormatting sqref="P481">
    <cfRule type="cellIs" dxfId="599" priority="599" operator="equal">
      <formula>AS_DURATION_EFFORT</formula>
    </cfRule>
    <cfRule type="cellIs" dxfId="598" priority="600" operator="equal">
      <formula>AS_DEV_EFFORT</formula>
    </cfRule>
  </conditionalFormatting>
  <conditionalFormatting sqref="F481">
    <cfRule type="expression" dxfId="597" priority="598">
      <formula>$K481&lt;&gt;""</formula>
    </cfRule>
  </conditionalFormatting>
  <conditionalFormatting sqref="C481">
    <cfRule type="expression" dxfId="596" priority="597">
      <formula>$G481&lt;&gt;"-"</formula>
    </cfRule>
  </conditionalFormatting>
  <conditionalFormatting sqref="D481">
    <cfRule type="expression" dxfId="595" priority="596">
      <formula>$H481&lt;&gt;"-"</formula>
    </cfRule>
  </conditionalFormatting>
  <conditionalFormatting sqref="E481">
    <cfRule type="expression" dxfId="594" priority="595">
      <formula>$I481&lt;&gt;"-"</formula>
    </cfRule>
  </conditionalFormatting>
  <conditionalFormatting sqref="B482">
    <cfRule type="expression" dxfId="593" priority="594">
      <formula>AD482&lt;&gt;""</formula>
    </cfRule>
  </conditionalFormatting>
  <conditionalFormatting sqref="Z482">
    <cfRule type="cellIs" dxfId="592" priority="592" operator="greaterThan">
      <formula>0</formula>
    </cfRule>
    <cfRule type="cellIs" dxfId="591" priority="593" operator="lessThan">
      <formula>0</formula>
    </cfRule>
  </conditionalFormatting>
  <conditionalFormatting sqref="S482">
    <cfRule type="cellIs" dxfId="590" priority="591" operator="lessThan">
      <formula>0</formula>
    </cfRule>
  </conditionalFormatting>
  <conditionalFormatting sqref="P482">
    <cfRule type="cellIs" dxfId="589" priority="589" operator="equal">
      <formula>AS_DURATION_EFFORT</formula>
    </cfRule>
    <cfRule type="cellIs" dxfId="588" priority="590" operator="equal">
      <formula>AS_DEV_EFFORT</formula>
    </cfRule>
  </conditionalFormatting>
  <conditionalFormatting sqref="F482">
    <cfRule type="expression" dxfId="587" priority="588">
      <formula>$K482&lt;&gt;""</formula>
    </cfRule>
  </conditionalFormatting>
  <conditionalFormatting sqref="C482">
    <cfRule type="expression" dxfId="586" priority="587">
      <formula>$G482&lt;&gt;"-"</formula>
    </cfRule>
  </conditionalFormatting>
  <conditionalFormatting sqref="D482">
    <cfRule type="expression" dxfId="585" priority="586">
      <formula>$H482&lt;&gt;"-"</formula>
    </cfRule>
  </conditionalFormatting>
  <conditionalFormatting sqref="E482">
    <cfRule type="expression" dxfId="584" priority="585">
      <formula>$I482&lt;&gt;"-"</formula>
    </cfRule>
  </conditionalFormatting>
  <conditionalFormatting sqref="B486">
    <cfRule type="expression" dxfId="583" priority="582">
      <formula>AD486&lt;&gt;""</formula>
    </cfRule>
  </conditionalFormatting>
  <conditionalFormatting sqref="Z486">
    <cfRule type="cellIs" dxfId="582" priority="580" operator="greaterThan">
      <formula>0</formula>
    </cfRule>
    <cfRule type="cellIs" dxfId="581" priority="581" operator="lessThan">
      <formula>0</formula>
    </cfRule>
  </conditionalFormatting>
  <conditionalFormatting sqref="S486">
    <cfRule type="cellIs" dxfId="580" priority="579" operator="lessThan">
      <formula>0</formula>
    </cfRule>
  </conditionalFormatting>
  <conditionalFormatting sqref="P486">
    <cfRule type="cellIs" dxfId="579" priority="577" operator="equal">
      <formula>AS_DURATION_EFFORT</formula>
    </cfRule>
    <cfRule type="cellIs" dxfId="578" priority="578" operator="equal">
      <formula>AS_DEV_EFFORT</formula>
    </cfRule>
  </conditionalFormatting>
  <conditionalFormatting sqref="L486:AC486">
    <cfRule type="expression" dxfId="577" priority="583">
      <formula>AND($G486="Yes", $S$6="Exclude")</formula>
    </cfRule>
    <cfRule type="expression" dxfId="576" priority="584">
      <formula>$J486="Yes"</formula>
    </cfRule>
  </conditionalFormatting>
  <conditionalFormatting sqref="F486">
    <cfRule type="expression" dxfId="575" priority="576">
      <formula>$K486&lt;&gt;""</formula>
    </cfRule>
  </conditionalFormatting>
  <conditionalFormatting sqref="C486">
    <cfRule type="expression" dxfId="574" priority="575">
      <formula>$G486&lt;&gt;"-"</formula>
    </cfRule>
  </conditionalFormatting>
  <conditionalFormatting sqref="D486">
    <cfRule type="expression" dxfId="573" priority="574">
      <formula>$H486&lt;&gt;"-"</formula>
    </cfRule>
  </conditionalFormatting>
  <conditionalFormatting sqref="E486">
    <cfRule type="expression" dxfId="572" priority="573">
      <formula>$I486&lt;&gt;"-"</formula>
    </cfRule>
  </conditionalFormatting>
  <conditionalFormatting sqref="B489">
    <cfRule type="expression" dxfId="571" priority="572">
      <formula>AD489&lt;&gt;""</formula>
    </cfRule>
  </conditionalFormatting>
  <conditionalFormatting sqref="Z489">
    <cfRule type="cellIs" dxfId="570" priority="570" operator="greaterThan">
      <formula>0</formula>
    </cfRule>
    <cfRule type="cellIs" dxfId="569" priority="571" operator="lessThan">
      <formula>0</formula>
    </cfRule>
  </conditionalFormatting>
  <conditionalFormatting sqref="S489">
    <cfRule type="cellIs" dxfId="568" priority="569" operator="lessThan">
      <formula>0</formula>
    </cfRule>
  </conditionalFormatting>
  <conditionalFormatting sqref="P489">
    <cfRule type="cellIs" dxfId="567" priority="567" operator="equal">
      <formula>AS_DURATION_EFFORT</formula>
    </cfRule>
    <cfRule type="cellIs" dxfId="566" priority="568" operator="equal">
      <formula>AS_DEV_EFFORT</formula>
    </cfRule>
  </conditionalFormatting>
  <conditionalFormatting sqref="F489">
    <cfRule type="expression" dxfId="565" priority="566">
      <formula>$K489&lt;&gt;""</formula>
    </cfRule>
  </conditionalFormatting>
  <conditionalFormatting sqref="C489">
    <cfRule type="expression" dxfId="564" priority="565">
      <formula>$G489&lt;&gt;"-"</formula>
    </cfRule>
  </conditionalFormatting>
  <conditionalFormatting sqref="D489">
    <cfRule type="expression" dxfId="563" priority="564">
      <formula>$H489&lt;&gt;"-"</formula>
    </cfRule>
  </conditionalFormatting>
  <conditionalFormatting sqref="E489">
    <cfRule type="expression" dxfId="562" priority="563">
      <formula>$I489&lt;&gt;"-"</formula>
    </cfRule>
  </conditionalFormatting>
  <conditionalFormatting sqref="B487">
    <cfRule type="expression" dxfId="561" priority="560">
      <formula>AD487&lt;&gt;""</formula>
    </cfRule>
  </conditionalFormatting>
  <conditionalFormatting sqref="Z487">
    <cfRule type="cellIs" dxfId="560" priority="558" operator="greaterThan">
      <formula>0</formula>
    </cfRule>
    <cfRule type="cellIs" dxfId="559" priority="559" operator="lessThan">
      <formula>0</formula>
    </cfRule>
  </conditionalFormatting>
  <conditionalFormatting sqref="S487">
    <cfRule type="cellIs" dxfId="558" priority="557" operator="lessThan">
      <formula>0</formula>
    </cfRule>
  </conditionalFormatting>
  <conditionalFormatting sqref="P487">
    <cfRule type="cellIs" dxfId="557" priority="555" operator="equal">
      <formula>AS_DURATION_EFFORT</formula>
    </cfRule>
    <cfRule type="cellIs" dxfId="556" priority="556" operator="equal">
      <formula>AS_DEV_EFFORT</formula>
    </cfRule>
  </conditionalFormatting>
  <conditionalFormatting sqref="L487:AC487">
    <cfRule type="expression" dxfId="555" priority="561">
      <formula>AND($G487="Yes", $S$6="Exclude")</formula>
    </cfRule>
    <cfRule type="expression" dxfId="554" priority="562">
      <formula>$J487="Yes"</formula>
    </cfRule>
  </conditionalFormatting>
  <conditionalFormatting sqref="F487">
    <cfRule type="expression" dxfId="553" priority="554">
      <formula>$K487&lt;&gt;""</formula>
    </cfRule>
  </conditionalFormatting>
  <conditionalFormatting sqref="C487">
    <cfRule type="expression" dxfId="552" priority="553">
      <formula>$G487&lt;&gt;"-"</formula>
    </cfRule>
  </conditionalFormatting>
  <conditionalFormatting sqref="D487">
    <cfRule type="expression" dxfId="551" priority="552">
      <formula>$H487&lt;&gt;"-"</formula>
    </cfRule>
  </conditionalFormatting>
  <conditionalFormatting sqref="E487">
    <cfRule type="expression" dxfId="550" priority="551">
      <formula>$I487&lt;&gt;"-"</formula>
    </cfRule>
  </conditionalFormatting>
  <conditionalFormatting sqref="B467">
    <cfRule type="expression" dxfId="549" priority="550">
      <formula>AD467&lt;&gt;""</formula>
    </cfRule>
  </conditionalFormatting>
  <conditionalFormatting sqref="Z467">
    <cfRule type="cellIs" dxfId="548" priority="548" operator="greaterThan">
      <formula>0</formula>
    </cfRule>
    <cfRule type="cellIs" dxfId="547" priority="549" operator="lessThan">
      <formula>0</formula>
    </cfRule>
  </conditionalFormatting>
  <conditionalFormatting sqref="S467">
    <cfRule type="cellIs" dxfId="546" priority="547" operator="lessThan">
      <formula>0</formula>
    </cfRule>
  </conditionalFormatting>
  <conditionalFormatting sqref="P467">
    <cfRule type="cellIs" dxfId="545" priority="545" operator="equal">
      <formula>AS_DURATION_EFFORT</formula>
    </cfRule>
    <cfRule type="cellIs" dxfId="544" priority="546" operator="equal">
      <formula>AS_DEV_EFFORT</formula>
    </cfRule>
  </conditionalFormatting>
  <conditionalFormatting sqref="F467">
    <cfRule type="expression" dxfId="543" priority="544">
      <formula>$K467&lt;&gt;""</formula>
    </cfRule>
  </conditionalFormatting>
  <conditionalFormatting sqref="C467">
    <cfRule type="expression" dxfId="542" priority="543">
      <formula>$G467&lt;&gt;"-"</formula>
    </cfRule>
  </conditionalFormatting>
  <conditionalFormatting sqref="D467">
    <cfRule type="expression" dxfId="541" priority="542">
      <formula>$H467&lt;&gt;"-"</formula>
    </cfRule>
  </conditionalFormatting>
  <conditionalFormatting sqref="E467">
    <cfRule type="expression" dxfId="540" priority="541">
      <formula>$I467&lt;&gt;"-"</formula>
    </cfRule>
  </conditionalFormatting>
  <conditionalFormatting sqref="B153">
    <cfRule type="expression" dxfId="539" priority="537">
      <formula>AD153&lt;&gt;""</formula>
    </cfRule>
  </conditionalFormatting>
  <conditionalFormatting sqref="Z153">
    <cfRule type="cellIs" dxfId="538" priority="535" operator="greaterThan">
      <formula>0</formula>
    </cfRule>
    <cfRule type="cellIs" dxfId="537" priority="536" operator="lessThan">
      <formula>0</formula>
    </cfRule>
  </conditionalFormatting>
  <conditionalFormatting sqref="S153">
    <cfRule type="cellIs" dxfId="536" priority="534" operator="lessThan">
      <formula>0</formula>
    </cfRule>
  </conditionalFormatting>
  <conditionalFormatting sqref="T151:T152">
    <cfRule type="expression" dxfId="535" priority="538">
      <formula>#REF!="Yes"</formula>
    </cfRule>
  </conditionalFormatting>
  <conditionalFormatting sqref="P153">
    <cfRule type="cellIs" dxfId="534" priority="532" operator="equal">
      <formula>AS_DURATION_EFFORT</formula>
    </cfRule>
    <cfRule type="cellIs" dxfId="533" priority="533" operator="equal">
      <formula>AS_DEV_EFFORT</formula>
    </cfRule>
  </conditionalFormatting>
  <conditionalFormatting sqref="B151:B152">
    <cfRule type="expression" dxfId="532" priority="531">
      <formula>AD151&lt;&gt;""</formula>
    </cfRule>
  </conditionalFormatting>
  <conditionalFormatting sqref="L153:AC153">
    <cfRule type="expression" dxfId="531" priority="539">
      <formula>AND($G153="Yes", $S$6="Exclude")</formula>
    </cfRule>
    <cfRule type="expression" dxfId="530" priority="540">
      <formula>$J153="Yes"</formula>
    </cfRule>
  </conditionalFormatting>
  <conditionalFormatting sqref="F153">
    <cfRule type="expression" dxfId="529" priority="530">
      <formula>$K153&lt;&gt;""</formula>
    </cfRule>
  </conditionalFormatting>
  <conditionalFormatting sqref="C153">
    <cfRule type="expression" dxfId="528" priority="529">
      <formula>$G153&lt;&gt;"-"</formula>
    </cfRule>
  </conditionalFormatting>
  <conditionalFormatting sqref="D153">
    <cfRule type="expression" dxfId="527" priority="528">
      <formula>$H153&lt;&gt;"-"</formula>
    </cfRule>
  </conditionalFormatting>
  <conditionalFormatting sqref="E153">
    <cfRule type="expression" dxfId="526" priority="527">
      <formula>$I153&lt;&gt;"-"</formula>
    </cfRule>
  </conditionalFormatting>
  <conditionalFormatting sqref="B158">
    <cfRule type="expression" dxfId="525" priority="524">
      <formula>AD158&lt;&gt;""</formula>
    </cfRule>
  </conditionalFormatting>
  <conditionalFormatting sqref="Z158">
    <cfRule type="cellIs" dxfId="524" priority="522" operator="greaterThan">
      <formula>0</formula>
    </cfRule>
    <cfRule type="cellIs" dxfId="523" priority="523" operator="lessThan">
      <formula>0</formula>
    </cfRule>
  </conditionalFormatting>
  <conditionalFormatting sqref="S158">
    <cfRule type="cellIs" dxfId="522" priority="521" operator="lessThan">
      <formula>0</formula>
    </cfRule>
  </conditionalFormatting>
  <conditionalFormatting sqref="P158">
    <cfRule type="cellIs" dxfId="521" priority="519" operator="equal">
      <formula>AS_DURATION_EFFORT</formula>
    </cfRule>
    <cfRule type="cellIs" dxfId="520" priority="520" operator="equal">
      <formula>AS_DEV_EFFORT</formula>
    </cfRule>
  </conditionalFormatting>
  <conditionalFormatting sqref="L158:AC158">
    <cfRule type="expression" dxfId="519" priority="525">
      <formula>AND($G158="Yes", $S$6="Exclude")</formula>
    </cfRule>
    <cfRule type="expression" dxfId="518" priority="526">
      <formula>$J158="Yes"</formula>
    </cfRule>
  </conditionalFormatting>
  <conditionalFormatting sqref="F158">
    <cfRule type="expression" dxfId="517" priority="518">
      <formula>$K158&lt;&gt;""</formula>
    </cfRule>
  </conditionalFormatting>
  <conditionalFormatting sqref="C158">
    <cfRule type="expression" dxfId="516" priority="517">
      <formula>$G158&lt;&gt;"-"</formula>
    </cfRule>
  </conditionalFormatting>
  <conditionalFormatting sqref="D158">
    <cfRule type="expression" dxfId="515" priority="516">
      <formula>$H158&lt;&gt;"-"</formula>
    </cfRule>
  </conditionalFormatting>
  <conditionalFormatting sqref="E158">
    <cfRule type="expression" dxfId="514" priority="515">
      <formula>$I158&lt;&gt;"-"</formula>
    </cfRule>
  </conditionalFormatting>
  <conditionalFormatting sqref="B157">
    <cfRule type="expression" dxfId="513" priority="512">
      <formula>AD157&lt;&gt;""</formula>
    </cfRule>
  </conditionalFormatting>
  <conditionalFormatting sqref="Z157">
    <cfRule type="cellIs" dxfId="512" priority="510" operator="greaterThan">
      <formula>0</formula>
    </cfRule>
    <cfRule type="cellIs" dxfId="511" priority="511" operator="lessThan">
      <formula>0</formula>
    </cfRule>
  </conditionalFormatting>
  <conditionalFormatting sqref="S157">
    <cfRule type="cellIs" dxfId="510" priority="509" operator="lessThan">
      <formula>0</formula>
    </cfRule>
  </conditionalFormatting>
  <conditionalFormatting sqref="P157">
    <cfRule type="cellIs" dxfId="509" priority="507" operator="equal">
      <formula>AS_DURATION_EFFORT</formula>
    </cfRule>
    <cfRule type="cellIs" dxfId="508" priority="508" operator="equal">
      <formula>AS_DEV_EFFORT</formula>
    </cfRule>
  </conditionalFormatting>
  <conditionalFormatting sqref="L157:AC157">
    <cfRule type="expression" dxfId="507" priority="513">
      <formula>AND($G157="Yes", $S$6="Exclude")</formula>
    </cfRule>
    <cfRule type="expression" dxfId="506" priority="514">
      <formula>$J157="Yes"</formula>
    </cfRule>
  </conditionalFormatting>
  <conditionalFormatting sqref="F157">
    <cfRule type="expression" dxfId="505" priority="506">
      <formula>$K157&lt;&gt;""</formula>
    </cfRule>
  </conditionalFormatting>
  <conditionalFormatting sqref="C157">
    <cfRule type="expression" dxfId="504" priority="505">
      <formula>$G157&lt;&gt;"-"</formula>
    </cfRule>
  </conditionalFormatting>
  <conditionalFormatting sqref="D157">
    <cfRule type="expression" dxfId="503" priority="504">
      <formula>$H157&lt;&gt;"-"</formula>
    </cfRule>
  </conditionalFormatting>
  <conditionalFormatting sqref="E157">
    <cfRule type="expression" dxfId="502" priority="503">
      <formula>$I157&lt;&gt;"-"</formula>
    </cfRule>
  </conditionalFormatting>
  <conditionalFormatting sqref="B156">
    <cfRule type="expression" dxfId="501" priority="500">
      <formula>AD156&lt;&gt;""</formula>
    </cfRule>
  </conditionalFormatting>
  <conditionalFormatting sqref="Z156">
    <cfRule type="cellIs" dxfId="500" priority="498" operator="greaterThan">
      <formula>0</formula>
    </cfRule>
    <cfRule type="cellIs" dxfId="499" priority="499" operator="lessThan">
      <formula>0</formula>
    </cfRule>
  </conditionalFormatting>
  <conditionalFormatting sqref="S156">
    <cfRule type="cellIs" dxfId="498" priority="497" operator="lessThan">
      <formula>0</formula>
    </cfRule>
  </conditionalFormatting>
  <conditionalFormatting sqref="P156">
    <cfRule type="cellIs" dxfId="497" priority="495" operator="equal">
      <formula>AS_DURATION_EFFORT</formula>
    </cfRule>
    <cfRule type="cellIs" dxfId="496" priority="496" operator="equal">
      <formula>AS_DEV_EFFORT</formula>
    </cfRule>
  </conditionalFormatting>
  <conditionalFormatting sqref="L156:AC156">
    <cfRule type="expression" dxfId="495" priority="501">
      <formula>AND($G156="Yes", $S$6="Exclude")</formula>
    </cfRule>
    <cfRule type="expression" dxfId="494" priority="502">
      <formula>$J156="Yes"</formula>
    </cfRule>
  </conditionalFormatting>
  <conditionalFormatting sqref="F156">
    <cfRule type="expression" dxfId="493" priority="494">
      <formula>$K156&lt;&gt;""</formula>
    </cfRule>
  </conditionalFormatting>
  <conditionalFormatting sqref="C156">
    <cfRule type="expression" dxfId="492" priority="493">
      <formula>$G156&lt;&gt;"-"</formula>
    </cfRule>
  </conditionalFormatting>
  <conditionalFormatting sqref="D156">
    <cfRule type="expression" dxfId="491" priority="492">
      <formula>$H156&lt;&gt;"-"</formula>
    </cfRule>
  </conditionalFormatting>
  <conditionalFormatting sqref="E156">
    <cfRule type="expression" dxfId="490" priority="491">
      <formula>$I156&lt;&gt;"-"</formula>
    </cfRule>
  </conditionalFormatting>
  <conditionalFormatting sqref="B155">
    <cfRule type="expression" dxfId="489" priority="488">
      <formula>AD155&lt;&gt;""</formula>
    </cfRule>
  </conditionalFormatting>
  <conditionalFormatting sqref="Z155">
    <cfRule type="cellIs" dxfId="488" priority="486" operator="greaterThan">
      <formula>0</formula>
    </cfRule>
    <cfRule type="cellIs" dxfId="487" priority="487" operator="lessThan">
      <formula>0</formula>
    </cfRule>
  </conditionalFormatting>
  <conditionalFormatting sqref="S155">
    <cfRule type="cellIs" dxfId="486" priority="485" operator="lessThan">
      <formula>0</formula>
    </cfRule>
  </conditionalFormatting>
  <conditionalFormatting sqref="P155">
    <cfRule type="cellIs" dxfId="485" priority="483" operator="equal">
      <formula>AS_DURATION_EFFORT</formula>
    </cfRule>
    <cfRule type="cellIs" dxfId="484" priority="484" operator="equal">
      <formula>AS_DEV_EFFORT</formula>
    </cfRule>
  </conditionalFormatting>
  <conditionalFormatting sqref="L155:AC155">
    <cfRule type="expression" dxfId="483" priority="489">
      <formula>AND($G155="Yes", $S$6="Exclude")</formula>
    </cfRule>
    <cfRule type="expression" dxfId="482" priority="490">
      <formula>$J155="Yes"</formula>
    </cfRule>
  </conditionalFormatting>
  <conditionalFormatting sqref="F155">
    <cfRule type="expression" dxfId="481" priority="482">
      <formula>$K155&lt;&gt;""</formula>
    </cfRule>
  </conditionalFormatting>
  <conditionalFormatting sqref="C155">
    <cfRule type="expression" dxfId="480" priority="481">
      <formula>$G155&lt;&gt;"-"</formula>
    </cfRule>
  </conditionalFormatting>
  <conditionalFormatting sqref="D155">
    <cfRule type="expression" dxfId="479" priority="480">
      <formula>$H155&lt;&gt;"-"</formula>
    </cfRule>
  </conditionalFormatting>
  <conditionalFormatting sqref="E155">
    <cfRule type="expression" dxfId="478" priority="479">
      <formula>$I155&lt;&gt;"-"</formula>
    </cfRule>
  </conditionalFormatting>
  <conditionalFormatting sqref="B154">
    <cfRule type="expression" dxfId="477" priority="476">
      <formula>AD154&lt;&gt;""</formula>
    </cfRule>
  </conditionalFormatting>
  <conditionalFormatting sqref="Z154">
    <cfRule type="cellIs" dxfId="476" priority="474" operator="greaterThan">
      <formula>0</formula>
    </cfRule>
    <cfRule type="cellIs" dxfId="475" priority="475" operator="lessThan">
      <formula>0</formula>
    </cfRule>
  </conditionalFormatting>
  <conditionalFormatting sqref="S154">
    <cfRule type="cellIs" dxfId="474" priority="473" operator="lessThan">
      <formula>0</formula>
    </cfRule>
  </conditionalFormatting>
  <conditionalFormatting sqref="P154">
    <cfRule type="cellIs" dxfId="473" priority="471" operator="equal">
      <formula>AS_DURATION_EFFORT</formula>
    </cfRule>
    <cfRule type="cellIs" dxfId="472" priority="472" operator="equal">
      <formula>AS_DEV_EFFORT</formula>
    </cfRule>
  </conditionalFormatting>
  <conditionalFormatting sqref="L154:AC154">
    <cfRule type="expression" dxfId="471" priority="477">
      <formula>AND($G154="Yes", $S$6="Exclude")</formula>
    </cfRule>
    <cfRule type="expression" dxfId="470" priority="478">
      <formula>$J154="Yes"</formula>
    </cfRule>
  </conditionalFormatting>
  <conditionalFormatting sqref="F154">
    <cfRule type="expression" dxfId="469" priority="470">
      <formula>$K154&lt;&gt;""</formula>
    </cfRule>
  </conditionalFormatting>
  <conditionalFormatting sqref="C154">
    <cfRule type="expression" dxfId="468" priority="469">
      <formula>$G154&lt;&gt;"-"</formula>
    </cfRule>
  </conditionalFormatting>
  <conditionalFormatting sqref="D154">
    <cfRule type="expression" dxfId="467" priority="468">
      <formula>$H154&lt;&gt;"-"</formula>
    </cfRule>
  </conditionalFormatting>
  <conditionalFormatting sqref="E154">
    <cfRule type="expression" dxfId="466" priority="467">
      <formula>$I154&lt;&gt;"-"</formula>
    </cfRule>
  </conditionalFormatting>
  <conditionalFormatting sqref="B468">
    <cfRule type="expression" dxfId="465" priority="466">
      <formula>AD468&lt;&gt;""</formula>
    </cfRule>
  </conditionalFormatting>
  <conditionalFormatting sqref="Z468">
    <cfRule type="cellIs" dxfId="464" priority="464" operator="greaterThan">
      <formula>0</formula>
    </cfRule>
    <cfRule type="cellIs" dxfId="463" priority="465" operator="lessThan">
      <formula>0</formula>
    </cfRule>
  </conditionalFormatting>
  <conditionalFormatting sqref="S468">
    <cfRule type="cellIs" dxfId="462" priority="463" operator="lessThan">
      <formula>0</formula>
    </cfRule>
  </conditionalFormatting>
  <conditionalFormatting sqref="P468">
    <cfRule type="cellIs" dxfId="461" priority="461" operator="equal">
      <formula>AS_DURATION_EFFORT</formula>
    </cfRule>
    <cfRule type="cellIs" dxfId="460" priority="462" operator="equal">
      <formula>AS_DEV_EFFORT</formula>
    </cfRule>
  </conditionalFormatting>
  <conditionalFormatting sqref="F468">
    <cfRule type="expression" dxfId="459" priority="460">
      <formula>$K468&lt;&gt;""</formula>
    </cfRule>
  </conditionalFormatting>
  <conditionalFormatting sqref="C468">
    <cfRule type="expression" dxfId="458" priority="459">
      <formula>$G468&lt;&gt;"-"</formula>
    </cfRule>
  </conditionalFormatting>
  <conditionalFormatting sqref="D468">
    <cfRule type="expression" dxfId="457" priority="458">
      <formula>$H468&lt;&gt;"-"</formula>
    </cfRule>
  </conditionalFormatting>
  <conditionalFormatting sqref="E468">
    <cfRule type="expression" dxfId="456" priority="457">
      <formula>$I468&lt;&gt;"-"</formula>
    </cfRule>
  </conditionalFormatting>
  <conditionalFormatting sqref="B405">
    <cfRule type="expression" dxfId="455" priority="456">
      <formula>AD405&lt;&gt;""</formula>
    </cfRule>
  </conditionalFormatting>
  <conditionalFormatting sqref="Z405">
    <cfRule type="cellIs" dxfId="454" priority="454" operator="greaterThan">
      <formula>0</formula>
    </cfRule>
    <cfRule type="cellIs" dxfId="453" priority="455" operator="lessThan">
      <formula>0</formula>
    </cfRule>
  </conditionalFormatting>
  <conditionalFormatting sqref="S405">
    <cfRule type="cellIs" dxfId="452" priority="453" operator="lessThan">
      <formula>0</formula>
    </cfRule>
  </conditionalFormatting>
  <conditionalFormatting sqref="P405">
    <cfRule type="cellIs" dxfId="451" priority="451" operator="equal">
      <formula>AS_DURATION_EFFORT</formula>
    </cfRule>
    <cfRule type="cellIs" dxfId="450" priority="452" operator="equal">
      <formula>AS_DEV_EFFORT</formula>
    </cfRule>
  </conditionalFormatting>
  <conditionalFormatting sqref="F405">
    <cfRule type="expression" dxfId="449" priority="450">
      <formula>$K405&lt;&gt;""</formula>
    </cfRule>
  </conditionalFormatting>
  <conditionalFormatting sqref="C405">
    <cfRule type="expression" dxfId="448" priority="449">
      <formula>$G405&lt;&gt;"-"</formula>
    </cfRule>
  </conditionalFormatting>
  <conditionalFormatting sqref="D405">
    <cfRule type="expression" dxfId="447" priority="448">
      <formula>$H405&lt;&gt;"-"</formula>
    </cfRule>
  </conditionalFormatting>
  <conditionalFormatting sqref="E405">
    <cfRule type="expression" dxfId="446" priority="447">
      <formula>$I405&lt;&gt;"-"</formula>
    </cfRule>
  </conditionalFormatting>
  <conditionalFormatting sqref="B404">
    <cfRule type="expression" dxfId="445" priority="446">
      <formula>AD404&lt;&gt;""</formula>
    </cfRule>
  </conditionalFormatting>
  <conditionalFormatting sqref="Z404">
    <cfRule type="cellIs" dxfId="444" priority="444" operator="greaterThan">
      <formula>0</formula>
    </cfRule>
    <cfRule type="cellIs" dxfId="443" priority="445" operator="lessThan">
      <formula>0</formula>
    </cfRule>
  </conditionalFormatting>
  <conditionalFormatting sqref="S404">
    <cfRule type="cellIs" dxfId="442" priority="443" operator="lessThan">
      <formula>0</formula>
    </cfRule>
  </conditionalFormatting>
  <conditionalFormatting sqref="P404">
    <cfRule type="cellIs" dxfId="441" priority="441" operator="equal">
      <formula>AS_DURATION_EFFORT</formula>
    </cfRule>
    <cfRule type="cellIs" dxfId="440" priority="442" operator="equal">
      <formula>AS_DEV_EFFORT</formula>
    </cfRule>
  </conditionalFormatting>
  <conditionalFormatting sqref="F404">
    <cfRule type="expression" dxfId="439" priority="440">
      <formula>$K404&lt;&gt;""</formula>
    </cfRule>
  </conditionalFormatting>
  <conditionalFormatting sqref="C404">
    <cfRule type="expression" dxfId="438" priority="439">
      <formula>$G404&lt;&gt;"-"</formula>
    </cfRule>
  </conditionalFormatting>
  <conditionalFormatting sqref="D404">
    <cfRule type="expression" dxfId="437" priority="438">
      <formula>$H404&lt;&gt;"-"</formula>
    </cfRule>
  </conditionalFormatting>
  <conditionalFormatting sqref="E404">
    <cfRule type="expression" dxfId="436" priority="437">
      <formula>$I404&lt;&gt;"-"</formula>
    </cfRule>
  </conditionalFormatting>
  <conditionalFormatting sqref="B403">
    <cfRule type="expression" dxfId="435" priority="436">
      <formula>AD403&lt;&gt;""</formula>
    </cfRule>
  </conditionalFormatting>
  <conditionalFormatting sqref="Z403">
    <cfRule type="cellIs" dxfId="434" priority="434" operator="greaterThan">
      <formula>0</formula>
    </cfRule>
    <cfRule type="cellIs" dxfId="433" priority="435" operator="lessThan">
      <formula>0</formula>
    </cfRule>
  </conditionalFormatting>
  <conditionalFormatting sqref="S403">
    <cfRule type="cellIs" dxfId="432" priority="433" operator="lessThan">
      <formula>0</formula>
    </cfRule>
  </conditionalFormatting>
  <conditionalFormatting sqref="P403">
    <cfRule type="cellIs" dxfId="431" priority="431" operator="equal">
      <formula>AS_DURATION_EFFORT</formula>
    </cfRule>
    <cfRule type="cellIs" dxfId="430" priority="432" operator="equal">
      <formula>AS_DEV_EFFORT</formula>
    </cfRule>
  </conditionalFormatting>
  <conditionalFormatting sqref="F403">
    <cfRule type="expression" dxfId="429" priority="430">
      <formula>$K403&lt;&gt;""</formula>
    </cfRule>
  </conditionalFormatting>
  <conditionalFormatting sqref="C403">
    <cfRule type="expression" dxfId="428" priority="429">
      <formula>$G403&lt;&gt;"-"</formula>
    </cfRule>
  </conditionalFormatting>
  <conditionalFormatting sqref="D403">
    <cfRule type="expression" dxfId="427" priority="428">
      <formula>$H403&lt;&gt;"-"</formula>
    </cfRule>
  </conditionalFormatting>
  <conditionalFormatting sqref="E403">
    <cfRule type="expression" dxfId="426" priority="427">
      <formula>$I403&lt;&gt;"-"</formula>
    </cfRule>
  </conditionalFormatting>
  <conditionalFormatting sqref="B382">
    <cfRule type="expression" dxfId="425" priority="426">
      <formula>AD382&lt;&gt;""</formula>
    </cfRule>
  </conditionalFormatting>
  <conditionalFormatting sqref="Z382">
    <cfRule type="cellIs" dxfId="424" priority="424" operator="greaterThan">
      <formula>0</formula>
    </cfRule>
    <cfRule type="cellIs" dxfId="423" priority="425" operator="lessThan">
      <formula>0</formula>
    </cfRule>
  </conditionalFormatting>
  <conditionalFormatting sqref="S382">
    <cfRule type="cellIs" dxfId="422" priority="423" operator="lessThan">
      <formula>0</formula>
    </cfRule>
  </conditionalFormatting>
  <conditionalFormatting sqref="P382">
    <cfRule type="cellIs" dxfId="421" priority="421" operator="equal">
      <formula>AS_DURATION_EFFORT</formula>
    </cfRule>
    <cfRule type="cellIs" dxfId="420" priority="422" operator="equal">
      <formula>AS_DEV_EFFORT</formula>
    </cfRule>
  </conditionalFormatting>
  <conditionalFormatting sqref="F382">
    <cfRule type="expression" dxfId="419" priority="420">
      <formula>$K382&lt;&gt;""</formula>
    </cfRule>
  </conditionalFormatting>
  <conditionalFormatting sqref="C382">
    <cfRule type="expression" dxfId="418" priority="419">
      <formula>$G382&lt;&gt;"-"</formula>
    </cfRule>
  </conditionalFormatting>
  <conditionalFormatting sqref="D382">
    <cfRule type="expression" dxfId="417" priority="418">
      <formula>$H382&lt;&gt;"-"</formula>
    </cfRule>
  </conditionalFormatting>
  <conditionalFormatting sqref="E382">
    <cfRule type="expression" dxfId="416" priority="417">
      <formula>$I382&lt;&gt;"-"</formula>
    </cfRule>
  </conditionalFormatting>
  <conditionalFormatting sqref="B337">
    <cfRule type="expression" dxfId="415" priority="416">
      <formula>AD337&lt;&gt;""</formula>
    </cfRule>
  </conditionalFormatting>
  <conditionalFormatting sqref="Z337">
    <cfRule type="cellIs" dxfId="414" priority="414" operator="greaterThan">
      <formula>0</formula>
    </cfRule>
    <cfRule type="cellIs" dxfId="413" priority="415" operator="lessThan">
      <formula>0</formula>
    </cfRule>
  </conditionalFormatting>
  <conditionalFormatting sqref="S337">
    <cfRule type="cellIs" dxfId="412" priority="413" operator="lessThan">
      <formula>0</formula>
    </cfRule>
  </conditionalFormatting>
  <conditionalFormatting sqref="P337">
    <cfRule type="cellIs" dxfId="411" priority="411" operator="equal">
      <formula>AS_DURATION_EFFORT</formula>
    </cfRule>
    <cfRule type="cellIs" dxfId="410" priority="412" operator="equal">
      <formula>AS_DEV_EFFORT</formula>
    </cfRule>
  </conditionalFormatting>
  <conditionalFormatting sqref="F337">
    <cfRule type="expression" dxfId="409" priority="410">
      <formula>$K337&lt;&gt;""</formula>
    </cfRule>
  </conditionalFormatting>
  <conditionalFormatting sqref="C337">
    <cfRule type="expression" dxfId="408" priority="409">
      <formula>$G337&lt;&gt;"-"</formula>
    </cfRule>
  </conditionalFormatting>
  <conditionalFormatting sqref="D337">
    <cfRule type="expression" dxfId="407" priority="408">
      <formula>$H337&lt;&gt;"-"</formula>
    </cfRule>
  </conditionalFormatting>
  <conditionalFormatting sqref="E337">
    <cfRule type="expression" dxfId="406" priority="407">
      <formula>$I337&lt;&gt;"-"</formula>
    </cfRule>
  </conditionalFormatting>
  <conditionalFormatting sqref="B316">
    <cfRule type="expression" dxfId="405" priority="406">
      <formula>AD316&lt;&gt;""</formula>
    </cfRule>
  </conditionalFormatting>
  <conditionalFormatting sqref="Z316">
    <cfRule type="cellIs" dxfId="404" priority="404" operator="greaterThan">
      <formula>0</formula>
    </cfRule>
    <cfRule type="cellIs" dxfId="403" priority="405" operator="lessThan">
      <formula>0</formula>
    </cfRule>
  </conditionalFormatting>
  <conditionalFormatting sqref="S316">
    <cfRule type="cellIs" dxfId="402" priority="403" operator="lessThan">
      <formula>0</formula>
    </cfRule>
  </conditionalFormatting>
  <conditionalFormatting sqref="P316">
    <cfRule type="cellIs" dxfId="401" priority="401" operator="equal">
      <formula>AS_DURATION_EFFORT</formula>
    </cfRule>
    <cfRule type="cellIs" dxfId="400" priority="402" operator="equal">
      <formula>AS_DEV_EFFORT</formula>
    </cfRule>
  </conditionalFormatting>
  <conditionalFormatting sqref="F316">
    <cfRule type="expression" dxfId="399" priority="400">
      <formula>$K316&lt;&gt;""</formula>
    </cfRule>
  </conditionalFormatting>
  <conditionalFormatting sqref="C316">
    <cfRule type="expression" dxfId="398" priority="399">
      <formula>$G316&lt;&gt;"-"</formula>
    </cfRule>
  </conditionalFormatting>
  <conditionalFormatting sqref="D316">
    <cfRule type="expression" dxfId="397" priority="398">
      <formula>$H316&lt;&gt;"-"</formula>
    </cfRule>
  </conditionalFormatting>
  <conditionalFormatting sqref="E316">
    <cfRule type="expression" dxfId="396" priority="397">
      <formula>$I316&lt;&gt;"-"</formula>
    </cfRule>
  </conditionalFormatting>
  <conditionalFormatting sqref="B300">
    <cfRule type="expression" dxfId="395" priority="396">
      <formula>AD300&lt;&gt;""</formula>
    </cfRule>
  </conditionalFormatting>
  <conditionalFormatting sqref="Z300">
    <cfRule type="cellIs" dxfId="394" priority="394" operator="greaterThan">
      <formula>0</formula>
    </cfRule>
    <cfRule type="cellIs" dxfId="393" priority="395" operator="lessThan">
      <formula>0</formula>
    </cfRule>
  </conditionalFormatting>
  <conditionalFormatting sqref="S300">
    <cfRule type="cellIs" dxfId="392" priority="393" operator="lessThan">
      <formula>0</formula>
    </cfRule>
  </conditionalFormatting>
  <conditionalFormatting sqref="P300">
    <cfRule type="cellIs" dxfId="391" priority="391" operator="equal">
      <formula>AS_DURATION_EFFORT</formula>
    </cfRule>
    <cfRule type="cellIs" dxfId="390" priority="392" operator="equal">
      <formula>AS_DEV_EFFORT</formula>
    </cfRule>
  </conditionalFormatting>
  <conditionalFormatting sqref="F300">
    <cfRule type="expression" dxfId="389" priority="390">
      <formula>$K300&lt;&gt;""</formula>
    </cfRule>
  </conditionalFormatting>
  <conditionalFormatting sqref="C300">
    <cfRule type="expression" dxfId="388" priority="389">
      <formula>$G300&lt;&gt;"-"</formula>
    </cfRule>
  </conditionalFormatting>
  <conditionalFormatting sqref="D300">
    <cfRule type="expression" dxfId="387" priority="388">
      <formula>$H300&lt;&gt;"-"</formula>
    </cfRule>
  </conditionalFormatting>
  <conditionalFormatting sqref="E300">
    <cfRule type="expression" dxfId="386" priority="387">
      <formula>$I300&lt;&gt;"-"</formula>
    </cfRule>
  </conditionalFormatting>
  <conditionalFormatting sqref="B299">
    <cfRule type="expression" dxfId="385" priority="386">
      <formula>AD299&lt;&gt;""</formula>
    </cfRule>
  </conditionalFormatting>
  <conditionalFormatting sqref="Z299">
    <cfRule type="cellIs" dxfId="384" priority="384" operator="greaterThan">
      <formula>0</formula>
    </cfRule>
    <cfRule type="cellIs" dxfId="383" priority="385" operator="lessThan">
      <formula>0</formula>
    </cfRule>
  </conditionalFormatting>
  <conditionalFormatting sqref="S299">
    <cfRule type="cellIs" dxfId="382" priority="383" operator="lessThan">
      <formula>0</formula>
    </cfRule>
  </conditionalFormatting>
  <conditionalFormatting sqref="P299">
    <cfRule type="cellIs" dxfId="381" priority="381" operator="equal">
      <formula>AS_DURATION_EFFORT</formula>
    </cfRule>
    <cfRule type="cellIs" dxfId="380" priority="382" operator="equal">
      <formula>AS_DEV_EFFORT</formula>
    </cfRule>
  </conditionalFormatting>
  <conditionalFormatting sqref="F299">
    <cfRule type="expression" dxfId="379" priority="380">
      <formula>$K299&lt;&gt;""</formula>
    </cfRule>
  </conditionalFormatting>
  <conditionalFormatting sqref="C299">
    <cfRule type="expression" dxfId="378" priority="379">
      <formula>$G299&lt;&gt;"-"</formula>
    </cfRule>
  </conditionalFormatting>
  <conditionalFormatting sqref="D299">
    <cfRule type="expression" dxfId="377" priority="378">
      <formula>$H299&lt;&gt;"-"</formula>
    </cfRule>
  </conditionalFormatting>
  <conditionalFormatting sqref="E299">
    <cfRule type="expression" dxfId="376" priority="377">
      <formula>$I299&lt;&gt;"-"</formula>
    </cfRule>
  </conditionalFormatting>
  <conditionalFormatting sqref="B298">
    <cfRule type="expression" dxfId="375" priority="376">
      <formula>AD298&lt;&gt;""</formula>
    </cfRule>
  </conditionalFormatting>
  <conditionalFormatting sqref="Z298">
    <cfRule type="cellIs" dxfId="374" priority="374" operator="greaterThan">
      <formula>0</formula>
    </cfRule>
    <cfRule type="cellIs" dxfId="373" priority="375" operator="lessThan">
      <formula>0</formula>
    </cfRule>
  </conditionalFormatting>
  <conditionalFormatting sqref="S298">
    <cfRule type="cellIs" dxfId="372" priority="373" operator="lessThan">
      <formula>0</formula>
    </cfRule>
  </conditionalFormatting>
  <conditionalFormatting sqref="P298">
    <cfRule type="cellIs" dxfId="371" priority="371" operator="equal">
      <formula>AS_DURATION_EFFORT</formula>
    </cfRule>
    <cfRule type="cellIs" dxfId="370" priority="372" operator="equal">
      <formula>AS_DEV_EFFORT</formula>
    </cfRule>
  </conditionalFormatting>
  <conditionalFormatting sqref="F298">
    <cfRule type="expression" dxfId="369" priority="370">
      <formula>$K298&lt;&gt;""</formula>
    </cfRule>
  </conditionalFormatting>
  <conditionalFormatting sqref="C298">
    <cfRule type="expression" dxfId="368" priority="369">
      <formula>$G298&lt;&gt;"-"</formula>
    </cfRule>
  </conditionalFormatting>
  <conditionalFormatting sqref="D298">
    <cfRule type="expression" dxfId="367" priority="368">
      <formula>$H298&lt;&gt;"-"</formula>
    </cfRule>
  </conditionalFormatting>
  <conditionalFormatting sqref="E298">
    <cfRule type="expression" dxfId="366" priority="367">
      <formula>$I298&lt;&gt;"-"</formula>
    </cfRule>
  </conditionalFormatting>
  <conditionalFormatting sqref="B297">
    <cfRule type="expression" dxfId="365" priority="366">
      <formula>AD297&lt;&gt;""</formula>
    </cfRule>
  </conditionalFormatting>
  <conditionalFormatting sqref="Z297">
    <cfRule type="cellIs" dxfId="364" priority="364" operator="greaterThan">
      <formula>0</formula>
    </cfRule>
    <cfRule type="cellIs" dxfId="363" priority="365" operator="lessThan">
      <formula>0</formula>
    </cfRule>
  </conditionalFormatting>
  <conditionalFormatting sqref="S297">
    <cfRule type="cellIs" dxfId="362" priority="363" operator="lessThan">
      <formula>0</formula>
    </cfRule>
  </conditionalFormatting>
  <conditionalFormatting sqref="P297">
    <cfRule type="cellIs" dxfId="361" priority="361" operator="equal">
      <formula>AS_DURATION_EFFORT</formula>
    </cfRule>
    <cfRule type="cellIs" dxfId="360" priority="362" operator="equal">
      <formula>AS_DEV_EFFORT</formula>
    </cfRule>
  </conditionalFormatting>
  <conditionalFormatting sqref="F297">
    <cfRule type="expression" dxfId="359" priority="360">
      <formula>$K297&lt;&gt;""</formula>
    </cfRule>
  </conditionalFormatting>
  <conditionalFormatting sqref="C297">
    <cfRule type="expression" dxfId="358" priority="359">
      <formula>$G297&lt;&gt;"-"</formula>
    </cfRule>
  </conditionalFormatting>
  <conditionalFormatting sqref="D297">
    <cfRule type="expression" dxfId="357" priority="358">
      <formula>$H297&lt;&gt;"-"</formula>
    </cfRule>
  </conditionalFormatting>
  <conditionalFormatting sqref="E297">
    <cfRule type="expression" dxfId="356" priority="357">
      <formula>$I297&lt;&gt;"-"</formula>
    </cfRule>
  </conditionalFormatting>
  <conditionalFormatting sqref="B288">
    <cfRule type="expression" dxfId="355" priority="356">
      <formula>AD288&lt;&gt;""</formula>
    </cfRule>
  </conditionalFormatting>
  <conditionalFormatting sqref="Z288">
    <cfRule type="cellIs" dxfId="354" priority="354" operator="greaterThan">
      <formula>0</formula>
    </cfRule>
    <cfRule type="cellIs" dxfId="353" priority="355" operator="lessThan">
      <formula>0</formula>
    </cfRule>
  </conditionalFormatting>
  <conditionalFormatting sqref="S288">
    <cfRule type="cellIs" dxfId="352" priority="353" operator="lessThan">
      <formula>0</formula>
    </cfRule>
  </conditionalFormatting>
  <conditionalFormatting sqref="P288">
    <cfRule type="cellIs" dxfId="351" priority="351" operator="equal">
      <formula>AS_DURATION_EFFORT</formula>
    </cfRule>
    <cfRule type="cellIs" dxfId="350" priority="352" operator="equal">
      <formula>AS_DEV_EFFORT</formula>
    </cfRule>
  </conditionalFormatting>
  <conditionalFormatting sqref="F288">
    <cfRule type="expression" dxfId="349" priority="350">
      <formula>$K288&lt;&gt;""</formula>
    </cfRule>
  </conditionalFormatting>
  <conditionalFormatting sqref="C288">
    <cfRule type="expression" dxfId="348" priority="349">
      <formula>$G288&lt;&gt;"-"</formula>
    </cfRule>
  </conditionalFormatting>
  <conditionalFormatting sqref="D288">
    <cfRule type="expression" dxfId="347" priority="348">
      <formula>$H288&lt;&gt;"-"</formula>
    </cfRule>
  </conditionalFormatting>
  <conditionalFormatting sqref="E288">
    <cfRule type="expression" dxfId="346" priority="347">
      <formula>$I288&lt;&gt;"-"</formula>
    </cfRule>
  </conditionalFormatting>
  <conditionalFormatting sqref="B287">
    <cfRule type="expression" dxfId="345" priority="346">
      <formula>AD287&lt;&gt;""</formula>
    </cfRule>
  </conditionalFormatting>
  <conditionalFormatting sqref="Z287">
    <cfRule type="cellIs" dxfId="344" priority="344" operator="greaterThan">
      <formula>0</formula>
    </cfRule>
    <cfRule type="cellIs" dxfId="343" priority="345" operator="lessThan">
      <formula>0</formula>
    </cfRule>
  </conditionalFormatting>
  <conditionalFormatting sqref="S287">
    <cfRule type="cellIs" dxfId="342" priority="343" operator="lessThan">
      <formula>0</formula>
    </cfRule>
  </conditionalFormatting>
  <conditionalFormatting sqref="P287">
    <cfRule type="cellIs" dxfId="341" priority="341" operator="equal">
      <formula>AS_DURATION_EFFORT</formula>
    </cfRule>
    <cfRule type="cellIs" dxfId="340" priority="342" operator="equal">
      <formula>AS_DEV_EFFORT</formula>
    </cfRule>
  </conditionalFormatting>
  <conditionalFormatting sqref="F287">
    <cfRule type="expression" dxfId="339" priority="340">
      <formula>$K287&lt;&gt;""</formula>
    </cfRule>
  </conditionalFormatting>
  <conditionalFormatting sqref="C287">
    <cfRule type="expression" dxfId="338" priority="339">
      <formula>$G287&lt;&gt;"-"</formula>
    </cfRule>
  </conditionalFormatting>
  <conditionalFormatting sqref="D287">
    <cfRule type="expression" dxfId="337" priority="338">
      <formula>$H287&lt;&gt;"-"</formula>
    </cfRule>
  </conditionalFormatting>
  <conditionalFormatting sqref="E287">
    <cfRule type="expression" dxfId="336" priority="337">
      <formula>$I287&lt;&gt;"-"</formula>
    </cfRule>
  </conditionalFormatting>
  <conditionalFormatting sqref="B286">
    <cfRule type="expression" dxfId="335" priority="336">
      <formula>AD286&lt;&gt;""</formula>
    </cfRule>
  </conditionalFormatting>
  <conditionalFormatting sqref="Z286">
    <cfRule type="cellIs" dxfId="334" priority="334" operator="greaterThan">
      <formula>0</formula>
    </cfRule>
    <cfRule type="cellIs" dxfId="333" priority="335" operator="lessThan">
      <formula>0</formula>
    </cfRule>
  </conditionalFormatting>
  <conditionalFormatting sqref="S286">
    <cfRule type="cellIs" dxfId="332" priority="333" operator="lessThan">
      <formula>0</formula>
    </cfRule>
  </conditionalFormatting>
  <conditionalFormatting sqref="P286">
    <cfRule type="cellIs" dxfId="331" priority="331" operator="equal">
      <formula>AS_DURATION_EFFORT</formula>
    </cfRule>
    <cfRule type="cellIs" dxfId="330" priority="332" operator="equal">
      <formula>AS_DEV_EFFORT</formula>
    </cfRule>
  </conditionalFormatting>
  <conditionalFormatting sqref="F286">
    <cfRule type="expression" dxfId="329" priority="330">
      <formula>$K286&lt;&gt;""</formula>
    </cfRule>
  </conditionalFormatting>
  <conditionalFormatting sqref="C286">
    <cfRule type="expression" dxfId="328" priority="329">
      <formula>$G286&lt;&gt;"-"</formula>
    </cfRule>
  </conditionalFormatting>
  <conditionalFormatting sqref="D286">
    <cfRule type="expression" dxfId="327" priority="328">
      <formula>$H286&lt;&gt;"-"</formula>
    </cfRule>
  </conditionalFormatting>
  <conditionalFormatting sqref="E286">
    <cfRule type="expression" dxfId="326" priority="327">
      <formula>$I286&lt;&gt;"-"</formula>
    </cfRule>
  </conditionalFormatting>
  <conditionalFormatting sqref="B269">
    <cfRule type="expression" dxfId="325" priority="326">
      <formula>AD269&lt;&gt;""</formula>
    </cfRule>
  </conditionalFormatting>
  <conditionalFormatting sqref="Z269">
    <cfRule type="cellIs" dxfId="324" priority="324" operator="greaterThan">
      <formula>0</formula>
    </cfRule>
    <cfRule type="cellIs" dxfId="323" priority="325" operator="lessThan">
      <formula>0</formula>
    </cfRule>
  </conditionalFormatting>
  <conditionalFormatting sqref="S269">
    <cfRule type="cellIs" dxfId="322" priority="323" operator="lessThan">
      <formula>0</formula>
    </cfRule>
  </conditionalFormatting>
  <conditionalFormatting sqref="P269">
    <cfRule type="cellIs" dxfId="321" priority="321" operator="equal">
      <formula>AS_DURATION_EFFORT</formula>
    </cfRule>
    <cfRule type="cellIs" dxfId="320" priority="322" operator="equal">
      <formula>AS_DEV_EFFORT</formula>
    </cfRule>
  </conditionalFormatting>
  <conditionalFormatting sqref="F269">
    <cfRule type="expression" dxfId="319" priority="320">
      <formula>$K269&lt;&gt;""</formula>
    </cfRule>
  </conditionalFormatting>
  <conditionalFormatting sqref="C269">
    <cfRule type="expression" dxfId="318" priority="319">
      <formula>$G269&lt;&gt;"-"</formula>
    </cfRule>
  </conditionalFormatting>
  <conditionalFormatting sqref="D269">
    <cfRule type="expression" dxfId="317" priority="318">
      <formula>$H269&lt;&gt;"-"</formula>
    </cfRule>
  </conditionalFormatting>
  <conditionalFormatting sqref="E269">
    <cfRule type="expression" dxfId="316" priority="317">
      <formula>$I269&lt;&gt;"-"</formula>
    </cfRule>
  </conditionalFormatting>
  <conditionalFormatting sqref="B268">
    <cfRule type="expression" dxfId="315" priority="316">
      <formula>AD268&lt;&gt;""</formula>
    </cfRule>
  </conditionalFormatting>
  <conditionalFormatting sqref="Z268">
    <cfRule type="cellIs" dxfId="314" priority="314" operator="greaterThan">
      <formula>0</formula>
    </cfRule>
    <cfRule type="cellIs" dxfId="313" priority="315" operator="lessThan">
      <formula>0</formula>
    </cfRule>
  </conditionalFormatting>
  <conditionalFormatting sqref="S268">
    <cfRule type="cellIs" dxfId="312" priority="313" operator="lessThan">
      <formula>0</formula>
    </cfRule>
  </conditionalFormatting>
  <conditionalFormatting sqref="P268">
    <cfRule type="cellIs" dxfId="311" priority="311" operator="equal">
      <formula>AS_DURATION_EFFORT</formula>
    </cfRule>
    <cfRule type="cellIs" dxfId="310" priority="312" operator="equal">
      <formula>AS_DEV_EFFORT</formula>
    </cfRule>
  </conditionalFormatting>
  <conditionalFormatting sqref="F268">
    <cfRule type="expression" dxfId="309" priority="310">
      <formula>$K268&lt;&gt;""</formula>
    </cfRule>
  </conditionalFormatting>
  <conditionalFormatting sqref="C268">
    <cfRule type="expression" dxfId="308" priority="309">
      <formula>$G268&lt;&gt;"-"</formula>
    </cfRule>
  </conditionalFormatting>
  <conditionalFormatting sqref="D268">
    <cfRule type="expression" dxfId="307" priority="308">
      <formula>$H268&lt;&gt;"-"</formula>
    </cfRule>
  </conditionalFormatting>
  <conditionalFormatting sqref="E268">
    <cfRule type="expression" dxfId="306" priority="307">
      <formula>$I268&lt;&gt;"-"</formula>
    </cfRule>
  </conditionalFormatting>
  <conditionalFormatting sqref="B267">
    <cfRule type="expression" dxfId="305" priority="306">
      <formula>AD267&lt;&gt;""</formula>
    </cfRule>
  </conditionalFormatting>
  <conditionalFormatting sqref="Z267">
    <cfRule type="cellIs" dxfId="304" priority="304" operator="greaterThan">
      <formula>0</formula>
    </cfRule>
    <cfRule type="cellIs" dxfId="303" priority="305" operator="lessThan">
      <formula>0</formula>
    </cfRule>
  </conditionalFormatting>
  <conditionalFormatting sqref="S267">
    <cfRule type="cellIs" dxfId="302" priority="303" operator="lessThan">
      <formula>0</formula>
    </cfRule>
  </conditionalFormatting>
  <conditionalFormatting sqref="P267">
    <cfRule type="cellIs" dxfId="301" priority="301" operator="equal">
      <formula>AS_DURATION_EFFORT</formula>
    </cfRule>
    <cfRule type="cellIs" dxfId="300" priority="302" operator="equal">
      <formula>AS_DEV_EFFORT</formula>
    </cfRule>
  </conditionalFormatting>
  <conditionalFormatting sqref="F267">
    <cfRule type="expression" dxfId="299" priority="300">
      <formula>$K267&lt;&gt;""</formula>
    </cfRule>
  </conditionalFormatting>
  <conditionalFormatting sqref="C267">
    <cfRule type="expression" dxfId="298" priority="299">
      <formula>$G267&lt;&gt;"-"</formula>
    </cfRule>
  </conditionalFormatting>
  <conditionalFormatting sqref="D267">
    <cfRule type="expression" dxfId="297" priority="298">
      <formula>$H267&lt;&gt;"-"</formula>
    </cfRule>
  </conditionalFormatting>
  <conditionalFormatting sqref="E267">
    <cfRule type="expression" dxfId="296" priority="297">
      <formula>$I267&lt;&gt;"-"</formula>
    </cfRule>
  </conditionalFormatting>
  <conditionalFormatting sqref="B254">
    <cfRule type="expression" dxfId="295" priority="293">
      <formula>AD254&lt;&gt;""</formula>
    </cfRule>
  </conditionalFormatting>
  <conditionalFormatting sqref="Z254">
    <cfRule type="cellIs" dxfId="294" priority="291" operator="greaterThan">
      <formula>0</formula>
    </cfRule>
    <cfRule type="cellIs" dxfId="293" priority="292" operator="lessThan">
      <formula>0</formula>
    </cfRule>
  </conditionalFormatting>
  <conditionalFormatting sqref="S254">
    <cfRule type="cellIs" dxfId="292" priority="290" operator="lessThan">
      <formula>0</formula>
    </cfRule>
  </conditionalFormatting>
  <conditionalFormatting sqref="T252:T253">
    <cfRule type="expression" dxfId="291" priority="294">
      <formula>#REF!="Yes"</formula>
    </cfRule>
  </conditionalFormatting>
  <conditionalFormatting sqref="P254">
    <cfRule type="cellIs" dxfId="290" priority="288" operator="equal">
      <formula>AS_DURATION_EFFORT</formula>
    </cfRule>
    <cfRule type="cellIs" dxfId="289" priority="289" operator="equal">
      <formula>AS_DEV_EFFORT</formula>
    </cfRule>
  </conditionalFormatting>
  <conditionalFormatting sqref="B252:B253">
    <cfRule type="expression" dxfId="288" priority="287">
      <formula>AD252&lt;&gt;""</formula>
    </cfRule>
  </conditionalFormatting>
  <conditionalFormatting sqref="L254:AC254">
    <cfRule type="expression" dxfId="287" priority="295">
      <formula>AND($G254="Yes", $S$6="Exclude")</formula>
    </cfRule>
    <cfRule type="expression" dxfId="286" priority="296">
      <formula>$J254="Yes"</formula>
    </cfRule>
  </conditionalFormatting>
  <conditionalFormatting sqref="F254">
    <cfRule type="expression" dxfId="285" priority="286">
      <formula>$K254&lt;&gt;""</formula>
    </cfRule>
  </conditionalFormatting>
  <conditionalFormatting sqref="C254">
    <cfRule type="expression" dxfId="284" priority="285">
      <formula>$G254&lt;&gt;"-"</formula>
    </cfRule>
  </conditionalFormatting>
  <conditionalFormatting sqref="D254">
    <cfRule type="expression" dxfId="283" priority="284">
      <formula>$H254&lt;&gt;"-"</formula>
    </cfRule>
  </conditionalFormatting>
  <conditionalFormatting sqref="E254">
    <cfRule type="expression" dxfId="282" priority="283">
      <formula>$I254&lt;&gt;"-"</formula>
    </cfRule>
  </conditionalFormatting>
  <conditionalFormatting sqref="B246">
    <cfRule type="expression" dxfId="281" priority="279">
      <formula>AD246&lt;&gt;""</formula>
    </cfRule>
  </conditionalFormatting>
  <conditionalFormatting sqref="Z246">
    <cfRule type="cellIs" dxfId="280" priority="277" operator="greaterThan">
      <formula>0</formula>
    </cfRule>
    <cfRule type="cellIs" dxfId="279" priority="278" operator="lessThan">
      <formula>0</formula>
    </cfRule>
  </conditionalFormatting>
  <conditionalFormatting sqref="S246">
    <cfRule type="cellIs" dxfId="278" priority="276" operator="lessThan">
      <formula>0</formula>
    </cfRule>
  </conditionalFormatting>
  <conditionalFormatting sqref="T244:T245">
    <cfRule type="expression" dxfId="277" priority="280">
      <formula>#REF!="Yes"</formula>
    </cfRule>
  </conditionalFormatting>
  <conditionalFormatting sqref="P246">
    <cfRule type="cellIs" dxfId="276" priority="274" operator="equal">
      <formula>AS_DURATION_EFFORT</formula>
    </cfRule>
    <cfRule type="cellIs" dxfId="275" priority="275" operator="equal">
      <formula>AS_DEV_EFFORT</formula>
    </cfRule>
  </conditionalFormatting>
  <conditionalFormatting sqref="B244:B245">
    <cfRule type="expression" dxfId="274" priority="273">
      <formula>AD244&lt;&gt;""</formula>
    </cfRule>
  </conditionalFormatting>
  <conditionalFormatting sqref="L246:AC246">
    <cfRule type="expression" dxfId="273" priority="281">
      <formula>AND($G246="Yes", $S$6="Exclude")</formula>
    </cfRule>
    <cfRule type="expression" dxfId="272" priority="282">
      <formula>$J246="Yes"</formula>
    </cfRule>
  </conditionalFormatting>
  <conditionalFormatting sqref="F246">
    <cfRule type="expression" dxfId="271" priority="272">
      <formula>$K246&lt;&gt;""</formula>
    </cfRule>
  </conditionalFormatting>
  <conditionalFormatting sqref="C246">
    <cfRule type="expression" dxfId="270" priority="271">
      <formula>$G246&lt;&gt;"-"</formula>
    </cfRule>
  </conditionalFormatting>
  <conditionalFormatting sqref="D246">
    <cfRule type="expression" dxfId="269" priority="270">
      <formula>$H246&lt;&gt;"-"</formula>
    </cfRule>
  </conditionalFormatting>
  <conditionalFormatting sqref="E246">
    <cfRule type="expression" dxfId="268" priority="269">
      <formula>$I246&lt;&gt;"-"</formula>
    </cfRule>
  </conditionalFormatting>
  <conditionalFormatting sqref="B250">
    <cfRule type="expression" dxfId="267" priority="266">
      <formula>AD250&lt;&gt;""</formula>
    </cfRule>
  </conditionalFormatting>
  <conditionalFormatting sqref="Z250">
    <cfRule type="cellIs" dxfId="266" priority="264" operator="greaterThan">
      <formula>0</formula>
    </cfRule>
    <cfRule type="cellIs" dxfId="265" priority="265" operator="lessThan">
      <formula>0</formula>
    </cfRule>
  </conditionalFormatting>
  <conditionalFormatting sqref="S250">
    <cfRule type="cellIs" dxfId="264" priority="263" operator="lessThan">
      <formula>0</formula>
    </cfRule>
  </conditionalFormatting>
  <conditionalFormatting sqref="P250">
    <cfRule type="cellIs" dxfId="263" priority="261" operator="equal">
      <formula>AS_DURATION_EFFORT</formula>
    </cfRule>
    <cfRule type="cellIs" dxfId="262" priority="262" operator="equal">
      <formula>AS_DEV_EFFORT</formula>
    </cfRule>
  </conditionalFormatting>
  <conditionalFormatting sqref="L250:AC250">
    <cfRule type="expression" dxfId="261" priority="267">
      <formula>AND($G250="Yes", $S$6="Exclude")</formula>
    </cfRule>
    <cfRule type="expression" dxfId="260" priority="268">
      <formula>$J250="Yes"</formula>
    </cfRule>
  </conditionalFormatting>
  <conditionalFormatting sqref="F250">
    <cfRule type="expression" dxfId="259" priority="260">
      <formula>$K250&lt;&gt;""</formula>
    </cfRule>
  </conditionalFormatting>
  <conditionalFormatting sqref="C250">
    <cfRule type="expression" dxfId="258" priority="259">
      <formula>$G250&lt;&gt;"-"</formula>
    </cfRule>
  </conditionalFormatting>
  <conditionalFormatting sqref="D250">
    <cfRule type="expression" dxfId="257" priority="258">
      <formula>$H250&lt;&gt;"-"</formula>
    </cfRule>
  </conditionalFormatting>
  <conditionalFormatting sqref="E250">
    <cfRule type="expression" dxfId="256" priority="257">
      <formula>$I250&lt;&gt;"-"</formula>
    </cfRule>
  </conditionalFormatting>
  <conditionalFormatting sqref="B249">
    <cfRule type="expression" dxfId="255" priority="254">
      <formula>AD249&lt;&gt;""</formula>
    </cfRule>
  </conditionalFormatting>
  <conditionalFormatting sqref="Z249">
    <cfRule type="cellIs" dxfId="254" priority="252" operator="greaterThan">
      <formula>0</formula>
    </cfRule>
    <cfRule type="cellIs" dxfId="253" priority="253" operator="lessThan">
      <formula>0</formula>
    </cfRule>
  </conditionalFormatting>
  <conditionalFormatting sqref="S249">
    <cfRule type="cellIs" dxfId="252" priority="251" operator="lessThan">
      <formula>0</formula>
    </cfRule>
  </conditionalFormatting>
  <conditionalFormatting sqref="P249">
    <cfRule type="cellIs" dxfId="251" priority="249" operator="equal">
      <formula>AS_DURATION_EFFORT</formula>
    </cfRule>
    <cfRule type="cellIs" dxfId="250" priority="250" operator="equal">
      <formula>AS_DEV_EFFORT</formula>
    </cfRule>
  </conditionalFormatting>
  <conditionalFormatting sqref="L249:AC249">
    <cfRule type="expression" dxfId="249" priority="255">
      <formula>AND($G249="Yes", $S$6="Exclude")</formula>
    </cfRule>
    <cfRule type="expression" dxfId="248" priority="256">
      <formula>$J249="Yes"</formula>
    </cfRule>
  </conditionalFormatting>
  <conditionalFormatting sqref="F249">
    <cfRule type="expression" dxfId="247" priority="248">
      <formula>$K249&lt;&gt;""</formula>
    </cfRule>
  </conditionalFormatting>
  <conditionalFormatting sqref="C249">
    <cfRule type="expression" dxfId="246" priority="247">
      <formula>$G249&lt;&gt;"-"</formula>
    </cfRule>
  </conditionalFormatting>
  <conditionalFormatting sqref="D249">
    <cfRule type="expression" dxfId="245" priority="246">
      <formula>$H249&lt;&gt;"-"</formula>
    </cfRule>
  </conditionalFormatting>
  <conditionalFormatting sqref="E249">
    <cfRule type="expression" dxfId="244" priority="245">
      <formula>$I249&lt;&gt;"-"</formula>
    </cfRule>
  </conditionalFormatting>
  <conditionalFormatting sqref="B248">
    <cfRule type="expression" dxfId="243" priority="242">
      <formula>AD248&lt;&gt;""</formula>
    </cfRule>
  </conditionalFormatting>
  <conditionalFormatting sqref="Z248">
    <cfRule type="cellIs" dxfId="242" priority="240" operator="greaterThan">
      <formula>0</formula>
    </cfRule>
    <cfRule type="cellIs" dxfId="241" priority="241" operator="lessThan">
      <formula>0</formula>
    </cfRule>
  </conditionalFormatting>
  <conditionalFormatting sqref="S248">
    <cfRule type="cellIs" dxfId="240" priority="239" operator="lessThan">
      <formula>0</formula>
    </cfRule>
  </conditionalFormatting>
  <conditionalFormatting sqref="P248">
    <cfRule type="cellIs" dxfId="239" priority="237" operator="equal">
      <formula>AS_DURATION_EFFORT</formula>
    </cfRule>
    <cfRule type="cellIs" dxfId="238" priority="238" operator="equal">
      <formula>AS_DEV_EFFORT</formula>
    </cfRule>
  </conditionalFormatting>
  <conditionalFormatting sqref="L248:AC248">
    <cfRule type="expression" dxfId="237" priority="243">
      <formula>AND($G248="Yes", $S$6="Exclude")</formula>
    </cfRule>
    <cfRule type="expression" dxfId="236" priority="244">
      <formula>$J248="Yes"</formula>
    </cfRule>
  </conditionalFormatting>
  <conditionalFormatting sqref="F248">
    <cfRule type="expression" dxfId="235" priority="236">
      <formula>$K248&lt;&gt;""</formula>
    </cfRule>
  </conditionalFormatting>
  <conditionalFormatting sqref="C248">
    <cfRule type="expression" dxfId="234" priority="235">
      <formula>$G248&lt;&gt;"-"</formula>
    </cfRule>
  </conditionalFormatting>
  <conditionalFormatting sqref="D248">
    <cfRule type="expression" dxfId="233" priority="234">
      <formula>$H248&lt;&gt;"-"</formula>
    </cfRule>
  </conditionalFormatting>
  <conditionalFormatting sqref="E248">
    <cfRule type="expression" dxfId="232" priority="233">
      <formula>$I248&lt;&gt;"-"</formula>
    </cfRule>
  </conditionalFormatting>
  <conditionalFormatting sqref="B247">
    <cfRule type="expression" dxfId="231" priority="230">
      <formula>AD247&lt;&gt;""</formula>
    </cfRule>
  </conditionalFormatting>
  <conditionalFormatting sqref="Z247">
    <cfRule type="cellIs" dxfId="230" priority="228" operator="greaterThan">
      <formula>0</formula>
    </cfRule>
    <cfRule type="cellIs" dxfId="229" priority="229" operator="lessThan">
      <formula>0</formula>
    </cfRule>
  </conditionalFormatting>
  <conditionalFormatting sqref="S247">
    <cfRule type="cellIs" dxfId="228" priority="227" operator="lessThan">
      <formula>0</formula>
    </cfRule>
  </conditionalFormatting>
  <conditionalFormatting sqref="P247">
    <cfRule type="cellIs" dxfId="227" priority="225" operator="equal">
      <formula>AS_DURATION_EFFORT</formula>
    </cfRule>
    <cfRule type="cellIs" dxfId="226" priority="226" operator="equal">
      <formula>AS_DEV_EFFORT</formula>
    </cfRule>
  </conditionalFormatting>
  <conditionalFormatting sqref="L247:AC247">
    <cfRule type="expression" dxfId="225" priority="231">
      <formula>AND($G247="Yes", $S$6="Exclude")</formula>
    </cfRule>
    <cfRule type="expression" dxfId="224" priority="232">
      <formula>$J247="Yes"</formula>
    </cfRule>
  </conditionalFormatting>
  <conditionalFormatting sqref="F247">
    <cfRule type="expression" dxfId="223" priority="224">
      <formula>$K247&lt;&gt;""</formula>
    </cfRule>
  </conditionalFormatting>
  <conditionalFormatting sqref="C247">
    <cfRule type="expression" dxfId="222" priority="223">
      <formula>$G247&lt;&gt;"-"</formula>
    </cfRule>
  </conditionalFormatting>
  <conditionalFormatting sqref="D247">
    <cfRule type="expression" dxfId="221" priority="222">
      <formula>$H247&lt;&gt;"-"</formula>
    </cfRule>
  </conditionalFormatting>
  <conditionalFormatting sqref="E247">
    <cfRule type="expression" dxfId="220" priority="221">
      <formula>$I247&lt;&gt;"-"</formula>
    </cfRule>
  </conditionalFormatting>
  <conditionalFormatting sqref="B257">
    <cfRule type="expression" dxfId="219" priority="218">
      <formula>AD257&lt;&gt;""</formula>
    </cfRule>
  </conditionalFormatting>
  <conditionalFormatting sqref="Z257">
    <cfRule type="cellIs" dxfId="218" priority="216" operator="greaterThan">
      <formula>0</formula>
    </cfRule>
    <cfRule type="cellIs" dxfId="217" priority="217" operator="lessThan">
      <formula>0</formula>
    </cfRule>
  </conditionalFormatting>
  <conditionalFormatting sqref="S257">
    <cfRule type="cellIs" dxfId="216" priority="215" operator="lessThan">
      <formula>0</formula>
    </cfRule>
  </conditionalFormatting>
  <conditionalFormatting sqref="P257">
    <cfRule type="cellIs" dxfId="215" priority="213" operator="equal">
      <formula>AS_DURATION_EFFORT</formula>
    </cfRule>
    <cfRule type="cellIs" dxfId="214" priority="214" operator="equal">
      <formula>AS_DEV_EFFORT</formula>
    </cfRule>
  </conditionalFormatting>
  <conditionalFormatting sqref="L257:AC257">
    <cfRule type="expression" dxfId="213" priority="219">
      <formula>AND($G257="Yes", $S$6="Exclude")</formula>
    </cfRule>
    <cfRule type="expression" dxfId="212" priority="220">
      <formula>$J257="Yes"</formula>
    </cfRule>
  </conditionalFormatting>
  <conditionalFormatting sqref="F257">
    <cfRule type="expression" dxfId="211" priority="212">
      <formula>$K257&lt;&gt;""</formula>
    </cfRule>
  </conditionalFormatting>
  <conditionalFormatting sqref="C257">
    <cfRule type="expression" dxfId="210" priority="211">
      <formula>$G257&lt;&gt;"-"</formula>
    </cfRule>
  </conditionalFormatting>
  <conditionalFormatting sqref="D257">
    <cfRule type="expression" dxfId="209" priority="210">
      <formula>$H257&lt;&gt;"-"</formula>
    </cfRule>
  </conditionalFormatting>
  <conditionalFormatting sqref="E257">
    <cfRule type="expression" dxfId="208" priority="209">
      <formula>$I257&lt;&gt;"-"</formula>
    </cfRule>
  </conditionalFormatting>
  <conditionalFormatting sqref="B256">
    <cfRule type="expression" dxfId="207" priority="206">
      <formula>AD256&lt;&gt;""</formula>
    </cfRule>
  </conditionalFormatting>
  <conditionalFormatting sqref="Z256">
    <cfRule type="cellIs" dxfId="206" priority="204" operator="greaterThan">
      <formula>0</formula>
    </cfRule>
    <cfRule type="cellIs" dxfId="205" priority="205" operator="lessThan">
      <formula>0</formula>
    </cfRule>
  </conditionalFormatting>
  <conditionalFormatting sqref="S256">
    <cfRule type="cellIs" dxfId="204" priority="203" operator="lessThan">
      <formula>0</formula>
    </cfRule>
  </conditionalFormatting>
  <conditionalFormatting sqref="P256">
    <cfRule type="cellIs" dxfId="203" priority="201" operator="equal">
      <formula>AS_DURATION_EFFORT</formula>
    </cfRule>
    <cfRule type="cellIs" dxfId="202" priority="202" operator="equal">
      <formula>AS_DEV_EFFORT</formula>
    </cfRule>
  </conditionalFormatting>
  <conditionalFormatting sqref="L256:AC256">
    <cfRule type="expression" dxfId="201" priority="207">
      <formula>AND($G256="Yes", $S$6="Exclude")</formula>
    </cfRule>
    <cfRule type="expression" dxfId="200" priority="208">
      <formula>$J256="Yes"</formula>
    </cfRule>
  </conditionalFormatting>
  <conditionalFormatting sqref="F256">
    <cfRule type="expression" dxfId="199" priority="200">
      <formula>$K256&lt;&gt;""</formula>
    </cfRule>
  </conditionalFormatting>
  <conditionalFormatting sqref="C256">
    <cfRule type="expression" dxfId="198" priority="199">
      <formula>$G256&lt;&gt;"-"</formula>
    </cfRule>
  </conditionalFormatting>
  <conditionalFormatting sqref="D256">
    <cfRule type="expression" dxfId="197" priority="198">
      <formula>$H256&lt;&gt;"-"</formula>
    </cfRule>
  </conditionalFormatting>
  <conditionalFormatting sqref="E256">
    <cfRule type="expression" dxfId="196" priority="197">
      <formula>$I256&lt;&gt;"-"</formula>
    </cfRule>
  </conditionalFormatting>
  <conditionalFormatting sqref="B255">
    <cfRule type="expression" dxfId="195" priority="194">
      <formula>AD255&lt;&gt;""</formula>
    </cfRule>
  </conditionalFormatting>
  <conditionalFormatting sqref="Z255">
    <cfRule type="cellIs" dxfId="194" priority="192" operator="greaterThan">
      <formula>0</formula>
    </cfRule>
    <cfRule type="cellIs" dxfId="193" priority="193" operator="lessThan">
      <formula>0</formula>
    </cfRule>
  </conditionalFormatting>
  <conditionalFormatting sqref="S255">
    <cfRule type="cellIs" dxfId="192" priority="191" operator="lessThan">
      <formula>0</formula>
    </cfRule>
  </conditionalFormatting>
  <conditionalFormatting sqref="P255">
    <cfRule type="cellIs" dxfId="191" priority="189" operator="equal">
      <formula>AS_DURATION_EFFORT</formula>
    </cfRule>
    <cfRule type="cellIs" dxfId="190" priority="190" operator="equal">
      <formula>AS_DEV_EFFORT</formula>
    </cfRule>
  </conditionalFormatting>
  <conditionalFormatting sqref="L255:AC255">
    <cfRule type="expression" dxfId="189" priority="195">
      <formula>AND($G255="Yes", $S$6="Exclude")</formula>
    </cfRule>
    <cfRule type="expression" dxfId="188" priority="196">
      <formula>$J255="Yes"</formula>
    </cfRule>
  </conditionalFormatting>
  <conditionalFormatting sqref="F255">
    <cfRule type="expression" dxfId="187" priority="188">
      <formula>$K255&lt;&gt;""</formula>
    </cfRule>
  </conditionalFormatting>
  <conditionalFormatting sqref="C255">
    <cfRule type="expression" dxfId="186" priority="187">
      <formula>$G255&lt;&gt;"-"</formula>
    </cfRule>
  </conditionalFormatting>
  <conditionalFormatting sqref="D255">
    <cfRule type="expression" dxfId="185" priority="186">
      <formula>$H255&lt;&gt;"-"</formula>
    </cfRule>
  </conditionalFormatting>
  <conditionalFormatting sqref="E255">
    <cfRule type="expression" dxfId="184" priority="185">
      <formula>$I255&lt;&gt;"-"</formula>
    </cfRule>
  </conditionalFormatting>
  <conditionalFormatting sqref="B210">
    <cfRule type="expression" dxfId="183" priority="181">
      <formula>AD210&lt;&gt;""</formula>
    </cfRule>
  </conditionalFormatting>
  <conditionalFormatting sqref="Z210">
    <cfRule type="cellIs" dxfId="182" priority="179" operator="greaterThan">
      <formula>0</formula>
    </cfRule>
    <cfRule type="cellIs" dxfId="181" priority="180" operator="lessThan">
      <formula>0</formula>
    </cfRule>
  </conditionalFormatting>
  <conditionalFormatting sqref="S210">
    <cfRule type="cellIs" dxfId="180" priority="178" operator="lessThan">
      <formula>0</formula>
    </cfRule>
  </conditionalFormatting>
  <conditionalFormatting sqref="T208:T209">
    <cfRule type="expression" dxfId="179" priority="182">
      <formula>#REF!="Yes"</formula>
    </cfRule>
  </conditionalFormatting>
  <conditionalFormatting sqref="P210">
    <cfRule type="cellIs" dxfId="178" priority="176" operator="equal">
      <formula>AS_DURATION_EFFORT</formula>
    </cfRule>
    <cfRule type="cellIs" dxfId="177" priority="177" operator="equal">
      <formula>AS_DEV_EFFORT</formula>
    </cfRule>
  </conditionalFormatting>
  <conditionalFormatting sqref="B208:B209">
    <cfRule type="expression" dxfId="176" priority="175">
      <formula>AD208&lt;&gt;""</formula>
    </cfRule>
  </conditionalFormatting>
  <conditionalFormatting sqref="L210:AC210">
    <cfRule type="expression" dxfId="175" priority="183">
      <formula>AND($G210="Yes", $S$6="Exclude")</formula>
    </cfRule>
    <cfRule type="expression" dxfId="174" priority="184">
      <formula>$J210="Yes"</formula>
    </cfRule>
  </conditionalFormatting>
  <conditionalFormatting sqref="F210">
    <cfRule type="expression" dxfId="173" priority="174">
      <formula>$K210&lt;&gt;""</formula>
    </cfRule>
  </conditionalFormatting>
  <conditionalFormatting sqref="C210">
    <cfRule type="expression" dxfId="172" priority="173">
      <formula>$G210&lt;&gt;"-"</formula>
    </cfRule>
  </conditionalFormatting>
  <conditionalFormatting sqref="D210">
    <cfRule type="expression" dxfId="171" priority="172">
      <formula>$H210&lt;&gt;"-"</formula>
    </cfRule>
  </conditionalFormatting>
  <conditionalFormatting sqref="E210">
    <cfRule type="expression" dxfId="170" priority="171">
      <formula>$I210&lt;&gt;"-"</formula>
    </cfRule>
  </conditionalFormatting>
  <conditionalFormatting sqref="B215">
    <cfRule type="expression" dxfId="169" priority="168">
      <formula>AD215&lt;&gt;""</formula>
    </cfRule>
  </conditionalFormatting>
  <conditionalFormatting sqref="Z215">
    <cfRule type="cellIs" dxfId="168" priority="166" operator="greaterThan">
      <formula>0</formula>
    </cfRule>
    <cfRule type="cellIs" dxfId="167" priority="167" operator="lessThan">
      <formula>0</formula>
    </cfRule>
  </conditionalFormatting>
  <conditionalFormatting sqref="S215">
    <cfRule type="cellIs" dxfId="166" priority="165" operator="lessThan">
      <formula>0</formula>
    </cfRule>
  </conditionalFormatting>
  <conditionalFormatting sqref="P215">
    <cfRule type="cellIs" dxfId="165" priority="163" operator="equal">
      <formula>AS_DURATION_EFFORT</formula>
    </cfRule>
    <cfRule type="cellIs" dxfId="164" priority="164" operator="equal">
      <formula>AS_DEV_EFFORT</formula>
    </cfRule>
  </conditionalFormatting>
  <conditionalFormatting sqref="L215:AC215">
    <cfRule type="expression" dxfId="163" priority="169">
      <formula>AND($G215="Yes", $S$6="Exclude")</formula>
    </cfRule>
    <cfRule type="expression" dxfId="162" priority="170">
      <formula>$J215="Yes"</formula>
    </cfRule>
  </conditionalFormatting>
  <conditionalFormatting sqref="F215">
    <cfRule type="expression" dxfId="161" priority="162">
      <formula>$K215&lt;&gt;""</formula>
    </cfRule>
  </conditionalFormatting>
  <conditionalFormatting sqref="C215">
    <cfRule type="expression" dxfId="160" priority="161">
      <formula>$G215&lt;&gt;"-"</formula>
    </cfRule>
  </conditionalFormatting>
  <conditionalFormatting sqref="D215">
    <cfRule type="expression" dxfId="159" priority="160">
      <formula>$H215&lt;&gt;"-"</formula>
    </cfRule>
  </conditionalFormatting>
  <conditionalFormatting sqref="E215">
    <cfRule type="expression" dxfId="158" priority="159">
      <formula>$I215&lt;&gt;"-"</formula>
    </cfRule>
  </conditionalFormatting>
  <conditionalFormatting sqref="B214">
    <cfRule type="expression" dxfId="157" priority="156">
      <formula>AD214&lt;&gt;""</formula>
    </cfRule>
  </conditionalFormatting>
  <conditionalFormatting sqref="Z214">
    <cfRule type="cellIs" dxfId="156" priority="154" operator="greaterThan">
      <formula>0</formula>
    </cfRule>
    <cfRule type="cellIs" dxfId="155" priority="155" operator="lessThan">
      <formula>0</formula>
    </cfRule>
  </conditionalFormatting>
  <conditionalFormatting sqref="S214">
    <cfRule type="cellIs" dxfId="154" priority="153" operator="lessThan">
      <formula>0</formula>
    </cfRule>
  </conditionalFormatting>
  <conditionalFormatting sqref="P214">
    <cfRule type="cellIs" dxfId="153" priority="151" operator="equal">
      <formula>AS_DURATION_EFFORT</formula>
    </cfRule>
    <cfRule type="cellIs" dxfId="152" priority="152" operator="equal">
      <formula>AS_DEV_EFFORT</formula>
    </cfRule>
  </conditionalFormatting>
  <conditionalFormatting sqref="L214:AC214">
    <cfRule type="expression" dxfId="151" priority="157">
      <formula>AND($G214="Yes", $S$6="Exclude")</formula>
    </cfRule>
    <cfRule type="expression" dxfId="150" priority="158">
      <formula>$J214="Yes"</formula>
    </cfRule>
  </conditionalFormatting>
  <conditionalFormatting sqref="F214">
    <cfRule type="expression" dxfId="149" priority="150">
      <formula>$K214&lt;&gt;""</formula>
    </cfRule>
  </conditionalFormatting>
  <conditionalFormatting sqref="C214">
    <cfRule type="expression" dxfId="148" priority="149">
      <formula>$G214&lt;&gt;"-"</formula>
    </cfRule>
  </conditionalFormatting>
  <conditionalFormatting sqref="D214">
    <cfRule type="expression" dxfId="147" priority="148">
      <formula>$H214&lt;&gt;"-"</formula>
    </cfRule>
  </conditionalFormatting>
  <conditionalFormatting sqref="E214">
    <cfRule type="expression" dxfId="146" priority="147">
      <formula>$I214&lt;&gt;"-"</formula>
    </cfRule>
  </conditionalFormatting>
  <conditionalFormatting sqref="B213">
    <cfRule type="expression" dxfId="145" priority="144">
      <formula>AD213&lt;&gt;""</formula>
    </cfRule>
  </conditionalFormatting>
  <conditionalFormatting sqref="Z213">
    <cfRule type="cellIs" dxfId="144" priority="142" operator="greaterThan">
      <formula>0</formula>
    </cfRule>
    <cfRule type="cellIs" dxfId="143" priority="143" operator="lessThan">
      <formula>0</formula>
    </cfRule>
  </conditionalFormatting>
  <conditionalFormatting sqref="S213">
    <cfRule type="cellIs" dxfId="142" priority="141" operator="lessThan">
      <formula>0</formula>
    </cfRule>
  </conditionalFormatting>
  <conditionalFormatting sqref="P213">
    <cfRule type="cellIs" dxfId="141" priority="139" operator="equal">
      <formula>AS_DURATION_EFFORT</formula>
    </cfRule>
    <cfRule type="cellIs" dxfId="140" priority="140" operator="equal">
      <formula>AS_DEV_EFFORT</formula>
    </cfRule>
  </conditionalFormatting>
  <conditionalFormatting sqref="L213:AC213">
    <cfRule type="expression" dxfId="139" priority="145">
      <formula>AND($G213="Yes", $S$6="Exclude")</formula>
    </cfRule>
    <cfRule type="expression" dxfId="138" priority="146">
      <formula>$J213="Yes"</formula>
    </cfRule>
  </conditionalFormatting>
  <conditionalFormatting sqref="F213">
    <cfRule type="expression" dxfId="137" priority="138">
      <formula>$K213&lt;&gt;""</formula>
    </cfRule>
  </conditionalFormatting>
  <conditionalFormatting sqref="C213">
    <cfRule type="expression" dxfId="136" priority="137">
      <formula>$G213&lt;&gt;"-"</formula>
    </cfRule>
  </conditionalFormatting>
  <conditionalFormatting sqref="D213">
    <cfRule type="expression" dxfId="135" priority="136">
      <formula>$H213&lt;&gt;"-"</formula>
    </cfRule>
  </conditionalFormatting>
  <conditionalFormatting sqref="E213">
    <cfRule type="expression" dxfId="134" priority="135">
      <formula>$I213&lt;&gt;"-"</formula>
    </cfRule>
  </conditionalFormatting>
  <conditionalFormatting sqref="B212">
    <cfRule type="expression" dxfId="133" priority="132">
      <formula>AD212&lt;&gt;""</formula>
    </cfRule>
  </conditionalFormatting>
  <conditionalFormatting sqref="Z212">
    <cfRule type="cellIs" dxfId="132" priority="130" operator="greaterThan">
      <formula>0</formula>
    </cfRule>
    <cfRule type="cellIs" dxfId="131" priority="131" operator="lessThan">
      <formula>0</formula>
    </cfRule>
  </conditionalFormatting>
  <conditionalFormatting sqref="S212">
    <cfRule type="cellIs" dxfId="130" priority="129" operator="lessThan">
      <formula>0</formula>
    </cfRule>
  </conditionalFormatting>
  <conditionalFormatting sqref="P212">
    <cfRule type="cellIs" dxfId="129" priority="127" operator="equal">
      <formula>AS_DURATION_EFFORT</formula>
    </cfRule>
    <cfRule type="cellIs" dxfId="128" priority="128" operator="equal">
      <formula>AS_DEV_EFFORT</formula>
    </cfRule>
  </conditionalFormatting>
  <conditionalFormatting sqref="L212:AC212">
    <cfRule type="expression" dxfId="127" priority="133">
      <formula>AND($G212="Yes", $S$6="Exclude")</formula>
    </cfRule>
    <cfRule type="expression" dxfId="126" priority="134">
      <formula>$J212="Yes"</formula>
    </cfRule>
  </conditionalFormatting>
  <conditionalFormatting sqref="F212">
    <cfRule type="expression" dxfId="125" priority="126">
      <formula>$K212&lt;&gt;""</formula>
    </cfRule>
  </conditionalFormatting>
  <conditionalFormatting sqref="C212">
    <cfRule type="expression" dxfId="124" priority="125">
      <formula>$G212&lt;&gt;"-"</formula>
    </cfRule>
  </conditionalFormatting>
  <conditionalFormatting sqref="D212">
    <cfRule type="expression" dxfId="123" priority="124">
      <formula>$H212&lt;&gt;"-"</formula>
    </cfRule>
  </conditionalFormatting>
  <conditionalFormatting sqref="E212">
    <cfRule type="expression" dxfId="122" priority="123">
      <formula>$I212&lt;&gt;"-"</formula>
    </cfRule>
  </conditionalFormatting>
  <conditionalFormatting sqref="B211">
    <cfRule type="expression" dxfId="121" priority="120">
      <formula>AD211&lt;&gt;""</formula>
    </cfRule>
  </conditionalFormatting>
  <conditionalFormatting sqref="Z211">
    <cfRule type="cellIs" dxfId="120" priority="118" operator="greaterThan">
      <formula>0</formula>
    </cfRule>
    <cfRule type="cellIs" dxfId="119" priority="119" operator="lessThan">
      <formula>0</formula>
    </cfRule>
  </conditionalFormatting>
  <conditionalFormatting sqref="S211">
    <cfRule type="cellIs" dxfId="118" priority="117" operator="lessThan">
      <formula>0</formula>
    </cfRule>
  </conditionalFormatting>
  <conditionalFormatting sqref="P211">
    <cfRule type="cellIs" dxfId="117" priority="115" operator="equal">
      <formula>AS_DURATION_EFFORT</formula>
    </cfRule>
    <cfRule type="cellIs" dxfId="116" priority="116" operator="equal">
      <formula>AS_DEV_EFFORT</formula>
    </cfRule>
  </conditionalFormatting>
  <conditionalFormatting sqref="L211:AC211">
    <cfRule type="expression" dxfId="115" priority="121">
      <formula>AND($G211="Yes", $S$6="Exclude")</formula>
    </cfRule>
    <cfRule type="expression" dxfId="114" priority="122">
      <formula>$J211="Yes"</formula>
    </cfRule>
  </conditionalFormatting>
  <conditionalFormatting sqref="F211">
    <cfRule type="expression" dxfId="113" priority="114">
      <formula>$K211&lt;&gt;""</formula>
    </cfRule>
  </conditionalFormatting>
  <conditionalFormatting sqref="C211">
    <cfRule type="expression" dxfId="112" priority="113">
      <formula>$G211&lt;&gt;"-"</formula>
    </cfRule>
  </conditionalFormatting>
  <conditionalFormatting sqref="D211">
    <cfRule type="expression" dxfId="111" priority="112">
      <formula>$H211&lt;&gt;"-"</formula>
    </cfRule>
  </conditionalFormatting>
  <conditionalFormatting sqref="E211">
    <cfRule type="expression" dxfId="110" priority="111">
      <formula>$I211&lt;&gt;"-"</formula>
    </cfRule>
  </conditionalFormatting>
  <conditionalFormatting sqref="B162">
    <cfRule type="expression" dxfId="109" priority="107">
      <formula>AD162&lt;&gt;""</formula>
    </cfRule>
  </conditionalFormatting>
  <conditionalFormatting sqref="Z162">
    <cfRule type="cellIs" dxfId="108" priority="105" operator="greaterThan">
      <formula>0</formula>
    </cfRule>
    <cfRule type="cellIs" dxfId="107" priority="106" operator="lessThan">
      <formula>0</formula>
    </cfRule>
  </conditionalFormatting>
  <conditionalFormatting sqref="S162">
    <cfRule type="cellIs" dxfId="106" priority="104" operator="lessThan">
      <formula>0</formula>
    </cfRule>
  </conditionalFormatting>
  <conditionalFormatting sqref="T160:T161">
    <cfRule type="expression" dxfId="105" priority="108">
      <formula>#REF!="Yes"</formula>
    </cfRule>
  </conditionalFormatting>
  <conditionalFormatting sqref="P162">
    <cfRule type="cellIs" dxfId="104" priority="102" operator="equal">
      <formula>AS_DURATION_EFFORT</formula>
    </cfRule>
    <cfRule type="cellIs" dxfId="103" priority="103" operator="equal">
      <formula>AS_DEV_EFFORT</formula>
    </cfRule>
  </conditionalFormatting>
  <conditionalFormatting sqref="B160:B161">
    <cfRule type="expression" dxfId="102" priority="101">
      <formula>AD160&lt;&gt;""</formula>
    </cfRule>
  </conditionalFormatting>
  <conditionalFormatting sqref="L162:AC162">
    <cfRule type="expression" dxfId="101" priority="109">
      <formula>AND($G162="Yes", $S$6="Exclude")</formula>
    </cfRule>
    <cfRule type="expression" dxfId="100" priority="110">
      <formula>$J162="Yes"</formula>
    </cfRule>
  </conditionalFormatting>
  <conditionalFormatting sqref="F162">
    <cfRule type="expression" dxfId="99" priority="100">
      <formula>$K162&lt;&gt;""</formula>
    </cfRule>
  </conditionalFormatting>
  <conditionalFormatting sqref="C162">
    <cfRule type="expression" dxfId="98" priority="99">
      <formula>$G162&lt;&gt;"-"</formula>
    </cfRule>
  </conditionalFormatting>
  <conditionalFormatting sqref="D162">
    <cfRule type="expression" dxfId="97" priority="98">
      <formula>$H162&lt;&gt;"-"</formula>
    </cfRule>
  </conditionalFormatting>
  <conditionalFormatting sqref="E162">
    <cfRule type="expression" dxfId="96" priority="97">
      <formula>$I162&lt;&gt;"-"</formula>
    </cfRule>
  </conditionalFormatting>
  <conditionalFormatting sqref="B166">
    <cfRule type="expression" dxfId="95" priority="94">
      <formula>AD166&lt;&gt;""</formula>
    </cfRule>
  </conditionalFormatting>
  <conditionalFormatting sqref="Z166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166">
    <cfRule type="cellIs" dxfId="92" priority="91" operator="lessThan">
      <formula>0</formula>
    </cfRule>
  </conditionalFormatting>
  <conditionalFormatting sqref="P166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166:AC166">
    <cfRule type="expression" dxfId="89" priority="95">
      <formula>AND($G166="Yes", $S$6="Exclude")</formula>
    </cfRule>
    <cfRule type="expression" dxfId="88" priority="96">
      <formula>$J166="Yes"</formula>
    </cfRule>
  </conditionalFormatting>
  <conditionalFormatting sqref="F166">
    <cfRule type="expression" dxfId="87" priority="88">
      <formula>$K166&lt;&gt;""</formula>
    </cfRule>
  </conditionalFormatting>
  <conditionalFormatting sqref="C166">
    <cfRule type="expression" dxfId="86" priority="87">
      <formula>$G166&lt;&gt;"-"</formula>
    </cfRule>
  </conditionalFormatting>
  <conditionalFormatting sqref="D166">
    <cfRule type="expression" dxfId="85" priority="86">
      <formula>$H166&lt;&gt;"-"</formula>
    </cfRule>
  </conditionalFormatting>
  <conditionalFormatting sqref="E166">
    <cfRule type="expression" dxfId="84" priority="85">
      <formula>$I166&lt;&gt;"-"</formula>
    </cfRule>
  </conditionalFormatting>
  <conditionalFormatting sqref="B165">
    <cfRule type="expression" dxfId="83" priority="82">
      <formula>AD165&lt;&gt;""</formula>
    </cfRule>
  </conditionalFormatting>
  <conditionalFormatting sqref="Z165">
    <cfRule type="cellIs" dxfId="82" priority="80" operator="greaterThan">
      <formula>0</formula>
    </cfRule>
    <cfRule type="cellIs" dxfId="81" priority="81" operator="lessThan">
      <formula>0</formula>
    </cfRule>
  </conditionalFormatting>
  <conditionalFormatting sqref="S165">
    <cfRule type="cellIs" dxfId="80" priority="79" operator="lessThan">
      <formula>0</formula>
    </cfRule>
  </conditionalFormatting>
  <conditionalFormatting sqref="P165">
    <cfRule type="cellIs" dxfId="79" priority="77" operator="equal">
      <formula>AS_DURATION_EFFORT</formula>
    </cfRule>
    <cfRule type="cellIs" dxfId="78" priority="78" operator="equal">
      <formula>AS_DEV_EFFORT</formula>
    </cfRule>
  </conditionalFormatting>
  <conditionalFormatting sqref="L165:AC165">
    <cfRule type="expression" dxfId="77" priority="83">
      <formula>AND($G165="Yes", $S$6="Exclude")</formula>
    </cfRule>
    <cfRule type="expression" dxfId="76" priority="84">
      <formula>$J165="Yes"</formula>
    </cfRule>
  </conditionalFormatting>
  <conditionalFormatting sqref="F165">
    <cfRule type="expression" dxfId="75" priority="76">
      <formula>$K165&lt;&gt;""</formula>
    </cfRule>
  </conditionalFormatting>
  <conditionalFormatting sqref="C165">
    <cfRule type="expression" dxfId="74" priority="75">
      <formula>$G165&lt;&gt;"-"</formula>
    </cfRule>
  </conditionalFormatting>
  <conditionalFormatting sqref="D165">
    <cfRule type="expression" dxfId="73" priority="74">
      <formula>$H165&lt;&gt;"-"</formula>
    </cfRule>
  </conditionalFormatting>
  <conditionalFormatting sqref="E165">
    <cfRule type="expression" dxfId="72" priority="73">
      <formula>$I165&lt;&gt;"-"</formula>
    </cfRule>
  </conditionalFormatting>
  <conditionalFormatting sqref="B164">
    <cfRule type="expression" dxfId="71" priority="70">
      <formula>AD164&lt;&gt;""</formula>
    </cfRule>
  </conditionalFormatting>
  <conditionalFormatting sqref="Z164">
    <cfRule type="cellIs" dxfId="70" priority="68" operator="greaterThan">
      <formula>0</formula>
    </cfRule>
    <cfRule type="cellIs" dxfId="69" priority="69" operator="lessThan">
      <formula>0</formula>
    </cfRule>
  </conditionalFormatting>
  <conditionalFormatting sqref="S164">
    <cfRule type="cellIs" dxfId="68" priority="67" operator="lessThan">
      <formula>0</formula>
    </cfRule>
  </conditionalFormatting>
  <conditionalFormatting sqref="P164">
    <cfRule type="cellIs" dxfId="67" priority="65" operator="equal">
      <formula>AS_DURATION_EFFORT</formula>
    </cfRule>
    <cfRule type="cellIs" dxfId="66" priority="66" operator="equal">
      <formula>AS_DEV_EFFORT</formula>
    </cfRule>
  </conditionalFormatting>
  <conditionalFormatting sqref="L164:AC164">
    <cfRule type="expression" dxfId="65" priority="71">
      <formula>AND($G164="Yes", $S$6="Exclude")</formula>
    </cfRule>
    <cfRule type="expression" dxfId="64" priority="72">
      <formula>$J164="Yes"</formula>
    </cfRule>
  </conditionalFormatting>
  <conditionalFormatting sqref="F164">
    <cfRule type="expression" dxfId="63" priority="64">
      <formula>$K164&lt;&gt;""</formula>
    </cfRule>
  </conditionalFormatting>
  <conditionalFormatting sqref="C164">
    <cfRule type="expression" dxfId="62" priority="63">
      <formula>$G164&lt;&gt;"-"</formula>
    </cfRule>
  </conditionalFormatting>
  <conditionalFormatting sqref="D164">
    <cfRule type="expression" dxfId="61" priority="62">
      <formula>$H164&lt;&gt;"-"</formula>
    </cfRule>
  </conditionalFormatting>
  <conditionalFormatting sqref="E164">
    <cfRule type="expression" dxfId="60" priority="61">
      <formula>$I164&lt;&gt;"-"</formula>
    </cfRule>
  </conditionalFormatting>
  <conditionalFormatting sqref="B163">
    <cfRule type="expression" dxfId="59" priority="58">
      <formula>AD163&lt;&gt;""</formula>
    </cfRule>
  </conditionalFormatting>
  <conditionalFormatting sqref="Z163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63">
    <cfRule type="cellIs" dxfId="56" priority="55" operator="lessThan">
      <formula>0</formula>
    </cfRule>
  </conditionalFormatting>
  <conditionalFormatting sqref="P163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63:AC163">
    <cfRule type="expression" dxfId="53" priority="59">
      <formula>AND($G163="Yes", $S$6="Exclude")</formula>
    </cfRule>
    <cfRule type="expression" dxfId="52" priority="60">
      <formula>$J163="Yes"</formula>
    </cfRule>
  </conditionalFormatting>
  <conditionalFormatting sqref="F163">
    <cfRule type="expression" dxfId="51" priority="52">
      <formula>$K163&lt;&gt;""</formula>
    </cfRule>
  </conditionalFormatting>
  <conditionalFormatting sqref="C163">
    <cfRule type="expression" dxfId="50" priority="51">
      <formula>$G163&lt;&gt;"-"</formula>
    </cfRule>
  </conditionalFormatting>
  <conditionalFormatting sqref="D163">
    <cfRule type="expression" dxfId="49" priority="50">
      <formula>$H163&lt;&gt;"-"</formula>
    </cfRule>
  </conditionalFormatting>
  <conditionalFormatting sqref="E163">
    <cfRule type="expression" dxfId="48" priority="49">
      <formula>$I163&lt;&gt;"-"</formula>
    </cfRule>
  </conditionalFormatting>
  <conditionalFormatting sqref="B149">
    <cfRule type="expression" dxfId="47" priority="46">
      <formula>AD149&lt;&gt;""</formula>
    </cfRule>
  </conditionalFormatting>
  <conditionalFormatting sqref="Z149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49">
    <cfRule type="cellIs" dxfId="44" priority="43" operator="lessThan">
      <formula>0</formula>
    </cfRule>
  </conditionalFormatting>
  <conditionalFormatting sqref="P149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49:AC149">
    <cfRule type="expression" dxfId="41" priority="47">
      <formula>AND($G149="Yes", $S$6="Exclude")</formula>
    </cfRule>
    <cfRule type="expression" dxfId="40" priority="48">
      <formula>$J149="Yes"</formula>
    </cfRule>
  </conditionalFormatting>
  <conditionalFormatting sqref="F149">
    <cfRule type="expression" dxfId="39" priority="40">
      <formula>$K149&lt;&gt;""</formula>
    </cfRule>
  </conditionalFormatting>
  <conditionalFormatting sqref="C149">
    <cfRule type="expression" dxfId="38" priority="39">
      <formula>$G149&lt;&gt;"-"</formula>
    </cfRule>
  </conditionalFormatting>
  <conditionalFormatting sqref="D149">
    <cfRule type="expression" dxfId="37" priority="38">
      <formula>$H149&lt;&gt;"-"</formula>
    </cfRule>
  </conditionalFormatting>
  <conditionalFormatting sqref="E149">
    <cfRule type="expression" dxfId="36" priority="37">
      <formula>$I149&lt;&gt;"-"</formula>
    </cfRule>
  </conditionalFormatting>
  <conditionalFormatting sqref="B124">
    <cfRule type="expression" dxfId="35" priority="34">
      <formula>AD124&lt;&gt;""</formula>
    </cfRule>
  </conditionalFormatting>
  <conditionalFormatting sqref="Z124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24">
    <cfRule type="cellIs" dxfId="32" priority="31" operator="lessThan">
      <formula>0</formula>
    </cfRule>
  </conditionalFormatting>
  <conditionalFormatting sqref="P124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24:AC124">
    <cfRule type="expression" dxfId="29" priority="35">
      <formula>AND($G124="Yes", $S$6="Exclude")</formula>
    </cfRule>
    <cfRule type="expression" dxfId="28" priority="36">
      <formula>$J124="Yes"</formula>
    </cfRule>
  </conditionalFormatting>
  <conditionalFormatting sqref="F124">
    <cfRule type="expression" dxfId="27" priority="28">
      <formula>$K124&lt;&gt;""</formula>
    </cfRule>
  </conditionalFormatting>
  <conditionalFormatting sqref="C124">
    <cfRule type="expression" dxfId="26" priority="27">
      <formula>$G124&lt;&gt;"-"</formula>
    </cfRule>
  </conditionalFormatting>
  <conditionalFormatting sqref="D124">
    <cfRule type="expression" dxfId="25" priority="26">
      <formula>$H124&lt;&gt;"-"</formula>
    </cfRule>
  </conditionalFormatting>
  <conditionalFormatting sqref="E124">
    <cfRule type="expression" dxfId="24" priority="25">
      <formula>$I124&lt;&gt;"-"</formula>
    </cfRule>
  </conditionalFormatting>
  <conditionalFormatting sqref="B123">
    <cfRule type="expression" dxfId="23" priority="22">
      <formula>AD123&lt;&gt;""</formula>
    </cfRule>
  </conditionalFormatting>
  <conditionalFormatting sqref="Z123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23">
    <cfRule type="cellIs" dxfId="20" priority="19" operator="lessThan">
      <formula>0</formula>
    </cfRule>
  </conditionalFormatting>
  <conditionalFormatting sqref="P123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23:AC123">
    <cfRule type="expression" dxfId="17" priority="23">
      <formula>AND($G123="Yes", $S$6="Exclude")</formula>
    </cfRule>
    <cfRule type="expression" dxfId="16" priority="24">
      <formula>$J123="Yes"</formula>
    </cfRule>
  </conditionalFormatting>
  <conditionalFormatting sqref="F123">
    <cfRule type="expression" dxfId="15" priority="16">
      <formula>$K123&lt;&gt;""</formula>
    </cfRule>
  </conditionalFormatting>
  <conditionalFormatting sqref="C123">
    <cfRule type="expression" dxfId="14" priority="15">
      <formula>$G123&lt;&gt;"-"</formula>
    </cfRule>
  </conditionalFormatting>
  <conditionalFormatting sqref="D123">
    <cfRule type="expression" dxfId="13" priority="14">
      <formula>$H123&lt;&gt;"-"</formula>
    </cfRule>
  </conditionalFormatting>
  <conditionalFormatting sqref="E123">
    <cfRule type="expression" dxfId="12" priority="13">
      <formula>$I123&lt;&gt;"-"</formula>
    </cfRule>
  </conditionalFormatting>
  <conditionalFormatting sqref="B122">
    <cfRule type="expression" dxfId="11" priority="10">
      <formula>AD122&lt;&gt;""</formula>
    </cfRule>
  </conditionalFormatting>
  <conditionalFormatting sqref="Z122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22">
    <cfRule type="cellIs" dxfId="8" priority="7" operator="lessThan">
      <formula>0</formula>
    </cfRule>
  </conditionalFormatting>
  <conditionalFormatting sqref="P122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22:AC122">
    <cfRule type="expression" dxfId="5" priority="11">
      <formula>AND($G122="Yes", $S$6="Exclude")</formula>
    </cfRule>
    <cfRule type="expression" dxfId="4" priority="12">
      <formula>$J122="Yes"</formula>
    </cfRule>
  </conditionalFormatting>
  <conditionalFormatting sqref="F122">
    <cfRule type="expression" dxfId="3" priority="4">
      <formula>$K122&lt;&gt;""</formula>
    </cfRule>
  </conditionalFormatting>
  <conditionalFormatting sqref="C122">
    <cfRule type="expression" dxfId="2" priority="3">
      <formula>$G122&lt;&gt;"-"</formula>
    </cfRule>
  </conditionalFormatting>
  <conditionalFormatting sqref="D122">
    <cfRule type="expression" dxfId="1" priority="2">
      <formula>$H122&lt;&gt;"-"</formula>
    </cfRule>
  </conditionalFormatting>
  <conditionalFormatting sqref="E122">
    <cfRule type="expression" dxfId="0" priority="1">
      <formula>$I122&lt;&gt;"-"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04" xr:uid="{00000000-0002-0000-0100-000002000000}">
      <formula1>YES_NO_LIST</formula1>
    </dataValidation>
    <dataValidation type="list" allowBlank="1" showInputMessage="1" showErrorMessage="1" sqref="O601" xr:uid="{00000000-0002-0000-0100-000003000000}">
      <formula1>PLATFORMS_LIST</formula1>
    </dataValidation>
    <dataValidation type="list" allowBlank="1" showInputMessage="1" showErrorMessage="1" sqref="O602" xr:uid="{00000000-0002-0000-0100-000004000000}">
      <formula1>PROJECT_TYPES_LIST</formula1>
    </dataValidation>
    <dataValidation type="list" allowBlank="1" showInputMessage="1" showErrorMessage="1" sqref="O606" xr:uid="{00000000-0002-0000-0100-000005000000}">
      <formula1>CURRENCIES_LIST</formula1>
    </dataValidation>
    <dataValidation type="list" allowBlank="1" showInputMessage="1" showErrorMessage="1" sqref="O605" xr:uid="{00000000-0002-0000-0100-000006000000}">
      <formula1>REGIONS_LIST</formula1>
    </dataValidation>
    <dataValidation type="list" showInputMessage="1" showErrorMessage="1" sqref="G722 J722 G16:G18 J68:J69 G98:G100 J503 G73 J73 J77:J80 G68:G69 G77:G80 J84:J91 G84:G91 J98:J100 J451:J452 G451:G452 J456:J459 G456:G459 G438:G439 J475:J476 G475:G476 G480:G482 G463:G468 J480:J482 J493:J496 G493:G496 G503 J16:J18 J22:J24 G28:G31 J35:J39 J43:J45 G49:G54 G22:G24 J28:J31 G35:G39 G43:G45 J49:J54 G428:G430 G346:G347 G444:G447 J444:J447 J438:J439 J58:J61 G58:G61 J362:J368 J352:J358 G171:G175 G105:G111 G229:G234 J105:J111 G128:G132 G144:G149 J144:J149 J136:J140 J162:J166 J171:J175 J195:J198 G195:G198 G202:G206 J187:J191 J220:J225 J202:J206 G220:G225 J128:J132 G136:G140 G179:G183 J179:J183 G187:G191 J229:J234 G238:G242 J238:J242 G281:G288 G273:G277 J273:J277 J292:J300 G313:G316 G305:G309 J305:J309 G352:G358 G362:G368 G372:G382 J397:J405 J386:J393 G386:G393 J463:J468 G409:G413 J409:J413 G417:G423 J417:J423 G321:G325 J321:J325 J329:J331 G329:G331 J335:J337 J372:J382 J341:J342 G341:G342 J346:J347 J428:J430 J313:J316 G335:G337 G486:G489 J486:J489 G153:G158 J153:J158 G397:G405 G292:G300 J281:J288 J262:J269 G262:G269 J246:J250 G246:G250 J254:J257 G254:G257 J210:J215 G210:G215 G162:G166 G115:G124 J115:J124" xr:uid="{00000000-0002-0000-0100-000007000000}">
      <formula1>YES_NO_LIST</formula1>
    </dataValidation>
    <dataValidation type="list" showInputMessage="1" showErrorMessage="1" sqref="I722 I98:I100 I503 I73 I68:I69 I77:I80 I84:I91 I451:I452 I456:I459 I438:I439 I475:I476 I486:I489 I480:I482 I493:I496 I16:I18 I22:I24 I28:I31 I35:I39 I43:I45 I49:I54 I346:I347 I444:I447 I58:I61 I352:I358 I162:I166 I220:I225 I105:I111 I144:I149 I136:I140 I171:I175 I195:I198 I187:I191 I202:I206 I128:I132 I179:I183 I229:I234 I238:I242 I281:I288 I273:I277 I292:I300 I313:I316 I305:I309 I362:I368 I397:I405 I386:I393 I463:I468 I409:I413 I417:I423 I321:I325 I329:I331 I372:I382 I341:I342 I428:I430 I335:I337 I153:I158 I262:I269 I246:I250 I254:I257 I210:I215 I115:I124" xr:uid="{00000000-0002-0000-0100-000008000000}">
      <formula1>EXTRAS_LIST</formula1>
    </dataValidation>
    <dataValidation type="list" showInputMessage="1" showErrorMessage="1" sqref="H722 H98:H100 H503 H73 H68:H69 H77:H80 H84:H91 H451:H452 H456:H459 H438:H439 H475:H476 H486:H489 H480:H482 H493:H496 H16:H18 H22:H24 H28:H31 H35:H39 H43:H45 H49:H54 H346:H347 H444:H447 H58:H61 H352:H358 H162:H166 H220:H225 H105:H111 H144:H149 H136:H140 H171:H175 H195:H198 H187:H191 H202:H206 H128:H132 H179:H183 H229:H234 H238:H242 H281:H288 H273:H277 H292:H300 H313:H316 H305:H309 H362:H368 H397:H405 H386:H393 H463:H468 H409:H413 H417:H423 H321:H325 H329:H331 H372:H382 H341:H342 H428:H430 H335:H337 H153:H158 H262:H269 H246:H250 H254:H257 H210:H215 H115:H124" xr:uid="{00000000-0002-0000-0100-000009000000}">
      <formula1>BUFFER_TYPES_LIST</formula1>
    </dataValidation>
    <dataValidation type="list" showInputMessage="1" showErrorMessage="1" sqref="S513" xr:uid="{00000000-0002-0000-0100-00000A000000}">
      <formula1>"Default, Extended"</formula1>
    </dataValidation>
  </dataValidations>
  <hyperlinks>
    <hyperlink ref="T592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13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135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40"/>
  <sheetViews>
    <sheetView topLeftCell="B1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42">
        <f>START_DATE</f>
        <v>46328</v>
      </c>
      <c r="D1" s="342"/>
      <c r="E1" s="342"/>
      <c r="F1" s="342"/>
      <c r="I1" s="1" t="s">
        <v>95</v>
      </c>
      <c r="L1" s="343">
        <f>WORKDAY(START_DATE,174)</f>
        <v>46570</v>
      </c>
      <c r="M1" s="343"/>
      <c r="N1" s="343"/>
      <c r="O1" s="343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40">
        <v>1</v>
      </c>
      <c r="D3" s="341"/>
      <c r="E3" s="341"/>
      <c r="F3" s="344"/>
      <c r="G3" s="340">
        <f>C3+1</f>
        <v>2</v>
      </c>
      <c r="H3" s="341"/>
      <c r="I3" s="341"/>
      <c r="J3" s="341"/>
      <c r="K3" s="340">
        <f>G3+1</f>
        <v>3</v>
      </c>
      <c r="L3" s="341"/>
      <c r="M3" s="341"/>
      <c r="N3" s="341"/>
      <c r="O3" s="340">
        <f>K3+1</f>
        <v>4</v>
      </c>
      <c r="P3" s="341"/>
      <c r="Q3" s="341"/>
      <c r="R3" s="341"/>
      <c r="S3" s="340">
        <f>O3+1</f>
        <v>5</v>
      </c>
      <c r="T3" s="341"/>
      <c r="U3" s="341"/>
      <c r="V3" s="341"/>
      <c r="W3" s="340">
        <f>S3+1</f>
        <v>6</v>
      </c>
      <c r="X3" s="341"/>
      <c r="Y3" s="341"/>
      <c r="Z3" s="341"/>
      <c r="AA3" s="340">
        <f>W3+1</f>
        <v>7</v>
      </c>
      <c r="AB3" s="341"/>
      <c r="AC3" s="341"/>
      <c r="AD3" s="341"/>
      <c r="AE3" s="340">
        <f>AA3+1</f>
        <v>8</v>
      </c>
      <c r="AF3" s="341"/>
      <c r="AG3" s="341"/>
      <c r="AH3" s="341"/>
      <c r="AI3" s="340">
        <f>AE3+1</f>
        <v>9</v>
      </c>
      <c r="AJ3" s="341"/>
      <c r="AK3" s="341"/>
      <c r="AL3" s="341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1165</v>
      </c>
      <c r="D5" s="116"/>
      <c r="E5" s="116"/>
      <c r="F5" s="116"/>
      <c r="G5" s="116" t="s">
        <v>1165</v>
      </c>
      <c r="H5" s="116"/>
      <c r="I5" s="116" t="s">
        <v>1165</v>
      </c>
      <c r="J5" s="116"/>
      <c r="K5" s="116"/>
      <c r="L5" s="116"/>
      <c r="M5" s="116" t="s">
        <v>1165</v>
      </c>
      <c r="N5" s="116"/>
      <c r="O5" s="116"/>
      <c r="P5" s="116"/>
      <c r="Q5" s="116" t="s">
        <v>1165</v>
      </c>
      <c r="R5" s="116"/>
      <c r="S5" s="116"/>
      <c r="T5" s="116"/>
      <c r="U5" s="116" t="s">
        <v>1165</v>
      </c>
      <c r="V5" s="116"/>
      <c r="W5" s="116"/>
      <c r="X5" s="116"/>
      <c r="Y5" s="116" t="s">
        <v>1165</v>
      </c>
      <c r="Z5" s="116"/>
      <c r="AA5" s="116"/>
      <c r="AB5" s="116"/>
      <c r="AC5" s="116" t="s">
        <v>1165</v>
      </c>
      <c r="AD5" s="116"/>
      <c r="AE5" s="116"/>
      <c r="AF5" s="116"/>
      <c r="AG5" s="116" t="s">
        <v>1165</v>
      </c>
      <c r="AH5" s="116"/>
      <c r="AI5" s="116"/>
      <c r="AJ5" s="116" t="s">
        <v>1165</v>
      </c>
      <c r="AK5" s="116"/>
      <c r="AL5" s="116" t="s">
        <v>1165</v>
      </c>
    </row>
    <row r="6" spans="2:38" x14ac:dyDescent="0.35">
      <c r="B6" s="115" t="str">
        <f>Estimation!N583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Estimation!N584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Estimation!N585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Estimation!N586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Estimation!N587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Estimation!N588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0.6</v>
      </c>
      <c r="H13" s="118">
        <v>0.6</v>
      </c>
      <c r="I13" s="118">
        <v>0.6</v>
      </c>
      <c r="J13" s="118">
        <v>0.6</v>
      </c>
      <c r="K13" s="118">
        <v>0.6</v>
      </c>
      <c r="L13" s="118">
        <v>0.6</v>
      </c>
      <c r="M13" s="118">
        <v>0.6</v>
      </c>
      <c r="N13" s="118">
        <v>0.6</v>
      </c>
      <c r="O13" s="118">
        <v>0.3</v>
      </c>
      <c r="P13" s="118">
        <v>0.3</v>
      </c>
      <c r="Q13" s="118">
        <v>0.3</v>
      </c>
      <c r="R13" s="118">
        <v>0.3</v>
      </c>
      <c r="S13" s="118">
        <v>0.3</v>
      </c>
      <c r="T13" s="118">
        <v>0.3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0.75</v>
      </c>
      <c r="H14" s="118">
        <v>0.75</v>
      </c>
      <c r="I14" s="118">
        <v>0.75</v>
      </c>
      <c r="J14" s="118">
        <v>0.75</v>
      </c>
      <c r="K14" s="118">
        <v>0.75</v>
      </c>
      <c r="L14" s="118">
        <v>0.75</v>
      </c>
      <c r="M14" s="118">
        <v>0.75</v>
      </c>
      <c r="N14" s="118">
        <v>0.75</v>
      </c>
      <c r="O14" s="118">
        <v>0.75</v>
      </c>
      <c r="P14" s="118">
        <v>0.75</v>
      </c>
      <c r="Q14" s="118">
        <v>0.75</v>
      </c>
      <c r="R14" s="118">
        <v>0.75</v>
      </c>
      <c r="S14" s="118">
        <v>0.75</v>
      </c>
      <c r="T14" s="118">
        <v>0.75</v>
      </c>
      <c r="U14" s="118">
        <v>0.75</v>
      </c>
      <c r="V14" s="118">
        <v>0.75</v>
      </c>
      <c r="W14" s="118">
        <v>0.95</v>
      </c>
      <c r="X14" s="118">
        <v>0.95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0.7</v>
      </c>
      <c r="H15" s="118">
        <v>0.7</v>
      </c>
      <c r="I15" s="118">
        <v>0.7</v>
      </c>
      <c r="J15" s="118">
        <v>0.7</v>
      </c>
      <c r="K15" s="118">
        <v>0.7</v>
      </c>
      <c r="L15" s="118">
        <v>0.7</v>
      </c>
      <c r="M15" s="118">
        <v>0.7</v>
      </c>
      <c r="N15" s="118">
        <v>0.7</v>
      </c>
      <c r="O15" s="118">
        <v>0.7</v>
      </c>
      <c r="P15" s="118">
        <v>0.7</v>
      </c>
      <c r="Q15" s="118">
        <v>0.8</v>
      </c>
      <c r="R15" s="118">
        <v>0.8</v>
      </c>
      <c r="S15" s="118">
        <v>0.8</v>
      </c>
      <c r="T15" s="118">
        <v>0.8</v>
      </c>
      <c r="U15" s="118">
        <v>0.7</v>
      </c>
      <c r="V15" s="118">
        <v>0.7</v>
      </c>
      <c r="W15" s="118">
        <v>0.9</v>
      </c>
      <c r="X15" s="118">
        <v>0.9</v>
      </c>
      <c r="Y15" s="118">
        <v>1</v>
      </c>
      <c r="Z15" s="118">
        <v>1</v>
      </c>
      <c r="AA15" s="118">
        <v>0.8</v>
      </c>
      <c r="AB15" s="118">
        <v>0.8</v>
      </c>
      <c r="AC15" s="118">
        <v>0.6</v>
      </c>
      <c r="AD15" s="118">
        <v>0.6</v>
      </c>
      <c r="AE15" s="118">
        <v>0.6</v>
      </c>
      <c r="AF15" s="118">
        <v>0.6</v>
      </c>
      <c r="AG15" s="118">
        <v>0.6</v>
      </c>
      <c r="AH15" s="118">
        <v>0.6</v>
      </c>
      <c r="AI15" s="118">
        <v>0.6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4.5</v>
      </c>
      <c r="L16" s="118">
        <v>4.5</v>
      </c>
      <c r="M16" s="118">
        <v>4.5</v>
      </c>
      <c r="N16" s="118">
        <v>4.5</v>
      </c>
      <c r="O16" s="118">
        <v>5.5</v>
      </c>
      <c r="P16" s="118">
        <v>5.5</v>
      </c>
      <c r="Q16" s="118">
        <v>6</v>
      </c>
      <c r="R16" s="118">
        <v>6</v>
      </c>
      <c r="S16" s="118">
        <v>6</v>
      </c>
      <c r="T16" s="118">
        <v>6</v>
      </c>
      <c r="U16" s="118">
        <v>6</v>
      </c>
      <c r="V16" s="118">
        <v>6</v>
      </c>
      <c r="W16" s="118">
        <v>6</v>
      </c>
      <c r="X16" s="118">
        <v>6</v>
      </c>
      <c r="Y16" s="118">
        <v>6</v>
      </c>
      <c r="Z16" s="118">
        <v>6</v>
      </c>
      <c r="AA16" s="118">
        <v>3.2</v>
      </c>
      <c r="AB16" s="118">
        <v>3.2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0.35</v>
      </c>
      <c r="L17" s="118">
        <v>0.35</v>
      </c>
      <c r="M17" s="118">
        <v>0.35</v>
      </c>
      <c r="N17" s="118">
        <v>0.35</v>
      </c>
      <c r="O17" s="118">
        <v>0.65</v>
      </c>
      <c r="P17" s="118">
        <v>0.65</v>
      </c>
      <c r="Q17" s="118">
        <v>0.65</v>
      </c>
      <c r="R17" s="118">
        <v>0.65</v>
      </c>
      <c r="S17" s="118">
        <v>0.65</v>
      </c>
      <c r="T17" s="118">
        <v>0.65</v>
      </c>
      <c r="U17" s="118">
        <v>0.65</v>
      </c>
      <c r="V17" s="118">
        <v>0.65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1166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5.75</v>
      </c>
      <c r="H19" s="118">
        <f t="shared" si="1"/>
        <v>5.75</v>
      </c>
      <c r="I19" s="118">
        <f t="shared" si="1"/>
        <v>5.75</v>
      </c>
      <c r="J19" s="118">
        <f t="shared" si="1"/>
        <v>5.75</v>
      </c>
      <c r="K19" s="118">
        <f t="shared" si="1"/>
        <v>6.8999999999999995</v>
      </c>
      <c r="L19" s="118">
        <f t="shared" si="1"/>
        <v>6.8999999999999995</v>
      </c>
      <c r="M19" s="118">
        <f t="shared" si="1"/>
        <v>6.8999999999999995</v>
      </c>
      <c r="N19" s="118">
        <f t="shared" si="1"/>
        <v>6.8999999999999995</v>
      </c>
      <c r="O19" s="118">
        <f t="shared" si="1"/>
        <v>7.9</v>
      </c>
      <c r="P19" s="118">
        <f t="shared" si="1"/>
        <v>7.9</v>
      </c>
      <c r="Q19" s="118">
        <f t="shared" si="1"/>
        <v>8.5</v>
      </c>
      <c r="R19" s="118">
        <f t="shared" si="1"/>
        <v>8.5</v>
      </c>
      <c r="S19" s="118">
        <f t="shared" si="1"/>
        <v>8.5</v>
      </c>
      <c r="T19" s="118">
        <f t="shared" si="1"/>
        <v>8.5</v>
      </c>
      <c r="U19" s="118">
        <f t="shared" si="1"/>
        <v>8.3000000000000007</v>
      </c>
      <c r="V19" s="118">
        <f t="shared" si="1"/>
        <v>8.3000000000000007</v>
      </c>
      <c r="W19" s="118">
        <f t="shared" si="1"/>
        <v>9.15</v>
      </c>
      <c r="X19" s="118">
        <f t="shared" si="1"/>
        <v>9.15</v>
      </c>
      <c r="Y19" s="118">
        <f t="shared" si="1"/>
        <v>9.3000000000000007</v>
      </c>
      <c r="Z19" s="118">
        <f t="shared" si="1"/>
        <v>9.3000000000000007</v>
      </c>
      <c r="AA19" s="118">
        <f t="shared" si="1"/>
        <v>5.8000000000000007</v>
      </c>
      <c r="AB19" s="118">
        <f t="shared" si="1"/>
        <v>5.8000000000000007</v>
      </c>
      <c r="AC19" s="118">
        <f t="shared" si="1"/>
        <v>3.0999999999999996</v>
      </c>
      <c r="AD19" s="118">
        <f t="shared" si="1"/>
        <v>3.0999999999999996</v>
      </c>
      <c r="AE19" s="118">
        <f t="shared" si="1"/>
        <v>3.0999999999999996</v>
      </c>
      <c r="AF19" s="118">
        <f t="shared" si="1"/>
        <v>3.0999999999999996</v>
      </c>
      <c r="AG19" s="118">
        <f t="shared" si="1"/>
        <v>3.0999999999999996</v>
      </c>
      <c r="AH19" s="118">
        <f t="shared" si="1"/>
        <v>3.3</v>
      </c>
      <c r="AI19" s="118">
        <f t="shared" si="1"/>
        <v>3.3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1167</v>
      </c>
      <c r="C20" s="331">
        <f>SUM(C13:AL18)*5</f>
        <v>1102.9999999999998</v>
      </c>
      <c r="D20" s="332"/>
      <c r="E20" s="332"/>
      <c r="F20" s="332"/>
      <c r="G20" s="331">
        <f>TOTAL_EFFORT</f>
        <v>1104</v>
      </c>
      <c r="H20" s="332"/>
      <c r="I20" s="332"/>
      <c r="J20" s="332"/>
    </row>
    <row r="21" spans="2:38" x14ac:dyDescent="0.35">
      <c r="B21" s="1" t="s">
        <v>1168</v>
      </c>
    </row>
    <row r="22" spans="2:38" x14ac:dyDescent="0.35">
      <c r="B22" s="117" t="s">
        <v>1169</v>
      </c>
      <c r="C22" s="339" t="s">
        <v>1170</v>
      </c>
      <c r="D22" s="332"/>
      <c r="E22" s="332"/>
      <c r="F22" s="332"/>
      <c r="G22" s="339" t="s">
        <v>25</v>
      </c>
      <c r="H22" s="332"/>
      <c r="I22" s="332"/>
      <c r="J22" s="332"/>
      <c r="K22" s="332"/>
      <c r="L22" s="332"/>
      <c r="M22" s="339" t="s">
        <v>1171</v>
      </c>
      <c r="N22" s="332"/>
      <c r="O22" s="332"/>
      <c r="P22" s="332"/>
      <c r="Q22" s="339" t="s">
        <v>1172</v>
      </c>
      <c r="R22" s="332"/>
      <c r="S22" s="332"/>
      <c r="T22" s="332"/>
      <c r="U22" s="332"/>
      <c r="V22" s="332"/>
      <c r="W22" s="332"/>
      <c r="X22" s="332"/>
      <c r="Y22" s="332"/>
      <c r="Z22" s="332"/>
      <c r="AA22" s="332"/>
      <c r="AB22" s="332"/>
      <c r="AC22" s="332"/>
      <c r="AD22" s="332"/>
      <c r="AE22" s="332"/>
      <c r="AF22" s="332"/>
      <c r="AG22" s="332"/>
      <c r="AH22" s="332"/>
      <c r="AI22" s="332"/>
      <c r="AJ22" s="332"/>
      <c r="AK22" s="332"/>
      <c r="AL22" s="332"/>
    </row>
    <row r="23" spans="2:38" x14ac:dyDescent="0.35">
      <c r="B23" t="s">
        <v>1173</v>
      </c>
      <c r="C23" s="331">
        <f>REQ_EFFORT+DESIGN_EFFORT</f>
        <v>151</v>
      </c>
      <c r="D23" s="332"/>
      <c r="E23" s="332"/>
      <c r="F23" s="332"/>
      <c r="G23" s="333">
        <f>REQ_COST+DESIGN_COST</f>
        <v>33824</v>
      </c>
      <c r="H23" s="332"/>
      <c r="I23" s="332"/>
      <c r="J23" s="332"/>
      <c r="K23" s="332"/>
      <c r="L23" s="332"/>
      <c r="M23" s="334">
        <f t="shared" ref="M23:M28" si="2">C23/$C$29</f>
        <v>0.13677536231884058</v>
      </c>
      <c r="N23" s="332"/>
      <c r="O23" s="332"/>
      <c r="P23" s="332"/>
      <c r="Q23" s="332" t="s">
        <v>1174</v>
      </c>
      <c r="R23" s="332"/>
      <c r="S23" s="332"/>
      <c r="T23" s="332"/>
      <c r="U23" s="332"/>
      <c r="V23" s="332"/>
      <c r="W23" s="332"/>
      <c r="X23" s="332"/>
      <c r="Y23" s="332"/>
      <c r="Z23" s="332"/>
      <c r="AA23" s="332"/>
      <c r="AB23" s="332"/>
      <c r="AC23" s="332"/>
      <c r="AD23" s="332"/>
      <c r="AE23" s="332"/>
      <c r="AF23" s="332"/>
      <c r="AG23" s="332"/>
      <c r="AH23" s="332"/>
      <c r="AI23" s="332"/>
      <c r="AJ23" s="332"/>
      <c r="AK23" s="332"/>
      <c r="AL23" s="332"/>
    </row>
    <row r="24" spans="2:38" x14ac:dyDescent="0.35">
      <c r="B24" t="s">
        <v>1175</v>
      </c>
      <c r="C24" s="331">
        <f>DEV_EFFORT</f>
        <v>639</v>
      </c>
      <c r="D24" s="332"/>
      <c r="E24" s="332"/>
      <c r="F24" s="332"/>
      <c r="G24" s="333">
        <f>DEV_COST</f>
        <v>143136</v>
      </c>
      <c r="H24" s="332"/>
      <c r="I24" s="332"/>
      <c r="J24" s="332"/>
      <c r="K24" s="332"/>
      <c r="L24" s="332"/>
      <c r="M24" s="334">
        <f t="shared" si="2"/>
        <v>0.57880434782608692</v>
      </c>
      <c r="N24" s="332"/>
      <c r="O24" s="332"/>
      <c r="P24" s="332"/>
      <c r="Q24" s="332" t="s">
        <v>1282</v>
      </c>
      <c r="R24" s="332"/>
      <c r="S24" s="332"/>
      <c r="T24" s="332"/>
      <c r="U24" s="332"/>
      <c r="V24" s="332"/>
      <c r="W24" s="332"/>
      <c r="X24" s="332"/>
      <c r="Y24" s="332"/>
      <c r="Z24" s="332"/>
      <c r="AA24" s="332"/>
      <c r="AB24" s="332"/>
      <c r="AC24" s="332"/>
      <c r="AD24" s="332"/>
      <c r="AE24" s="332"/>
      <c r="AF24" s="332"/>
      <c r="AG24" s="332"/>
      <c r="AH24" s="332"/>
      <c r="AI24" s="332"/>
      <c r="AJ24" s="332"/>
      <c r="AK24" s="332"/>
      <c r="AL24" s="332"/>
    </row>
    <row r="25" spans="2:38" x14ac:dyDescent="0.35">
      <c r="B25" t="s">
        <v>1176</v>
      </c>
      <c r="C25" s="331">
        <f>QA_EFFORT</f>
        <v>111</v>
      </c>
      <c r="D25" s="332"/>
      <c r="E25" s="332"/>
      <c r="F25" s="332"/>
      <c r="G25" s="333">
        <f>QA_COST</f>
        <v>24864</v>
      </c>
      <c r="H25" s="332"/>
      <c r="I25" s="332"/>
      <c r="J25" s="332"/>
      <c r="K25" s="332"/>
      <c r="L25" s="332"/>
      <c r="M25" s="334">
        <f t="shared" si="2"/>
        <v>0.10054347826086957</v>
      </c>
      <c r="N25" s="332"/>
      <c r="O25" s="332"/>
      <c r="P25" s="332"/>
      <c r="Q25" s="332" t="s">
        <v>1283</v>
      </c>
      <c r="R25" s="332"/>
      <c r="S25" s="332"/>
      <c r="T25" s="332"/>
      <c r="U25" s="332"/>
      <c r="V25" s="332"/>
      <c r="W25" s="332"/>
      <c r="X25" s="332"/>
      <c r="Y25" s="332"/>
      <c r="Z25" s="332"/>
      <c r="AA25" s="332"/>
      <c r="AB25" s="332"/>
      <c r="AC25" s="332"/>
      <c r="AD25" s="332"/>
      <c r="AE25" s="332"/>
      <c r="AF25" s="332"/>
      <c r="AG25" s="332"/>
      <c r="AH25" s="332"/>
      <c r="AI25" s="332"/>
      <c r="AJ25" s="332"/>
      <c r="AK25" s="332"/>
      <c r="AL25" s="332"/>
    </row>
    <row r="26" spans="2:38" x14ac:dyDescent="0.35">
      <c r="B26" t="s">
        <v>1177</v>
      </c>
      <c r="C26" s="331">
        <f>Estimation!T473+Estimation!T478</f>
        <v>70</v>
      </c>
      <c r="D26" s="332"/>
      <c r="E26" s="332"/>
      <c r="F26" s="332"/>
      <c r="G26" s="333">
        <f>UAT_COST*C26/UAT_EFFORT</f>
        <v>15680.000000000002</v>
      </c>
      <c r="H26" s="332"/>
      <c r="I26" s="332"/>
      <c r="J26" s="332"/>
      <c r="K26" s="332"/>
      <c r="L26" s="332"/>
      <c r="M26" s="334">
        <f t="shared" si="2"/>
        <v>6.3405797101449279E-2</v>
      </c>
      <c r="N26" s="332"/>
      <c r="O26" s="332"/>
      <c r="P26" s="332"/>
      <c r="Q26" s="332" t="s">
        <v>1178</v>
      </c>
      <c r="R26" s="332"/>
      <c r="S26" s="332"/>
      <c r="T26" s="332"/>
      <c r="U26" s="332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  <c r="AL26" s="332"/>
    </row>
    <row r="27" spans="2:38" x14ac:dyDescent="0.35">
      <c r="B27" t="s">
        <v>1179</v>
      </c>
      <c r="C27" s="331">
        <f>Estimation!T484+Estimation!T491</f>
        <v>52</v>
      </c>
      <c r="D27" s="332"/>
      <c r="E27" s="332"/>
      <c r="F27" s="332"/>
      <c r="G27" s="333">
        <f>UAT_COST*C27/UAT_EFFORT</f>
        <v>11648.000000000002</v>
      </c>
      <c r="H27" s="332"/>
      <c r="I27" s="332"/>
      <c r="J27" s="332"/>
      <c r="K27" s="332"/>
      <c r="L27" s="332"/>
      <c r="M27" s="334">
        <f t="shared" si="2"/>
        <v>4.710144927536232E-2</v>
      </c>
      <c r="N27" s="332"/>
      <c r="O27" s="332"/>
      <c r="P27" s="332"/>
      <c r="Q27" s="332" t="s">
        <v>1200</v>
      </c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2"/>
      <c r="AC27" s="332"/>
      <c r="AD27" s="332"/>
      <c r="AE27" s="332"/>
      <c r="AF27" s="332"/>
      <c r="AG27" s="332"/>
      <c r="AH27" s="332"/>
      <c r="AI27" s="332"/>
      <c r="AJ27" s="332"/>
      <c r="AK27" s="332"/>
      <c r="AL27" s="332"/>
    </row>
    <row r="28" spans="2:38" x14ac:dyDescent="0.35">
      <c r="B28" t="s">
        <v>1180</v>
      </c>
      <c r="C28" s="331">
        <f>OTHER_EFFORT</f>
        <v>81</v>
      </c>
      <c r="D28" s="332"/>
      <c r="E28" s="332"/>
      <c r="F28" s="332"/>
      <c r="G28" s="333">
        <f>OTHER_COST</f>
        <v>18144</v>
      </c>
      <c r="H28" s="332"/>
      <c r="I28" s="332"/>
      <c r="J28" s="332"/>
      <c r="K28" s="332"/>
      <c r="L28" s="332"/>
      <c r="M28" s="334">
        <f t="shared" si="2"/>
        <v>7.3369565217391311E-2</v>
      </c>
      <c r="N28" s="332"/>
      <c r="O28" s="332"/>
      <c r="P28" s="332"/>
      <c r="Q28" s="332" t="s">
        <v>1181</v>
      </c>
      <c r="R28" s="332"/>
      <c r="S28" s="332"/>
      <c r="T28" s="332"/>
      <c r="U28" s="332"/>
      <c r="V28" s="332"/>
      <c r="W28" s="332"/>
      <c r="X28" s="332"/>
      <c r="Y28" s="332"/>
      <c r="Z28" s="332"/>
      <c r="AA28" s="332"/>
      <c r="AB28" s="332"/>
      <c r="AC28" s="332"/>
      <c r="AD28" s="332"/>
      <c r="AE28" s="332"/>
      <c r="AF28" s="332"/>
      <c r="AG28" s="332"/>
      <c r="AH28" s="332"/>
      <c r="AI28" s="332"/>
      <c r="AJ28" s="332"/>
      <c r="AK28" s="332"/>
      <c r="AL28" s="332"/>
    </row>
    <row r="29" spans="2:38" x14ac:dyDescent="0.35">
      <c r="B29" s="1" t="s">
        <v>1182</v>
      </c>
      <c r="C29" s="335">
        <f>SUM(C23:C28)</f>
        <v>1104</v>
      </c>
      <c r="D29" s="332"/>
      <c r="E29" s="332"/>
      <c r="F29" s="332"/>
      <c r="G29" s="336">
        <f>SUM(G23:G28)</f>
        <v>247296</v>
      </c>
      <c r="H29" s="332"/>
      <c r="I29" s="332"/>
      <c r="J29" s="332"/>
      <c r="K29" s="332"/>
      <c r="L29" s="332"/>
      <c r="M29" s="337">
        <f>SUM(M23:M28)</f>
        <v>1</v>
      </c>
      <c r="N29" s="332"/>
      <c r="O29" s="332"/>
      <c r="P29" s="332"/>
      <c r="Q29" s="338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332"/>
      <c r="S29" s="332"/>
      <c r="T29" s="332"/>
      <c r="U29" s="332"/>
      <c r="V29" s="332"/>
      <c r="W29" s="332"/>
      <c r="X29" s="332"/>
      <c r="Y29" s="332"/>
      <c r="Z29" s="332"/>
      <c r="AA29" s="332"/>
      <c r="AB29" s="332"/>
      <c r="AC29" s="332"/>
      <c r="AD29" s="332"/>
      <c r="AE29" s="332"/>
      <c r="AF29" s="332"/>
      <c r="AG29" s="332"/>
      <c r="AH29" s="332"/>
      <c r="AI29" s="332"/>
      <c r="AJ29" s="332"/>
      <c r="AK29" s="332"/>
      <c r="AL29" s="332"/>
    </row>
    <row r="31" spans="2:38" x14ac:dyDescent="0.35">
      <c r="B31" s="1" t="s">
        <v>1183</v>
      </c>
    </row>
    <row r="32" spans="2:38" x14ac:dyDescent="0.35">
      <c r="B32" t="s">
        <v>1284</v>
      </c>
    </row>
    <row r="33" spans="2:2" x14ac:dyDescent="0.35">
      <c r="B33" t="s">
        <v>1184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(166 PD / USD 37,094). Buffer is '-' on every activity.</v>
      </c>
    </row>
    <row r="35" spans="2:2" x14ac:dyDescent="0.35">
      <c r="B35" t="s">
        <v>1285</v>
      </c>
    </row>
    <row r="36" spans="2:2" x14ac:dyDescent="0.35">
      <c r="B36" t="s">
        <v>1201</v>
      </c>
    </row>
    <row r="37" spans="2:2" x14ac:dyDescent="0.35">
      <c r="B37" t="s">
        <v>1185</v>
      </c>
    </row>
    <row r="38" spans="2:2" x14ac:dyDescent="0.35">
      <c r="B38" t="s">
        <v>1286</v>
      </c>
    </row>
    <row r="39" spans="2:2" x14ac:dyDescent="0.35">
      <c r="B39" t="s">
        <v>1202</v>
      </c>
    </row>
    <row r="40" spans="2:2" x14ac:dyDescent="0.35">
      <c r="B40" t="s">
        <v>1287</v>
      </c>
    </row>
  </sheetData>
  <mergeCells count="45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  <mergeCell ref="C20:F20"/>
    <mergeCell ref="G20:J20"/>
    <mergeCell ref="C22:F22"/>
    <mergeCell ref="G22:L22"/>
    <mergeCell ref="M22:P22"/>
    <mergeCell ref="Q22:AL22"/>
    <mergeCell ref="C23:F23"/>
    <mergeCell ref="G23:L23"/>
    <mergeCell ref="M23:P23"/>
    <mergeCell ref="Q23:AL23"/>
    <mergeCell ref="C24:F24"/>
    <mergeCell ref="G24:L24"/>
    <mergeCell ref="M24:P24"/>
    <mergeCell ref="Q24:AL24"/>
    <mergeCell ref="C25:F25"/>
    <mergeCell ref="G25:L25"/>
    <mergeCell ref="M25:P25"/>
    <mergeCell ref="Q25:AL25"/>
    <mergeCell ref="C26:F26"/>
    <mergeCell ref="G26:L26"/>
    <mergeCell ref="M26:P26"/>
    <mergeCell ref="Q26:AL26"/>
    <mergeCell ref="C27:F27"/>
    <mergeCell ref="G27:L27"/>
    <mergeCell ref="M27:P27"/>
    <mergeCell ref="Q27:AL27"/>
    <mergeCell ref="C28:F28"/>
    <mergeCell ref="G28:L28"/>
    <mergeCell ref="M28:P28"/>
    <mergeCell ref="Q28:AL28"/>
    <mergeCell ref="C29:F29"/>
    <mergeCell ref="G29:L29"/>
    <mergeCell ref="M29:P29"/>
    <mergeCell ref="Q29:AL29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1"/>
  <sheetViews>
    <sheetView topLeftCell="A34" workbookViewId="0">
      <selection activeCell="B55" sqref="B55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0" spans="1:8" x14ac:dyDescent="0.35">
      <c r="A50" s="276" t="s">
        <v>1203</v>
      </c>
      <c r="B50" s="277" t="s">
        <v>499</v>
      </c>
      <c r="C50" s="277" t="s">
        <v>1204</v>
      </c>
    </row>
    <row r="51" spans="1:8" x14ac:dyDescent="0.35">
      <c r="A51" s="276" t="s">
        <v>1205</v>
      </c>
      <c r="B51" s="277" t="s">
        <v>535</v>
      </c>
      <c r="C51" s="277" t="s">
        <v>1206</v>
      </c>
    </row>
    <row r="52" spans="1:8" x14ac:dyDescent="0.35">
      <c r="A52" s="276" t="s">
        <v>1207</v>
      </c>
      <c r="B52" s="277" t="s">
        <v>535</v>
      </c>
      <c r="C52" s="277" t="s">
        <v>1208</v>
      </c>
    </row>
    <row r="53" spans="1:8" x14ac:dyDescent="0.35">
      <c r="A53" s="276" t="s">
        <v>1209</v>
      </c>
      <c r="B53" s="277" t="s">
        <v>593</v>
      </c>
      <c r="C53" s="277" t="s">
        <v>1210</v>
      </c>
    </row>
    <row r="54" spans="1:8" x14ac:dyDescent="0.35">
      <c r="A54" s="276" t="s">
        <v>1211</v>
      </c>
      <c r="B54" s="277" t="s">
        <v>560</v>
      </c>
      <c r="C54" s="277" t="s">
        <v>1212</v>
      </c>
    </row>
    <row r="55" spans="1:8" x14ac:dyDescent="0.35">
      <c r="A55" s="276" t="s">
        <v>1213</v>
      </c>
      <c r="B55" s="277" t="s">
        <v>1214</v>
      </c>
      <c r="C55" s="277" t="s">
        <v>1215</v>
      </c>
    </row>
    <row r="58" spans="1:8" x14ac:dyDescent="0.35">
      <c r="A58" s="274" t="s">
        <v>495</v>
      </c>
      <c r="B58" s="1" t="s">
        <v>761</v>
      </c>
      <c r="C58" s="275" t="s">
        <v>648</v>
      </c>
      <c r="D58" s="274" t="s">
        <v>601</v>
      </c>
      <c r="E58" s="275" t="s">
        <v>602</v>
      </c>
      <c r="F58" s="275" t="s">
        <v>603</v>
      </c>
      <c r="G58" s="275" t="s">
        <v>649</v>
      </c>
      <c r="H58" s="275" t="s">
        <v>650</v>
      </c>
    </row>
    <row r="59" spans="1:8" x14ac:dyDescent="0.35">
      <c r="A59" s="276" t="s">
        <v>498</v>
      </c>
      <c r="B59" s="278" t="s">
        <v>499</v>
      </c>
      <c r="C59" s="277" t="s">
        <v>651</v>
      </c>
      <c r="D59" s="276" t="s">
        <v>652</v>
      </c>
      <c r="E59" s="277" t="s">
        <v>653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498</v>
      </c>
      <c r="B60" s="278" t="s">
        <v>499</v>
      </c>
      <c r="C60" s="277" t="s">
        <v>651</v>
      </c>
      <c r="D60" s="276" t="s">
        <v>655</v>
      </c>
      <c r="E60" s="277" t="s">
        <v>656</v>
      </c>
      <c r="F60" s="277" t="s">
        <v>499</v>
      </c>
      <c r="G60" s="277" t="s">
        <v>657</v>
      </c>
      <c r="H60" s="277" t="s">
        <v>658</v>
      </c>
    </row>
    <row r="61" spans="1:8" x14ac:dyDescent="0.35">
      <c r="A61" s="276" t="s">
        <v>498</v>
      </c>
      <c r="B61" s="278" t="s">
        <v>499</v>
      </c>
      <c r="C61" s="277" t="s">
        <v>651</v>
      </c>
      <c r="D61" s="276" t="s">
        <v>659</v>
      </c>
      <c r="E61" s="277" t="s">
        <v>660</v>
      </c>
      <c r="F61" s="277" t="s">
        <v>621</v>
      </c>
      <c r="G61" s="277" t="s">
        <v>657</v>
      </c>
      <c r="H61" s="277" t="s">
        <v>107</v>
      </c>
    </row>
    <row r="62" spans="1:8" x14ac:dyDescent="0.35">
      <c r="A62" s="276" t="s">
        <v>501</v>
      </c>
      <c r="B62" s="278" t="s">
        <v>499</v>
      </c>
      <c r="C62" s="277" t="s">
        <v>502</v>
      </c>
      <c r="D62" s="276" t="s">
        <v>661</v>
      </c>
      <c r="E62" s="277" t="s">
        <v>662</v>
      </c>
      <c r="F62" s="277" t="s">
        <v>499</v>
      </c>
      <c r="G62" s="277" t="s">
        <v>654</v>
      </c>
      <c r="H62" s="277" t="s">
        <v>47</v>
      </c>
    </row>
    <row r="63" spans="1:8" x14ac:dyDescent="0.35">
      <c r="A63" s="276" t="s">
        <v>501</v>
      </c>
      <c r="B63" s="278" t="s">
        <v>499</v>
      </c>
      <c r="C63" s="277" t="s">
        <v>502</v>
      </c>
      <c r="D63" s="276" t="s">
        <v>663</v>
      </c>
      <c r="E63" s="277" t="s">
        <v>664</v>
      </c>
      <c r="F63" s="277" t="s">
        <v>499</v>
      </c>
      <c r="G63" s="277" t="s">
        <v>665</v>
      </c>
      <c r="H63" s="277" t="s">
        <v>107</v>
      </c>
    </row>
    <row r="64" spans="1:8" x14ac:dyDescent="0.35">
      <c r="A64" s="276" t="s">
        <v>501</v>
      </c>
      <c r="B64" s="278" t="s">
        <v>499</v>
      </c>
      <c r="C64" s="277" t="s">
        <v>502</v>
      </c>
      <c r="D64" s="276" t="s">
        <v>666</v>
      </c>
      <c r="E64" s="277" t="s">
        <v>667</v>
      </c>
      <c r="F64" s="277" t="s">
        <v>621</v>
      </c>
      <c r="G64" s="277" t="s">
        <v>657</v>
      </c>
      <c r="H64" s="277" t="s">
        <v>107</v>
      </c>
    </row>
    <row r="65" spans="1:8" x14ac:dyDescent="0.35">
      <c r="A65" s="276" t="s">
        <v>503</v>
      </c>
      <c r="B65" s="278" t="s">
        <v>499</v>
      </c>
      <c r="C65" s="277" t="s">
        <v>504</v>
      </c>
      <c r="D65" s="276" t="s">
        <v>668</v>
      </c>
      <c r="E65" s="277" t="s">
        <v>669</v>
      </c>
      <c r="F65" s="277" t="s">
        <v>499</v>
      </c>
      <c r="G65" s="277" t="s">
        <v>654</v>
      </c>
      <c r="H65" s="277" t="s">
        <v>107</v>
      </c>
    </row>
    <row r="66" spans="1:8" x14ac:dyDescent="0.35">
      <c r="A66" s="276" t="s">
        <v>503</v>
      </c>
      <c r="B66" s="278" t="s">
        <v>499</v>
      </c>
      <c r="C66" s="277" t="s">
        <v>504</v>
      </c>
      <c r="D66" s="276" t="s">
        <v>670</v>
      </c>
      <c r="E66" s="277" t="s">
        <v>671</v>
      </c>
      <c r="F66" s="277" t="s">
        <v>499</v>
      </c>
      <c r="G66" s="277" t="s">
        <v>665</v>
      </c>
      <c r="H66" s="277" t="s">
        <v>107</v>
      </c>
    </row>
    <row r="67" spans="1:8" x14ac:dyDescent="0.35">
      <c r="A67" s="276" t="s">
        <v>503</v>
      </c>
      <c r="B67" s="278" t="s">
        <v>499</v>
      </c>
      <c r="C67" s="277" t="s">
        <v>504</v>
      </c>
      <c r="D67" s="276" t="s">
        <v>672</v>
      </c>
      <c r="E67" s="277" t="s">
        <v>673</v>
      </c>
      <c r="F67" s="277" t="s">
        <v>621</v>
      </c>
      <c r="G67" s="277" t="s">
        <v>657</v>
      </c>
      <c r="H67" s="277" t="s">
        <v>658</v>
      </c>
    </row>
    <row r="68" spans="1:8" x14ac:dyDescent="0.35">
      <c r="A68" s="276" t="s">
        <v>505</v>
      </c>
      <c r="B68" s="278" t="s">
        <v>499</v>
      </c>
      <c r="C68" s="277" t="s">
        <v>674</v>
      </c>
      <c r="D68" s="276" t="s">
        <v>675</v>
      </c>
      <c r="E68" s="277" t="s">
        <v>676</v>
      </c>
      <c r="F68" s="277" t="s">
        <v>621</v>
      </c>
      <c r="G68" s="277" t="s">
        <v>654</v>
      </c>
      <c r="H68" s="277" t="s">
        <v>107</v>
      </c>
    </row>
    <row r="69" spans="1:8" x14ac:dyDescent="0.35">
      <c r="A69" s="276" t="s">
        <v>505</v>
      </c>
      <c r="B69" s="278" t="s">
        <v>499</v>
      </c>
      <c r="C69" s="277" t="s">
        <v>674</v>
      </c>
      <c r="D69" s="276" t="s">
        <v>677</v>
      </c>
      <c r="E69" s="277" t="s">
        <v>678</v>
      </c>
      <c r="F69" s="277" t="s">
        <v>621</v>
      </c>
      <c r="G69" s="277" t="s">
        <v>657</v>
      </c>
      <c r="H69" s="277" t="s">
        <v>658</v>
      </c>
    </row>
    <row r="70" spans="1:8" x14ac:dyDescent="0.35">
      <c r="A70" s="276" t="s">
        <v>507</v>
      </c>
      <c r="B70" s="278" t="s">
        <v>499</v>
      </c>
      <c r="C70" s="277" t="s">
        <v>679</v>
      </c>
      <c r="D70" s="276" t="s">
        <v>680</v>
      </c>
      <c r="E70" s="277" t="s">
        <v>681</v>
      </c>
      <c r="F70" s="277" t="s">
        <v>499</v>
      </c>
      <c r="G70" s="277" t="s">
        <v>654</v>
      </c>
      <c r="H70" s="277" t="s">
        <v>658</v>
      </c>
    </row>
    <row r="71" spans="1:8" x14ac:dyDescent="0.35">
      <c r="A71" s="276" t="s">
        <v>507</v>
      </c>
      <c r="B71" s="278" t="s">
        <v>499</v>
      </c>
      <c r="C71" s="277" t="s">
        <v>679</v>
      </c>
      <c r="D71" s="276" t="s">
        <v>682</v>
      </c>
      <c r="E71" s="277" t="s">
        <v>683</v>
      </c>
      <c r="F71" s="277" t="s">
        <v>499</v>
      </c>
      <c r="G71" s="277" t="s">
        <v>665</v>
      </c>
      <c r="H71" s="277" t="s">
        <v>658</v>
      </c>
    </row>
    <row r="72" spans="1:8" x14ac:dyDescent="0.35">
      <c r="A72" s="276" t="s">
        <v>509</v>
      </c>
      <c r="B72" s="278" t="s">
        <v>757</v>
      </c>
      <c r="C72" s="277" t="s">
        <v>684</v>
      </c>
      <c r="D72" s="276" t="s">
        <v>685</v>
      </c>
      <c r="E72" s="277" t="s">
        <v>686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509</v>
      </c>
      <c r="B73" s="278" t="s">
        <v>757</v>
      </c>
      <c r="C73" s="277" t="s">
        <v>684</v>
      </c>
      <c r="D73" s="276" t="s">
        <v>687</v>
      </c>
      <c r="E73" s="277" t="s">
        <v>688</v>
      </c>
      <c r="F73" s="277" t="s">
        <v>499</v>
      </c>
      <c r="G73" s="277" t="s">
        <v>665</v>
      </c>
      <c r="H73" s="277" t="s">
        <v>658</v>
      </c>
    </row>
    <row r="74" spans="1:8" x14ac:dyDescent="0.35">
      <c r="A74" s="276" t="s">
        <v>511</v>
      </c>
      <c r="B74" s="278" t="s">
        <v>757</v>
      </c>
      <c r="C74" s="277" t="s">
        <v>689</v>
      </c>
      <c r="D74" s="276" t="s">
        <v>690</v>
      </c>
      <c r="E74" s="277" t="s">
        <v>691</v>
      </c>
      <c r="F74" s="277" t="s">
        <v>499</v>
      </c>
      <c r="G74" s="277" t="s">
        <v>654</v>
      </c>
      <c r="H74" s="277" t="s">
        <v>658</v>
      </c>
    </row>
    <row r="75" spans="1:8" x14ac:dyDescent="0.35">
      <c r="A75" s="276" t="s">
        <v>511</v>
      </c>
      <c r="B75" s="278" t="s">
        <v>757</v>
      </c>
      <c r="C75" s="277" t="s">
        <v>689</v>
      </c>
      <c r="D75" s="276" t="s">
        <v>692</v>
      </c>
      <c r="E75" s="277" t="s">
        <v>693</v>
      </c>
      <c r="F75" s="277" t="s">
        <v>499</v>
      </c>
      <c r="G75" s="277" t="s">
        <v>665</v>
      </c>
      <c r="H75" s="277" t="s">
        <v>107</v>
      </c>
    </row>
    <row r="76" spans="1:8" x14ac:dyDescent="0.35">
      <c r="A76" s="276" t="s">
        <v>513</v>
      </c>
      <c r="B76" s="278" t="s">
        <v>757</v>
      </c>
      <c r="C76" s="277" t="s">
        <v>694</v>
      </c>
      <c r="D76" s="276" t="s">
        <v>695</v>
      </c>
      <c r="E76" s="277" t="s">
        <v>696</v>
      </c>
      <c r="F76" s="277" t="s">
        <v>499</v>
      </c>
      <c r="G76" s="277" t="s">
        <v>654</v>
      </c>
      <c r="H76" s="277" t="s">
        <v>107</v>
      </c>
    </row>
    <row r="77" spans="1:8" x14ac:dyDescent="0.35">
      <c r="A77" s="276" t="s">
        <v>513</v>
      </c>
      <c r="B77" s="278" t="s">
        <v>757</v>
      </c>
      <c r="C77" s="277" t="s">
        <v>694</v>
      </c>
      <c r="D77" s="276" t="s">
        <v>697</v>
      </c>
      <c r="E77" s="277" t="s">
        <v>698</v>
      </c>
      <c r="F77" s="277" t="s">
        <v>499</v>
      </c>
      <c r="G77" s="277" t="s">
        <v>665</v>
      </c>
      <c r="H77" s="277" t="s">
        <v>107</v>
      </c>
    </row>
    <row r="78" spans="1:8" x14ac:dyDescent="0.35">
      <c r="A78" s="276" t="s">
        <v>515</v>
      </c>
      <c r="B78" s="278" t="s">
        <v>757</v>
      </c>
      <c r="C78" s="277" t="s">
        <v>699</v>
      </c>
      <c r="D78" s="276" t="s">
        <v>700</v>
      </c>
      <c r="E78" s="277" t="s">
        <v>701</v>
      </c>
      <c r="F78" s="277" t="s">
        <v>499</v>
      </c>
      <c r="G78" s="277" t="s">
        <v>654</v>
      </c>
      <c r="H78" s="277" t="s">
        <v>107</v>
      </c>
    </row>
    <row r="79" spans="1:8" x14ac:dyDescent="0.35">
      <c r="A79" s="276" t="s">
        <v>515</v>
      </c>
      <c r="B79" s="278" t="s">
        <v>757</v>
      </c>
      <c r="C79" s="277" t="s">
        <v>699</v>
      </c>
      <c r="D79" s="276" t="s">
        <v>702</v>
      </c>
      <c r="E79" s="277" t="s">
        <v>703</v>
      </c>
      <c r="F79" s="277" t="s">
        <v>621</v>
      </c>
      <c r="G79" s="277" t="s">
        <v>657</v>
      </c>
      <c r="H79" s="277" t="s">
        <v>658</v>
      </c>
    </row>
    <row r="80" spans="1:8" x14ac:dyDescent="0.35">
      <c r="A80" s="276" t="s">
        <v>534</v>
      </c>
      <c r="B80" s="278" t="s">
        <v>758</v>
      </c>
      <c r="C80" s="277" t="s">
        <v>704</v>
      </c>
      <c r="D80" s="276" t="s">
        <v>705</v>
      </c>
      <c r="E80" s="277" t="s">
        <v>706</v>
      </c>
      <c r="F80" s="277" t="s">
        <v>621</v>
      </c>
      <c r="G80" s="277" t="s">
        <v>654</v>
      </c>
      <c r="H80" s="277" t="s">
        <v>107</v>
      </c>
    </row>
    <row r="81" spans="1:8" x14ac:dyDescent="0.35">
      <c r="A81" s="276" t="s">
        <v>534</v>
      </c>
      <c r="B81" s="278" t="s">
        <v>758</v>
      </c>
      <c r="C81" s="277" t="s">
        <v>704</v>
      </c>
      <c r="D81" s="276" t="s">
        <v>707</v>
      </c>
      <c r="E81" s="277" t="s">
        <v>708</v>
      </c>
      <c r="F81" s="277" t="s">
        <v>617</v>
      </c>
      <c r="G81" s="277" t="s">
        <v>665</v>
      </c>
      <c r="H81" s="277" t="s">
        <v>658</v>
      </c>
    </row>
    <row r="82" spans="1:8" x14ac:dyDescent="0.35">
      <c r="A82" s="276" t="s">
        <v>539</v>
      </c>
      <c r="B82" s="278" t="s">
        <v>758</v>
      </c>
      <c r="C82" s="277" t="s">
        <v>709</v>
      </c>
      <c r="D82" s="276" t="s">
        <v>710</v>
      </c>
      <c r="E82" s="277" t="s">
        <v>711</v>
      </c>
      <c r="F82" s="277" t="s">
        <v>621</v>
      </c>
      <c r="G82" s="277" t="s">
        <v>654</v>
      </c>
      <c r="H82" s="277" t="s">
        <v>107</v>
      </c>
    </row>
    <row r="83" spans="1:8" x14ac:dyDescent="0.35">
      <c r="A83" s="276" t="s">
        <v>539</v>
      </c>
      <c r="B83" s="278" t="s">
        <v>758</v>
      </c>
      <c r="C83" s="277" t="s">
        <v>709</v>
      </c>
      <c r="D83" s="276" t="s">
        <v>712</v>
      </c>
      <c r="E83" s="277" t="s">
        <v>713</v>
      </c>
      <c r="F83" s="277" t="s">
        <v>617</v>
      </c>
      <c r="G83" s="277" t="s">
        <v>665</v>
      </c>
      <c r="H83" s="277" t="s">
        <v>658</v>
      </c>
    </row>
    <row r="84" spans="1:8" x14ac:dyDescent="0.35">
      <c r="A84" s="276" t="s">
        <v>541</v>
      </c>
      <c r="B84" s="278" t="s">
        <v>758</v>
      </c>
      <c r="C84" s="277" t="s">
        <v>714</v>
      </c>
      <c r="D84" s="276" t="s">
        <v>715</v>
      </c>
      <c r="E84" s="277" t="s">
        <v>716</v>
      </c>
      <c r="F84" s="277" t="s">
        <v>612</v>
      </c>
      <c r="G84" s="277" t="s">
        <v>654</v>
      </c>
      <c r="H84" s="277" t="s">
        <v>107</v>
      </c>
    </row>
    <row r="85" spans="1:8" x14ac:dyDescent="0.35">
      <c r="A85" s="276" t="s">
        <v>541</v>
      </c>
      <c r="B85" s="278" t="s">
        <v>758</v>
      </c>
      <c r="C85" s="277" t="s">
        <v>714</v>
      </c>
      <c r="D85" s="276" t="s">
        <v>717</v>
      </c>
      <c r="E85" s="277" t="s">
        <v>718</v>
      </c>
      <c r="F85" s="277" t="s">
        <v>612</v>
      </c>
      <c r="G85" s="277" t="s">
        <v>665</v>
      </c>
      <c r="H85" s="277" t="s">
        <v>107</v>
      </c>
    </row>
    <row r="86" spans="1:8" x14ac:dyDescent="0.35">
      <c r="A86" s="276" t="s">
        <v>547</v>
      </c>
      <c r="B86" s="278" t="s">
        <v>758</v>
      </c>
      <c r="C86" s="277" t="s">
        <v>719</v>
      </c>
      <c r="D86" s="276" t="s">
        <v>720</v>
      </c>
      <c r="E86" s="277" t="s">
        <v>721</v>
      </c>
      <c r="F86" s="277" t="s">
        <v>615</v>
      </c>
      <c r="G86" s="277" t="s">
        <v>654</v>
      </c>
      <c r="H86" s="277" t="s">
        <v>47</v>
      </c>
    </row>
    <row r="87" spans="1:8" x14ac:dyDescent="0.35">
      <c r="A87" s="276" t="s">
        <v>547</v>
      </c>
      <c r="B87" s="278" t="s">
        <v>758</v>
      </c>
      <c r="C87" s="277" t="s">
        <v>719</v>
      </c>
      <c r="D87" s="276" t="s">
        <v>722</v>
      </c>
      <c r="E87" s="277" t="s">
        <v>723</v>
      </c>
      <c r="F87" s="277" t="s">
        <v>615</v>
      </c>
      <c r="G87" s="277" t="s">
        <v>665</v>
      </c>
      <c r="H87" s="277" t="s">
        <v>107</v>
      </c>
    </row>
    <row r="88" spans="1:8" x14ac:dyDescent="0.35">
      <c r="A88" s="276" t="s">
        <v>549</v>
      </c>
      <c r="B88" s="278" t="s">
        <v>758</v>
      </c>
      <c r="C88" s="277" t="s">
        <v>724</v>
      </c>
      <c r="D88" s="276" t="s">
        <v>725</v>
      </c>
      <c r="E88" s="277" t="s">
        <v>726</v>
      </c>
      <c r="F88" s="277" t="s">
        <v>617</v>
      </c>
      <c r="G88" s="277" t="s">
        <v>654</v>
      </c>
      <c r="H88" s="277" t="s">
        <v>107</v>
      </c>
    </row>
    <row r="89" spans="1:8" x14ac:dyDescent="0.35">
      <c r="A89" s="276" t="s">
        <v>549</v>
      </c>
      <c r="B89" s="278" t="s">
        <v>758</v>
      </c>
      <c r="C89" s="277" t="s">
        <v>724</v>
      </c>
      <c r="D89" s="276" t="s">
        <v>727</v>
      </c>
      <c r="E89" s="277" t="s">
        <v>728</v>
      </c>
      <c r="F89" s="277" t="s">
        <v>617</v>
      </c>
      <c r="G89" s="277" t="s">
        <v>665</v>
      </c>
      <c r="H89" s="277" t="s">
        <v>107</v>
      </c>
    </row>
    <row r="90" spans="1:8" x14ac:dyDescent="0.35">
      <c r="A90" s="276" t="s">
        <v>559</v>
      </c>
      <c r="B90" s="278" t="s">
        <v>759</v>
      </c>
      <c r="C90" s="277" t="s">
        <v>729</v>
      </c>
      <c r="D90" s="276" t="s">
        <v>730</v>
      </c>
      <c r="E90" s="277" t="s">
        <v>731</v>
      </c>
      <c r="F90" s="277" t="s">
        <v>621</v>
      </c>
      <c r="G90" s="277" t="s">
        <v>654</v>
      </c>
      <c r="H90" s="277" t="s">
        <v>47</v>
      </c>
    </row>
    <row r="91" spans="1:8" x14ac:dyDescent="0.35">
      <c r="A91" s="276" t="s">
        <v>559</v>
      </c>
      <c r="B91" s="278" t="s">
        <v>759</v>
      </c>
      <c r="C91" s="277" t="s">
        <v>729</v>
      </c>
      <c r="D91" s="276" t="s">
        <v>732</v>
      </c>
      <c r="E91" s="277" t="s">
        <v>733</v>
      </c>
      <c r="F91" s="277" t="s">
        <v>621</v>
      </c>
      <c r="G91" s="277" t="s">
        <v>657</v>
      </c>
      <c r="H91" s="277" t="s">
        <v>107</v>
      </c>
    </row>
    <row r="92" spans="1:8" x14ac:dyDescent="0.35">
      <c r="A92" s="276" t="s">
        <v>562</v>
      </c>
      <c r="B92" s="278" t="s">
        <v>759</v>
      </c>
      <c r="C92" s="277" t="s">
        <v>734</v>
      </c>
      <c r="D92" s="276" t="s">
        <v>735</v>
      </c>
      <c r="E92" s="277" t="s">
        <v>736</v>
      </c>
      <c r="F92" s="277" t="s">
        <v>621</v>
      </c>
      <c r="G92" s="277" t="s">
        <v>654</v>
      </c>
      <c r="H92" s="277" t="s">
        <v>47</v>
      </c>
    </row>
    <row r="93" spans="1:8" x14ac:dyDescent="0.35">
      <c r="A93" s="276" t="s">
        <v>562</v>
      </c>
      <c r="B93" s="278" t="s">
        <v>759</v>
      </c>
      <c r="C93" s="277" t="s">
        <v>734</v>
      </c>
      <c r="D93" s="276" t="s">
        <v>737</v>
      </c>
      <c r="E93" s="277" t="s">
        <v>738</v>
      </c>
      <c r="F93" s="277" t="s">
        <v>621</v>
      </c>
      <c r="G93" s="277" t="s">
        <v>657</v>
      </c>
      <c r="H93" s="277" t="s">
        <v>107</v>
      </c>
    </row>
    <row r="94" spans="1:8" x14ac:dyDescent="0.35">
      <c r="A94" s="276" t="s">
        <v>564</v>
      </c>
      <c r="B94" s="278" t="s">
        <v>759</v>
      </c>
      <c r="C94" s="277" t="s">
        <v>565</v>
      </c>
      <c r="D94" s="276" t="s">
        <v>739</v>
      </c>
      <c r="E94" s="277" t="s">
        <v>740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564</v>
      </c>
      <c r="B95" s="278" t="s">
        <v>759</v>
      </c>
      <c r="C95" s="277" t="s">
        <v>565</v>
      </c>
      <c r="D95" s="276" t="s">
        <v>741</v>
      </c>
      <c r="E95" s="277" t="s">
        <v>742</v>
      </c>
      <c r="F95" s="277" t="s">
        <v>621</v>
      </c>
      <c r="G95" s="277" t="s">
        <v>665</v>
      </c>
      <c r="H95" s="277" t="s">
        <v>107</v>
      </c>
    </row>
    <row r="96" spans="1:8" x14ac:dyDescent="0.35">
      <c r="A96" s="276" t="s">
        <v>568</v>
      </c>
      <c r="B96" s="278" t="s">
        <v>760</v>
      </c>
      <c r="C96" s="277" t="s">
        <v>570</v>
      </c>
      <c r="D96" s="276" t="s">
        <v>743</v>
      </c>
      <c r="E96" s="277" t="s">
        <v>744</v>
      </c>
      <c r="F96" s="277" t="s">
        <v>624</v>
      </c>
      <c r="G96" s="277" t="s">
        <v>654</v>
      </c>
      <c r="H96" s="277" t="s">
        <v>107</v>
      </c>
    </row>
    <row r="97" spans="1:8" x14ac:dyDescent="0.35">
      <c r="A97" s="276" t="s">
        <v>568</v>
      </c>
      <c r="B97" s="278" t="s">
        <v>760</v>
      </c>
      <c r="C97" s="277" t="s">
        <v>570</v>
      </c>
      <c r="D97" s="276" t="s">
        <v>745</v>
      </c>
      <c r="E97" s="277" t="s">
        <v>746</v>
      </c>
      <c r="F97" s="277" t="s">
        <v>624</v>
      </c>
      <c r="G97" s="277" t="s">
        <v>665</v>
      </c>
      <c r="H97" s="277" t="s">
        <v>107</v>
      </c>
    </row>
    <row r="98" spans="1:8" x14ac:dyDescent="0.35">
      <c r="A98" s="276" t="s">
        <v>583</v>
      </c>
      <c r="B98" s="278" t="s">
        <v>760</v>
      </c>
      <c r="C98" s="277" t="s">
        <v>747</v>
      </c>
      <c r="D98" s="276" t="s">
        <v>748</v>
      </c>
      <c r="E98" s="277" t="s">
        <v>749</v>
      </c>
      <c r="F98" s="277" t="s">
        <v>621</v>
      </c>
      <c r="G98" s="277" t="s">
        <v>654</v>
      </c>
      <c r="H98" s="277" t="s">
        <v>107</v>
      </c>
    </row>
    <row r="99" spans="1:8" x14ac:dyDescent="0.35">
      <c r="A99" s="276" t="s">
        <v>583</v>
      </c>
      <c r="B99" s="278" t="s">
        <v>760</v>
      </c>
      <c r="C99" s="277" t="s">
        <v>747</v>
      </c>
      <c r="D99" s="276" t="s">
        <v>750</v>
      </c>
      <c r="E99" s="277" t="s">
        <v>751</v>
      </c>
      <c r="F99" s="277" t="s">
        <v>752</v>
      </c>
      <c r="G99" s="277" t="s">
        <v>665</v>
      </c>
      <c r="H99" s="277" t="s">
        <v>658</v>
      </c>
    </row>
    <row r="100" spans="1:8" x14ac:dyDescent="0.35">
      <c r="A100" s="276" t="s">
        <v>592</v>
      </c>
      <c r="B100" s="278" t="s">
        <v>760</v>
      </c>
      <c r="C100" s="277" t="s">
        <v>593</v>
      </c>
      <c r="D100" s="276" t="s">
        <v>753</v>
      </c>
      <c r="E100" s="277" t="s">
        <v>754</v>
      </c>
      <c r="F100" s="277" t="s">
        <v>621</v>
      </c>
      <c r="G100" s="277" t="s">
        <v>654</v>
      </c>
      <c r="H100" s="277" t="s">
        <v>107</v>
      </c>
    </row>
    <row r="101" spans="1:8" x14ac:dyDescent="0.35">
      <c r="A101" s="276" t="s">
        <v>592</v>
      </c>
      <c r="B101" s="278" t="s">
        <v>760</v>
      </c>
      <c r="C101" s="277" t="s">
        <v>593</v>
      </c>
      <c r="D101" s="276" t="s">
        <v>755</v>
      </c>
      <c r="E101" s="277" t="s">
        <v>756</v>
      </c>
      <c r="F101" s="277" t="s">
        <v>621</v>
      </c>
      <c r="G101" s="277" t="s">
        <v>657</v>
      </c>
      <c r="H101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6" t="s">
        <v>259</v>
      </c>
      <c r="C13" s="346"/>
      <c r="D13" s="346"/>
      <c r="E13" s="346"/>
      <c r="F13" s="346"/>
      <c r="G13" s="346"/>
      <c r="H13" s="346"/>
      <c r="I13" s="346"/>
      <c r="J13" s="346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6"/>
      <c r="C14" s="346"/>
      <c r="D14" s="346"/>
      <c r="E14" s="346"/>
      <c r="F14" s="346"/>
      <c r="G14" s="346"/>
      <c r="H14" s="346"/>
      <c r="I14" s="346"/>
      <c r="J14" s="346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5" t="s">
        <v>191</v>
      </c>
      <c r="I16" s="345"/>
      <c r="J16" s="345"/>
      <c r="K16" s="345"/>
      <c r="L16" s="345"/>
      <c r="M16" s="345"/>
      <c r="N16" s="345"/>
      <c r="O16" s="345"/>
      <c r="P16" s="345"/>
      <c r="Q16" s="345"/>
      <c r="R16" s="345"/>
      <c r="S16" s="345"/>
      <c r="T16" s="345"/>
      <c r="U16" s="345"/>
      <c r="V16" s="345"/>
      <c r="AL16" s="345" t="s">
        <v>241</v>
      </c>
      <c r="AM16" s="345"/>
      <c r="AN16" s="345"/>
      <c r="AO16" s="345"/>
      <c r="AP16" s="345"/>
      <c r="AQ16" s="345"/>
      <c r="AR16" s="345"/>
      <c r="AS16" s="345"/>
      <c r="AT16" s="345"/>
      <c r="AU16" s="345"/>
      <c r="AV16" s="345"/>
      <c r="AW16" s="345"/>
      <c r="AX16" s="345"/>
      <c r="AY16" s="345"/>
      <c r="AZ16" s="345"/>
      <c r="BA16" s="345"/>
      <c r="BB16" s="345"/>
      <c r="BC16" s="345"/>
      <c r="BD16" s="345"/>
    </row>
    <row r="17" spans="2:56" ht="15" customHeight="1" x14ac:dyDescent="0.35"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5"/>
      <c r="V17" s="345"/>
      <c r="AL17" s="345"/>
      <c r="AM17" s="345"/>
      <c r="AN17" s="345"/>
      <c r="AO17" s="345"/>
      <c r="AP17" s="345"/>
      <c r="AQ17" s="345"/>
      <c r="AR17" s="345"/>
      <c r="AS17" s="345"/>
      <c r="AT17" s="345"/>
      <c r="AU17" s="345"/>
      <c r="AV17" s="345"/>
      <c r="AW17" s="345"/>
      <c r="AX17" s="345"/>
      <c r="AY17" s="345"/>
      <c r="AZ17" s="345"/>
      <c r="BA17" s="345"/>
      <c r="BB17" s="345"/>
      <c r="BC17" s="345"/>
      <c r="BD17" s="345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5" t="s">
        <v>203</v>
      </c>
      <c r="C29" s="345"/>
      <c r="D29" s="345"/>
      <c r="E29" s="345"/>
      <c r="F29" s="345"/>
      <c r="G29" s="345"/>
      <c r="H29" s="345"/>
      <c r="I29" s="345"/>
      <c r="J29" s="345"/>
      <c r="K29" s="345"/>
      <c r="L29" s="345"/>
      <c r="M29" s="345"/>
      <c r="N29" s="345"/>
      <c r="O29" s="345"/>
    </row>
    <row r="30" spans="2:56" x14ac:dyDescent="0.35">
      <c r="B30" s="345"/>
      <c r="C30" s="345"/>
      <c r="D30" s="345"/>
      <c r="E30" s="345"/>
      <c r="F30" s="345"/>
      <c r="G30" s="345"/>
      <c r="H30" s="345"/>
      <c r="I30" s="345"/>
      <c r="J30" s="345"/>
      <c r="K30" s="345"/>
      <c r="L30" s="345"/>
      <c r="M30" s="345"/>
      <c r="N30" s="345"/>
      <c r="O30" s="345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5" t="s">
        <v>204</v>
      </c>
      <c r="C41" s="345"/>
      <c r="D41" s="345"/>
      <c r="E41" s="345"/>
      <c r="F41" s="345"/>
      <c r="G41" s="345"/>
      <c r="H41" s="345"/>
      <c r="I41" s="345"/>
      <c r="J41" s="345"/>
      <c r="K41" s="345"/>
      <c r="L41" s="345"/>
      <c r="M41" s="345"/>
      <c r="N41" s="345"/>
      <c r="O41" s="345"/>
    </row>
    <row r="42" spans="2:31" x14ac:dyDescent="0.35">
      <c r="B42" s="345"/>
      <c r="C42" s="345"/>
      <c r="D42" s="345"/>
      <c r="E42" s="345"/>
      <c r="F42" s="345"/>
      <c r="G42" s="345"/>
      <c r="H42" s="345"/>
      <c r="I42" s="345"/>
      <c r="J42" s="345"/>
      <c r="K42" s="345"/>
      <c r="L42" s="345"/>
      <c r="M42" s="345"/>
      <c r="N42" s="345"/>
      <c r="O42" s="345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5" t="s">
        <v>220</v>
      </c>
      <c r="C49" s="345"/>
      <c r="D49" s="345"/>
      <c r="E49" s="345"/>
      <c r="F49" s="345"/>
      <c r="G49" s="345"/>
      <c r="H49" s="345"/>
      <c r="I49" s="345"/>
      <c r="J49" s="345"/>
      <c r="K49" s="345"/>
      <c r="L49" s="345"/>
      <c r="M49" s="345"/>
      <c r="N49" s="345"/>
    </row>
    <row r="50" spans="2:14" x14ac:dyDescent="0.35">
      <c r="B50" s="345"/>
      <c r="C50" s="345"/>
      <c r="D50" s="345"/>
      <c r="E50" s="345"/>
      <c r="F50" s="345"/>
      <c r="G50" s="345"/>
      <c r="H50" s="345"/>
      <c r="I50" s="345"/>
      <c r="J50" s="345"/>
      <c r="K50" s="345"/>
      <c r="L50" s="345"/>
      <c r="M50" s="345"/>
      <c r="N50" s="345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5" t="s">
        <v>221</v>
      </c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</row>
    <row r="72" spans="2:16" x14ac:dyDescent="0.35"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5" t="s">
        <v>230</v>
      </c>
      <c r="D84" s="345"/>
      <c r="E84" s="345"/>
      <c r="F84" s="345"/>
      <c r="G84" s="345"/>
      <c r="H84" s="345"/>
      <c r="I84" s="345"/>
      <c r="J84" s="345"/>
      <c r="K84" s="345"/>
      <c r="L84" s="345"/>
      <c r="M84" s="345"/>
      <c r="N84" s="345"/>
      <c r="O84" s="345"/>
      <c r="P84" s="345"/>
      <c r="Q84" s="345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5"/>
      <c r="D85" s="345"/>
      <c r="E85" s="345"/>
      <c r="F85" s="345"/>
      <c r="G85" s="345"/>
      <c r="H85" s="345"/>
      <c r="I85" s="345"/>
      <c r="J85" s="345"/>
      <c r="K85" s="345"/>
      <c r="L85" s="345"/>
      <c r="M85" s="345"/>
      <c r="N85" s="345"/>
      <c r="O85" s="345"/>
      <c r="P85" s="345"/>
      <c r="Q85" s="345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5" t="s">
        <v>233</v>
      </c>
      <c r="AF93" s="345"/>
      <c r="AG93" s="345"/>
      <c r="AH93" s="345"/>
      <c r="AI93" s="345"/>
      <c r="AJ93" s="345"/>
      <c r="AK93" s="345"/>
      <c r="AL93" s="345"/>
      <c r="AM93" s="345"/>
      <c r="AN93" s="345"/>
      <c r="AO93" s="345"/>
      <c r="AP93" s="345"/>
      <c r="AQ93" s="345"/>
      <c r="AR93" s="345"/>
      <c r="AS93" s="345"/>
      <c r="AT93" s="345"/>
      <c r="AU93" s="345"/>
      <c r="AV93" s="345"/>
      <c r="AW93" s="345"/>
      <c r="AX93" s="345"/>
      <c r="AY93" s="345"/>
    </row>
    <row r="94" spans="3:69" x14ac:dyDescent="0.35">
      <c r="AE94" s="345"/>
      <c r="AF94" s="345"/>
      <c r="AG94" s="345"/>
      <c r="AH94" s="345"/>
      <c r="AI94" s="345"/>
      <c r="AJ94" s="345"/>
      <c r="AK94" s="345"/>
      <c r="AL94" s="345"/>
      <c r="AM94" s="345"/>
      <c r="AN94" s="345"/>
      <c r="AO94" s="345"/>
      <c r="AP94" s="345"/>
      <c r="AQ94" s="345"/>
      <c r="AR94" s="345"/>
      <c r="AS94" s="345"/>
      <c r="AT94" s="345"/>
      <c r="AU94" s="345"/>
      <c r="AV94" s="345"/>
      <c r="AW94" s="345"/>
      <c r="AX94" s="345"/>
      <c r="AY94" s="345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5" t="s">
        <v>236</v>
      </c>
      <c r="D104" s="345"/>
      <c r="E104" s="345"/>
      <c r="F104" s="345"/>
      <c r="G104" s="345"/>
      <c r="H104" s="345"/>
      <c r="I104" s="345"/>
      <c r="J104" s="345"/>
      <c r="K104" s="345"/>
      <c r="L104" s="345"/>
      <c r="M104" s="345"/>
      <c r="N104" s="345"/>
      <c r="O104" s="345"/>
      <c r="P104" s="345"/>
      <c r="Q104" s="345"/>
      <c r="R104" s="345"/>
      <c r="S104" s="345"/>
      <c r="T104" s="345"/>
      <c r="U104" s="345"/>
      <c r="V104" s="345"/>
      <c r="W104" s="345"/>
    </row>
    <row r="105" spans="3:23" x14ac:dyDescent="0.35">
      <c r="C105" s="345"/>
      <c r="D105" s="345"/>
      <c r="E105" s="345"/>
      <c r="F105" s="345"/>
      <c r="G105" s="345"/>
      <c r="H105" s="345"/>
      <c r="I105" s="345"/>
      <c r="J105" s="345"/>
      <c r="K105" s="345"/>
      <c r="L105" s="345"/>
      <c r="M105" s="345"/>
      <c r="N105" s="345"/>
      <c r="O105" s="345"/>
      <c r="P105" s="345"/>
      <c r="Q105" s="345"/>
      <c r="R105" s="345"/>
      <c r="S105" s="345"/>
      <c r="T105" s="345"/>
      <c r="U105" s="345"/>
      <c r="V105" s="345"/>
      <c r="W105" s="345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5" t="s">
        <v>242</v>
      </c>
      <c r="AG114" s="345"/>
      <c r="AH114" s="345"/>
      <c r="AI114" s="345"/>
      <c r="AJ114" s="345"/>
      <c r="AK114" s="345"/>
      <c r="AL114" s="345"/>
      <c r="AM114" s="345"/>
      <c r="AN114" s="345"/>
      <c r="AO114" s="345"/>
      <c r="AP114" s="345"/>
      <c r="AQ114" s="345"/>
      <c r="AR114" s="345"/>
      <c r="AS114" s="345"/>
      <c r="AT114" s="345"/>
      <c r="AU114" s="345"/>
      <c r="AV114" s="345"/>
      <c r="AW114" s="345"/>
      <c r="AX114" s="345"/>
      <c r="AY114" s="345"/>
      <c r="AZ114" s="345"/>
    </row>
    <row r="115" spans="3:52" x14ac:dyDescent="0.35">
      <c r="C115" s="160" t="s">
        <v>240</v>
      </c>
      <c r="AF115" s="345"/>
      <c r="AG115" s="345"/>
      <c r="AH115" s="345"/>
      <c r="AI115" s="345"/>
      <c r="AJ115" s="345"/>
      <c r="AK115" s="345"/>
      <c r="AL115" s="345"/>
      <c r="AM115" s="345"/>
      <c r="AN115" s="345"/>
      <c r="AO115" s="345"/>
      <c r="AP115" s="345"/>
      <c r="AQ115" s="345"/>
      <c r="AR115" s="345"/>
      <c r="AS115" s="345"/>
      <c r="AT115" s="345"/>
      <c r="AU115" s="345"/>
      <c r="AV115" s="345"/>
      <c r="AW115" s="345"/>
      <c r="AX115" s="345"/>
      <c r="AY115" s="345"/>
      <c r="AZ115" s="345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5" t="s">
        <v>243</v>
      </c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345"/>
      <c r="AG121" s="345"/>
      <c r="AH121" s="345"/>
      <c r="AI121" s="345"/>
      <c r="AJ121" s="345"/>
      <c r="AK121" s="345"/>
      <c r="AL121" s="345"/>
      <c r="AM121" s="345"/>
      <c r="AN121" s="345"/>
      <c r="AO121" s="345"/>
      <c r="AP121" s="345"/>
    </row>
    <row r="122" spans="3:52" x14ac:dyDescent="0.35">
      <c r="V122" s="345"/>
      <c r="W122" s="345"/>
      <c r="X122" s="345"/>
      <c r="Y122" s="345"/>
      <c r="Z122" s="345"/>
      <c r="AA122" s="345"/>
      <c r="AB122" s="345"/>
      <c r="AC122" s="345"/>
      <c r="AD122" s="345"/>
      <c r="AE122" s="345"/>
      <c r="AF122" s="345"/>
      <c r="AG122" s="345"/>
      <c r="AH122" s="345"/>
      <c r="AI122" s="345"/>
      <c r="AJ122" s="345"/>
      <c r="AK122" s="345"/>
      <c r="AL122" s="345"/>
      <c r="AM122" s="345"/>
      <c r="AN122" s="345"/>
      <c r="AO122" s="345"/>
      <c r="AP122" s="345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5" t="s">
        <v>249</v>
      </c>
      <c r="G130" s="345"/>
      <c r="H130" s="345"/>
      <c r="I130" s="345"/>
      <c r="J130" s="345"/>
      <c r="K130" s="345"/>
      <c r="L130" s="345"/>
      <c r="M130" s="345"/>
      <c r="N130" s="345"/>
      <c r="O130" s="345"/>
      <c r="P130" s="345"/>
      <c r="Q130" s="345"/>
      <c r="R130" s="345"/>
      <c r="S130" s="345"/>
      <c r="T130" s="345"/>
      <c r="U130" s="345"/>
      <c r="V130" s="345"/>
      <c r="W130" s="345"/>
      <c r="X130" s="345"/>
      <c r="Y130" s="345"/>
      <c r="Z130" s="345"/>
    </row>
    <row r="131" spans="4:26" x14ac:dyDescent="0.35">
      <c r="F131" s="345"/>
      <c r="G131" s="345"/>
      <c r="H131" s="345"/>
      <c r="I131" s="345"/>
      <c r="J131" s="345"/>
      <c r="K131" s="345"/>
      <c r="L131" s="345"/>
      <c r="M131" s="345"/>
      <c r="N131" s="345"/>
      <c r="O131" s="345"/>
      <c r="P131" s="345"/>
      <c r="Q131" s="345"/>
      <c r="R131" s="345"/>
      <c r="S131" s="345"/>
      <c r="T131" s="345"/>
      <c r="U131" s="345"/>
      <c r="V131" s="345"/>
      <c r="W131" s="345"/>
      <c r="X131" s="345"/>
      <c r="Y131" s="345"/>
      <c r="Z131" s="345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5" t="s">
        <v>252</v>
      </c>
      <c r="E143" s="345"/>
      <c r="F143" s="345"/>
      <c r="G143" s="345"/>
      <c r="H143" s="345"/>
      <c r="I143" s="345"/>
      <c r="J143" s="345"/>
      <c r="K143" s="345"/>
      <c r="L143" s="345"/>
      <c r="M143" s="345"/>
      <c r="N143" s="345"/>
      <c r="O143" s="345"/>
      <c r="P143" s="345"/>
      <c r="Q143" s="345"/>
      <c r="R143" s="345"/>
      <c r="S143" s="345"/>
      <c r="T143" s="345"/>
      <c r="U143" s="345"/>
      <c r="V143" s="345"/>
      <c r="W143" s="345"/>
      <c r="X143" s="345"/>
    </row>
    <row r="144" spans="4:26" x14ac:dyDescent="0.35">
      <c r="D144" s="345"/>
      <c r="E144" s="345"/>
      <c r="F144" s="345"/>
      <c r="G144" s="345"/>
      <c r="H144" s="345"/>
      <c r="I144" s="345"/>
      <c r="J144" s="345"/>
      <c r="K144" s="345"/>
      <c r="L144" s="345"/>
      <c r="M144" s="345"/>
      <c r="N144" s="345"/>
      <c r="O144" s="345"/>
      <c r="P144" s="345"/>
      <c r="Q144" s="345"/>
      <c r="R144" s="345"/>
      <c r="S144" s="345"/>
      <c r="T144" s="345"/>
      <c r="U144" s="345"/>
      <c r="V144" s="345"/>
      <c r="W144" s="345"/>
      <c r="X144" s="345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5" t="s">
        <v>257</v>
      </c>
      <c r="E152" s="345"/>
      <c r="F152" s="345"/>
      <c r="G152" s="345"/>
      <c r="H152" s="345"/>
      <c r="I152" s="345"/>
      <c r="J152" s="345"/>
      <c r="K152" s="345"/>
      <c r="L152" s="345"/>
      <c r="M152" s="345"/>
      <c r="N152" s="345"/>
      <c r="O152" s="345"/>
      <c r="P152" s="345"/>
      <c r="Q152" s="345"/>
      <c r="R152" s="345"/>
      <c r="S152" s="345"/>
      <c r="T152" s="345"/>
      <c r="U152" s="345"/>
      <c r="V152" s="345"/>
      <c r="W152" s="345"/>
      <c r="X152" s="345"/>
    </row>
    <row r="153" spans="4:24" x14ac:dyDescent="0.35">
      <c r="D153" s="345"/>
      <c r="E153" s="345"/>
      <c r="F153" s="345"/>
      <c r="G153" s="345"/>
      <c r="H153" s="345"/>
      <c r="I153" s="345"/>
      <c r="J153" s="345"/>
      <c r="K153" s="345"/>
      <c r="L153" s="345"/>
      <c r="M153" s="345"/>
      <c r="N153" s="345"/>
      <c r="O153" s="345"/>
      <c r="P153" s="345"/>
      <c r="Q153" s="345"/>
      <c r="R153" s="345"/>
      <c r="S153" s="345"/>
      <c r="T153" s="345"/>
      <c r="U153" s="345"/>
      <c r="V153" s="345"/>
      <c r="W153" s="345"/>
      <c r="X153" s="345"/>
    </row>
    <row r="154" spans="4:24" x14ac:dyDescent="0.35">
      <c r="G154" s="160" t="s">
        <v>258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7" t="s">
        <v>441</v>
      </c>
      <c r="E50" s="347"/>
      <c r="F50" s="347"/>
      <c r="G50" s="347"/>
      <c r="H50" t="s">
        <v>442</v>
      </c>
    </row>
    <row r="51" spans="2:20" x14ac:dyDescent="0.35">
      <c r="D51" s="347"/>
      <c r="E51" s="347"/>
      <c r="F51" s="347"/>
      <c r="G51" s="347"/>
    </row>
    <row r="52" spans="2:20" x14ac:dyDescent="0.35">
      <c r="D52" s="347"/>
      <c r="E52" s="347"/>
      <c r="F52" s="347"/>
      <c r="G52" s="347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2026-10-30T09:56:52Z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