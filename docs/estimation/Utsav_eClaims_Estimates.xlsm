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45" documentId="13_ncr:1_{9C200901-B545-4AB7-8A31-1AFA4242EC78}" xr6:coauthVersionLast="47" xr6:coauthVersionMax="47" xr10:uidLastSave="{03311869-4CF1-4B24-ABCF-5CBC7D25AFDF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Estimation!$664:$664</definedName>
    <definedName name="AS_DEV_EFFORT">Estimation!$P$554</definedName>
    <definedName name="AS_DURATION_EFFORT">Estimation!$P$555</definedName>
    <definedName name="AS_MANUAL_DURATION_EFFORT">Estimation!$U$556</definedName>
    <definedName name="AUTOMATED_END_DATE">Estimation!$P$530</definedName>
    <definedName name="BUFFER_TYPES_LIST">Lists!$B$45:$B$48</definedName>
    <definedName name="BUFFERS_BY_TYPE">Estimation!$N$589:$O$591</definedName>
    <definedName name="CHOSEN_CURRENCY">Estimation!$O$548</definedName>
    <definedName name="CLIENT_NAME">Estimation!$O$541</definedName>
    <definedName name="COMPACT_WBS">Estimation!$L$10:$T$453</definedName>
    <definedName name="COPY_TYPE">Estimation!$R$9</definedName>
    <definedName name="CURRENCIES_LIST">Lists!$B$27:$B$29</definedName>
    <definedName name="CUSTOM_PERCENT">Estimation!$T$5</definedName>
    <definedName name="DESIGN_COST">Estimation!$W$516</definedName>
    <definedName name="DESIGN_EFFORT">Estimation!$O$516</definedName>
    <definedName name="DESIGN_RANGE">Estimation!$L$64:$AC$93</definedName>
    <definedName name="DESIGN_TA_COUNT">Estimation!$R$526</definedName>
    <definedName name="DESIGN_TA_PERCENT">Estimation!$R$516</definedName>
    <definedName name="DEV_COST">Estimation!$W$517</definedName>
    <definedName name="DEV_DEV_COUNT">Estimation!$T$527</definedName>
    <definedName name="DEV_DEV_PERCENT">Estimation!$T$517</definedName>
    <definedName name="DEV_EFFORT">Estimation!$O$517</definedName>
    <definedName name="DEV_RANGE">Estimation!$L$94:$AC$380</definedName>
    <definedName name="DURATION">Estimation!$P$531</definedName>
    <definedName name="EXTRA_FOR_H">Estimation!$O$576</definedName>
    <definedName name="EXTRAS_ARRAY">Estimation!$N$581:$O$586</definedName>
    <definedName name="EXTRAS_LIST">Estimation!$N$581:$N$586</definedName>
    <definedName name="FBS">Estimation!$L$455</definedName>
    <definedName name="FBS_FORMAT">Estimation!$S$460</definedName>
    <definedName name="FBS_INSERT_AT">Estimation!$M$504:$P$504</definedName>
    <definedName name="FBS_LINK">Estimation!$T$460</definedName>
    <definedName name="FBS_RANGE">Estimation!$M$461:$P$505</definedName>
    <definedName name="FULL_WBS">Estimation!$L$10:$AC$453</definedName>
    <definedName name="INCLUDE_OPTIONALS_LIST">Lists!$B$58:$B$59</definedName>
    <definedName name="IS_KEY_OPP">Estimation!$O$546</definedName>
    <definedName name="LESS_FOR_L">Estimation!$O$577</definedName>
    <definedName name="MANUAL_DURATION">Estimation!$P$532</definedName>
    <definedName name="MANUAL_END_DATE">Schedule!$L$1</definedName>
    <definedName name="MAX_EFFORT_PERCENT">Estimation!$P$551</definedName>
    <definedName name="MIN_EFFORT_PERCENT">Estimation!$O$551</definedName>
    <definedName name="MODULE_RANGE">Estimation!$668:$668</definedName>
    <definedName name="NOT_IN_COMPACT">Estimation!$O:$W</definedName>
    <definedName name="OTHER_COST">Estimation!$W$520</definedName>
    <definedName name="OTHER_EFFORT">Estimation!$O$520</definedName>
    <definedName name="OTHER_TL_COUNT">Estimation!$S$530</definedName>
    <definedName name="OTHER_TL_PERCENT">Estimation!$S$520</definedName>
    <definedName name="OTHERS_RANGE">Estimation!$L$446:$AC$452</definedName>
    <definedName name="PLATFORM">Estimation!$O$543</definedName>
    <definedName name="PLATFORMS_LIST">Lists!$B$38:$B$42</definedName>
    <definedName name="_xlnm.Print_Area" localSheetId="1">Estimation!$A$1:$AC$537</definedName>
    <definedName name="PROJECT_NAME">Estimation!$O$542</definedName>
    <definedName name="PROJECT_TYPE">Estimation!$O$544</definedName>
    <definedName name="PROJECT_TYPES_LIST">Lists!$B$32:$B$35</definedName>
    <definedName name="QA_COST">Estimation!$W$518</definedName>
    <definedName name="QA_EFFORT">Estimation!$O$518</definedName>
    <definedName name="QA_RANGE">Estimation!$L$381:$AC$417</definedName>
    <definedName name="REGIONS_LIST">Lists!$B$19:$B$24</definedName>
    <definedName name="REQ_BA_COUNT">Estimation!$Q$525</definedName>
    <definedName name="REQ_BA_PERCENT">Estimation!$Q$515</definedName>
    <definedName name="REQ_COST">Estimation!$W$515</definedName>
    <definedName name="REQ_EFFORT">Estimation!$O$515</definedName>
    <definedName name="REQ_RANGE">Estimation!$L$12:$AC$63</definedName>
    <definedName name="RFP_NAME">Estimation!$O$545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Estimation!$P$581:$P$582</definedName>
    <definedName name="SECTION_RANGE">Estimation!$660:$666</definedName>
    <definedName name="START_DATE">Estimation!$O$525</definedName>
    <definedName name="TASK_RANGE">Estimation!$662:$665</definedName>
    <definedName name="TEMPLATE_NAME">Estimation!$G$3</definedName>
    <definedName name="TEMPLATE_SECTION">Estimation!$659:$669</definedName>
    <definedName name="TEMPLATE_VER">Estimation!$K$3</definedName>
    <definedName name="TESTING_QA_COUNT">Estimation!$U$528</definedName>
    <definedName name="TESTING_QA_PERCENT">Estimation!$U$518</definedName>
    <definedName name="TOTAL_COST">Estimation!$W$521</definedName>
    <definedName name="TOTAL_EFFORT">Estimation!$O$521</definedName>
    <definedName name="Total_FRs">Estimation!$Q$23</definedName>
    <definedName name="Total_Screens">Estimation!$P$61</definedName>
    <definedName name="Total_Test_Cases">Estimation!$P$393</definedName>
    <definedName name="Total_Use_Cases">Estimation!$P$43</definedName>
    <definedName name="TOTAL_WEEKS">Estimation!$P$521</definedName>
    <definedName name="UAT_COST">Estimation!$W$519</definedName>
    <definedName name="UAT_DEV_COUNT">Estimation!$T$529</definedName>
    <definedName name="UAT_DEV_PERCENT">Estimation!$T$519</definedName>
    <definedName name="UAT_EFFORT">Estimation!$O$519</definedName>
    <definedName name="UAT_RANGE">Estimation!$L$418:$AC$445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50" i="2" l="1"/>
  <c r="AA150" i="2" s="1"/>
  <c r="S150" i="2" s="1"/>
  <c r="AD150" i="2" s="1"/>
  <c r="Y151" i="2"/>
  <c r="AA151" i="2" s="1"/>
  <c r="S151" i="2" s="1"/>
  <c r="AD151" i="2" s="1"/>
  <c r="Y152" i="2"/>
  <c r="AA152" i="2" s="1"/>
  <c r="S152" i="2" s="1"/>
  <c r="AD152" i="2" s="1"/>
  <c r="Y153" i="2"/>
  <c r="AA153" i="2" s="1"/>
  <c r="S153" i="2" s="1"/>
  <c r="AD153" i="2" s="1"/>
  <c r="Y154" i="2"/>
  <c r="AA154" i="2" s="1"/>
  <c r="S154" i="2" s="1"/>
  <c r="AD154" i="2" s="1"/>
  <c r="Y149" i="2"/>
  <c r="AA149" i="2" s="1"/>
  <c r="S149" i="2" s="1"/>
  <c r="AD147" i="2"/>
  <c r="Y415" i="2"/>
  <c r="AA415" i="2" s="1"/>
  <c r="S415" i="2" s="1"/>
  <c r="AD415" i="2" s="1"/>
  <c r="Y434" i="2"/>
  <c r="AA434" i="2" s="1"/>
  <c r="S434" i="2" s="1"/>
  <c r="AD434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668" i="2"/>
  <c r="Y664" i="2"/>
  <c r="AA664" i="2" s="1"/>
  <c r="S664" i="2" s="1"/>
  <c r="AD662" i="2"/>
  <c r="AD660" i="2"/>
  <c r="N591" i="2"/>
  <c r="N590" i="2"/>
  <c r="N589" i="2"/>
  <c r="AB538" i="2"/>
  <c r="N530" i="2"/>
  <c r="B11" i="5" s="1"/>
  <c r="M530" i="2"/>
  <c r="N529" i="2"/>
  <c r="B10" i="5" s="1"/>
  <c r="M529" i="2"/>
  <c r="N528" i="2"/>
  <c r="B9" i="5" s="1"/>
  <c r="M528" i="2"/>
  <c r="N527" i="2"/>
  <c r="B8" i="5" s="1"/>
  <c r="M527" i="2"/>
  <c r="N526" i="2"/>
  <c r="B7" i="5" s="1"/>
  <c r="M526" i="2"/>
  <c r="N525" i="2"/>
  <c r="B6" i="5" s="1"/>
  <c r="M525" i="2"/>
  <c r="N520" i="2"/>
  <c r="M520" i="2"/>
  <c r="B520" i="2"/>
  <c r="N519" i="2"/>
  <c r="M519" i="2"/>
  <c r="B519" i="2"/>
  <c r="N518" i="2"/>
  <c r="M518" i="2"/>
  <c r="B518" i="2"/>
  <c r="N517" i="2"/>
  <c r="M517" i="2"/>
  <c r="B517" i="2"/>
  <c r="N516" i="2"/>
  <c r="M516" i="2"/>
  <c r="B516" i="2"/>
  <c r="N515" i="2"/>
  <c r="M515" i="2"/>
  <c r="B515" i="2"/>
  <c r="W513" i="2"/>
  <c r="V513" i="2"/>
  <c r="U513" i="2"/>
  <c r="T513" i="2"/>
  <c r="S513" i="2"/>
  <c r="R513" i="2"/>
  <c r="Q513" i="2"/>
  <c r="P460" i="2"/>
  <c r="AD448" i="2"/>
  <c r="Y443" i="2"/>
  <c r="AA443" i="2" s="1"/>
  <c r="S443" i="2" s="1"/>
  <c r="AD443" i="2" s="1"/>
  <c r="Y442" i="2"/>
  <c r="AA442" i="2" s="1"/>
  <c r="S442" i="2" s="1"/>
  <c r="Y441" i="2"/>
  <c r="AA441" i="2" s="1"/>
  <c r="S441" i="2" s="1"/>
  <c r="AD441" i="2" s="1"/>
  <c r="Y440" i="2"/>
  <c r="AA440" i="2" s="1"/>
  <c r="S440" i="2" s="1"/>
  <c r="AD440" i="2" s="1"/>
  <c r="AD438" i="2"/>
  <c r="Y436" i="2"/>
  <c r="AA436" i="2" s="1"/>
  <c r="S436" i="2" s="1"/>
  <c r="AD436" i="2" s="1"/>
  <c r="Y435" i="2"/>
  <c r="AA435" i="2" s="1"/>
  <c r="S435" i="2" s="1"/>
  <c r="Y433" i="2"/>
  <c r="AA433" i="2" s="1"/>
  <c r="S433" i="2" s="1"/>
  <c r="AD433" i="2" s="1"/>
  <c r="AD431" i="2"/>
  <c r="Y429" i="2"/>
  <c r="AA429" i="2" s="1"/>
  <c r="S429" i="2" s="1"/>
  <c r="AD429" i="2" s="1"/>
  <c r="Y428" i="2"/>
  <c r="AA428" i="2" s="1"/>
  <c r="S428" i="2" s="1"/>
  <c r="AD428" i="2" s="1"/>
  <c r="Y427" i="2"/>
  <c r="AA427" i="2" s="1"/>
  <c r="S427" i="2" s="1"/>
  <c r="AD425" i="2"/>
  <c r="Y423" i="2"/>
  <c r="AA423" i="2" s="1"/>
  <c r="S423" i="2" s="1"/>
  <c r="AD423" i="2" s="1"/>
  <c r="Y422" i="2"/>
  <c r="AA422" i="2" s="1"/>
  <c r="S422" i="2" s="1"/>
  <c r="AD420" i="2"/>
  <c r="Y414" i="2"/>
  <c r="AA414" i="2" s="1"/>
  <c r="S414" i="2" s="1"/>
  <c r="AD414" i="2" s="1"/>
  <c r="Y413" i="2"/>
  <c r="AA413" i="2" s="1"/>
  <c r="S413" i="2" s="1"/>
  <c r="AD413" i="2" s="1"/>
  <c r="Q412" i="2"/>
  <c r="Y412" i="2" s="1"/>
  <c r="AA412" i="2" s="1"/>
  <c r="S412" i="2" s="1"/>
  <c r="AD412" i="2" s="1"/>
  <c r="Q411" i="2"/>
  <c r="Y411" i="2" s="1"/>
  <c r="AA411" i="2" s="1"/>
  <c r="S411" i="2" s="1"/>
  <c r="AD409" i="2"/>
  <c r="Y407" i="2"/>
  <c r="AA407" i="2" s="1"/>
  <c r="S407" i="2" s="1"/>
  <c r="AD407" i="2" s="1"/>
  <c r="Y404" i="2"/>
  <c r="AA404" i="2" s="1"/>
  <c r="S404" i="2" s="1"/>
  <c r="AD402" i="2"/>
  <c r="Y399" i="2"/>
  <c r="AA399" i="2" s="1"/>
  <c r="S399" i="2" s="1"/>
  <c r="AD397" i="2"/>
  <c r="Y395" i="2"/>
  <c r="AA395" i="2" s="1"/>
  <c r="S395" i="2" s="1"/>
  <c r="AD395" i="2" s="1"/>
  <c r="AD394" i="2"/>
  <c r="S394" i="2"/>
  <c r="Y392" i="2"/>
  <c r="AA392" i="2" s="1"/>
  <c r="S392" i="2" s="1"/>
  <c r="AD390" i="2"/>
  <c r="AD389" i="2"/>
  <c r="Y386" i="2"/>
  <c r="AA386" i="2" s="1"/>
  <c r="S386" i="2" s="1"/>
  <c r="AD384" i="2"/>
  <c r="AD383" i="2"/>
  <c r="Y378" i="2"/>
  <c r="AA378" i="2" s="1"/>
  <c r="S378" i="2" s="1"/>
  <c r="AD378" i="2" s="1"/>
  <c r="Y377" i="2"/>
  <c r="AA377" i="2" s="1"/>
  <c r="S377" i="2" s="1"/>
  <c r="Y376" i="2"/>
  <c r="AA376" i="2" s="1"/>
  <c r="S376" i="2" s="1"/>
  <c r="AD376" i="2" s="1"/>
  <c r="AD374" i="2"/>
  <c r="AD373" i="2"/>
  <c r="Y371" i="2"/>
  <c r="AA371" i="2" s="1"/>
  <c r="S371" i="2" s="1"/>
  <c r="AD371" i="2" s="1"/>
  <c r="Y370" i="2"/>
  <c r="AA370" i="2" s="1"/>
  <c r="S370" i="2" s="1"/>
  <c r="AD370" i="2" s="1"/>
  <c r="Y369" i="2"/>
  <c r="AA369" i="2" s="1"/>
  <c r="S369" i="2" s="1"/>
  <c r="AD369" i="2" s="1"/>
  <c r="Y368" i="2"/>
  <c r="AA368" i="2" s="1"/>
  <c r="S368" i="2" s="1"/>
  <c r="AD368" i="2" s="1"/>
  <c r="Y367" i="2"/>
  <c r="AA367" i="2" s="1"/>
  <c r="S367" i="2" s="1"/>
  <c r="AD367" i="2" s="1"/>
  <c r="Y366" i="2"/>
  <c r="AA366" i="2" s="1"/>
  <c r="S366" i="2" s="1"/>
  <c r="AD366" i="2" s="1"/>
  <c r="Y365" i="2"/>
  <c r="AA365" i="2" s="1"/>
  <c r="S365" i="2" s="1"/>
  <c r="AD363" i="2"/>
  <c r="Y361" i="2"/>
  <c r="AA361" i="2" s="1"/>
  <c r="S361" i="2" s="1"/>
  <c r="AD361" i="2" s="1"/>
  <c r="Y360" i="2"/>
  <c r="AA360" i="2" s="1"/>
  <c r="S360" i="2" s="1"/>
  <c r="AD360" i="2" s="1"/>
  <c r="Y359" i="2"/>
  <c r="AA359" i="2" s="1"/>
  <c r="S359" i="2" s="1"/>
  <c r="AD359" i="2" s="1"/>
  <c r="Y358" i="2"/>
  <c r="AA358" i="2" s="1"/>
  <c r="S358" i="2" s="1"/>
  <c r="AD358" i="2" s="1"/>
  <c r="Y357" i="2"/>
  <c r="AA357" i="2" s="1"/>
  <c r="S357" i="2" s="1"/>
  <c r="AD355" i="2"/>
  <c r="Y353" i="2"/>
  <c r="AA353" i="2" s="1"/>
  <c r="S353" i="2" s="1"/>
  <c r="AD353" i="2" s="1"/>
  <c r="Y352" i="2"/>
  <c r="AA352" i="2" s="1"/>
  <c r="S352" i="2" s="1"/>
  <c r="AD352" i="2" s="1"/>
  <c r="Y351" i="2"/>
  <c r="AA351" i="2" s="1"/>
  <c r="S351" i="2" s="1"/>
  <c r="AD351" i="2" s="1"/>
  <c r="Y350" i="2"/>
  <c r="AA350" i="2" s="1"/>
  <c r="S350" i="2" s="1"/>
  <c r="AD350" i="2" s="1"/>
  <c r="Y349" i="2"/>
  <c r="AA349" i="2" s="1"/>
  <c r="S349" i="2" s="1"/>
  <c r="AD349" i="2" s="1"/>
  <c r="Y348" i="2"/>
  <c r="AA348" i="2" s="1"/>
  <c r="S348" i="2" s="1"/>
  <c r="AD346" i="2"/>
  <c r="Y344" i="2"/>
  <c r="AA344" i="2" s="1"/>
  <c r="S344" i="2" s="1"/>
  <c r="AD344" i="2" s="1"/>
  <c r="Y343" i="2"/>
  <c r="AA343" i="2" s="1"/>
  <c r="S343" i="2" s="1"/>
  <c r="AD343" i="2" s="1"/>
  <c r="Y342" i="2"/>
  <c r="AA342" i="2" s="1"/>
  <c r="S342" i="2" s="1"/>
  <c r="AD342" i="2" s="1"/>
  <c r="Y341" i="2"/>
  <c r="AA341" i="2" s="1"/>
  <c r="S341" i="2" s="1"/>
  <c r="AD341" i="2" s="1"/>
  <c r="Y340" i="2"/>
  <c r="AA340" i="2" s="1"/>
  <c r="S340" i="2" s="1"/>
  <c r="AD340" i="2" s="1"/>
  <c r="Y339" i="2"/>
  <c r="AA339" i="2" s="1"/>
  <c r="S339" i="2" s="1"/>
  <c r="AD339" i="2" s="1"/>
  <c r="Y338" i="2"/>
  <c r="AA338" i="2" s="1"/>
  <c r="S338" i="2" s="1"/>
  <c r="AD338" i="2" s="1"/>
  <c r="Y337" i="2"/>
  <c r="AA337" i="2" s="1"/>
  <c r="S337" i="2" s="1"/>
  <c r="AD335" i="2"/>
  <c r="Y333" i="2"/>
  <c r="AA333" i="2" s="1"/>
  <c r="S333" i="2" s="1"/>
  <c r="AD333" i="2" s="1"/>
  <c r="Y332" i="2"/>
  <c r="AA332" i="2" s="1"/>
  <c r="S332" i="2" s="1"/>
  <c r="AD332" i="2" s="1"/>
  <c r="Y331" i="2"/>
  <c r="AA331" i="2" s="1"/>
  <c r="S331" i="2" s="1"/>
  <c r="AD331" i="2" s="1"/>
  <c r="Y330" i="2"/>
  <c r="AA330" i="2" s="1"/>
  <c r="S330" i="2" s="1"/>
  <c r="AD330" i="2" s="1"/>
  <c r="Y329" i="2"/>
  <c r="AA329" i="2" s="1"/>
  <c r="S329" i="2" s="1"/>
  <c r="AD329" i="2" s="1"/>
  <c r="Y328" i="2"/>
  <c r="AA328" i="2" s="1"/>
  <c r="S328" i="2" s="1"/>
  <c r="AD328" i="2" s="1"/>
  <c r="Y327" i="2"/>
  <c r="AA327" i="2" s="1"/>
  <c r="S327" i="2" s="1"/>
  <c r="AD327" i="2" s="1"/>
  <c r="Y326" i="2"/>
  <c r="AA326" i="2" s="1"/>
  <c r="S326" i="2" s="1"/>
  <c r="AD326" i="2" s="1"/>
  <c r="Y325" i="2"/>
  <c r="AA325" i="2" s="1"/>
  <c r="S325" i="2" s="1"/>
  <c r="AD325" i="2" s="1"/>
  <c r="Y324" i="2"/>
  <c r="AA324" i="2" s="1"/>
  <c r="S324" i="2" s="1"/>
  <c r="AD322" i="2"/>
  <c r="Y320" i="2"/>
  <c r="AA320" i="2" s="1"/>
  <c r="S320" i="2" s="1"/>
  <c r="AD320" i="2" s="1"/>
  <c r="Y319" i="2"/>
  <c r="AA319" i="2" s="1"/>
  <c r="S319" i="2" s="1"/>
  <c r="AD319" i="2" s="1"/>
  <c r="Y318" i="2"/>
  <c r="AA318" i="2" s="1"/>
  <c r="S318" i="2" s="1"/>
  <c r="AD318" i="2" s="1"/>
  <c r="Y317" i="2"/>
  <c r="AA317" i="2" s="1"/>
  <c r="S317" i="2" s="1"/>
  <c r="AD317" i="2" s="1"/>
  <c r="Y316" i="2"/>
  <c r="AA316" i="2" s="1"/>
  <c r="S316" i="2" s="1"/>
  <c r="AD316" i="2" s="1"/>
  <c r="Y315" i="2"/>
  <c r="AA315" i="2" s="1"/>
  <c r="S315" i="2" s="1"/>
  <c r="AD315" i="2" s="1"/>
  <c r="Y314" i="2"/>
  <c r="AA314" i="2" s="1"/>
  <c r="S314" i="2"/>
  <c r="AD312" i="2"/>
  <c r="Y310" i="2"/>
  <c r="AA310" i="2" s="1"/>
  <c r="S310" i="2" s="1"/>
  <c r="AD310" i="2" s="1"/>
  <c r="Y309" i="2"/>
  <c r="AA309" i="2" s="1"/>
  <c r="S309" i="2" s="1"/>
  <c r="AD309" i="2" s="1"/>
  <c r="Y308" i="2"/>
  <c r="AA308" i="2" s="1"/>
  <c r="S308" i="2" s="1"/>
  <c r="AD308" i="2" s="1"/>
  <c r="Y307" i="2"/>
  <c r="AA307" i="2" s="1"/>
  <c r="S307" i="2" s="1"/>
  <c r="AD307" i="2" s="1"/>
  <c r="Y306" i="2"/>
  <c r="AA306" i="2" s="1"/>
  <c r="S306" i="2" s="1"/>
  <c r="AD306" i="2" s="1"/>
  <c r="Y305" i="2"/>
  <c r="AA305" i="2" s="1"/>
  <c r="S305" i="2" s="1"/>
  <c r="AD305" i="2" s="1"/>
  <c r="Y304" i="2"/>
  <c r="AA304" i="2" s="1"/>
  <c r="S304" i="2" s="1"/>
  <c r="AD302" i="2"/>
  <c r="AD301" i="2"/>
  <c r="Y299" i="2"/>
  <c r="AA299" i="2" s="1"/>
  <c r="S299" i="2" s="1"/>
  <c r="AD299" i="2" s="1"/>
  <c r="Y298" i="2"/>
  <c r="AA298" i="2" s="1"/>
  <c r="S298" i="2" s="1"/>
  <c r="AD296" i="2"/>
  <c r="Y294" i="2"/>
  <c r="AA294" i="2" s="1"/>
  <c r="S294" i="2" s="1"/>
  <c r="AD294" i="2" s="1"/>
  <c r="Y293" i="2"/>
  <c r="AA293" i="2" s="1"/>
  <c r="S293" i="2" s="1"/>
  <c r="AD293" i="2" s="1"/>
  <c r="AD291" i="2"/>
  <c r="Y289" i="2"/>
  <c r="AA289" i="2" s="1"/>
  <c r="S289" i="2" s="1"/>
  <c r="AD289" i="2" s="1"/>
  <c r="Y288" i="2"/>
  <c r="AA288" i="2" s="1"/>
  <c r="S288" i="2" s="1"/>
  <c r="T286" i="2" s="1"/>
  <c r="AD286" i="2"/>
  <c r="Y284" i="2"/>
  <c r="AA284" i="2" s="1"/>
  <c r="S284" i="2"/>
  <c r="AD284" i="2" s="1"/>
  <c r="Y283" i="2"/>
  <c r="AA283" i="2" s="1"/>
  <c r="S283" i="2" s="1"/>
  <c r="AD283" i="2" s="1"/>
  <c r="Y282" i="2"/>
  <c r="AA282" i="2" s="1"/>
  <c r="S282" i="2" s="1"/>
  <c r="AD282" i="2" s="1"/>
  <c r="AD280" i="2"/>
  <c r="Y278" i="2"/>
  <c r="AA278" i="2" s="1"/>
  <c r="S278" i="2" s="1"/>
  <c r="AD278" i="2" s="1"/>
  <c r="Y277" i="2"/>
  <c r="AA277" i="2" s="1"/>
  <c r="S277" i="2" s="1"/>
  <c r="AD277" i="2" s="1"/>
  <c r="Y276" i="2"/>
  <c r="AA276" i="2" s="1"/>
  <c r="S276" i="2"/>
  <c r="AD276" i="2" s="1"/>
  <c r="Y275" i="2"/>
  <c r="AA275" i="2" s="1"/>
  <c r="S275" i="2" s="1"/>
  <c r="Y274" i="2"/>
  <c r="AA274" i="2" s="1"/>
  <c r="S274" i="2" s="1"/>
  <c r="AD274" i="2" s="1"/>
  <c r="AD272" i="2"/>
  <c r="AD271" i="2"/>
  <c r="Y269" i="2"/>
  <c r="AA269" i="2" s="1"/>
  <c r="S269" i="2" s="1"/>
  <c r="AD269" i="2" s="1"/>
  <c r="Y268" i="2"/>
  <c r="AA268" i="2" s="1"/>
  <c r="S268" i="2" s="1"/>
  <c r="Y267" i="2"/>
  <c r="AA267" i="2" s="1"/>
  <c r="S267" i="2" s="1"/>
  <c r="AD267" i="2" s="1"/>
  <c r="AD265" i="2"/>
  <c r="Y263" i="2"/>
  <c r="AA263" i="2" s="1"/>
  <c r="S263" i="2" s="1"/>
  <c r="AD263" i="2" s="1"/>
  <c r="Y262" i="2"/>
  <c r="AA262" i="2" s="1"/>
  <c r="S262" i="2" s="1"/>
  <c r="AD262" i="2" s="1"/>
  <c r="Y261" i="2"/>
  <c r="AA261" i="2" s="1"/>
  <c r="S261" i="2" s="1"/>
  <c r="AD261" i="2" s="1"/>
  <c r="Y260" i="2"/>
  <c r="AA260" i="2" s="1"/>
  <c r="S260" i="2" s="1"/>
  <c r="AD260" i="2" s="1"/>
  <c r="Y259" i="2"/>
  <c r="AA259" i="2" s="1"/>
  <c r="S259" i="2" s="1"/>
  <c r="AD257" i="2"/>
  <c r="AD256" i="2"/>
  <c r="Y254" i="2"/>
  <c r="AA254" i="2" s="1"/>
  <c r="S254" i="2" s="1"/>
  <c r="AD254" i="2" s="1"/>
  <c r="Y253" i="2"/>
  <c r="AA253" i="2" s="1"/>
  <c r="S253" i="2" s="1"/>
  <c r="AD253" i="2" s="1"/>
  <c r="Y252" i="2"/>
  <c r="AA252" i="2" s="1"/>
  <c r="S252" i="2" s="1"/>
  <c r="AD252" i="2" s="1"/>
  <c r="Y251" i="2"/>
  <c r="AA251" i="2" s="1"/>
  <c r="S251" i="2" s="1"/>
  <c r="AD251" i="2" s="1"/>
  <c r="Y250" i="2"/>
  <c r="AA250" i="2" s="1"/>
  <c r="S250" i="2" s="1"/>
  <c r="AD248" i="2"/>
  <c r="Y246" i="2"/>
  <c r="AA246" i="2" s="1"/>
  <c r="S246" i="2" s="1"/>
  <c r="AD246" i="2" s="1"/>
  <c r="Y245" i="2"/>
  <c r="AA245" i="2" s="1"/>
  <c r="S245" i="2" s="1"/>
  <c r="AD245" i="2" s="1"/>
  <c r="Y244" i="2"/>
  <c r="AA244" i="2" s="1"/>
  <c r="S244" i="2" s="1"/>
  <c r="AD244" i="2" s="1"/>
  <c r="Y243" i="2"/>
  <c r="AA243" i="2" s="1"/>
  <c r="S243" i="2" s="1"/>
  <c r="AD243" i="2" s="1"/>
  <c r="Y242" i="2"/>
  <c r="AA242" i="2" s="1"/>
  <c r="S242" i="2" s="1"/>
  <c r="AD240" i="2"/>
  <c r="Y238" i="2"/>
  <c r="AA238" i="2" s="1"/>
  <c r="S238" i="2" s="1"/>
  <c r="AD238" i="2" s="1"/>
  <c r="Y237" i="2"/>
  <c r="AA237" i="2" s="1"/>
  <c r="S237" i="2" s="1"/>
  <c r="AD237" i="2" s="1"/>
  <c r="Y236" i="2"/>
  <c r="AA236" i="2" s="1"/>
  <c r="S236" i="2" s="1"/>
  <c r="AD236" i="2" s="1"/>
  <c r="Y235" i="2"/>
  <c r="AA235" i="2" s="1"/>
  <c r="S235" i="2" s="1"/>
  <c r="AD235" i="2" s="1"/>
  <c r="Y234" i="2"/>
  <c r="AA234" i="2" s="1"/>
  <c r="S234" i="2" s="1"/>
  <c r="AD234" i="2" s="1"/>
  <c r="AD232" i="2"/>
  <c r="Y230" i="2"/>
  <c r="AA230" i="2" s="1"/>
  <c r="S230" i="2" s="1"/>
  <c r="AD230" i="2" s="1"/>
  <c r="Y229" i="2"/>
  <c r="AA229" i="2" s="1"/>
  <c r="S229" i="2"/>
  <c r="AD229" i="2" s="1"/>
  <c r="Y228" i="2"/>
  <c r="AA228" i="2" s="1"/>
  <c r="S228" i="2" s="1"/>
  <c r="AD228" i="2" s="1"/>
  <c r="Y227" i="2"/>
  <c r="AA227" i="2" s="1"/>
  <c r="S227" i="2" s="1"/>
  <c r="AD227" i="2" s="1"/>
  <c r="Y226" i="2"/>
  <c r="AA226" i="2" s="1"/>
  <c r="S226" i="2" s="1"/>
  <c r="T224" i="2" s="1"/>
  <c r="AD224" i="2"/>
  <c r="AD223" i="2"/>
  <c r="Y221" i="2"/>
  <c r="AA221" i="2" s="1"/>
  <c r="S221" i="2" s="1"/>
  <c r="Y220" i="2"/>
  <c r="AA220" i="2" s="1"/>
  <c r="S220" i="2" s="1"/>
  <c r="AD220" i="2" s="1"/>
  <c r="Y219" i="2"/>
  <c r="AA219" i="2" s="1"/>
  <c r="S219" i="2" s="1"/>
  <c r="AD219" i="2" s="1"/>
  <c r="Y218" i="2"/>
  <c r="AA218" i="2" s="1"/>
  <c r="S218" i="2" s="1"/>
  <c r="AD218" i="2" s="1"/>
  <c r="Y217" i="2"/>
  <c r="AA217" i="2" s="1"/>
  <c r="S217" i="2" s="1"/>
  <c r="AD217" i="2" s="1"/>
  <c r="AD215" i="2"/>
  <c r="Y213" i="2"/>
  <c r="AA213" i="2" s="1"/>
  <c r="S213" i="2" s="1"/>
  <c r="AD213" i="2" s="1"/>
  <c r="Y212" i="2"/>
  <c r="AA212" i="2" s="1"/>
  <c r="S212" i="2" s="1"/>
  <c r="AD212" i="2" s="1"/>
  <c r="Y211" i="2"/>
  <c r="AA211" i="2" s="1"/>
  <c r="S211" i="2" s="1"/>
  <c r="AD211" i="2" s="1"/>
  <c r="Y210" i="2"/>
  <c r="AA210" i="2" s="1"/>
  <c r="S210" i="2" s="1"/>
  <c r="AD210" i="2" s="1"/>
  <c r="Y209" i="2"/>
  <c r="AA209" i="2" s="1"/>
  <c r="S209" i="2" s="1"/>
  <c r="Y208" i="2"/>
  <c r="AA208" i="2" s="1"/>
  <c r="S208" i="2" s="1"/>
  <c r="AD208" i="2" s="1"/>
  <c r="AD206" i="2"/>
  <c r="Y204" i="2"/>
  <c r="AA204" i="2" s="1"/>
  <c r="S204" i="2" s="1"/>
  <c r="AD204" i="2" s="1"/>
  <c r="Y203" i="2"/>
  <c r="AA203" i="2" s="1"/>
  <c r="S203" i="2" s="1"/>
  <c r="AD203" i="2" s="1"/>
  <c r="Y202" i="2"/>
  <c r="AA202" i="2" s="1"/>
  <c r="S202" i="2" s="1"/>
  <c r="AD202" i="2" s="1"/>
  <c r="Y201" i="2"/>
  <c r="AA201" i="2" s="1"/>
  <c r="S201" i="2" s="1"/>
  <c r="AD201" i="2" s="1"/>
  <c r="Y200" i="2"/>
  <c r="AA200" i="2" s="1"/>
  <c r="S200" i="2" s="1"/>
  <c r="AD200" i="2" s="1"/>
  <c r="Y199" i="2"/>
  <c r="AA199" i="2" s="1"/>
  <c r="S199" i="2" s="1"/>
  <c r="AD197" i="2"/>
  <c r="AD196" i="2"/>
  <c r="Y194" i="2"/>
  <c r="AA194" i="2" s="1"/>
  <c r="S194" i="2" s="1"/>
  <c r="AD194" i="2" s="1"/>
  <c r="Y193" i="2"/>
  <c r="AA193" i="2" s="1"/>
  <c r="S193" i="2" s="1"/>
  <c r="AD193" i="2" s="1"/>
  <c r="Y192" i="2"/>
  <c r="AA192" i="2" s="1"/>
  <c r="S192" i="2" s="1"/>
  <c r="AD192" i="2" s="1"/>
  <c r="Y191" i="2"/>
  <c r="AA191" i="2" s="1"/>
  <c r="S191" i="2" s="1"/>
  <c r="AD191" i="2" s="1"/>
  <c r="Y190" i="2"/>
  <c r="AA190" i="2" s="1"/>
  <c r="S190" i="2" s="1"/>
  <c r="AD188" i="2"/>
  <c r="Y186" i="2"/>
  <c r="AA186" i="2" s="1"/>
  <c r="S186" i="2" s="1"/>
  <c r="AD186" i="2" s="1"/>
  <c r="Y185" i="2"/>
  <c r="AA185" i="2" s="1"/>
  <c r="S185" i="2" s="1"/>
  <c r="AD185" i="2" s="1"/>
  <c r="Y184" i="2"/>
  <c r="AA184" i="2" s="1"/>
  <c r="S184" i="2" s="1"/>
  <c r="AD184" i="2" s="1"/>
  <c r="Y183" i="2"/>
  <c r="AA183" i="2" s="1"/>
  <c r="S183" i="2" s="1"/>
  <c r="AD181" i="2"/>
  <c r="Y179" i="2"/>
  <c r="AA179" i="2" s="1"/>
  <c r="S179" i="2" s="1"/>
  <c r="AD179" i="2" s="1"/>
  <c r="Y178" i="2"/>
  <c r="AA178" i="2" s="1"/>
  <c r="S178" i="2" s="1"/>
  <c r="AD178" i="2" s="1"/>
  <c r="Y177" i="2"/>
  <c r="AA177" i="2" s="1"/>
  <c r="S177" i="2" s="1"/>
  <c r="AD177" i="2" s="1"/>
  <c r="Y176" i="2"/>
  <c r="AA176" i="2" s="1"/>
  <c r="S176" i="2" s="1"/>
  <c r="AD176" i="2" s="1"/>
  <c r="Y175" i="2"/>
  <c r="AA175" i="2" s="1"/>
  <c r="S175" i="2" s="1"/>
  <c r="AD173" i="2"/>
  <c r="Y171" i="2"/>
  <c r="AA171" i="2" s="1"/>
  <c r="S171" i="2" s="1"/>
  <c r="AD171" i="2" s="1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Y167" i="2"/>
  <c r="AA167" i="2" s="1"/>
  <c r="S167" i="2" s="1"/>
  <c r="AD167" i="2" s="1"/>
  <c r="AD165" i="2"/>
  <c r="Y163" i="2"/>
  <c r="AA163" i="2" s="1"/>
  <c r="S163" i="2" s="1"/>
  <c r="AD163" i="2" s="1"/>
  <c r="Y162" i="2"/>
  <c r="AA162" i="2" s="1"/>
  <c r="S162" i="2" s="1"/>
  <c r="AD162" i="2" s="1"/>
  <c r="Y161" i="2"/>
  <c r="AA161" i="2" s="1"/>
  <c r="S161" i="2" s="1"/>
  <c r="AD161" i="2" s="1"/>
  <c r="Y160" i="2"/>
  <c r="AA160" i="2" s="1"/>
  <c r="S160" i="2" s="1"/>
  <c r="AD160" i="2" s="1"/>
  <c r="Y159" i="2"/>
  <c r="AA159" i="2" s="1"/>
  <c r="S159" i="2" s="1"/>
  <c r="AD157" i="2"/>
  <c r="AD156" i="2"/>
  <c r="Y145" i="2"/>
  <c r="AA145" i="2" s="1"/>
  <c r="S145" i="2" s="1"/>
  <c r="AD145" i="2" s="1"/>
  <c r="Y144" i="2"/>
  <c r="AA144" i="2" s="1"/>
  <c r="S144" i="2" s="1"/>
  <c r="AD144" i="2" s="1"/>
  <c r="Y143" i="2"/>
  <c r="AA143" i="2" s="1"/>
  <c r="S143" i="2" s="1"/>
  <c r="AD143" i="2" s="1"/>
  <c r="Y142" i="2"/>
  <c r="AA142" i="2" s="1"/>
  <c r="S142" i="2" s="1"/>
  <c r="AD142" i="2" s="1"/>
  <c r="Y141" i="2"/>
  <c r="AA141" i="2" s="1"/>
  <c r="S141" i="2" s="1"/>
  <c r="AD141" i="2" s="1"/>
  <c r="AD139" i="2"/>
  <c r="Y137" i="2"/>
  <c r="AA137" i="2" s="1"/>
  <c r="S137" i="2" s="1"/>
  <c r="AD137" i="2" s="1"/>
  <c r="Y136" i="2"/>
  <c r="AA136" i="2" s="1"/>
  <c r="S136" i="2" s="1"/>
  <c r="AD136" i="2" s="1"/>
  <c r="Y135" i="2"/>
  <c r="AA135" i="2" s="1"/>
  <c r="S135" i="2" s="1"/>
  <c r="AD135" i="2" s="1"/>
  <c r="Y134" i="2"/>
  <c r="AA134" i="2" s="1"/>
  <c r="S134" i="2" s="1"/>
  <c r="AD134" i="2" s="1"/>
  <c r="Y133" i="2"/>
  <c r="AA133" i="2" s="1"/>
  <c r="S133" i="2" s="1"/>
  <c r="AD131" i="2"/>
  <c r="Y129" i="2"/>
  <c r="AA129" i="2" s="1"/>
  <c r="S129" i="2" s="1"/>
  <c r="AD129" i="2" s="1"/>
  <c r="Y128" i="2"/>
  <c r="AA128" i="2" s="1"/>
  <c r="S128" i="2" s="1"/>
  <c r="AD128" i="2" s="1"/>
  <c r="Y127" i="2"/>
  <c r="AA127" i="2" s="1"/>
  <c r="S127" i="2" s="1"/>
  <c r="AD127" i="2" s="1"/>
  <c r="Y126" i="2"/>
  <c r="AA126" i="2" s="1"/>
  <c r="S126" i="2" s="1"/>
  <c r="AD126" i="2" s="1"/>
  <c r="Y125" i="2"/>
  <c r="AA125" i="2" s="1"/>
  <c r="S125" i="2" s="1"/>
  <c r="AD125" i="2" s="1"/>
  <c r="AD123" i="2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6" i="2" s="1"/>
  <c r="Y115" i="2"/>
  <c r="AA115" i="2" s="1"/>
  <c r="S115" i="2" s="1"/>
  <c r="AD113" i="2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Y105" i="2"/>
  <c r="AA105" i="2" s="1"/>
  <c r="S105" i="2" s="1"/>
  <c r="AD103" i="2"/>
  <c r="AD102" i="2"/>
  <c r="Y100" i="2"/>
  <c r="AA100" i="2" s="1"/>
  <c r="S100" i="2" s="1"/>
  <c r="AD100" i="2" s="1"/>
  <c r="Y99" i="2"/>
  <c r="AA99" i="2" s="1"/>
  <c r="S99" i="2" s="1"/>
  <c r="AD99" i="2" s="1"/>
  <c r="Y98" i="2"/>
  <c r="AA98" i="2" s="1"/>
  <c r="S98" i="2" s="1"/>
  <c r="AD96" i="2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AD87" i="2"/>
  <c r="Y87" i="2"/>
  <c r="AA87" i="2" s="1"/>
  <c r="S87" i="2"/>
  <c r="Y86" i="2"/>
  <c r="AA86" i="2" s="1"/>
  <c r="S86" i="2" s="1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T33" i="2" s="1"/>
  <c r="AD33" i="2"/>
  <c r="Y31" i="2"/>
  <c r="AA31" i="2" s="1"/>
  <c r="S31" i="2" s="1"/>
  <c r="AD31" i="2" s="1"/>
  <c r="Q29" i="2"/>
  <c r="Y29" i="2" s="1"/>
  <c r="AA29" i="2" s="1"/>
  <c r="S29" i="2" s="1"/>
  <c r="AD29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668" i="2"/>
  <c r="L14" i="2"/>
  <c r="Y43" i="2" l="1"/>
  <c r="AA43" i="2" s="1"/>
  <c r="S43" i="2" s="1"/>
  <c r="Q60" i="2"/>
  <c r="Y60" i="2" s="1"/>
  <c r="AA60" i="2" s="1"/>
  <c r="S60" i="2" s="1"/>
  <c r="AD149" i="2"/>
  <c r="T147" i="2"/>
  <c r="B513" i="2"/>
  <c r="T532" i="2"/>
  <c r="P532" i="2"/>
  <c r="AD337" i="2"/>
  <c r="T335" i="2"/>
  <c r="L15" i="2"/>
  <c r="T82" i="2"/>
  <c r="AD84" i="2"/>
  <c r="AD105" i="2"/>
  <c r="T103" i="2"/>
  <c r="T20" i="2"/>
  <c r="AD22" i="2"/>
  <c r="T66" i="2"/>
  <c r="AD68" i="2"/>
  <c r="T157" i="2"/>
  <c r="AD159" i="2"/>
  <c r="AD221" i="2"/>
  <c r="T215" i="2"/>
  <c r="S196" i="2" s="1"/>
  <c r="AD268" i="2"/>
  <c r="T265" i="2"/>
  <c r="S256" i="2" s="1"/>
  <c r="AD73" i="2"/>
  <c r="T71" i="2"/>
  <c r="T96" i="2"/>
  <c r="AD98" i="2"/>
  <c r="AD183" i="2"/>
  <c r="T181" i="2"/>
  <c r="T302" i="2"/>
  <c r="AD304" i="2"/>
  <c r="AD115" i="2"/>
  <c r="T113" i="2"/>
  <c r="AD77" i="2"/>
  <c r="T131" i="2"/>
  <c r="AD133" i="2"/>
  <c r="AD16" i="2"/>
  <c r="T14" i="2"/>
  <c r="T47" i="2"/>
  <c r="AD49" i="2"/>
  <c r="T322" i="2"/>
  <c r="AD324" i="2"/>
  <c r="T206" i="2"/>
  <c r="AD209" i="2"/>
  <c r="T240" i="2"/>
  <c r="AD242" i="2"/>
  <c r="AD28" i="2"/>
  <c r="T257" i="2"/>
  <c r="AD259" i="2"/>
  <c r="T272" i="2"/>
  <c r="AD190" i="2"/>
  <c r="T188" i="2"/>
  <c r="S156" i="2" s="1"/>
  <c r="AD250" i="2"/>
  <c r="T248" i="2"/>
  <c r="S223" i="2" s="1"/>
  <c r="T312" i="2"/>
  <c r="AD314" i="2"/>
  <c r="T123" i="2"/>
  <c r="AD275" i="2"/>
  <c r="T280" i="2"/>
  <c r="AD288" i="2"/>
  <c r="AD298" i="2"/>
  <c r="T296" i="2"/>
  <c r="S271" i="2" s="1"/>
  <c r="T355" i="2"/>
  <c r="AD357" i="2"/>
  <c r="AD365" i="2"/>
  <c r="T363" i="2"/>
  <c r="S301" i="2" s="1"/>
  <c r="AD377" i="2"/>
  <c r="T374" i="2"/>
  <c r="S373" i="2" s="1"/>
  <c r="AD58" i="2"/>
  <c r="AD399" i="2"/>
  <c r="T291" i="2"/>
  <c r="Q393" i="2"/>
  <c r="P393" i="2"/>
  <c r="Q394" i="2"/>
  <c r="P394" i="2"/>
  <c r="Q387" i="2"/>
  <c r="Y387" i="2" s="1"/>
  <c r="AA387" i="2" s="1"/>
  <c r="S387" i="2" s="1"/>
  <c r="AD387" i="2" s="1"/>
  <c r="Q78" i="2"/>
  <c r="Y78" i="2" s="1"/>
  <c r="AA78" i="2" s="1"/>
  <c r="S78" i="2" s="1"/>
  <c r="AD78" i="2" s="1"/>
  <c r="AD404" i="2"/>
  <c r="AD35" i="2"/>
  <c r="AD226" i="2"/>
  <c r="AD386" i="2"/>
  <c r="T420" i="2"/>
  <c r="AD422" i="2"/>
  <c r="AD442" i="2"/>
  <c r="T438" i="2"/>
  <c r="T165" i="2"/>
  <c r="Q30" i="2"/>
  <c r="Y30" i="2" s="1"/>
  <c r="AA30" i="2" s="1"/>
  <c r="S30" i="2" s="1"/>
  <c r="AD30" i="2" s="1"/>
  <c r="T232" i="2"/>
  <c r="AD348" i="2"/>
  <c r="T346" i="2"/>
  <c r="T409" i="2"/>
  <c r="AD411" i="2"/>
  <c r="AD435" i="2"/>
  <c r="T431" i="2"/>
  <c r="C27" i="5" s="1"/>
  <c r="T173" i="2"/>
  <c r="T197" i="2"/>
  <c r="AD664" i="2"/>
  <c r="T662" i="2"/>
  <c r="S660" i="2" s="1"/>
  <c r="T139" i="2"/>
  <c r="S102" i="2" s="1"/>
  <c r="AD175" i="2"/>
  <c r="AD199" i="2"/>
  <c r="AD392" i="2"/>
  <c r="AD427" i="2"/>
  <c r="T425" i="2"/>
  <c r="L20" i="2"/>
  <c r="AD43" i="2" l="1"/>
  <c r="T41" i="2"/>
  <c r="AD60" i="2"/>
  <c r="T56" i="2"/>
  <c r="L21" i="2"/>
  <c r="Y393" i="2"/>
  <c r="AA393" i="2" s="1"/>
  <c r="S393" i="2" s="1"/>
  <c r="Q406" i="2"/>
  <c r="Y406" i="2" s="1"/>
  <c r="AA406" i="2" s="1"/>
  <c r="S406" i="2" s="1"/>
  <c r="AD406" i="2" s="1"/>
  <c r="Q405" i="2"/>
  <c r="Y405" i="2" s="1"/>
  <c r="AA405" i="2" s="1"/>
  <c r="S405" i="2" s="1"/>
  <c r="Q400" i="2"/>
  <c r="Y400" i="2" s="1"/>
  <c r="AA400" i="2" s="1"/>
  <c r="S400" i="2" s="1"/>
  <c r="S418" i="2"/>
  <c r="O519" i="2" s="1"/>
  <c r="C26" i="5"/>
  <c r="T384" i="2"/>
  <c r="S383" i="2" s="1"/>
  <c r="T26" i="2"/>
  <c r="S94" i="2"/>
  <c r="O517" i="2" s="1"/>
  <c r="T75" i="2"/>
  <c r="S64" i="2" s="1"/>
  <c r="O516" i="2" s="1"/>
  <c r="Y394" i="2"/>
  <c r="AA394" i="2" s="1"/>
  <c r="M16" i="2"/>
  <c r="M17" i="2" s="1"/>
  <c r="M18" i="2" s="1"/>
  <c r="L26" i="2"/>
  <c r="S12" i="2" l="1"/>
  <c r="O515" i="2" s="1"/>
  <c r="L27" i="2"/>
  <c r="P516" i="2"/>
  <c r="W516" i="2"/>
  <c r="W519" i="2"/>
  <c r="P519" i="2"/>
  <c r="AD393" i="2"/>
  <c r="T390" i="2"/>
  <c r="AD400" i="2"/>
  <c r="T397" i="2"/>
  <c r="AD405" i="2"/>
  <c r="T402" i="2"/>
  <c r="S389" i="2" s="1"/>
  <c r="W517" i="2"/>
  <c r="G24" i="5" s="1"/>
  <c r="P517" i="2"/>
  <c r="C24" i="5"/>
  <c r="M22" i="2"/>
  <c r="M23" i="2" s="1"/>
  <c r="M24" i="2" s="1"/>
  <c r="L33" i="2"/>
  <c r="C23" i="5" l="1"/>
  <c r="W515" i="2"/>
  <c r="P515" i="2"/>
  <c r="P525" i="2" s="1"/>
  <c r="O526" i="2" s="1"/>
  <c r="S381" i="2"/>
  <c r="O518" i="2" s="1"/>
  <c r="L34" i="2"/>
  <c r="M28" i="2"/>
  <c r="M29" i="2" s="1"/>
  <c r="M30" i="2" s="1"/>
  <c r="M31" i="2" s="1"/>
  <c r="G26" i="5"/>
  <c r="G27" i="5"/>
  <c r="G23" i="5"/>
  <c r="L41" i="2"/>
  <c r="P518" i="2" l="1"/>
  <c r="C25" i="5"/>
  <c r="W518" i="2"/>
  <c r="G25" i="5" s="1"/>
  <c r="X450" i="2"/>
  <c r="Y450" i="2" s="1"/>
  <c r="AA450" i="2" s="1"/>
  <c r="S450" i="2" s="1"/>
  <c r="L42" i="2"/>
  <c r="P526" i="2"/>
  <c r="O527" i="2" s="1"/>
  <c r="M35" i="2"/>
  <c r="M36" i="2" s="1"/>
  <c r="M37" i="2" s="1"/>
  <c r="M38" i="2" s="1"/>
  <c r="M39" i="2" s="1"/>
  <c r="L47" i="2"/>
  <c r="AD450" i="2" l="1"/>
  <c r="T3" i="2" s="1"/>
  <c r="T448" i="2"/>
  <c r="S446" i="2" s="1"/>
  <c r="O520" i="2" s="1"/>
  <c r="L48" i="2"/>
  <c r="P527" i="2"/>
  <c r="O528" i="2" s="1"/>
  <c r="M43" i="2"/>
  <c r="M44" i="2" s="1"/>
  <c r="M45" i="2" s="1"/>
  <c r="L56" i="2"/>
  <c r="L66" i="2" s="1"/>
  <c r="P520" i="2" l="1"/>
  <c r="P521" i="2" s="1"/>
  <c r="C28" i="5"/>
  <c r="C29" i="5" s="1"/>
  <c r="M28" i="5" s="1"/>
  <c r="O521" i="2"/>
  <c r="W520" i="2"/>
  <c r="L67" i="2"/>
  <c r="L57" i="2"/>
  <c r="M58" i="2" s="1"/>
  <c r="M59" i="2" s="1"/>
  <c r="M60" i="2" s="1"/>
  <c r="M61" i="2" s="1"/>
  <c r="P528" i="2"/>
  <c r="O529" i="2" s="1"/>
  <c r="M49" i="2"/>
  <c r="M50" i="2" s="1"/>
  <c r="M51" i="2" s="1"/>
  <c r="M52" i="2" s="1"/>
  <c r="M53" i="2" s="1"/>
  <c r="M54" i="2" s="1"/>
  <c r="L71" i="2"/>
  <c r="O506" i="2" l="1"/>
  <c r="G20" i="5"/>
  <c r="S453" i="2"/>
  <c r="N550" i="2"/>
  <c r="W521" i="2"/>
  <c r="G28" i="5"/>
  <c r="G29" i="5" s="1"/>
  <c r="B34" i="5"/>
  <c r="L72" i="2"/>
  <c r="M27" i="5"/>
  <c r="M26" i="5"/>
  <c r="M24" i="5"/>
  <c r="M23" i="5"/>
  <c r="M25" i="5"/>
  <c r="M68" i="2"/>
  <c r="M69" i="2" s="1"/>
  <c r="P529" i="2"/>
  <c r="O530" i="2" s="1"/>
  <c r="P530" i="2" s="1"/>
  <c r="L75" i="2"/>
  <c r="L96" i="2"/>
  <c r="Q29" i="5" l="1"/>
  <c r="N5" i="2"/>
  <c r="P506" i="2"/>
  <c r="L97" i="2"/>
  <c r="M98" i="2" s="1"/>
  <c r="M99" i="2" s="1"/>
  <c r="M100" i="2" s="1"/>
  <c r="L76" i="2"/>
  <c r="T531" i="2"/>
  <c r="P531" i="2"/>
  <c r="N6" i="2" s="1"/>
  <c r="M29" i="5"/>
  <c r="M73" i="2"/>
  <c r="L82" i="2"/>
  <c r="L103" i="2" s="1"/>
  <c r="L104" i="2" l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3" i="2"/>
  <c r="L114" i="2" l="1"/>
  <c r="M105" i="2"/>
  <c r="M106" i="2" s="1"/>
  <c r="M107" i="2" s="1"/>
  <c r="M108" i="2" s="1"/>
  <c r="M109" i="2" s="1"/>
  <c r="M110" i="2" s="1"/>
  <c r="M111" i="2" s="1"/>
  <c r="L123" i="2"/>
  <c r="L124" i="2" l="1"/>
  <c r="M115" i="2"/>
  <c r="M116" i="2" s="1"/>
  <c r="M117" i="2" s="1"/>
  <c r="M118" i="2" s="1"/>
  <c r="M119" i="2" s="1"/>
  <c r="M120" i="2" s="1"/>
  <c r="M121" i="2" s="1"/>
  <c r="L131" i="2"/>
  <c r="L132" i="2" l="1"/>
  <c r="M125" i="2"/>
  <c r="M126" i="2" s="1"/>
  <c r="M127" i="2" s="1"/>
  <c r="M128" i="2" s="1"/>
  <c r="M129" i="2" s="1"/>
  <c r="L139" i="2"/>
  <c r="L140" i="2" l="1"/>
  <c r="L147" i="2" s="1"/>
  <c r="M133" i="2"/>
  <c r="M134" i="2" s="1"/>
  <c r="M135" i="2" s="1"/>
  <c r="M136" i="2" s="1"/>
  <c r="M137" i="2" s="1"/>
  <c r="L157" i="2" l="1"/>
  <c r="L158" i="2" s="1"/>
  <c r="L165" i="2" s="1"/>
  <c r="L148" i="2"/>
  <c r="M149" i="2" s="1"/>
  <c r="M150" i="2" s="1"/>
  <c r="M151" i="2" s="1"/>
  <c r="M152" i="2" s="1"/>
  <c r="M153" i="2" s="1"/>
  <c r="M154" i="2" s="1"/>
  <c r="M141" i="2"/>
  <c r="M142" i="2" s="1"/>
  <c r="M143" i="2" s="1"/>
  <c r="M144" i="2" s="1"/>
  <c r="M145" i="2" s="1"/>
  <c r="L166" i="2" l="1"/>
  <c r="M159" i="2"/>
  <c r="M160" i="2" s="1"/>
  <c r="M161" i="2" s="1"/>
  <c r="M162" i="2" s="1"/>
  <c r="M163" i="2" s="1"/>
  <c r="L173" i="2"/>
  <c r="L174" i="2" l="1"/>
  <c r="M167" i="2"/>
  <c r="M168" i="2" s="1"/>
  <c r="M169" i="2" s="1"/>
  <c r="M170" i="2" s="1"/>
  <c r="M171" i="2" s="1"/>
  <c r="L181" i="2"/>
  <c r="L182" i="2" l="1"/>
  <c r="M175" i="2"/>
  <c r="M176" i="2" s="1"/>
  <c r="M177" i="2" s="1"/>
  <c r="M178" i="2" s="1"/>
  <c r="M179" i="2" s="1"/>
  <c r="L188" i="2"/>
  <c r="L189" i="2" l="1"/>
  <c r="M183" i="2"/>
  <c r="M184" i="2" s="1"/>
  <c r="M185" i="2" s="1"/>
  <c r="M186" i="2" s="1"/>
  <c r="L197" i="2"/>
  <c r="L198" i="2" l="1"/>
  <c r="M190" i="2"/>
  <c r="M191" i="2" s="1"/>
  <c r="M192" i="2" s="1"/>
  <c r="M193" i="2" s="1"/>
  <c r="M194" i="2" s="1"/>
  <c r="L206" i="2"/>
  <c r="L207" i="2" l="1"/>
  <c r="M199" i="2"/>
  <c r="M200" i="2" s="1"/>
  <c r="M201" i="2" s="1"/>
  <c r="M202" i="2" s="1"/>
  <c r="M203" i="2" s="1"/>
  <c r="M204" i="2" s="1"/>
  <c r="L215" i="2"/>
  <c r="L216" i="2" l="1"/>
  <c r="M208" i="2"/>
  <c r="M209" i="2" s="1"/>
  <c r="M210" i="2" s="1"/>
  <c r="M211" i="2" s="1"/>
  <c r="M212" i="2" s="1"/>
  <c r="M213" i="2" s="1"/>
  <c r="L224" i="2"/>
  <c r="L225" i="2" l="1"/>
  <c r="M217" i="2"/>
  <c r="M218" i="2" s="1"/>
  <c r="M219" i="2" s="1"/>
  <c r="M220" i="2" s="1"/>
  <c r="M221" i="2" s="1"/>
  <c r="L232" i="2"/>
  <c r="L233" i="2" l="1"/>
  <c r="M226" i="2"/>
  <c r="M227" i="2" s="1"/>
  <c r="M228" i="2" s="1"/>
  <c r="M229" i="2" s="1"/>
  <c r="M230" i="2" s="1"/>
  <c r="L240" i="2"/>
  <c r="L241" i="2" l="1"/>
  <c r="M234" i="2"/>
  <c r="M235" i="2" s="1"/>
  <c r="M236" i="2" s="1"/>
  <c r="M237" i="2" s="1"/>
  <c r="M238" i="2" s="1"/>
  <c r="L248" i="2"/>
  <c r="L249" i="2" l="1"/>
  <c r="M242" i="2"/>
  <c r="M243" i="2" s="1"/>
  <c r="M244" i="2" s="1"/>
  <c r="M245" i="2" s="1"/>
  <c r="M246" i="2" s="1"/>
  <c r="L257" i="2"/>
  <c r="L258" i="2" l="1"/>
  <c r="M250" i="2"/>
  <c r="M251" i="2" s="1"/>
  <c r="M252" i="2" s="1"/>
  <c r="M253" i="2" s="1"/>
  <c r="M254" i="2" s="1"/>
  <c r="L265" i="2"/>
  <c r="L266" i="2" l="1"/>
  <c r="M259" i="2"/>
  <c r="M260" i="2" s="1"/>
  <c r="M261" i="2" s="1"/>
  <c r="M262" i="2" s="1"/>
  <c r="M263" i="2" s="1"/>
  <c r="L272" i="2"/>
  <c r="L273" i="2" l="1"/>
  <c r="M267" i="2"/>
  <c r="M268" i="2" s="1"/>
  <c r="M269" i="2" s="1"/>
  <c r="L280" i="2"/>
  <c r="L281" i="2" l="1"/>
  <c r="M274" i="2"/>
  <c r="M275" i="2" s="1"/>
  <c r="M276" i="2" s="1"/>
  <c r="M277" i="2" s="1"/>
  <c r="M278" i="2" s="1"/>
  <c r="L286" i="2"/>
  <c r="L287" i="2" l="1"/>
  <c r="M282" i="2"/>
  <c r="M283" i="2" s="1"/>
  <c r="M284" i="2" s="1"/>
  <c r="L291" i="2"/>
  <c r="L292" i="2" l="1"/>
  <c r="M288" i="2"/>
  <c r="M289" i="2" s="1"/>
  <c r="L296" i="2"/>
  <c r="L297" i="2" l="1"/>
  <c r="M293" i="2"/>
  <c r="M294" i="2" s="1"/>
  <c r="L302" i="2"/>
  <c r="L303" i="2" l="1"/>
  <c r="M298" i="2"/>
  <c r="M299" i="2" s="1"/>
  <c r="L312" i="2"/>
  <c r="L313" i="2" l="1"/>
  <c r="M304" i="2"/>
  <c r="M305" i="2" s="1"/>
  <c r="M306" i="2" s="1"/>
  <c r="M307" i="2" s="1"/>
  <c r="M308" i="2" s="1"/>
  <c r="M309" i="2" s="1"/>
  <c r="M310" i="2" s="1"/>
  <c r="L322" i="2"/>
  <c r="L323" i="2" l="1"/>
  <c r="M314" i="2"/>
  <c r="M315" i="2" s="1"/>
  <c r="M316" i="2" s="1"/>
  <c r="M317" i="2" s="1"/>
  <c r="M318" i="2" s="1"/>
  <c r="M319" i="2" s="1"/>
  <c r="M320" i="2" s="1"/>
  <c r="L335" i="2"/>
  <c r="L662" i="2" s="1"/>
  <c r="L663" i="2" l="1"/>
  <c r="M664" i="2" s="1"/>
  <c r="L336" i="2"/>
  <c r="M324" i="2"/>
  <c r="M325" i="2" s="1"/>
  <c r="M326" i="2" s="1"/>
  <c r="M327" i="2" s="1"/>
  <c r="M328" i="2" s="1"/>
  <c r="M329" i="2" s="1"/>
  <c r="M330" i="2" s="1"/>
  <c r="M331" i="2" s="1"/>
  <c r="M332" i="2" s="1"/>
  <c r="M333" i="2" s="1"/>
  <c r="L346" i="2"/>
  <c r="L347" i="2" l="1"/>
  <c r="M337" i="2"/>
  <c r="M338" i="2" s="1"/>
  <c r="M339" i="2" s="1"/>
  <c r="M340" i="2" s="1"/>
  <c r="M341" i="2" s="1"/>
  <c r="M342" i="2" s="1"/>
  <c r="M343" i="2" s="1"/>
  <c r="M344" i="2" s="1"/>
  <c r="L355" i="2"/>
  <c r="L356" i="2" l="1"/>
  <c r="M348" i="2"/>
  <c r="M349" i="2" s="1"/>
  <c r="M350" i="2" s="1"/>
  <c r="M351" i="2" s="1"/>
  <c r="M352" i="2" s="1"/>
  <c r="M353" i="2" s="1"/>
  <c r="L363" i="2"/>
  <c r="L364" i="2" l="1"/>
  <c r="M357" i="2"/>
  <c r="M358" i="2" s="1"/>
  <c r="M359" i="2" s="1"/>
  <c r="M360" i="2" s="1"/>
  <c r="M361" i="2" s="1"/>
  <c r="L374" i="2"/>
  <c r="L384" i="2" s="1"/>
  <c r="L385" i="2" l="1"/>
  <c r="L375" i="2"/>
  <c r="M376" i="2" s="1"/>
  <c r="M377" i="2" s="1"/>
  <c r="M378" i="2" s="1"/>
  <c r="M365" i="2"/>
  <c r="M366" i="2" s="1"/>
  <c r="M367" i="2" s="1"/>
  <c r="M368" i="2" s="1"/>
  <c r="M369" i="2" s="1"/>
  <c r="M370" i="2" s="1"/>
  <c r="M371" i="2" s="1"/>
  <c r="L390" i="2"/>
  <c r="L391" i="2" l="1"/>
  <c r="M386" i="2"/>
  <c r="M387" i="2" s="1"/>
  <c r="L397" i="2"/>
  <c r="L398" i="2" l="1"/>
  <c r="M392" i="2"/>
  <c r="M393" i="2" s="1"/>
  <c r="M394" i="2" s="1"/>
  <c r="M395" i="2" s="1"/>
  <c r="L402" i="2"/>
  <c r="L403" i="2" l="1"/>
  <c r="M399" i="2"/>
  <c r="M400" i="2" s="1"/>
  <c r="L409" i="2"/>
  <c r="L420" i="2" s="1"/>
  <c r="L421" i="2" l="1"/>
  <c r="L410" i="2"/>
  <c r="M404" i="2"/>
  <c r="M405" i="2" s="1"/>
  <c r="M406" i="2" s="1"/>
  <c r="M407" i="2" s="1"/>
  <c r="L425" i="2"/>
  <c r="L426" i="2" l="1"/>
  <c r="M422" i="2"/>
  <c r="M423" i="2" s="1"/>
  <c r="M411" i="2"/>
  <c r="M412" i="2" s="1"/>
  <c r="M413" i="2" s="1"/>
  <c r="M414" i="2" s="1"/>
  <c r="M415" i="2" s="1"/>
  <c r="L431" i="2"/>
  <c r="L432" i="2" l="1"/>
  <c r="M427" i="2"/>
  <c r="M428" i="2" s="1"/>
  <c r="M429" i="2" s="1"/>
  <c r="L438" i="2"/>
  <c r="L448" i="2" s="1"/>
  <c r="L449" i="2" l="1"/>
  <c r="M450" i="2" s="1"/>
  <c r="L439" i="2"/>
  <c r="M440" i="2" s="1"/>
  <c r="M441" i="2" s="1"/>
  <c r="M442" i="2" s="1"/>
  <c r="M443" i="2" s="1"/>
  <c r="M433" i="2"/>
  <c r="M434" i="2" s="1"/>
  <c r="M435" i="2" s="1"/>
  <c r="M436" i="2" s="1"/>
</calcChain>
</file>

<file path=xl/sharedStrings.xml><?xml version="1.0" encoding="utf-8"?>
<sst xmlns="http://schemas.openxmlformats.org/spreadsheetml/2006/main" count="3142" uniqueCount="1195">
  <si>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</si>
  <si>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</si>
  <si>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</si>
  <si>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</si>
  <si>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</si>
  <si>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</si>
  <si>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</si>
  <si>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</si>
  <si>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</si>
  <si>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</si>
  <si>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</si>
  <si>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</si>
  <si>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</si>
  <si>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</si>
  <si>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</si>
  <si>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</si>
  <si>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</si>
  <si>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</si>
  <si>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</si>
  <si>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</si>
  <si>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</si>
  <si>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</si>
  <si>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</si>
  <si>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</si>
  <si>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</si>
  <si>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</si>
  <si>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</si>
  <si>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</si>
  <si>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</si>
  <si>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</si>
  <si>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</si>
  <si>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</si>
  <si>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</si>
  <si>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</si>
  <si>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</si>
  <si>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</si>
  <si>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</si>
  <si>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</si>
  <si>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</si>
  <si>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</si>
  <si>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</si>
  <si>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</si>
  <si>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</si>
  <si>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</si>
  <si>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</si>
  <si>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</si>
  <si>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</si>
  <si>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</si>
  <si>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</si>
  <si>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</si>
  <si>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</si>
  <si>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</si>
  <si>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</si>
  <si>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</si>
  <si>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</si>
  <si>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</si>
  <si>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</si>
  <si>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</si>
  <si>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</si>
  <si>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</si>
  <si>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</si>
  <si>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</si>
  <si>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</si>
  <si>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</si>
  <si>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</si>
  <si>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</si>
  <si>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</si>
  <si>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</si>
  <si>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</si>
  <si>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</si>
  <si>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</si>
  <si>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</si>
  <si>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</si>
  <si>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</si>
  <si>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</si>
  <si>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</si>
  <si>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</si>
  <si>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</si>
  <si>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</si>
  <si>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</si>
  <si>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</si>
  <si>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</si>
  <si>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</si>
  <si>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</si>
  <si>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</si>
  <si>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</si>
  <si>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</si>
  <si>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</si>
  <si>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</si>
  <si>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</si>
  <si>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</si>
  <si>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</si>
  <si>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</si>
  <si>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</si>
  <si>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</si>
  <si>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</si>
  <si>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</si>
  <si>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</si>
  <si>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</si>
  <si>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</si>
  <si>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</si>
  <si>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</si>
  <si>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</si>
  <si>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</si>
  <si>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</si>
  <si>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</si>
  <si>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</si>
  <si>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</si>
  <si>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</si>
  <si>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</si>
  <si>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</si>
  <si>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</si>
  <si>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</si>
  <si>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</si>
  <si>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</si>
  <si>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</si>
  <si>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</si>
  <si>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</si>
  <si>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</si>
  <si>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</si>
  <si>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</si>
  <si>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</si>
  <si>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</si>
  <si>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</si>
  <si>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</si>
  <si>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</si>
  <si>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</si>
  <si>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</si>
  <si>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</si>
  <si>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</si>
  <si>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</si>
  <si>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</si>
  <si>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</si>
  <si>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</si>
  <si>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</si>
  <si>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</si>
  <si>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</si>
  <si>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</si>
  <si>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</si>
  <si>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</si>
  <si>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</si>
  <si>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</si>
  <si>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</si>
  <si>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</si>
  <si>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</si>
  <si>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</si>
  <si>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</si>
  <si>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</si>
  <si>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</si>
  <si>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</si>
  <si>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</si>
  <si>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</si>
  <si>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</si>
  <si>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</si>
  <si>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</si>
  <si>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</si>
  <si>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</si>
  <si>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</si>
  <si>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</si>
  <si>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</si>
  <si>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</si>
  <si>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</si>
  <si>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</si>
  <si>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</si>
  <si>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</si>
  <si>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</si>
  <si>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</si>
  <si>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</si>
  <si>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</si>
  <si>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</si>
  <si>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</si>
  <si>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</si>
  <si>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</si>
  <si>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</si>
  <si>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</si>
  <si>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</si>
  <si>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</si>
  <si>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</si>
  <si>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</si>
  <si>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</si>
  <si>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</si>
  <si>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</si>
  <si>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</si>
  <si>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</si>
  <si>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</si>
  <si>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</si>
  <si>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</si>
  <si>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</si>
  <si>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</si>
  <si>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</si>
  <si>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</si>
  <si>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</si>
  <si>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</si>
  <si>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</si>
  <si>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</si>
  <si>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</si>
  <si>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</si>
  <si>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</si>
  <si>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</si>
  <si>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</si>
  <si>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</si>
  <si>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</si>
  <si>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</si>
  <si>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</si>
  <si>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</si>
  <si>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</si>
  <si>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</si>
  <si>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</si>
  <si>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</si>
  <si>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</si>
  <si>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</si>
  <si>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</si>
  <si>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</si>
  <si>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</si>
  <si>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</si>
  <si>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</si>
  <si>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</si>
  <si>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</si>
  <si>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</si>
  <si>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</si>
  <si>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</si>
  <si>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</si>
  <si>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</si>
  <si>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</si>
  <si>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</si>
  <si>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</si>
  <si>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</si>
  <si>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</si>
  <si>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</si>
  <si>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</si>
  <si>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</si>
  <si>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</si>
  <si>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</si>
  <si>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</si>
  <si>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</si>
  <si>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</si>
  <si>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</si>
  <si>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</si>
  <si>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</si>
  <si>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</si>
  <si>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</si>
  <si>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</si>
  <si>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</si>
  <si>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</si>
  <si>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</si>
  <si>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</si>
  <si>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</si>
  <si>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</si>
  <si>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</si>
  <si>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</si>
  <si>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</si>
  <si>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</si>
  <si>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</si>
  <si>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</si>
  <si>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</si>
  <si>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</si>
  <si>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</si>
  <si>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</si>
  <si>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</si>
  <si>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</si>
  <si>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</si>
  <si>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</si>
  <si>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</si>
  <si>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</si>
  <si>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</si>
  <si>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</si>
  <si>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</si>
  <si>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</si>
  <si>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</si>
  <si>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</si>
  <si>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</si>
  <si>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</si>
  <si>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</si>
  <si>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</si>
  <si>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</si>
  <si>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</si>
  <si>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</si>
  <si>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</si>
  <si>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</si>
  <si>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</si>
  <si>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</si>
  <si>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</si>
  <si>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</si>
  <si>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</si>
  <si>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</si>
  <si>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</si>
  <si>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</si>
  <si>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</si>
  <si>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</si>
  <si>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</si>
  <si>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</si>
  <si>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</si>
  <si>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</si>
  <si>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</si>
  <si>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</si>
  <si>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</si>
  <si>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</si>
  <si>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</si>
  <si>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</si>
  <si>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</si>
  <si>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</si>
  <si>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</si>
  <si>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</si>
  <si>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</si>
  <si>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</si>
  <si>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</si>
  <si>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</si>
  <si>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</si>
  <si>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</si>
  <si>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</si>
  <si>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</si>
  <si>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</si>
  <si>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</si>
  <si>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</si>
  <si>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</si>
  <si>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</si>
  <si>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</si>
  <si>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</si>
  <si>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</si>
  <si>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</si>
  <si>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</si>
  <si>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</si>
  <si>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</si>
  <si>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</si>
  <si>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</si>
  <si>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</si>
  <si>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</si>
  <si>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</si>
  <si>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</si>
  <si>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</si>
  <si>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</si>
  <si>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</si>
  <si>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</si>
  <si>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</si>
  <si>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</si>
  <si>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</si>
  <si>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</si>
  <si>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</si>
  <si>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</si>
  <si>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</si>
  <si>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</si>
  <si>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</si>
  <si>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</si>
  <si>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</si>
  <si>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</si>
  <si>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</si>
  <si>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</si>
  <si>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</si>
  <si>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</si>
  <si>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</si>
  <si>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</si>
  <si>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</si>
  <si>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</si>
  <si>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</si>
  <si>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</si>
  <si>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</si>
  <si>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</si>
  <si>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</si>
  <si>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</si>
  <si>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</si>
  <si>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</si>
  <si>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</si>
  <si>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</si>
  <si>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</si>
  <si>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</si>
  <si>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</si>
  <si>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</si>
  <si>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</si>
  <si>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</si>
  <si>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</si>
  <si>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</si>
  <si>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</si>
  <si>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</si>
  <si>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</si>
  <si>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</si>
  <si>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</si>
  <si>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</si>
  <si>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</si>
  <si>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</si>
  <si>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</si>
  <si>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</si>
  <si>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</si>
  <si>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</si>
  <si>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</si>
  <si>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</si>
  <si>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</si>
  <si>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</si>
  <si>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</si>
  <si>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</si>
  <si>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</si>
  <si>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</si>
  <si>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</si>
  <si>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</si>
  <si>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</si>
  <si>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</si>
  <si>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</si>
  <si>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</si>
  <si>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</si>
  <si>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</si>
  <si>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</si>
  <si>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</si>
  <si>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</si>
  <si>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</si>
  <si>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</si>
  <si>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</si>
  <si>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</si>
  <si>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</si>
  <si>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</si>
  <si>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</si>
  <si>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</si>
  <si>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</si>
  <si>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</si>
  <si>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</si>
  <si>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</si>
  <si>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</si>
  <si>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</si>
  <si>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</si>
  <si>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</si>
  <si>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</si>
  <si>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</si>
  <si>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</si>
  <si>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</si>
  <si>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</si>
  <si>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</si>
  <si>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</si>
  <si>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</si>
  <si>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</si>
  <si>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</si>
  <si>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</si>
  <si>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</si>
  <si>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</si>
  <si>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</si>
  <si>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</si>
  <si>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</si>
  <si>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</si>
  <si>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</si>
  <si>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</si>
  <si>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</si>
  <si>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</si>
  <si>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</si>
  <si>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</si>
  <si>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</si>
  <si>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</si>
  <si>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</si>
  <si>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</si>
  <si>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</si>
  <si>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</si>
  <si>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</si>
  <si>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</si>
  <si>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</si>
  <si>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</si>
  <si>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</si>
  <si>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</si>
  <si>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</si>
  <si>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</si>
  <si>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</si>
  <si>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</si>
  <si>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</si>
  <si>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</si>
  <si>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</si>
  <si>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</si>
  <si>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</si>
  <si>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</si>
  <si>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</si>
  <si>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</si>
  <si>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</si>
  <si>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</si>
  <si>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</si>
  <si>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</si>
  <si>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</si>
  <si>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</si>
  <si>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</si>
  <si>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</si>
  <si>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</si>
  <si>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</si>
  <si>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</si>
  <si>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</si>
  <si>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</si>
  <si>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</si>
  <si>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</si>
  <si>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</si>
  <si>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</si>
  <si>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</si>
  <si>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</si>
  <si>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</si>
  <si>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</si>
  <si>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</si>
  <si>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</si>
  <si>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</si>
  <si>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</si>
  <si>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</si>
  <si>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</si>
  <si>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</si>
  <si>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</si>
  <si>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</si>
  <si>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</si>
  <si>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</si>
  <si>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</si>
  <si>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</si>
  <si>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</si>
  <si>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</si>
  <si>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</si>
  <si>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</si>
  <si>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</si>
  <si>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</si>
  <si>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</si>
  <si>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</si>
  <si>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</si>
  <si>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</si>
  <si>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</si>
  <si>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</si>
  <si>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</si>
  <si>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</si>
  <si>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</si>
  <si>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</si>
  <si>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</si>
  <si>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</si>
  <si>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</si>
  <si>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</si>
  <si>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</si>
  <si>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</si>
  <si>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</si>
  <si>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</si>
  <si>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</si>
  <si>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</si>
  <si>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</si>
  <si>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</si>
  <si>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</si>
  <si>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</si>
  <si>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</si>
  <si>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</si>
  <si>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</si>
  <si>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</si>
  <si>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</si>
  <si>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</si>
  <si>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</si>
  <si>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</si>
  <si>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</si>
  <si>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</si>
  <si>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</si>
  <si>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</si>
  <si>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</si>
  <si>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</si>
  <si>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</si>
  <si>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</si>
  <si>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</si>
  <si>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</si>
  <si>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</si>
  <si>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</si>
  <si>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</si>
  <si>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</si>
  <si>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</si>
  <si>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</si>
  <si>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</si>
  <si>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</si>
  <si>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</si>
  <si>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</si>
  <si>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</si>
  <si>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</si>
  <si>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</si>
  <si>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</si>
  <si>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</si>
  <si>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</si>
  <si>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</si>
  <si>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</si>
  <si>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</si>
  <si>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</si>
  <si>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</si>
  <si>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</si>
  <si>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</si>
  <si>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</si>
  <si>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</si>
  <si>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</si>
  <si>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</si>
  <si>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</si>
  <si>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</si>
  <si>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</si>
  <si>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</si>
  <si>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</si>
  <si>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</si>
  <si>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</si>
  <si>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</si>
  <si>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</si>
  <si>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</si>
  <si>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</si>
  <si>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</si>
  <si>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</si>
  <si>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</si>
  <si>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</si>
  <si>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</si>
  <si>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</si>
  <si>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</si>
  <si>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</si>
  <si>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</si>
  <si>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</si>
  <si>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</si>
  <si>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</si>
  <si>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</si>
  <si>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</si>
  <si>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</si>
  <si>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</si>
  <si>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</si>
  <si>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</si>
  <si>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</si>
  <si>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</si>
  <si>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</si>
  <si>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</si>
  <si>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</si>
  <si>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</si>
  <si>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</si>
  <si>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</si>
  <si>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</si>
  <si>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</si>
  <si>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</si>
  <si>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</si>
  <si>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</si>
  <si>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</si>
  <si>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</si>
  <si>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</si>
  <si>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</si>
  <si>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</si>
  <si>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</si>
  <si>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</si>
  <si>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</si>
  <si>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</si>
  <si>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</si>
  <si>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</si>
  <si>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</si>
  <si>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</si>
  <si>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</si>
  <si>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</si>
  <si>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</si>
  <si>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</si>
  <si>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</si>
  <si>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</si>
  <si>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</si>
  <si>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</si>
  <si>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</si>
  <si>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</si>
  <si>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</si>
  <si>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</si>
  <si>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</si>
  <si>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</si>
  <si>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</si>
  <si>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</si>
  <si>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</si>
  <si>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</si>
  <si>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</si>
  <si>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</si>
  <si>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</si>
  <si>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</si>
  <si>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</si>
  <si>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</si>
  <si>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</si>
  <si>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</si>
  <si>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</si>
  <si>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</si>
  <si>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</si>
  <si>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</si>
  <si>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</si>
  <si>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</si>
  <si>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</si>
  <si>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</si>
  <si>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</si>
  <si>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</si>
  <si>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</si>
  <si>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</si>
  <si>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</si>
  <si>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</si>
  <si>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</si>
  <si>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</si>
  <si>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</si>
  <si>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</si>
  <si>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</si>
  <si>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</si>
  <si>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</si>
  <si>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</si>
  <si>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</si>
  <si>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</si>
  <si>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</si>
  <si>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</si>
  <si>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</si>
  <si>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</si>
  <si>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</si>
  <si>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</si>
  <si>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</si>
  <si>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</si>
  <si>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</si>
  <si>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</si>
  <si>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</si>
  <si>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</si>
  <si>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</si>
  <si>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</si>
  <si>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</si>
  <si>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</si>
  <si>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</si>
  <si>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</si>
  <si>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</si>
  <si>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</si>
  <si>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</si>
  <si>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</si>
  <si>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</si>
  <si>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</si>
  <si>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</si>
  <si>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</si>
  <si>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</si>
  <si>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</si>
  <si>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</si>
  <si>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</si>
  <si>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</si>
  <si>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</si>
  <si>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</si>
  <si>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</si>
  <si>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</si>
  <si>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</si>
  <si>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</si>
  <si>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</si>
  <si>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</si>
  <si>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</si>
  <si>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</si>
  <si>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</si>
  <si>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</si>
  <si>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</si>
  <si>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</si>
  <si>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</si>
  <si>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</si>
  <si>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</si>
  <si>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</si>
  <si>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</si>
  <si>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</si>
  <si>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</si>
  <si>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</si>
  <si>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</si>
  <si>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</si>
  <si>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</si>
  <si>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</si>
  <si>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</si>
  <si>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</si>
  <si>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</si>
  <si>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</si>
  <si>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</si>
  <si>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</si>
  <si>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</si>
  <si>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</si>
  <si>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</si>
  <si>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</si>
  <si>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</si>
  <si>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</si>
  <si>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</si>
  <si>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</si>
  <si>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</si>
  <si>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</si>
  <si>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</si>
  <si>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</si>
  <si>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</si>
  <si>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</si>
  <si>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</si>
  <si>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</si>
  <si>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</si>
  <si>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</si>
  <si>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</si>
  <si>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</si>
  <si>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</si>
  <si>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</si>
  <si>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</si>
  <si>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</si>
  <si>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</si>
  <si>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</si>
  <si>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</si>
  <si>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</si>
  <si>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</si>
  <si>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</si>
  <si>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</si>
  <si>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</si>
  <si>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</si>
  <si>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</si>
  <si>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</si>
  <si>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</si>
  <si>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</si>
  <si>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</si>
  <si>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</si>
  <si>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</si>
  <si>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</si>
  <si>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</si>
  <si>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</si>
  <si>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</si>
  <si>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</si>
  <si>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</si>
  <si>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</si>
  <si>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</si>
  <si>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</si>
  <si>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</si>
  <si>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</si>
  <si>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</si>
  <si>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</si>
  <si>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</si>
  <si>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</si>
  <si>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</si>
  <si>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</si>
  <si>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</si>
  <si>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</si>
  <si>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</si>
  <si>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</si>
  <si>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</si>
  <si>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</si>
  <si>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</si>
  <si>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</si>
  <si>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</si>
  <si>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</si>
  <si>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</si>
  <si>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</si>
  <si>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</si>
  <si>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</si>
  <si>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</si>
  <si>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</si>
  <si>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</si>
  <si>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</si>
  <si>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</si>
  <si>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</si>
  <si>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</si>
  <si>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</si>
  <si>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</si>
  <si>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</si>
  <si>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</si>
  <si>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</si>
  <si>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</si>
  <si>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</si>
  <si>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</si>
  <si>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</si>
  <si>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</si>
  <si>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</si>
  <si>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</si>
  <si>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</si>
  <si>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</si>
  <si>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</si>
  <si>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</si>
  <si>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</si>
  <si>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</si>
  <si>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</si>
  <si>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</si>
  <si>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</si>
  <si>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</si>
  <si>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</si>
  <si>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</si>
  <si>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</si>
  <si>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</si>
  <si>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</si>
  <si>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</si>
  <si>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</si>
  <si>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</si>
  <si>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</si>
  <si>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</si>
  <si>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</si>
  <si>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</si>
  <si>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</si>
  <si>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</si>
  <si>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</si>
  <si>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</si>
  <si>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</si>
  <si>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</si>
  <si>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</si>
  <si>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</si>
  <si>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</si>
  <si>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</si>
  <si>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</si>
  <si>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</si>
  <si>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</si>
  <si>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</si>
  <si>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</si>
  <si>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</si>
  <si>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</si>
  <si>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</si>
  <si>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</si>
  <si>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</si>
  <si>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</si>
  <si>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</si>
  <si>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</si>
  <si>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</si>
  <si>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</si>
  <si>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</si>
  <si>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</si>
  <si>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</si>
  <si>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</si>
  <si>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</si>
  <si>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</si>
  <si>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</si>
  <si>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</si>
  <si>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</si>
  <si>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</si>
  <si>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</si>
  <si>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</si>
  <si>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</si>
  <si>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</si>
  <si>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</si>
  <si>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</si>
  <si>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</si>
  <si>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</si>
  <si>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</si>
  <si>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</si>
  <si>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</si>
  <si>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</si>
  <si>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</si>
  <si>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</si>
  <si>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</si>
  <si>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</si>
  <si>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</si>
  <si>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</si>
  <si>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</si>
  <si>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</si>
  <si>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</si>
  <si>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</si>
  <si>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</si>
  <si>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</si>
  <si>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</si>
  <si>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</si>
  <si>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</si>
  <si>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</si>
  <si>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</si>
  <si>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</si>
  <si>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</si>
  <si>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</si>
  <si>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</si>
  <si>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</si>
  <si>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</si>
  <si>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</si>
  <si>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</si>
  <si>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</si>
  <si>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</si>
  <si>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</si>
  <si>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</si>
  <si>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</si>
  <si>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</si>
  <si>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</si>
  <si>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</si>
  <si>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</si>
  <si>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</si>
  <si>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</si>
  <si>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</si>
  <si>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</si>
  <si>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</si>
  <si>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</si>
  <si>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</si>
  <si>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</si>
  <si>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</si>
  <si>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</si>
  <si>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</si>
  <si>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</si>
  <si>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</si>
  <si>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</si>
  <si>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</si>
  <si>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</si>
  <si>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</si>
  <si>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</si>
  <si>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</si>
  <si>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</si>
  <si>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</si>
  <si>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</si>
  <si>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</si>
  <si>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</si>
  <si>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</si>
  <si>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</si>
  <si>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</si>
  <si>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</si>
  <si>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</si>
  <si>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</si>
  <si>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</si>
  <si>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</si>
  <si>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</si>
  <si>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</si>
  <si>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</si>
  <si>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</si>
  <si>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</si>
  <si>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</si>
  <si>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</si>
  <si>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</si>
  <si>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</si>
  <si>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</si>
  <si>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</si>
  <si>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</si>
  <si>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</si>
  <si>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</si>
  <si>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</si>
  <si>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</si>
  <si>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</si>
  <si>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</si>
  <si>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</si>
  <si>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</si>
  <si>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</si>
  <si>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</si>
  <si>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</si>
  <si>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</si>
  <si>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</si>
  <si>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</si>
  <si>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</si>
  <si>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</si>
  <si>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</si>
  <si>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</si>
  <si>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</si>
  <si>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</si>
  <si>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</si>
  <si>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</si>
  <si>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</si>
  <si>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</si>
  <si>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</si>
  <si>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</si>
  <si>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</si>
  <si>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</si>
  <si>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</si>
  <si>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</si>
  <si>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</si>
  <si>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</si>
  <si>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</si>
  <si>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</si>
  <si>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</si>
  <si>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</si>
  <si>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</si>
  <si>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</si>
  <si>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</si>
  <si>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</si>
  <si>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</si>
  <si>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</si>
  <si>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</si>
  <si>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</si>
  <si>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</si>
  <si>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</si>
  <si>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</si>
  <si>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</si>
  <si>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</si>
  <si>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</si>
  <si>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</si>
  <si>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</si>
  <si>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</si>
  <si>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</si>
  <si>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</si>
  <si>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</si>
  <si>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</si>
  <si>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</si>
  <si>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</si>
  <si>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</si>
  <si>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</si>
  <si>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</si>
  <si>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</si>
  <si>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</si>
  <si>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</si>
  <si>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</si>
  <si>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</si>
  <si>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</si>
  <si>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</si>
  <si>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</si>
  <si>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</si>
  <si>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</si>
  <si>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</si>
  <si>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</si>
  <si>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</si>
  <si>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</si>
  <si>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</si>
  <si>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</si>
  <si>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</si>
  <si>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</si>
  <si>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</si>
  <si>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</si>
  <si>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</si>
  <si>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</si>
  <si>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</si>
  <si>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</si>
  <si>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</si>
  <si>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</si>
  <si>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</si>
  <si>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</si>
  <si>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</si>
  <si>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</si>
  <si>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</si>
  <si>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</si>
  <si>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</si>
  <si>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</si>
  <si>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</si>
  <si>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</si>
  <si>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</si>
  <si>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</si>
  <si>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</si>
  <si>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</si>
  <si>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</si>
  <si>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</si>
  <si>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</si>
  <si>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</si>
  <si>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</si>
  <si>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</si>
  <si>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</si>
  <si>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</si>
  <si>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</si>
  <si>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</si>
  <si>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</si>
  <si>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</si>
  <si>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</si>
  <si>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</si>
  <si>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</si>
  <si>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</si>
  <si>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</si>
  <si>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</si>
  <si>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</si>
  <si>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</si>
  <si>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</si>
  <si>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</si>
  <si>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</si>
  <si>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</si>
  <si>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</si>
  <si>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</si>
  <si>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</si>
  <si>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</si>
  <si>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</si>
  <si>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</si>
  <si>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</si>
  <si>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Lambda scheduler configuration</t>
  </si>
  <si>
    <t>Claim ageing &amp; escalation batch job</t>
  </si>
  <si>
    <t>Reporting aggregation / ETL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</si>
  <si>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</si>
  <si>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</si>
  <si>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</si>
  <si>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</si>
  <si>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</si>
  <si>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</si>
  <si>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</si>
  <si>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</si>
  <si>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</si>
  <si>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</si>
  <si>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</si>
  <si>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</si>
  <si>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</si>
  <si>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</si>
  <si>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</si>
  <si>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</si>
  <si>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</si>
  <si>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</si>
  <si>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</si>
  <si>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</si>
  <si>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</si>
  <si>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</si>
  <si>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</si>
  <si>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</si>
  <si>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</si>
  <si>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</si>
  <si>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</si>
  <si>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</si>
  <si>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</si>
  <si>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</si>
  <si>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</si>
  <si>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</si>
  <si>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</si>
  <si>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</si>
  <si>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</si>
  <si>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</si>
  <si>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</si>
  <si>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</si>
  <si>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</si>
  <si>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</si>
  <si>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</si>
  <si>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</si>
  <si>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</si>
  <si>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</si>
  <si>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</si>
  <si>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</si>
  <si>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</si>
  <si>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</si>
  <si>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</si>
  <si>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</si>
  <si>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</si>
  <si>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</si>
  <si>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</si>
  <si>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</si>
  <si>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</si>
  <si>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</si>
  <si>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</si>
  <si>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</si>
  <si>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</si>
  <si>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</si>
  <si>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</si>
  <si>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</si>
  <si>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</si>
  <si>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W4–W24 · dev env W6; Auth + Claims MVP W10; portal betas W14/W18; integrated W22</t>
  </si>
  <si>
    <t>3. Testing (D)</t>
  </si>
  <si>
    <t>W20–W26 · overlaps the last 2 sprints; performance testing complete W26</t>
  </si>
  <si>
    <t>4. UAT (E.T1 + E.T2)</t>
  </si>
  <si>
    <t>W22–W30 · staging releases W22–W26; UAT W26–W30; sign-off W30</t>
  </si>
  <si>
    <t>5. Docs, Go-Live, Transition (E.T3+T4)</t>
  </si>
  <si>
    <t>W30–W35 · docs, training &amp; release prep W30–W33; go-live W33; hypercare + ops handover W33–W35</t>
  </si>
  <si>
    <t>6. PM &amp; Coordination (F)</t>
  </si>
  <si>
    <t>W0–W35 · across the whole plan</t>
  </si>
  <si>
    <t>Total (all six phases)</t>
  </si>
  <si>
    <t>ASSUMPTIONS &amp; NOTES</t>
  </si>
  <si>
    <t>1. Role mapping (9 people): TA = Solution Architect · BA = Business Analyst · TL = Project Manager · DEV = 2 BE + 2 FE + 1 DevOps · QA = QA Engineer · no GD (UX/visual design by FE devs).</t>
  </si>
  <si>
    <t xml:space="preserve">   PM effort = Section F on TL (80%) with architecture governance on TA (20%), plus PM coordination shares in A–E; DevOps effort sits inside DEV.</t>
  </si>
  <si>
    <t>3. Mobile app is out of scope: customers and surveyors use the responsive web portals; a native app would need a separate estimate.</t>
  </si>
  <si>
    <t>4. AWS run costs (infrastructure OpEx) are excluded, as are third-party SaaS/licence fees (Okta, Stripe, SES/SNS). Effort only, at a flat USD 224/PD.</t>
  </si>
  <si>
    <t>5. Calendar: 35 weeks, W0 = Mon 02-Nov-2026 to hypercare end Fri 02-Jul-2027; Mon–Fri weeks, no holiday calendar. This sheet is the plan of record; the Estimation auto-schedule is indicative.</t>
  </si>
  <si>
    <t>6. PM is funded at about 0.66 FTE on average (full-time W0–W3 and W22–W23); a full-time PM for all 35 weeks adds about 60 PD, which the reserve covers.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</si>
</sst>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0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2" fillId="9" borderId="0" xfId="0" applyFont="1" applyFill="1" applyAlignment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5" fontId="38" fillId="19" borderId="0" xfId="0" applyNumberFormat="1" applyFont="1" applyFill="1" applyAlignment="1">
      <alignment horizontal="left" vertical="center" wrapText="1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0" fontId="8" fillId="2" borderId="0" xfId="0" applyFont="1" applyFill="1" applyAlignment="1" applyProtection="1">
      <alignment horizontal="left" vertical="center" wrapText="1"/>
      <protection locked="0"/>
    </xf>
    <xf numFmtId="1" fontId="0" fillId="0" borderId="0" xfId="0" applyNumberFormat="1"/>
    <xf numFmtId="0" fontId="0" fillId="0" borderId="0" xfId="0"/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2" fillId="11" borderId="0" xfId="0" applyFont="1" applyFill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80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D35-45E6-AEE0-FC6EE0D78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35-45E6-AEE0-FC6EE0D78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D35-45E6-AEE0-FC6EE0D78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35-45E6-AEE0-FC6EE0D78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D35-45E6-AEE0-FC6EE0D78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35-45E6-AEE0-FC6EE0D789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1D35-45E6-AEE0-FC6EE0D789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D35-45E6-AEE0-FC6EE0D7892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D35-45E6-AEE0-FC6EE0D7892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35-45E6-AEE0-FC6EE0D7892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D35-45E6-AEE0-FC6EE0D7892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D35-45E6-AEE0-FC6EE0D78921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Estimation!$L$515:$L$520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Estimation!$O$515:$O$520</c:f>
              <c:numCache>
                <c:formatCode>0</c:formatCode>
                <c:ptCount val="6"/>
                <c:pt idx="0">
                  <c:v>70</c:v>
                </c:pt>
                <c:pt idx="1">
                  <c:v>73</c:v>
                </c:pt>
                <c:pt idx="2">
                  <c:v>520</c:v>
                </c:pt>
                <c:pt idx="3">
                  <c:v>96</c:v>
                </c:pt>
                <c:pt idx="4">
                  <c:v>120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513</xdr:row>
      <xdr:rowOff>100852</xdr:rowOff>
    </xdr:from>
    <xdr:to>
      <xdr:col>26</xdr:col>
      <xdr:colOff>515471</xdr:colOff>
      <xdr:row>521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828675</xdr:colOff>
          <xdr:row>9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2295525</xdr:colOff>
          <xdr:row>9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9525</xdr:colOff>
          <xdr:row>9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153150" y="3101976"/>
          <a:ext cx="1123950" cy="129540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57450" y="18951575"/>
          <a:ext cx="387985" cy="352425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607425" y="20761325"/>
          <a:ext cx="375285" cy="352425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64225" y="22028150"/>
          <a:ext cx="384810" cy="352425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6425" y="24374475"/>
          <a:ext cx="375285" cy="352425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826000" y="25974675"/>
          <a:ext cx="384810" cy="34290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95350" y="28257500"/>
          <a:ext cx="387985" cy="34290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019800" y="17713325"/>
          <a:ext cx="5914320" cy="26920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45050" y="26066750"/>
          <a:ext cx="6774644" cy="12063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2800"/>
    <tableColumn id="2" xr3:uid="{0F8F6660-2D00-4625-BBE6-F71E2E040B84}" name="Domain" dataDxfId="2799"/>
    <tableColumn id="3" xr3:uid="{041C478B-E1B5-4F42-9598-E65BF970BF50}" name="Functional Requirement" dataDxfId="279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2:H95" totalsRowShown="0" headerRowDxfId="2797" dataDxfId="2796">
  <autoFilter ref="A52:H95" xr:uid="{6FFAEAFF-4FEC-4388-B28A-F74C79707E99}"/>
  <tableColumns count="8">
    <tableColumn id="2" xr3:uid="{19B16CDA-12E3-4771-8F1B-DAF79DBFBC58}" name="FR ID" dataDxfId="2795"/>
    <tableColumn id="9" xr3:uid="{051A0721-089F-4BB3-8840-A5EBF0FE34B8}" name="Domain " dataDxfId="2794"/>
    <tableColumn id="3" xr3:uid="{1B881D4B-0FF3-4155-AEDC-460F6D36438B}" name="FR Description" dataDxfId="2793"/>
    <tableColumn id="4" xr3:uid="{F7DDFBA4-F0D8-4B94-A888-41B3433BD1CD}" name="UC ID" dataDxfId="2792"/>
    <tableColumn id="5" xr3:uid="{2F8AC885-77F3-4775-B2E8-6A0C94523A49}" name="Use Case Name" dataDxfId="2791"/>
    <tableColumn id="6" xr3:uid="{D4B0EF7F-9C41-430F-A537-74949248DCC0}" name="Primary Actor" dataDxfId="2790"/>
    <tableColumn id="7" xr3:uid="{8737C8CA-3C5C-4BBF-B836-ED434E00ED61}" name="Scenario Type" dataDxfId="2789"/>
    <tableColumn id="8" xr3:uid="{185B9EEF-EFD6-4554-AA77-D8C9266B3815}" name="Complexity" dataDxfId="278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2787" dataDxfId="2786">
  <autoFilter ref="D1:F25" xr:uid="{242FEB66-3D4E-4DCD-BED9-DEB3B9A0E510}"/>
  <tableColumns count="3">
    <tableColumn id="1" xr3:uid="{FC5A60FB-162F-437B-9D20-D7B8ED9CB2E8}" name="Use-case-ID" dataDxfId="2785"/>
    <tableColumn id="2" xr3:uid="{AE325896-5F74-4F6F-82C1-D0A2C45651FA}" name="Use Case Name" dataDxfId="2784"/>
    <tableColumn id="3" xr3:uid="{F22DF28E-9F7D-4C73-B137-C9CF0A52E7B5}" name="Primary Actor" dataDxfId="27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670"/>
  <sheetViews>
    <sheetView showGridLines="0" tabSelected="1" zoomScale="85" zoomScaleNormal="85" workbookViewId="0">
      <pane xSplit="11" ySplit="11" topLeftCell="L146" activePane="bottomRight" state="frozenSplit"/>
      <selection pane="topRight" activeCell="M1" sqref="M1"/>
      <selection pane="bottomLeft" activeCell="A17" sqref="A17"/>
      <selection pane="bottomRight" activeCell="N151" sqref="N151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06" t="s">
        <v>151</v>
      </c>
      <c r="D2" s="306"/>
      <c r="E2" s="306"/>
      <c r="F2" s="306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06"/>
      <c r="D3" s="306"/>
      <c r="E3" s="306"/>
      <c r="F3" s="306"/>
      <c r="G3" s="311" t="s">
        <v>474</v>
      </c>
      <c r="H3" s="311"/>
      <c r="I3" s="311"/>
      <c r="J3" s="311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IF(COUNTIF(AD9:AD453, "Error:*") = 0, "", COUNTIF(AD9:AD453, "Error:*") &amp; " errors")</f>
        <v>8 errors</v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06"/>
      <c r="D4" s="306"/>
      <c r="E4" s="306"/>
      <c r="F4" s="306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06"/>
      <c r="D5" s="306"/>
      <c r="E5" s="306"/>
      <c r="F5" s="306"/>
      <c r="G5" s="87"/>
      <c r="H5" s="199"/>
      <c r="I5" s="199" t="s">
        <v>271</v>
      </c>
      <c r="J5" s="312">
        <v>46295</v>
      </c>
      <c r="K5" s="312"/>
      <c r="L5" s="87"/>
      <c r="M5" s="255"/>
      <c r="N5" s="90" t="str">
        <f>IF(TOTAL_EFFORT&lt;=0, "", CHOSEN_CURRENCY&amp;" "&amp;TEXT(CEILING(($W$521/1000),1),"##,##,###")&amp;" K  ●  "&amp;TEXT(TOTAL_EFFORT,"##,##,###")&amp;" PDs ("&amp;TEXT(TOTAL_WEEKS,"##,###"&amp;" Wk)"))</f>
        <v>USD 213 K  ●  949 PDs (190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13" t="s">
        <v>110</v>
      </c>
      <c r="AC5" s="89"/>
      <c r="AD5" s="10"/>
    </row>
    <row r="6" spans="1:30" s="9" customFormat="1" ht="20.25" customHeight="1" x14ac:dyDescent="0.35">
      <c r="A6" s="86"/>
      <c r="C6" s="306"/>
      <c r="D6" s="306"/>
      <c r="E6" s="306"/>
      <c r="F6" s="306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35 Wk  (9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13"/>
      <c r="AC6" s="89"/>
      <c r="AD6" s="10"/>
    </row>
    <row r="7" spans="1:30" s="9" customFormat="1" ht="4.5" customHeight="1" x14ac:dyDescent="0.35">
      <c r="A7" s="86"/>
      <c r="C7" s="306"/>
      <c r="D7" s="306"/>
      <c r="E7" s="306"/>
      <c r="F7" s="306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06"/>
      <c r="D8" s="306"/>
      <c r="E8" s="306"/>
      <c r="F8" s="306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06"/>
      <c r="D9" s="306"/>
      <c r="E9" s="306"/>
      <c r="F9" s="306"/>
      <c r="G9" s="308" t="s">
        <v>131</v>
      </c>
      <c r="H9" s="308"/>
      <c r="I9" s="308"/>
      <c r="J9" s="308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07" t="s">
        <v>109</v>
      </c>
      <c r="D10" s="307"/>
      <c r="E10" s="307"/>
      <c r="F10" s="307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314" t="s">
        <v>57</v>
      </c>
      <c r="Q10" s="315"/>
      <c r="R10" s="316"/>
      <c r="S10" s="38"/>
      <c r="T10" s="227"/>
      <c r="U10" s="314" t="s">
        <v>58</v>
      </c>
      <c r="V10" s="315"/>
      <c r="W10" s="316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07" t="s">
        <v>152</v>
      </c>
      <c r="D11" s="307"/>
      <c r="E11" s="307"/>
      <c r="F11" s="307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30" t="s">
        <v>59</v>
      </c>
      <c r="T11" s="331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09" t="s">
        <v>150</v>
      </c>
      <c r="D12" s="310"/>
      <c r="E12" s="310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04">
        <f>CEILING(SUMIF(J13:J63, "&lt;&gt;Yes", T13:T63),1)</f>
        <v>70</v>
      </c>
      <c r="T12" s="304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303" t="s">
        <v>448</v>
      </c>
      <c r="N14" s="303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</v>
      </c>
      <c r="Z18" s="22">
        <v>-0.46100000000000002</v>
      </c>
      <c r="AA18" s="157">
        <f>Y18+Y18*VLOOKUP(I18,EXTRAS_ARRAY,2,FALSE)</f>
        <v>2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303" t="s">
        <v>631</v>
      </c>
      <c r="N20" s="303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</v>
      </c>
      <c r="Z23" s="22">
        <v>1.359</v>
      </c>
      <c r="AA23" s="157">
        <f>Y23+Y23*VLOOKUP(I23,EXTRAS_ARRAY,2,FALSE)</f>
        <v>4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303" t="s">
        <v>475</v>
      </c>
      <c r="N26" s="303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12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2">
        <v>1.254</v>
      </c>
      <c r="AA29" s="157">
        <f>Y29+Y29*VLOOKUP(I29,EXTRAS_ARRAY,2,FALSE)</f>
        <v>2.5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</v>
      </c>
      <c r="Z30" s="22">
        <v>-1.9810000000000001</v>
      </c>
      <c r="AA30" s="157">
        <f>Y30+Y30*VLOOKUP(I30,EXTRAS_ARRAY,2,FALSE)</f>
        <v>3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303" t="s">
        <v>476</v>
      </c>
      <c r="N33" s="303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303" t="s">
        <v>477</v>
      </c>
      <c r="N41" s="303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16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10</v>
      </c>
      <c r="Z43" s="22">
        <v>-9.9209999999999994</v>
      </c>
      <c r="AA43" s="157">
        <f>Y43+Y43*VLOOKUP(I43,EXTRAS_ARRAY,2,FALSE)</f>
        <v>10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303" t="s">
        <v>478</v>
      </c>
      <c r="N47" s="303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303" t="s">
        <v>479</v>
      </c>
      <c r="N56" s="303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4.8000000000000007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1.5</v>
      </c>
      <c r="Z60" s="22">
        <v>0.53900000000000003</v>
      </c>
      <c r="AA60" s="157">
        <f>Y60+Y60*VLOOKUP(I60,EXTRAS_ARRAY,2,FALSE)</f>
        <v>1.5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04">
        <f>CEILING(SUMIF(J65:J93, "&lt;&gt;Yes", T65:T93),1)</f>
        <v>73</v>
      </c>
      <c r="T64" s="304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303" t="s">
        <v>448</v>
      </c>
      <c r="N66" s="303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303" t="s">
        <v>450</v>
      </c>
      <c r="N71" s="303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303" t="s">
        <v>453</v>
      </c>
      <c r="N75" s="303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30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8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8</v>
      </c>
      <c r="Z78" s="22">
        <v>-12.250999999999999</v>
      </c>
      <c r="AA78" s="157">
        <f>Y78+Y78*VLOOKUP(I78,EXTRAS_ARRAY,2,FALSE)</f>
        <v>8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303" t="s">
        <v>451</v>
      </c>
      <c r="N82" s="303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4.1999999999999993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4.2999999999999989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4.3999999999999986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4.4999999999999982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4.5999999999999979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4.6999999999999975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4.7999999999999972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04">
        <f>CEILING(SUMIF(J95:J380, "&lt;&gt;Yes", T95:T380),1)</f>
        <v>520</v>
      </c>
      <c r="T94" s="304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303" t="s">
        <v>987</v>
      </c>
      <c r="N96" s="303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1.2000000000000002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1.3000000000000003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302" t="s">
        <v>878</v>
      </c>
      <c r="N102" s="302"/>
      <c r="O102" s="80"/>
      <c r="P102" s="81"/>
      <c r="Q102" s="81"/>
      <c r="R102" s="81"/>
      <c r="S102" s="293">
        <f>SUMGROUP(ROW(), "T")</f>
        <v>73</v>
      </c>
      <c r="T102" s="293"/>
      <c r="U102" s="294"/>
      <c r="V102" s="294"/>
      <c r="W102" s="294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303" t="s">
        <v>991</v>
      </c>
      <c r="N103" s="303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2.2000000000000002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2.3000000000000003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2.4000000000000004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2.5000000000000004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2.6000000000000005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2.7000000000000006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outlineLevel="1" collapsed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303" t="s">
        <v>998</v>
      </c>
      <c r="N113" s="303"/>
      <c r="O113" s="5"/>
      <c r="P113" s="30"/>
      <c r="Q113" s="30"/>
      <c r="R113" s="30"/>
      <c r="S113" s="30"/>
      <c r="T113" s="155">
        <f>IF($S$6="Exclude", SUMIFS(S114:S122, J114:J122, "&lt;&gt;Yes", G114:G122, "&lt;&gt;Yes"), SUMIFS(S114:S122, J114:J122, "&lt;&gt;Yes"))</f>
        <v>14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hidden="1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hidden="1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hidden="1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hidden="1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3.3000000000000003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hidden="1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3.4000000000000004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hidden="1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3.5000000000000004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hidden="1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3.6000000000000005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hidden="1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3.7000000000000006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s="9" customFormat="1" ht="7.5" hidden="1" customHeight="1" outlineLevel="2" x14ac:dyDescent="0.35">
      <c r="A122" s="86" t="s">
        <v>132</v>
      </c>
      <c r="B122" s="15"/>
      <c r="C122" s="72"/>
      <c r="D122" s="72"/>
      <c r="E122" s="72"/>
      <c r="F122" s="72"/>
      <c r="M122" s="252"/>
      <c r="T122" s="15"/>
      <c r="X122" s="15"/>
      <c r="AB122" s="10"/>
      <c r="AC122" s="10"/>
      <c r="AD122" s="10"/>
    </row>
    <row r="123" spans="1:30" s="14" customFormat="1" ht="15.5" outlineLevel="1" collapsed="1" x14ac:dyDescent="0.35">
      <c r="A123" s="86" t="s">
        <v>100</v>
      </c>
      <c r="B123" s="18"/>
      <c r="C123" s="77"/>
      <c r="D123" s="77"/>
      <c r="E123" s="77"/>
      <c r="F123" s="76"/>
      <c r="G123" s="29"/>
      <c r="H123" s="29"/>
      <c r="I123" s="29"/>
      <c r="J123" s="29"/>
      <c r="K123" s="29"/>
      <c r="L123" s="17">
        <f ca="1">LOOKUP(1000,INDIRECT("L1:"&amp;CELL("address",INDIRECT("R[-1]C",FALSE))))+1</f>
        <v>4</v>
      </c>
      <c r="M123" s="303" t="s">
        <v>1006</v>
      </c>
      <c r="N123" s="303"/>
      <c r="O123" s="5"/>
      <c r="P123" s="30"/>
      <c r="Q123" s="30"/>
      <c r="R123" s="30"/>
      <c r="S123" s="30"/>
      <c r="T123" s="155">
        <f>IF($S$6="Exclude", SUMIFS(S124:S130, J124:J130, "&lt;&gt;Yes", G124:G130, "&lt;&gt;Yes"), SUMIFS(S124:S130, J124:J130, "&lt;&gt;Yes"))</f>
        <v>18</v>
      </c>
      <c r="U123" s="30"/>
      <c r="V123" s="30"/>
      <c r="W123" s="30"/>
      <c r="X123" s="31"/>
      <c r="Y123" s="32"/>
      <c r="Z123" s="32"/>
      <c r="AA123" s="32"/>
      <c r="AB123" s="219" t="s">
        <v>947</v>
      </c>
      <c r="AC123" s="33"/>
      <c r="AD123" s="23" t="str">
        <f>IF(M123="", "Error: Task name cannot be empty.", "")</f>
        <v/>
      </c>
    </row>
    <row r="124" spans="1:30" s="12" customFormat="1" ht="1.5" hidden="1" customHeight="1" outlineLevel="2" x14ac:dyDescent="0.35">
      <c r="A124" s="86" t="s">
        <v>101</v>
      </c>
      <c r="B124" s="18"/>
      <c r="C124" s="77"/>
      <c r="D124" s="77"/>
      <c r="E124" s="77"/>
      <c r="F124" s="76"/>
      <c r="G124" s="29"/>
      <c r="H124" s="29"/>
      <c r="I124" s="29"/>
      <c r="J124" s="29"/>
      <c r="K124" s="29"/>
      <c r="L124" s="163">
        <f ca="1">L123</f>
        <v>4</v>
      </c>
      <c r="M124" s="164" t="s">
        <v>105</v>
      </c>
      <c r="N124" s="161"/>
      <c r="O124" s="162"/>
      <c r="P124" s="30"/>
      <c r="Q124" s="30"/>
      <c r="R124" s="30"/>
      <c r="S124" s="30"/>
      <c r="T124" s="155"/>
      <c r="U124" s="30"/>
      <c r="V124" s="30"/>
      <c r="W124" s="30"/>
      <c r="X124" s="31"/>
      <c r="Y124" s="32"/>
      <c r="Z124" s="32"/>
      <c r="AA124" s="32"/>
      <c r="AB124" s="33"/>
      <c r="AC124" s="33"/>
      <c r="AD124" s="23"/>
    </row>
    <row r="125" spans="1:30" ht="15.5" hidden="1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 t="str">
        <f ca="1">IFERROR(OFFSET(M125,-1,,1,1)+0.1,OFFSET(M125,-1,-1,1,1)&amp;".1")</f>
        <v>4.1</v>
      </c>
      <c r="N125" s="20" t="s">
        <v>1007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29" hidden="1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4.1999999999999993</v>
      </c>
      <c r="N126" s="20" t="s">
        <v>1008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5</v>
      </c>
      <c r="T126" s="158"/>
      <c r="U126" s="21">
        <v>0</v>
      </c>
      <c r="V126" s="21">
        <v>1</v>
      </c>
      <c r="W126" s="21">
        <v>0</v>
      </c>
      <c r="X126" s="156">
        <v>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5</v>
      </c>
      <c r="Z126" s="22"/>
      <c r="AA126" s="157">
        <f>Y126+Y126*VLOOKUP(I126,EXTRAS_ARRAY,2,FALSE)</f>
        <v>5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15.5" hidden="1" outlineLevel="2" x14ac:dyDescent="0.35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4.2999999999999989</v>
      </c>
      <c r="N127" s="20" t="s">
        <v>1009</v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5</v>
      </c>
      <c r="T127" s="158"/>
      <c r="U127" s="21">
        <v>0</v>
      </c>
      <c r="V127" s="21">
        <v>1</v>
      </c>
      <c r="W127" s="21">
        <v>0</v>
      </c>
      <c r="X127" s="156">
        <v>5</v>
      </c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5</v>
      </c>
      <c r="Z127" s="22"/>
      <c r="AA127" s="157">
        <f>Y127+Y127*VLOOKUP(I127,EXTRAS_ARRAY,2,FALSE)</f>
        <v>5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ht="29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>
        <f ca="1">IFERROR(OFFSET(M128,-1,,1,1)+0.1,OFFSET(M128,-1,-1,1,1)&amp;".1")</f>
        <v>4.3999999999999986</v>
      </c>
      <c r="N128" s="20" t="s">
        <v>1010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15.5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4.4999999999999982</v>
      </c>
      <c r="N129" s="20" t="s">
        <v>1011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2</v>
      </c>
      <c r="T129" s="158"/>
      <c r="U129" s="21">
        <v>0</v>
      </c>
      <c r="V129" s="21">
        <v>1</v>
      </c>
      <c r="W129" s="21">
        <v>0</v>
      </c>
      <c r="X129" s="156">
        <v>2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2</v>
      </c>
      <c r="Z129" s="22"/>
      <c r="AA129" s="157">
        <f>Y129+Y129*VLOOKUP(I129,EXTRAS_ARRAY,2,FALSE)</f>
        <v>2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s="9" customFormat="1" ht="7.5" hidden="1" customHeight="1" outlineLevel="2" x14ac:dyDescent="0.35">
      <c r="A130" s="86" t="s">
        <v>132</v>
      </c>
      <c r="B130" s="15"/>
      <c r="C130" s="72"/>
      <c r="D130" s="72"/>
      <c r="E130" s="72"/>
      <c r="F130" s="72"/>
      <c r="M130" s="252"/>
      <c r="T130" s="15"/>
      <c r="X130" s="15"/>
      <c r="AB130" s="10"/>
      <c r="AC130" s="10"/>
      <c r="AD130" s="10"/>
    </row>
    <row r="131" spans="1:30" s="14" customFormat="1" ht="29" outlineLevel="1" collapsed="1" x14ac:dyDescent="0.35">
      <c r="A131" s="86" t="s">
        <v>100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7">
        <f ca="1">LOOKUP(1000,INDIRECT("L1:"&amp;CELL("address",INDIRECT("R[-1]C",FALSE))))+1</f>
        <v>5</v>
      </c>
      <c r="M131" s="303" t="s">
        <v>1012</v>
      </c>
      <c r="N131" s="303"/>
      <c r="O131" s="5"/>
      <c r="P131" s="30"/>
      <c r="Q131" s="30"/>
      <c r="R131" s="30"/>
      <c r="S131" s="30"/>
      <c r="T131" s="155">
        <f>IF($S$6="Exclude", SUMIFS(S132:S138, J132:J138, "&lt;&gt;Yes", G132:G138, "&lt;&gt;Yes"), SUMIFS(S132:S138, J132:J138, "&lt;&gt;Yes"))</f>
        <v>12</v>
      </c>
      <c r="U131" s="30"/>
      <c r="V131" s="30"/>
      <c r="W131" s="30"/>
      <c r="X131" s="31"/>
      <c r="Y131" s="32"/>
      <c r="Z131" s="32"/>
      <c r="AA131" s="32"/>
      <c r="AB131" s="219" t="s">
        <v>1013</v>
      </c>
      <c r="AC131" s="33"/>
      <c r="AD131" s="23" t="str">
        <f>IF(M131="", "Error: Task name cannot be empty.", "")</f>
        <v/>
      </c>
    </row>
    <row r="132" spans="1:30" s="12" customFormat="1" ht="1.5" hidden="1" customHeight="1" outlineLevel="2" x14ac:dyDescent="0.35">
      <c r="A132" s="86" t="s">
        <v>101</v>
      </c>
      <c r="B132" s="18"/>
      <c r="C132" s="77"/>
      <c r="D132" s="77"/>
      <c r="E132" s="77"/>
      <c r="F132" s="76"/>
      <c r="G132" s="29"/>
      <c r="H132" s="29"/>
      <c r="I132" s="29"/>
      <c r="J132" s="29"/>
      <c r="K132" s="29"/>
      <c r="L132" s="163">
        <f ca="1">L131</f>
        <v>5</v>
      </c>
      <c r="M132" s="164" t="s">
        <v>105</v>
      </c>
      <c r="N132" s="161"/>
      <c r="O132" s="162"/>
      <c r="P132" s="30"/>
      <c r="Q132" s="30"/>
      <c r="R132" s="30"/>
      <c r="S132" s="30"/>
      <c r="T132" s="155"/>
      <c r="U132" s="30"/>
      <c r="V132" s="30"/>
      <c r="W132" s="30"/>
      <c r="X132" s="31"/>
      <c r="Y132" s="32"/>
      <c r="Z132" s="32"/>
      <c r="AA132" s="32"/>
      <c r="AB132" s="33"/>
      <c r="AC132" s="33"/>
      <c r="AD132" s="23"/>
    </row>
    <row r="133" spans="1:30" ht="29" hidden="1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 t="str">
        <f ca="1">IFERROR(OFFSET(M133,-1,,1,1)+0.1,OFFSET(M133,-1,-1,1,1)&amp;".1")</f>
        <v>5.1</v>
      </c>
      <c r="N133" s="20" t="s">
        <v>1014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5" hidden="1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5.1999999999999993</v>
      </c>
      <c r="N134" s="20" t="s">
        <v>1015</v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3</v>
      </c>
      <c r="T134" s="158"/>
      <c r="U134" s="21">
        <v>0</v>
      </c>
      <c r="V134" s="21">
        <v>1</v>
      </c>
      <c r="W134" s="21">
        <v>0</v>
      </c>
      <c r="X134" s="156">
        <v>3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3</v>
      </c>
      <c r="Z134" s="22"/>
      <c r="AA134" s="157">
        <f>Y134+Y134*VLOOKUP(I134,EXTRAS_ARRAY,2,FALSE)</f>
        <v>3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15.5" hidden="1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5.2999999999999989</v>
      </c>
      <c r="N135" s="20" t="s">
        <v>1016</v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3</v>
      </c>
      <c r="T135" s="158"/>
      <c r="U135" s="21">
        <v>0</v>
      </c>
      <c r="V135" s="21">
        <v>1</v>
      </c>
      <c r="W135" s="21">
        <v>0</v>
      </c>
      <c r="X135" s="156">
        <v>3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3</v>
      </c>
      <c r="Z135" s="22"/>
      <c r="AA135" s="157">
        <f>Y135+Y135*VLOOKUP(I135,EXTRAS_ARRAY,2,FALSE)</f>
        <v>3</v>
      </c>
      <c r="AB135" s="20"/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>
        <f ca="1">IFERROR(OFFSET(M136,-1,,1,1)+0.1,OFFSET(M136,-1,-1,1,1)&amp;".1")</f>
        <v>5.3999999999999986</v>
      </c>
      <c r="N136" s="20" t="s">
        <v>1017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1.5</v>
      </c>
      <c r="T136" s="158"/>
      <c r="U136" s="21">
        <v>0</v>
      </c>
      <c r="V136" s="21">
        <v>1</v>
      </c>
      <c r="W136" s="21">
        <v>0</v>
      </c>
      <c r="X136" s="156">
        <v>1.5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1.5</v>
      </c>
      <c r="Z136" s="22"/>
      <c r="AA136" s="157">
        <f>Y136+Y136*VLOOKUP(I136,EXTRAS_ARRAY,2,FALSE)</f>
        <v>1.5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5.4999999999999982</v>
      </c>
      <c r="N137" s="20" t="s">
        <v>1018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1.5</v>
      </c>
      <c r="T137" s="158"/>
      <c r="U137" s="21">
        <v>0</v>
      </c>
      <c r="V137" s="21">
        <v>1</v>
      </c>
      <c r="W137" s="21">
        <v>0</v>
      </c>
      <c r="X137" s="156">
        <v>1.5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1.5</v>
      </c>
      <c r="Z137" s="22"/>
      <c r="AA137" s="157">
        <f>Y137+Y137*VLOOKUP(I137,EXTRAS_ARRAY,2,FALSE)</f>
        <v>1.5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s="9" customFormat="1" ht="7.5" hidden="1" customHeight="1" outlineLevel="2" x14ac:dyDescent="0.35">
      <c r="A138" s="86" t="s">
        <v>132</v>
      </c>
      <c r="B138" s="15"/>
      <c r="C138" s="72"/>
      <c r="D138" s="72"/>
      <c r="E138" s="72"/>
      <c r="F138" s="72"/>
      <c r="M138" s="252"/>
      <c r="T138" s="15"/>
      <c r="X138" s="15"/>
      <c r="AB138" s="10"/>
      <c r="AC138" s="10"/>
      <c r="AD138" s="10"/>
    </row>
    <row r="139" spans="1:30" s="14" customFormat="1" ht="15.5" outlineLevel="1" x14ac:dyDescent="0.35">
      <c r="A139" s="86" t="s">
        <v>100</v>
      </c>
      <c r="B139" s="18"/>
      <c r="C139" s="77"/>
      <c r="D139" s="77"/>
      <c r="E139" s="77"/>
      <c r="F139" s="76"/>
      <c r="G139" s="29"/>
      <c r="H139" s="29"/>
      <c r="I139" s="29"/>
      <c r="J139" s="29"/>
      <c r="K139" s="29"/>
      <c r="L139" s="17">
        <f ca="1">LOOKUP(1000,INDIRECT("L1:"&amp;CELL("address",INDIRECT("R[-1]C",FALSE))))+1</f>
        <v>6</v>
      </c>
      <c r="M139" s="303" t="s">
        <v>1019</v>
      </c>
      <c r="N139" s="303"/>
      <c r="O139" s="5"/>
      <c r="P139" s="30"/>
      <c r="Q139" s="30"/>
      <c r="R139" s="30"/>
      <c r="S139" s="30"/>
      <c r="T139" s="155">
        <f>IF($S$6="Exclude", SUMIFS(S140:S146, J140:J146, "&lt;&gt;Yes", G140:G146, "&lt;&gt;Yes"), SUMIFS(S140:S146, J140:J146, "&lt;&gt;Yes"))</f>
        <v>13</v>
      </c>
      <c r="U139" s="30"/>
      <c r="V139" s="30"/>
      <c r="W139" s="30"/>
      <c r="X139" s="31"/>
      <c r="Y139" s="32"/>
      <c r="Z139" s="32"/>
      <c r="AA139" s="32"/>
      <c r="AB139" s="219" t="s">
        <v>948</v>
      </c>
      <c r="AC139" s="33"/>
      <c r="AD139" s="23" t="str">
        <f>IF(M139="", "Error: Task name cannot be empty.", "")</f>
        <v/>
      </c>
    </row>
    <row r="140" spans="1:30" s="12" customFormat="1" ht="1.5" customHeight="1" outlineLevel="2" x14ac:dyDescent="0.35">
      <c r="A140" s="86" t="s">
        <v>101</v>
      </c>
      <c r="B140" s="18"/>
      <c r="C140" s="77"/>
      <c r="D140" s="77"/>
      <c r="E140" s="77"/>
      <c r="F140" s="76"/>
      <c r="G140" s="29"/>
      <c r="H140" s="29"/>
      <c r="I140" s="29"/>
      <c r="J140" s="29"/>
      <c r="K140" s="29"/>
      <c r="L140" s="163">
        <f ca="1">L139</f>
        <v>6</v>
      </c>
      <c r="M140" s="164" t="s">
        <v>105</v>
      </c>
      <c r="N140" s="161"/>
      <c r="O140" s="162"/>
      <c r="P140" s="30"/>
      <c r="Q140" s="30"/>
      <c r="R140" s="30"/>
      <c r="S140" s="30"/>
      <c r="T140" s="155"/>
      <c r="U140" s="30"/>
      <c r="V140" s="30"/>
      <c r="W140" s="30"/>
      <c r="X140" s="31"/>
      <c r="Y140" s="32"/>
      <c r="Z140" s="32"/>
      <c r="AA140" s="32"/>
      <c r="AB140" s="33"/>
      <c r="AC140" s="33"/>
      <c r="AD140" s="23"/>
    </row>
    <row r="141" spans="1:30" ht="29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 t="str">
        <f ca="1">IFERROR(OFFSET(M141,-1,,1,1)+0.1,OFFSET(M141,-1,-1,1,1)&amp;".1")</f>
        <v>6.1</v>
      </c>
      <c r="N141" s="20" t="s">
        <v>1020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4</v>
      </c>
      <c r="T141" s="158"/>
      <c r="U141" s="21">
        <v>0.25</v>
      </c>
      <c r="V141" s="21">
        <v>0.5</v>
      </c>
      <c r="W141" s="21">
        <v>0.25</v>
      </c>
      <c r="X141" s="156">
        <v>4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4</v>
      </c>
      <c r="Z141" s="22"/>
      <c r="AA141" s="157">
        <f>Y141+Y141*VLOOKUP(I141,EXTRAS_ARRAY,2,FALSE)</f>
        <v>4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6.1999999999999993</v>
      </c>
      <c r="N142" s="20" t="s">
        <v>1021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3</v>
      </c>
      <c r="T142" s="158"/>
      <c r="U142" s="21">
        <v>0</v>
      </c>
      <c r="V142" s="21">
        <v>1</v>
      </c>
      <c r="W142" s="21">
        <v>0</v>
      </c>
      <c r="X142" s="156">
        <v>3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3</v>
      </c>
      <c r="Z142" s="22"/>
      <c r="AA142" s="157">
        <f>Y142+Y142*VLOOKUP(I142,EXTRAS_ARRAY,2,FALSE)</f>
        <v>3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6.2999999999999989</v>
      </c>
      <c r="N143" s="20" t="s">
        <v>1022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2.5</v>
      </c>
      <c r="T143" s="158"/>
      <c r="U143" s="21">
        <v>0</v>
      </c>
      <c r="V143" s="21">
        <v>1</v>
      </c>
      <c r="W143" s="21">
        <v>0</v>
      </c>
      <c r="X143" s="156">
        <v>2.5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2.5</v>
      </c>
      <c r="Z143" s="22"/>
      <c r="AA143" s="157">
        <f>Y143+Y143*VLOOKUP(I143,EXTRAS_ARRAY,2,FALSE)</f>
        <v>2.5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5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>
        <f ca="1">IFERROR(OFFSET(M144,-1,,1,1)+0.1,OFFSET(M144,-1,-1,1,1)&amp;".1")</f>
        <v>6.3999999999999986</v>
      </c>
      <c r="N144" s="20" t="s">
        <v>1023</v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58"/>
      <c r="U144" s="21">
        <v>0</v>
      </c>
      <c r="V144" s="21">
        <v>1</v>
      </c>
      <c r="W144" s="21">
        <v>0</v>
      </c>
      <c r="X144" s="156">
        <v>2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2"/>
      <c r="AA144" s="157">
        <f>Y144+Y144*VLOOKUP(I144,EXTRAS_ARRAY,2,FALSE)</f>
        <v>2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15.5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6.4999999999999982</v>
      </c>
      <c r="N145" s="20" t="s">
        <v>1024</v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1.5</v>
      </c>
      <c r="T145" s="158"/>
      <c r="U145" s="21">
        <v>0</v>
      </c>
      <c r="V145" s="21">
        <v>1</v>
      </c>
      <c r="W145" s="21">
        <v>0</v>
      </c>
      <c r="X145" s="156">
        <v>1.5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1.5</v>
      </c>
      <c r="Z145" s="22"/>
      <c r="AA145" s="157">
        <f>Y145+Y145*VLOOKUP(I145,EXTRAS_ARRAY,2,FALSE)</f>
        <v>1.5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s="9" customFormat="1" ht="7.5" customHeight="1" outlineLevel="2" x14ac:dyDescent="0.35">
      <c r="A146" s="86" t="s">
        <v>132</v>
      </c>
      <c r="B146" s="15"/>
      <c r="C146" s="72"/>
      <c r="D146" s="72"/>
      <c r="E146" s="72"/>
      <c r="F146" s="72"/>
      <c r="M146" s="252"/>
      <c r="T146" s="15"/>
      <c r="X146" s="15"/>
      <c r="AB146" s="10"/>
      <c r="AC146" s="10"/>
      <c r="AD146" s="10"/>
    </row>
    <row r="147" spans="1:30" s="14" customFormat="1" ht="15.5" outlineLevel="1" x14ac:dyDescent="0.35">
      <c r="A147" s="86" t="s">
        <v>100</v>
      </c>
      <c r="B147" s="18"/>
      <c r="C147" s="77"/>
      <c r="D147" s="77"/>
      <c r="E147" s="77"/>
      <c r="F147" s="76"/>
      <c r="G147" s="29"/>
      <c r="H147" s="29"/>
      <c r="I147" s="29"/>
      <c r="J147" s="29"/>
      <c r="K147" s="29"/>
      <c r="L147" s="17">
        <f ca="1">LOOKUP(1000,INDIRECT("L1:"&amp;CELL("address",INDIRECT("R[-1]C",FALSE))))+1</f>
        <v>7</v>
      </c>
      <c r="M147" s="303" t="s">
        <v>108</v>
      </c>
      <c r="N147" s="303"/>
      <c r="O147" s="5"/>
      <c r="P147" s="30"/>
      <c r="Q147" s="30"/>
      <c r="R147" s="30"/>
      <c r="S147" s="30"/>
      <c r="T147" s="155">
        <f>IF($S$6="Exclude", SUMIFS(S148:S155, J148:J155, "&lt;&gt;Yes", G148:G155, "&lt;&gt;Yes"), SUMIFS(S148:S155, J148:J155, "&lt;&gt;Yes"))</f>
        <v>0</v>
      </c>
      <c r="U147" s="30"/>
      <c r="V147" s="30"/>
      <c r="W147" s="30"/>
      <c r="X147" s="31"/>
      <c r="Y147" s="32"/>
      <c r="Z147" s="32"/>
      <c r="AA147" s="32"/>
      <c r="AB147" s="219" t="s">
        <v>439</v>
      </c>
      <c r="AC147" s="33"/>
      <c r="AD147" s="23" t="str">
        <f>IF(M147="", "Error: Task name cannot be empty.", "")</f>
        <v/>
      </c>
    </row>
    <row r="148" spans="1:30" s="12" customFormat="1" ht="1.5" customHeight="1" outlineLevel="2" x14ac:dyDescent="0.35">
      <c r="A148" s="86" t="s">
        <v>101</v>
      </c>
      <c r="B148" s="18"/>
      <c r="C148" s="77"/>
      <c r="D148" s="77"/>
      <c r="E148" s="77"/>
      <c r="F148" s="76"/>
      <c r="G148" s="29"/>
      <c r="H148" s="29"/>
      <c r="I148" s="29"/>
      <c r="J148" s="29"/>
      <c r="K148" s="29"/>
      <c r="L148" s="163">
        <f ca="1">L147</f>
        <v>7</v>
      </c>
      <c r="M148" s="164" t="s">
        <v>105</v>
      </c>
      <c r="N148" s="161"/>
      <c r="O148" s="162"/>
      <c r="P148" s="30"/>
      <c r="Q148" s="30"/>
      <c r="R148" s="30"/>
      <c r="S148" s="30"/>
      <c r="T148" s="155"/>
      <c r="U148" s="30"/>
      <c r="V148" s="30"/>
      <c r="W148" s="30"/>
      <c r="X148" s="31"/>
      <c r="Y148" s="32"/>
      <c r="Z148" s="32"/>
      <c r="AA148" s="32"/>
      <c r="AB148" s="33"/>
      <c r="AC148" s="33"/>
      <c r="AD148" s="23"/>
    </row>
    <row r="149" spans="1:30" ht="58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 t="str">
        <f ca="1">IFERROR(OFFSET(M149,-1,,1,1)+0.1,OFFSET(M149,-1,-1,1,1)&amp;".1")</f>
        <v>7.1</v>
      </c>
      <c r="N149" s="20" t="s">
        <v>438</v>
      </c>
      <c r="O149" s="20"/>
      <c r="P149" s="20"/>
      <c r="Q149" s="134"/>
      <c r="R149" s="127"/>
      <c r="S149" s="157">
        <f>CEILING((IF(J149="Yes", 0, IF(H149="-",AA149,AA149+AA149*VLOOKUP(H149,BUFFERS_BY_TYPE,2,FALSE)))) +
   (IF(J149="Yes", 0, IF(H149="-",AA149,AA149+AA149*VLOOKUP(H149,BUFFERS_BY_TYPE,2,FALSE))))*VLOOKUP($S$5, SALES_CALL_SCALE_ARRAY, 2,FALSE),0.25)</f>
        <v>0</v>
      </c>
      <c r="T149" s="158"/>
      <c r="U149" s="21">
        <v>0</v>
      </c>
      <c r="V149" s="21">
        <v>1</v>
      </c>
      <c r="W149" s="21">
        <v>0</v>
      </c>
      <c r="X149" s="156"/>
      <c r="Y149" s="157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0</v>
      </c>
      <c r="Z149" s="22"/>
      <c r="AA149" s="157">
        <f>Y149+Y149*VLOOKUP(I149,EXTRAS_ARRAY,2,FALSE)</f>
        <v>0</v>
      </c>
      <c r="AB149" s="20" t="s">
        <v>440</v>
      </c>
      <c r="AC149" s="34"/>
      <c r="AD149" s="23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>Error: Effort value is not defined or is invalid.</v>
      </c>
    </row>
    <row r="150" spans="1:30" ht="58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>
        <f ca="1">IFERROR(OFFSET(M150,-1,,1,1)+0.1,OFFSET(M150,-1,-1,1,1)&amp;".1")</f>
        <v>7.1999999999999993</v>
      </c>
      <c r="N150" s="20" t="s">
        <v>438</v>
      </c>
      <c r="O150" s="20"/>
      <c r="P150" s="20"/>
      <c r="Q150" s="134"/>
      <c r="R150" s="127"/>
      <c r="S150" s="157">
        <f>CEILING((IF(J150="Yes", 0, IF(H150="-",AA150,AA150+AA150*VLOOKUP(H150,BUFFERS_BY_TYPE,2,FALSE)))) +
   (IF(J150="Yes", 0, IF(H150="-",AA150,AA150+AA150*VLOOKUP(H150,BUFFERS_BY_TYPE,2,FALSE))))*VLOOKUP($S$5, SALES_CALL_SCALE_ARRAY, 2,FALSE),0.25)</f>
        <v>0</v>
      </c>
      <c r="T150" s="158"/>
      <c r="U150" s="21">
        <v>0</v>
      </c>
      <c r="V150" s="21">
        <v>1</v>
      </c>
      <c r="W150" s="21">
        <v>0</v>
      </c>
      <c r="X150" s="156"/>
      <c r="Y150" s="157">
        <f>CEILING((IF(P150=AS_DEV_EFFORT, DEV_EFFORT*Q150%,
                           IF(P150=AS_DURATION_EFFORT, (MANUAL_DURATION*5)*Q150%,
                                    (IF(Q150&lt;=1,X150,
                                          IF(SUM(U150:W150)=0,(Q150*X150),
                                               (((Q150*U150)*(X150+(X150*EXTRA_FOR_H)))+
                                               ((Q150*V150)*X150)+
                                               ((Q150*W150)*(X150-(X150*LESS_FOR_L)))
                                    )*IF(R150=0,1,R150))))))+Z150), 0.25)</f>
        <v>0</v>
      </c>
      <c r="Z150" s="22"/>
      <c r="AA150" s="157">
        <f>Y150+Y150*VLOOKUP(I150,EXTRAS_ARRAY,2,FALSE)</f>
        <v>0</v>
      </c>
      <c r="AB150" s="20" t="s">
        <v>440</v>
      </c>
      <c r="AC150" s="34"/>
      <c r="AD150" s="23" t="str">
        <f>IF(J150&lt;&gt;"Yes",
IF(S150&lt;=0,"Error: Effort value is not defined or is invalid.",
IF(AND(SUM(U150:W150)&gt;0,SUM(U150:W150)&lt;&gt;1),"Error: Complexity % distribution should sum to 100%.",
IF(AND(P150=AS_DEV_EFFORT,X150&lt;&gt;0),"Error: PDs should not be defined when defining as dev effort %.",
IF(AND(P150=AS_DURATION_EFFORT,X150&lt;&gt;0),"Error: PDs should not be defined when defining as duration effort %.","")))))</f>
        <v>Error: Effort value is not defined or is invalid.</v>
      </c>
    </row>
    <row r="151" spans="1:30" ht="58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ca="1">IFERROR(OFFSET(M151,-1,,1,1)+0.1,OFFSET(M151,-1,-1,1,1)&amp;".1")</f>
        <v>7.2999999999999989</v>
      </c>
      <c r="N151" s="20" t="s">
        <v>438</v>
      </c>
      <c r="O151" s="20"/>
      <c r="P151" s="20"/>
      <c r="Q151" s="134"/>
      <c r="R151" s="127"/>
      <c r="S151" s="157">
        <f>CEILING((IF(J151="Yes", 0, IF(H151="-",AA151,AA151+AA151*VLOOKUP(H151,BUFFERS_BY_TYPE,2,FALSE)))) +
   (IF(J151="Yes", 0, IF(H151="-",AA151,AA151+AA151*VLOOKUP(H151,BUFFERS_BY_TYPE,2,FALSE))))*VLOOKUP($S$5, SALES_CALL_SCALE_ARRAY, 2,FALSE),0.25)</f>
        <v>0</v>
      </c>
      <c r="T151" s="158"/>
      <c r="U151" s="21">
        <v>0</v>
      </c>
      <c r="V151" s="21">
        <v>1</v>
      </c>
      <c r="W151" s="21">
        <v>0</v>
      </c>
      <c r="X151" s="156"/>
      <c r="Y151" s="157">
        <f>CEILING((IF(P151=AS_DEV_EFFORT, DEV_EFFORT*Q151%,
                           IF(P151=AS_DURATION_EFFORT, (MANUAL_DURATION*5)*Q151%,
                                    (IF(Q151&lt;=1,X151,
                                          IF(SUM(U151:W151)=0,(Q151*X151),
                                               (((Q151*U151)*(X151+(X151*EXTRA_FOR_H)))+
                                               ((Q151*V151)*X151)+
                                               ((Q151*W151)*(X151-(X151*LESS_FOR_L)))
                                    )*IF(R151=0,1,R151))))))+Z151), 0.25)</f>
        <v>0</v>
      </c>
      <c r="Z151" s="22"/>
      <c r="AA151" s="157">
        <f>Y151+Y151*VLOOKUP(I151,EXTRAS_ARRAY,2,FALSE)</f>
        <v>0</v>
      </c>
      <c r="AB151" s="20" t="s">
        <v>440</v>
      </c>
      <c r="AC151" s="34"/>
      <c r="AD151" s="23" t="str">
        <f>IF(J151&lt;&gt;"Yes",
IF(S151&lt;=0,"Error: Effort value is not defined or is invalid.",
IF(AND(SUM(U151:W151)&gt;0,SUM(U151:W151)&lt;&gt;1),"Error: Complexity % distribution should sum to 100%.",
IF(AND(P151=AS_DEV_EFFORT,X151&lt;&gt;0),"Error: PDs should not be defined when defining as dev effort %.",
IF(AND(P151=AS_DURATION_EFFORT,X151&lt;&gt;0),"Error: PDs should not be defined when defining as duration effort %.","")))))</f>
        <v>Error: Effort value is not defined or is invalid.</v>
      </c>
    </row>
    <row r="152" spans="1:30" ht="58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ca="1">IFERROR(OFFSET(M152,-1,,1,1)+0.1,OFFSET(M152,-1,-1,1,1)&amp;".1")</f>
        <v>7.3999999999999986</v>
      </c>
      <c r="N152" s="20" t="s">
        <v>438</v>
      </c>
      <c r="O152" s="20"/>
      <c r="P152" s="20"/>
      <c r="Q152" s="134"/>
      <c r="R152" s="127"/>
      <c r="S152" s="157">
        <f>CEILING((IF(J152="Yes", 0, IF(H152="-",AA152,AA152+AA152*VLOOKUP(H152,BUFFERS_BY_TYPE,2,FALSE)))) +
   (IF(J152="Yes", 0, IF(H152="-",AA152,AA152+AA152*VLOOKUP(H152,BUFFERS_BY_TYPE,2,FALSE))))*VLOOKUP($S$5, SALES_CALL_SCALE_ARRAY, 2,FALSE),0.25)</f>
        <v>0</v>
      </c>
      <c r="T152" s="158"/>
      <c r="U152" s="21">
        <v>0</v>
      </c>
      <c r="V152" s="21">
        <v>1</v>
      </c>
      <c r="W152" s="21">
        <v>0</v>
      </c>
      <c r="X152" s="156"/>
      <c r="Y152" s="157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0</v>
      </c>
      <c r="Z152" s="22"/>
      <c r="AA152" s="157">
        <f>Y152+Y152*VLOOKUP(I152,EXTRAS_ARRAY,2,FALSE)</f>
        <v>0</v>
      </c>
      <c r="AB152" s="20" t="s">
        <v>440</v>
      </c>
      <c r="AC152" s="34"/>
      <c r="AD152" s="23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>Error: Effort value is not defined or is invalid.</v>
      </c>
    </row>
    <row r="153" spans="1:30" ht="58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ca="1">IFERROR(OFFSET(M153,-1,,1,1)+0.1,OFFSET(M153,-1,-1,1,1)&amp;".1")</f>
        <v>7.4999999999999982</v>
      </c>
      <c r="N153" s="20" t="s">
        <v>438</v>
      </c>
      <c r="O153" s="20"/>
      <c r="P153" s="20"/>
      <c r="Q153" s="134"/>
      <c r="R153" s="127"/>
      <c r="S153" s="157">
        <f>CEILING((IF(J153="Yes", 0, IF(H153="-",AA153,AA153+AA153*VLOOKUP(H153,BUFFERS_BY_TYPE,2,FALSE)))) +
   (IF(J153="Yes", 0, IF(H153="-",AA153,AA153+AA153*VLOOKUP(H153,BUFFERS_BY_TYPE,2,FALSE))))*VLOOKUP($S$5, SALES_CALL_SCALE_ARRAY, 2,FALSE),0.25)</f>
        <v>0</v>
      </c>
      <c r="T153" s="158"/>
      <c r="U153" s="21">
        <v>0</v>
      </c>
      <c r="V153" s="21">
        <v>1</v>
      </c>
      <c r="W153" s="21">
        <v>0</v>
      </c>
      <c r="X153" s="156"/>
      <c r="Y153" s="157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0</v>
      </c>
      <c r="Z153" s="22"/>
      <c r="AA153" s="157">
        <f>Y153+Y153*VLOOKUP(I153,EXTRAS_ARRAY,2,FALSE)</f>
        <v>0</v>
      </c>
      <c r="AB153" s="20" t="s">
        <v>440</v>
      </c>
      <c r="AC153" s="34"/>
      <c r="AD153" s="23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>Error: Effort value is not defined or is invalid.</v>
      </c>
    </row>
    <row r="154" spans="1:30" ht="58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ca="1">IFERROR(OFFSET(M154,-1,,1,1)+0.1,OFFSET(M154,-1,-1,1,1)&amp;".1")</f>
        <v>7.5999999999999979</v>
      </c>
      <c r="N154" s="20" t="s">
        <v>438</v>
      </c>
      <c r="O154" s="20"/>
      <c r="P154" s="20"/>
      <c r="Q154" s="134"/>
      <c r="R154" s="127"/>
      <c r="S154" s="157">
        <f>CEILING((IF(J154="Yes", 0, IF(H154="-",AA154,AA154+AA154*VLOOKUP(H154,BUFFERS_BY_TYPE,2,FALSE)))) +
   (IF(J154="Yes", 0, IF(H154="-",AA154,AA154+AA154*VLOOKUP(H154,BUFFERS_BY_TYPE,2,FALSE))))*VLOOKUP($S$5, SALES_CALL_SCALE_ARRAY, 2,FALSE),0.25)</f>
        <v>0</v>
      </c>
      <c r="T154" s="158"/>
      <c r="U154" s="21">
        <v>0</v>
      </c>
      <c r="V154" s="21">
        <v>1</v>
      </c>
      <c r="W154" s="21">
        <v>0</v>
      </c>
      <c r="X154" s="156"/>
      <c r="Y154" s="157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0</v>
      </c>
      <c r="Z154" s="22"/>
      <c r="AA154" s="157">
        <f>Y154+Y154*VLOOKUP(I154,EXTRAS_ARRAY,2,FALSE)</f>
        <v>0</v>
      </c>
      <c r="AB154" s="20" t="s">
        <v>440</v>
      </c>
      <c r="AC154" s="34"/>
      <c r="AD154" s="23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>Error: Effort value is not defined or is invalid.</v>
      </c>
    </row>
    <row r="155" spans="1:30" s="9" customFormat="1" ht="7.5" customHeight="1" outlineLevel="2" x14ac:dyDescent="0.35">
      <c r="A155" s="86" t="s">
        <v>132</v>
      </c>
      <c r="B155" s="15"/>
      <c r="C155" s="72"/>
      <c r="D155" s="72"/>
      <c r="E155" s="72"/>
      <c r="F155" s="72"/>
      <c r="M155" s="252"/>
      <c r="T155" s="15"/>
      <c r="X155" s="15"/>
      <c r="AB155" s="10"/>
      <c r="AC155" s="10"/>
      <c r="AD155" s="10"/>
    </row>
    <row r="156" spans="1:30" s="14" customFormat="1" ht="15.5" outlineLevel="1" x14ac:dyDescent="0.35">
      <c r="A156" s="86" t="s">
        <v>107</v>
      </c>
      <c r="B156" s="18"/>
      <c r="C156" s="77"/>
      <c r="D156" s="77"/>
      <c r="E156" s="77"/>
      <c r="F156" s="76"/>
      <c r="G156" s="170"/>
      <c r="H156" s="170"/>
      <c r="I156" s="170"/>
      <c r="J156" s="170"/>
      <c r="K156" s="170"/>
      <c r="L156" s="85" t="s">
        <v>109</v>
      </c>
      <c r="M156" s="302" t="s">
        <v>1025</v>
      </c>
      <c r="N156" s="302"/>
      <c r="O156" s="80"/>
      <c r="P156" s="81"/>
      <c r="Q156" s="81"/>
      <c r="R156" s="81"/>
      <c r="S156" s="293">
        <f>SUMGROUP(ROW(), "T")</f>
        <v>78</v>
      </c>
      <c r="T156" s="293"/>
      <c r="U156" s="294"/>
      <c r="V156" s="294"/>
      <c r="W156" s="294"/>
      <c r="X156" s="82"/>
      <c r="Y156" s="83"/>
      <c r="Z156" s="83"/>
      <c r="AA156" s="83"/>
      <c r="AB156" s="221"/>
      <c r="AC156" s="84"/>
      <c r="AD156" s="23" t="str">
        <f>IF(M156="", "Error: Module name cannot be empty.", "")</f>
        <v/>
      </c>
    </row>
    <row r="157" spans="1:30" s="14" customFormat="1" ht="29" outlineLevel="1" collapsed="1" x14ac:dyDescent="0.35">
      <c r="A157" s="86" t="s">
        <v>100</v>
      </c>
      <c r="B157" s="18"/>
      <c r="C157" s="77"/>
      <c r="D157" s="77"/>
      <c r="E157" s="77"/>
      <c r="F157" s="76"/>
      <c r="G157" s="29"/>
      <c r="H157" s="29"/>
      <c r="I157" s="29"/>
      <c r="J157" s="29"/>
      <c r="K157" s="29"/>
      <c r="L157" s="17">
        <f ca="1">LOOKUP(1000,INDIRECT("L1:"&amp;CELL("address",INDIRECT("R[-1]C",FALSE))))+1</f>
        <v>8</v>
      </c>
      <c r="M157" s="332" t="s">
        <v>1026</v>
      </c>
      <c r="N157" s="303"/>
      <c r="O157" s="5"/>
      <c r="P157" s="30"/>
      <c r="Q157" s="30"/>
      <c r="R157" s="30"/>
      <c r="S157" s="30"/>
      <c r="T157" s="155">
        <f>IF($S$6="Exclude", SUMIFS(S158:S164, J158:J164, "&lt;&gt;Yes", G158:G164, "&lt;&gt;Yes"), SUMIFS(S158:S164, J158:J164, "&lt;&gt;Yes"))</f>
        <v>18</v>
      </c>
      <c r="U157" s="30"/>
      <c r="V157" s="30"/>
      <c r="W157" s="30"/>
      <c r="X157" s="31"/>
      <c r="Y157" s="32"/>
      <c r="Z157" s="32"/>
      <c r="AA157" s="32"/>
      <c r="AB157" s="219" t="s">
        <v>1027</v>
      </c>
      <c r="AC157" s="33"/>
      <c r="AD157" s="23" t="str">
        <f>IF(M157="", "Error: Task name cannot be empty.", "")</f>
        <v/>
      </c>
    </row>
    <row r="158" spans="1:30" s="12" customFormat="1" ht="1.5" hidden="1" customHeight="1" outlineLevel="2" x14ac:dyDescent="0.35">
      <c r="A158" s="86" t="s">
        <v>101</v>
      </c>
      <c r="B158" s="18"/>
      <c r="C158" s="77"/>
      <c r="D158" s="77"/>
      <c r="E158" s="77"/>
      <c r="F158" s="76"/>
      <c r="G158" s="29"/>
      <c r="H158" s="29"/>
      <c r="I158" s="29"/>
      <c r="J158" s="29"/>
      <c r="K158" s="29"/>
      <c r="L158" s="163">
        <f ca="1">L157</f>
        <v>8</v>
      </c>
      <c r="M158" s="164" t="s">
        <v>105</v>
      </c>
      <c r="N158" s="161"/>
      <c r="O158" s="162"/>
      <c r="P158" s="30"/>
      <c r="Q158" s="30"/>
      <c r="R158" s="30"/>
      <c r="S158" s="30"/>
      <c r="T158" s="155"/>
      <c r="U158" s="30"/>
      <c r="V158" s="30"/>
      <c r="W158" s="30"/>
      <c r="X158" s="31"/>
      <c r="Y158" s="32"/>
      <c r="Z158" s="32"/>
      <c r="AA158" s="32"/>
      <c r="AB158" s="33"/>
      <c r="AC158" s="33"/>
      <c r="AD158" s="23"/>
    </row>
    <row r="159" spans="1:30" ht="15.5" hidden="1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 t="str">
        <f ca="1">IFERROR(OFFSET(M159,-1,,1,1)+0.1,OFFSET(M159,-1,-1,1,1)&amp;".1")</f>
        <v>8.1</v>
      </c>
      <c r="N159" s="20" t="s">
        <v>1028</v>
      </c>
      <c r="O159" s="20"/>
      <c r="P159" s="20"/>
      <c r="Q159" s="134"/>
      <c r="R159" s="127"/>
      <c r="S159" s="157">
        <f>CEILING((IF(J159="Yes", 0, IF(H159="-",AA159,AA159+AA159*VLOOKUP(H159,BUFFERS_BY_TYPE,2,FALSE)))) +
   (IF(J159="Yes", 0, IF(H159="-",AA159,AA159+AA159*VLOOKUP(H159,BUFFERS_BY_TYPE,2,FALSE))))*VLOOKUP($S$5, SALES_CALL_SCALE_ARRAY, 2,FALSE),0.25)</f>
        <v>4</v>
      </c>
      <c r="T159" s="158"/>
      <c r="U159" s="21">
        <v>0</v>
      </c>
      <c r="V159" s="21">
        <v>1</v>
      </c>
      <c r="W159" s="21">
        <v>0</v>
      </c>
      <c r="X159" s="156">
        <v>4</v>
      </c>
      <c r="Y159" s="157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4</v>
      </c>
      <c r="Z159" s="22"/>
      <c r="AA159" s="157">
        <f>Y159+Y159*VLOOKUP(I159,EXTRAS_ARRAY,2,FALSE)</f>
        <v>4</v>
      </c>
      <c r="AB159" s="20"/>
      <c r="AC159" s="34"/>
      <c r="AD159" s="23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ca="1">IFERROR(OFFSET(M160,-1,,1,1)+0.1,OFFSET(M160,-1,-1,1,1)&amp;".1")</f>
        <v>8.1999999999999993</v>
      </c>
      <c r="N160" s="20" t="s">
        <v>1029</v>
      </c>
      <c r="O160" s="20"/>
      <c r="P160" s="20"/>
      <c r="Q160" s="134"/>
      <c r="R160" s="127"/>
      <c r="S160" s="157">
        <f>CEILING((IF(J160="Yes", 0, IF(H160="-",AA160,AA160+AA160*VLOOKUP(H160,BUFFERS_BY_TYPE,2,FALSE)))) +
   (IF(J160="Yes", 0, IF(H160="-",AA160,AA160+AA160*VLOOKUP(H160,BUFFERS_BY_TYPE,2,FALSE))))*VLOOKUP($S$5, SALES_CALL_SCALE_ARRAY, 2,FALSE),0.25)</f>
        <v>5</v>
      </c>
      <c r="T160" s="158"/>
      <c r="U160" s="21">
        <v>0</v>
      </c>
      <c r="V160" s="21">
        <v>1</v>
      </c>
      <c r="W160" s="21">
        <v>0</v>
      </c>
      <c r="X160" s="156">
        <v>5</v>
      </c>
      <c r="Y160" s="157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5</v>
      </c>
      <c r="Z160" s="22"/>
      <c r="AA160" s="157">
        <f>Y160+Y160*VLOOKUP(I160,EXTRAS_ARRAY,2,FALSE)</f>
        <v>5</v>
      </c>
      <c r="AB160" s="20"/>
      <c r="AC160" s="34"/>
      <c r="AD160" s="23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15.5" hidden="1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ca="1">IFERROR(OFFSET(M161,-1,,1,1)+0.1,OFFSET(M161,-1,-1,1,1)&amp;".1")</f>
        <v>8.2999999999999989</v>
      </c>
      <c r="N161" s="20" t="s">
        <v>1030</v>
      </c>
      <c r="O161" s="20"/>
      <c r="P161" s="20"/>
      <c r="Q161" s="134"/>
      <c r="R161" s="127"/>
      <c r="S161" s="157">
        <f>CEILING((IF(J161="Yes", 0, IF(H161="-",AA161,AA161+AA161*VLOOKUP(H161,BUFFERS_BY_TYPE,2,FALSE)))) +
   (IF(J161="Yes", 0, IF(H161="-",AA161,AA161+AA161*VLOOKUP(H161,BUFFERS_BY_TYPE,2,FALSE))))*VLOOKUP($S$5, SALES_CALL_SCALE_ARRAY, 2,FALSE),0.25)</f>
        <v>4</v>
      </c>
      <c r="T161" s="158"/>
      <c r="U161" s="21">
        <v>0</v>
      </c>
      <c r="V161" s="21">
        <v>1</v>
      </c>
      <c r="W161" s="21">
        <v>0</v>
      </c>
      <c r="X161" s="156">
        <v>4</v>
      </c>
      <c r="Y161" s="157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4</v>
      </c>
      <c r="Z161" s="22"/>
      <c r="AA161" s="157">
        <f>Y161+Y161*VLOOKUP(I161,EXTRAS_ARRAY,2,FALSE)</f>
        <v>4</v>
      </c>
      <c r="AB161" s="20"/>
      <c r="AC161" s="34"/>
      <c r="AD161" s="23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ht="15.5" hidden="1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ca="1">IFERROR(OFFSET(M162,-1,,1,1)+0.1,OFFSET(M162,-1,-1,1,1)&amp;".1")</f>
        <v>8.3999999999999986</v>
      </c>
      <c r="N162" s="20" t="s">
        <v>1031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2.5</v>
      </c>
      <c r="T162" s="158"/>
      <c r="U162" s="21">
        <v>0</v>
      </c>
      <c r="V162" s="21">
        <v>1</v>
      </c>
      <c r="W162" s="21">
        <v>0</v>
      </c>
      <c r="X162" s="156">
        <v>2.5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2.5</v>
      </c>
      <c r="Z162" s="22"/>
      <c r="AA162" s="157">
        <f>Y162+Y162*VLOOKUP(I162,EXTRAS_ARRAY,2,FALSE)</f>
        <v>2.5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ht="15.5" hidden="1" outlineLevel="2" x14ac:dyDescent="0.35">
      <c r="A163" s="86" t="s">
        <v>0</v>
      </c>
      <c r="B163" s="18"/>
      <c r="C163" s="78"/>
      <c r="D163" s="78"/>
      <c r="E163" s="78"/>
      <c r="F163" s="79"/>
      <c r="G163" s="19" t="s">
        <v>23</v>
      </c>
      <c r="H163" s="19" t="s">
        <v>23</v>
      </c>
      <c r="I163" s="20" t="s">
        <v>23</v>
      </c>
      <c r="J163" s="19" t="s">
        <v>23</v>
      </c>
      <c r="K163" s="35"/>
      <c r="L163" s="19"/>
      <c r="M163" s="263">
        <f ca="1">IFERROR(OFFSET(M163,-1,,1,1)+0.1,OFFSET(M163,-1,-1,1,1)&amp;".1")</f>
        <v>8.4999999999999982</v>
      </c>
      <c r="N163" s="20" t="s">
        <v>1032</v>
      </c>
      <c r="O163" s="20"/>
      <c r="P163" s="20"/>
      <c r="Q163" s="134"/>
      <c r="R163" s="127"/>
      <c r="S163" s="157">
        <f>CEILING((IF(J163="Yes", 0, IF(H163="-",AA163,AA163+AA163*VLOOKUP(H163,BUFFERS_BY_TYPE,2,FALSE)))) +
   (IF(J163="Yes", 0, IF(H163="-",AA163,AA163+AA163*VLOOKUP(H163,BUFFERS_BY_TYPE,2,FALSE))))*VLOOKUP($S$5, SALES_CALL_SCALE_ARRAY, 2,FALSE),0.25)</f>
        <v>2.5</v>
      </c>
      <c r="T163" s="158"/>
      <c r="U163" s="21">
        <v>0</v>
      </c>
      <c r="V163" s="21">
        <v>1</v>
      </c>
      <c r="W163" s="21">
        <v>0</v>
      </c>
      <c r="X163" s="156">
        <v>2.5</v>
      </c>
      <c r="Y163" s="157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2.5</v>
      </c>
      <c r="Z163" s="22"/>
      <c r="AA163" s="157">
        <f>Y163+Y163*VLOOKUP(I163,EXTRAS_ARRAY,2,FALSE)</f>
        <v>2.5</v>
      </c>
      <c r="AB163" s="20"/>
      <c r="AC163" s="34"/>
      <c r="AD163" s="23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s="9" customFormat="1" ht="7.5" hidden="1" customHeight="1" outlineLevel="2" x14ac:dyDescent="0.35">
      <c r="A164" s="86" t="s">
        <v>132</v>
      </c>
      <c r="B164" s="15"/>
      <c r="C164" s="72"/>
      <c r="D164" s="72"/>
      <c r="E164" s="72"/>
      <c r="F164" s="72"/>
      <c r="M164" s="252"/>
      <c r="T164" s="15"/>
      <c r="X164" s="15"/>
      <c r="AB164" s="10"/>
      <c r="AC164" s="10"/>
      <c r="AD164" s="10"/>
    </row>
    <row r="165" spans="1:30" s="14" customFormat="1" ht="15.65" customHeight="1" outlineLevel="1" collapsed="1" x14ac:dyDescent="0.35">
      <c r="A165" s="86" t="s">
        <v>100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7">
        <f ca="1">LOOKUP(1000,INDIRECT("L1:"&amp;CELL("address",INDIRECT("R[-1]C",FALSE))))+1</f>
        <v>9</v>
      </c>
      <c r="M165" s="332" t="s">
        <v>1033</v>
      </c>
      <c r="N165" s="332"/>
      <c r="O165" s="5"/>
      <c r="P165" s="30"/>
      <c r="Q165" s="30"/>
      <c r="R165" s="30"/>
      <c r="S165" s="30"/>
      <c r="T165" s="155">
        <f>IF($S$6="Exclude", SUMIFS(S166:S172, J166:J172, "&lt;&gt;Yes", G166:G172, "&lt;&gt;Yes"), SUMIFS(S166:S172, J166:J172, "&lt;&gt;Yes"))</f>
        <v>15</v>
      </c>
      <c r="U165" s="30"/>
      <c r="V165" s="30"/>
      <c r="W165" s="30"/>
      <c r="X165" s="31"/>
      <c r="Y165" s="32"/>
      <c r="Z165" s="32"/>
      <c r="AA165" s="32"/>
      <c r="AB165" s="219" t="s">
        <v>1034</v>
      </c>
      <c r="AC165" s="33"/>
      <c r="AD165" s="23" t="str">
        <f>IF(M165="", "Error: Task name cannot be empty.", "")</f>
        <v/>
      </c>
    </row>
    <row r="166" spans="1:30" s="12" customFormat="1" ht="1.5" hidden="1" customHeight="1" outlineLevel="2" x14ac:dyDescent="0.35">
      <c r="A166" s="86" t="s">
        <v>101</v>
      </c>
      <c r="B166" s="18"/>
      <c r="C166" s="77"/>
      <c r="D166" s="77"/>
      <c r="E166" s="77"/>
      <c r="F166" s="76"/>
      <c r="G166" s="29"/>
      <c r="H166" s="29"/>
      <c r="I166" s="29"/>
      <c r="J166" s="29"/>
      <c r="K166" s="29"/>
      <c r="L166" s="163">
        <f ca="1">L165</f>
        <v>9</v>
      </c>
      <c r="M166" s="164" t="s">
        <v>105</v>
      </c>
      <c r="N166" s="161"/>
      <c r="O166" s="162"/>
      <c r="P166" s="30"/>
      <c r="Q166" s="30"/>
      <c r="R166" s="30"/>
      <c r="S166" s="30"/>
      <c r="T166" s="155"/>
      <c r="U166" s="30"/>
      <c r="V166" s="30"/>
      <c r="W166" s="30"/>
      <c r="X166" s="31"/>
      <c r="Y166" s="32"/>
      <c r="Z166" s="32"/>
      <c r="AA166" s="32"/>
      <c r="AB166" s="33"/>
      <c r="AC166" s="33"/>
      <c r="AD166" s="23"/>
    </row>
    <row r="167" spans="1:30" ht="15.5" hidden="1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 t="str">
        <f ca="1">IFERROR(OFFSET(M167,-1,,1,1)+0.1,OFFSET(M167,-1,-1,1,1)&amp;".1")</f>
        <v>9.1</v>
      </c>
      <c r="N167" s="20" t="s">
        <v>1035</v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15.5" hidden="1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9.1999999999999993</v>
      </c>
      <c r="N168" s="20" t="s">
        <v>1036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4</v>
      </c>
      <c r="T168" s="158"/>
      <c r="U168" s="21">
        <v>0</v>
      </c>
      <c r="V168" s="21">
        <v>1</v>
      </c>
      <c r="W168" s="21">
        <v>0</v>
      </c>
      <c r="X168" s="156">
        <v>4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4</v>
      </c>
      <c r="Z168" s="22"/>
      <c r="AA168" s="157">
        <f>Y168+Y168*VLOOKUP(I168,EXTRAS_ARRAY,2,FALSE)</f>
        <v>4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15.5" hidden="1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9.2999999999999989</v>
      </c>
      <c r="N169" s="20" t="s">
        <v>1037</v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4</v>
      </c>
      <c r="T169" s="158"/>
      <c r="U169" s="21">
        <v>0</v>
      </c>
      <c r="V169" s="21">
        <v>1</v>
      </c>
      <c r="W169" s="21">
        <v>0</v>
      </c>
      <c r="X169" s="156">
        <v>4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4</v>
      </c>
      <c r="Z169" s="22"/>
      <c r="AA169" s="157">
        <f>Y169+Y169*VLOOKUP(I169,EXTRAS_ARRAY,2,FALSE)</f>
        <v>4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15.5" hidden="1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9.3999999999999986</v>
      </c>
      <c r="N170" s="20" t="s">
        <v>1038</v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2</v>
      </c>
      <c r="T170" s="158"/>
      <c r="U170" s="21">
        <v>0</v>
      </c>
      <c r="V170" s="21">
        <v>1</v>
      </c>
      <c r="W170" s="21">
        <v>0</v>
      </c>
      <c r="X170" s="156">
        <v>2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2</v>
      </c>
      <c r="Z170" s="22"/>
      <c r="AA170" s="157">
        <f>Y170+Y170*VLOOKUP(I170,EXTRAS_ARRAY,2,FALSE)</f>
        <v>2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ht="15.5" hidden="1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>
        <f ca="1">IFERROR(OFFSET(M171,-1,,1,1)+0.1,OFFSET(M171,-1,-1,1,1)&amp;".1")</f>
        <v>9.4999999999999982</v>
      </c>
      <c r="N171" s="20" t="s">
        <v>1039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2</v>
      </c>
      <c r="T171" s="158"/>
      <c r="U171" s="21">
        <v>0</v>
      </c>
      <c r="V171" s="21">
        <v>1</v>
      </c>
      <c r="W171" s="21">
        <v>0</v>
      </c>
      <c r="X171" s="156">
        <v>2</v>
      </c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2</v>
      </c>
      <c r="Z171" s="22"/>
      <c r="AA171" s="157">
        <f>Y171+Y171*VLOOKUP(I171,EXTRAS_ARRAY,2,FALSE)</f>
        <v>2</v>
      </c>
      <c r="AB171" s="20"/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s="9" customFormat="1" ht="7.5" hidden="1" customHeight="1" outlineLevel="2" x14ac:dyDescent="0.35">
      <c r="A172" s="86" t="s">
        <v>132</v>
      </c>
      <c r="B172" s="15"/>
      <c r="C172" s="72"/>
      <c r="D172" s="72"/>
      <c r="E172" s="72"/>
      <c r="F172" s="72"/>
      <c r="M172" s="252"/>
      <c r="T172" s="15"/>
      <c r="X172" s="15"/>
      <c r="AB172" s="10"/>
      <c r="AC172" s="10"/>
      <c r="AD172" s="10"/>
    </row>
    <row r="173" spans="1:30" s="14" customFormat="1" ht="15.5" outlineLevel="1" collapsed="1" x14ac:dyDescent="0.35">
      <c r="A173" s="86" t="s">
        <v>100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7">
        <f ca="1">LOOKUP(1000,INDIRECT("L1:"&amp;CELL("address",INDIRECT("R[-1]C",FALSE))))+1</f>
        <v>10</v>
      </c>
      <c r="M173" s="332" t="s">
        <v>1040</v>
      </c>
      <c r="N173" s="303"/>
      <c r="O173" s="5"/>
      <c r="P173" s="30"/>
      <c r="Q173" s="30"/>
      <c r="R173" s="30"/>
      <c r="S173" s="30"/>
      <c r="T173" s="155">
        <f>IF($S$6="Exclude", SUMIFS(S174:S180, J174:J180, "&lt;&gt;Yes", G174:G180, "&lt;&gt;Yes"), SUMIFS(S174:S180, J174:J180, "&lt;&gt;Yes"))</f>
        <v>15</v>
      </c>
      <c r="U173" s="30"/>
      <c r="V173" s="30"/>
      <c r="W173" s="30"/>
      <c r="X173" s="31"/>
      <c r="Y173" s="32"/>
      <c r="Z173" s="32"/>
      <c r="AA173" s="32"/>
      <c r="AB173" s="219" t="s">
        <v>1041</v>
      </c>
      <c r="AC173" s="33"/>
      <c r="AD173" s="23" t="str">
        <f>IF(M173="", "Error: Task name cannot be empty.", "")</f>
        <v/>
      </c>
    </row>
    <row r="174" spans="1:30" s="12" customFormat="1" ht="1.5" hidden="1" customHeight="1" outlineLevel="2" x14ac:dyDescent="0.35">
      <c r="A174" s="86" t="s">
        <v>101</v>
      </c>
      <c r="B174" s="18"/>
      <c r="C174" s="77"/>
      <c r="D174" s="77"/>
      <c r="E174" s="77"/>
      <c r="F174" s="76"/>
      <c r="G174" s="29"/>
      <c r="H174" s="29"/>
      <c r="I174" s="29"/>
      <c r="J174" s="29"/>
      <c r="K174" s="29"/>
      <c r="L174" s="163">
        <f ca="1">L173</f>
        <v>10</v>
      </c>
      <c r="M174" s="164" t="s">
        <v>105</v>
      </c>
      <c r="N174" s="161"/>
      <c r="O174" s="162"/>
      <c r="P174" s="30"/>
      <c r="Q174" s="30"/>
      <c r="R174" s="30"/>
      <c r="S174" s="30"/>
      <c r="T174" s="155"/>
      <c r="U174" s="30"/>
      <c r="V174" s="30"/>
      <c r="W174" s="30"/>
      <c r="X174" s="31"/>
      <c r="Y174" s="32"/>
      <c r="Z174" s="32"/>
      <c r="AA174" s="32"/>
      <c r="AB174" s="33"/>
      <c r="AC174" s="33"/>
      <c r="AD174" s="23"/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 t="str">
        <f ca="1">IFERROR(OFFSET(M175,-1,,1,1)+0.1,OFFSET(M175,-1,-1,1,1)&amp;".1")</f>
        <v>10.1</v>
      </c>
      <c r="N175" s="20" t="s">
        <v>1042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3</v>
      </c>
      <c r="T175" s="158"/>
      <c r="U175" s="21">
        <v>0</v>
      </c>
      <c r="V175" s="21">
        <v>1</v>
      </c>
      <c r="W175" s="21">
        <v>0</v>
      </c>
      <c r="X175" s="156">
        <v>3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3</v>
      </c>
      <c r="Z175" s="22"/>
      <c r="AA175" s="157">
        <f>Y175+Y175*VLOOKUP(I175,EXTRAS_ARRAY,2,FALSE)</f>
        <v>3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ht="15.5" hidden="1" outlineLevel="2" x14ac:dyDescent="0.35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/>
      <c r="L176" s="19"/>
      <c r="M176" s="263">
        <f ca="1">IFERROR(OFFSET(M176,-1,,1,1)+0.1,OFFSET(M176,-1,-1,1,1)&amp;".1")</f>
        <v>10.199999999999999</v>
      </c>
      <c r="N176" s="20" t="s">
        <v>1043</v>
      </c>
      <c r="O176" s="20"/>
      <c r="P176" s="20"/>
      <c r="Q176" s="134"/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3</v>
      </c>
      <c r="T176" s="158"/>
      <c r="U176" s="21">
        <v>0</v>
      </c>
      <c r="V176" s="21">
        <v>1</v>
      </c>
      <c r="W176" s="21">
        <v>0</v>
      </c>
      <c r="X176" s="156">
        <v>3</v>
      </c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3</v>
      </c>
      <c r="Z176" s="22"/>
      <c r="AA176" s="157">
        <f>Y176+Y176*VLOOKUP(I176,EXTRAS_ARRAY,2,FALSE)</f>
        <v>3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>
        <f ca="1">IFERROR(OFFSET(M177,-1,,1,1)+0.1,OFFSET(M177,-1,-1,1,1)&amp;".1")</f>
        <v>10.299999999999999</v>
      </c>
      <c r="N177" s="20" t="s">
        <v>880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58"/>
      <c r="U177" s="21">
        <v>0</v>
      </c>
      <c r="V177" s="21">
        <v>1</v>
      </c>
      <c r="W177" s="21">
        <v>0</v>
      </c>
      <c r="X177" s="156">
        <v>4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22"/>
      <c r="AA177" s="157">
        <f>Y177+Y177*VLOOKUP(I177,EXTRAS_ARRAY,2,FALSE)</f>
        <v>4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15.5" hidden="1" outlineLevel="2" x14ac:dyDescent="0.35">
      <c r="A178" s="86" t="s">
        <v>0</v>
      </c>
      <c r="B178" s="18"/>
      <c r="C178" s="78"/>
      <c r="D178" s="78"/>
      <c r="E178" s="78"/>
      <c r="F178" s="79"/>
      <c r="G178" s="19" t="s">
        <v>23</v>
      </c>
      <c r="H178" s="19" t="s">
        <v>23</v>
      </c>
      <c r="I178" s="20" t="s">
        <v>23</v>
      </c>
      <c r="J178" s="19" t="s">
        <v>23</v>
      </c>
      <c r="K178" s="35"/>
      <c r="L178" s="19"/>
      <c r="M178" s="263">
        <f ca="1">IFERROR(OFFSET(M178,-1,,1,1)+0.1,OFFSET(M178,-1,-1,1,1)&amp;".1")</f>
        <v>10.399999999999999</v>
      </c>
      <c r="N178" s="20" t="s">
        <v>1044</v>
      </c>
      <c r="O178" s="20"/>
      <c r="P178" s="20"/>
      <c r="Q178" s="134"/>
      <c r="R178" s="127"/>
      <c r="S178" s="157">
        <f>CEILING((IF(J178="Yes", 0, IF(H178="-",AA178,AA178+AA178*VLOOKUP(H178,BUFFERS_BY_TYPE,2,FALSE)))) +
   (IF(J178="Yes", 0, IF(H178="-",AA178,AA178+AA178*VLOOKUP(H178,BUFFERS_BY_TYPE,2,FALSE))))*VLOOKUP($S$5, SALES_CALL_SCALE_ARRAY, 2,FALSE),0.25)</f>
        <v>3</v>
      </c>
      <c r="T178" s="158"/>
      <c r="U178" s="21">
        <v>0</v>
      </c>
      <c r="V178" s="21">
        <v>1</v>
      </c>
      <c r="W178" s="21">
        <v>0</v>
      </c>
      <c r="X178" s="156">
        <v>3</v>
      </c>
      <c r="Y178" s="157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3</v>
      </c>
      <c r="Z178" s="22"/>
      <c r="AA178" s="157">
        <f>Y178+Y178*VLOOKUP(I178,EXTRAS_ARRAY,2,FALSE)</f>
        <v>3</v>
      </c>
      <c r="AB178" s="20"/>
      <c r="AC178" s="34"/>
      <c r="AD178" s="23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>
        <f ca="1">IFERROR(OFFSET(M179,-1,,1,1)+0.1,OFFSET(M179,-1,-1,1,1)&amp;".1")</f>
        <v>10.499999999999998</v>
      </c>
      <c r="N179" s="20" t="s">
        <v>1045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2</v>
      </c>
      <c r="T179" s="158"/>
      <c r="U179" s="21">
        <v>0</v>
      </c>
      <c r="V179" s="21">
        <v>1</v>
      </c>
      <c r="W179" s="21">
        <v>0</v>
      </c>
      <c r="X179" s="156">
        <v>2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2</v>
      </c>
      <c r="Z179" s="22"/>
      <c r="AA179" s="157">
        <f>Y179+Y179*VLOOKUP(I179,EXTRAS_ARRAY,2,FALSE)</f>
        <v>2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s="9" customFormat="1" ht="7.5" hidden="1" customHeight="1" outlineLevel="2" x14ac:dyDescent="0.35">
      <c r="A180" s="86" t="s">
        <v>132</v>
      </c>
      <c r="B180" s="15"/>
      <c r="C180" s="72"/>
      <c r="D180" s="72"/>
      <c r="E180" s="72"/>
      <c r="F180" s="72"/>
      <c r="M180" s="252"/>
      <c r="T180" s="15"/>
      <c r="X180" s="15"/>
      <c r="AB180" s="10"/>
      <c r="AC180" s="10"/>
      <c r="AD180" s="10"/>
    </row>
    <row r="181" spans="1:30" s="14" customFormat="1" ht="15.5" outlineLevel="1" collapsed="1" x14ac:dyDescent="0.35">
      <c r="A181" s="86" t="s">
        <v>100</v>
      </c>
      <c r="B181" s="18"/>
      <c r="C181" s="77"/>
      <c r="D181" s="77"/>
      <c r="E181" s="77"/>
      <c r="F181" s="76"/>
      <c r="G181" s="29"/>
      <c r="H181" s="29"/>
      <c r="I181" s="29"/>
      <c r="J181" s="29"/>
      <c r="K181" s="29"/>
      <c r="L181" s="17">
        <f ca="1">LOOKUP(1000,INDIRECT("L1:"&amp;CELL("address",INDIRECT("R[-1]C",FALSE))))+1</f>
        <v>11</v>
      </c>
      <c r="M181" s="332" t="s">
        <v>1046</v>
      </c>
      <c r="N181" s="303"/>
      <c r="O181" s="5"/>
      <c r="P181" s="30"/>
      <c r="Q181" s="30"/>
      <c r="R181" s="30"/>
      <c r="S181" s="30"/>
      <c r="T181" s="155">
        <f>IF($S$6="Exclude", SUMIFS(S182:S187, J182:J187, "&lt;&gt;Yes", G182:G187, "&lt;&gt;Yes"), SUMIFS(S182:S187, J182:J187, "&lt;&gt;Yes"))</f>
        <v>18</v>
      </c>
      <c r="U181" s="30"/>
      <c r="V181" s="30"/>
      <c r="W181" s="30"/>
      <c r="X181" s="31"/>
      <c r="Y181" s="32"/>
      <c r="Z181" s="32"/>
      <c r="AA181" s="32"/>
      <c r="AB181" s="219" t="s">
        <v>950</v>
      </c>
      <c r="AC181" s="33"/>
      <c r="AD181" s="23" t="str">
        <f>IF(M181="", "Error: Task name cannot be empty.", "")</f>
        <v/>
      </c>
    </row>
    <row r="182" spans="1:30" s="12" customFormat="1" ht="1.5" hidden="1" customHeight="1" outlineLevel="2" x14ac:dyDescent="0.35">
      <c r="A182" s="86" t="s">
        <v>101</v>
      </c>
      <c r="B182" s="18"/>
      <c r="C182" s="77"/>
      <c r="D182" s="77"/>
      <c r="E182" s="77"/>
      <c r="F182" s="76"/>
      <c r="G182" s="29"/>
      <c r="H182" s="29"/>
      <c r="I182" s="29"/>
      <c r="J182" s="29"/>
      <c r="K182" s="29"/>
      <c r="L182" s="163">
        <f ca="1">L181</f>
        <v>11</v>
      </c>
      <c r="M182" s="164" t="s">
        <v>105</v>
      </c>
      <c r="N182" s="161"/>
      <c r="O182" s="162"/>
      <c r="P182" s="30"/>
      <c r="Q182" s="30"/>
      <c r="R182" s="30"/>
      <c r="S182" s="30"/>
      <c r="T182" s="155"/>
      <c r="U182" s="30"/>
      <c r="V182" s="30"/>
      <c r="W182" s="30"/>
      <c r="X182" s="31"/>
      <c r="Y182" s="32"/>
      <c r="Z182" s="32"/>
      <c r="AA182" s="32"/>
      <c r="AB182" s="33"/>
      <c r="AC182" s="33"/>
      <c r="AD182" s="23"/>
    </row>
    <row r="183" spans="1:30" ht="29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 t="str">
        <f ca="1">IFERROR(OFFSET(M183,-1,,1,1)+0.1,OFFSET(M183,-1,-1,1,1)&amp;".1")</f>
        <v>11.1</v>
      </c>
      <c r="N183" s="20" t="s">
        <v>1047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6</v>
      </c>
      <c r="T183" s="158"/>
      <c r="U183" s="21">
        <v>0</v>
      </c>
      <c r="V183" s="21">
        <v>1</v>
      </c>
      <c r="W183" s="21">
        <v>0</v>
      </c>
      <c r="X183" s="156">
        <v>6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6</v>
      </c>
      <c r="Z183" s="22"/>
      <c r="AA183" s="157">
        <f>Y183+Y183*VLOOKUP(I183,EXTRAS_ARRAY,2,FALSE)</f>
        <v>6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ht="15.5" hidden="1" outlineLevel="2" x14ac:dyDescent="0.35">
      <c r="A184" s="86" t="s">
        <v>0</v>
      </c>
      <c r="B184" s="18"/>
      <c r="C184" s="78"/>
      <c r="D184" s="78"/>
      <c r="E184" s="78"/>
      <c r="F184" s="79"/>
      <c r="G184" s="19" t="s">
        <v>23</v>
      </c>
      <c r="H184" s="19" t="s">
        <v>23</v>
      </c>
      <c r="I184" s="20" t="s">
        <v>23</v>
      </c>
      <c r="J184" s="19" t="s">
        <v>23</v>
      </c>
      <c r="K184" s="35"/>
      <c r="L184" s="19"/>
      <c r="M184" s="263">
        <f ca="1">IFERROR(OFFSET(M184,-1,,1,1)+0.1,OFFSET(M184,-1,-1,1,1)&amp;".1")</f>
        <v>11.2</v>
      </c>
      <c r="N184" s="20" t="s">
        <v>1048</v>
      </c>
      <c r="O184" s="20"/>
      <c r="P184" s="20"/>
      <c r="Q184" s="134"/>
      <c r="R184" s="127"/>
      <c r="S184" s="157">
        <f>CEILING((IF(J184="Yes", 0, IF(H184="-",AA184,AA184+AA184*VLOOKUP(H184,BUFFERS_BY_TYPE,2,FALSE)))) +
   (IF(J184="Yes", 0, IF(H184="-",AA184,AA184+AA184*VLOOKUP(H184,BUFFERS_BY_TYPE,2,FALSE))))*VLOOKUP($S$5, SALES_CALL_SCALE_ARRAY, 2,FALSE),0.25)</f>
        <v>5</v>
      </c>
      <c r="T184" s="158"/>
      <c r="U184" s="21">
        <v>0</v>
      </c>
      <c r="V184" s="21">
        <v>1</v>
      </c>
      <c r="W184" s="21">
        <v>0</v>
      </c>
      <c r="X184" s="156">
        <v>5</v>
      </c>
      <c r="Y184" s="157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5</v>
      </c>
      <c r="Z184" s="22"/>
      <c r="AA184" s="157">
        <f>Y184+Y184*VLOOKUP(I184,EXTRAS_ARRAY,2,FALSE)</f>
        <v>5</v>
      </c>
      <c r="AB184" s="20"/>
      <c r="AC184" s="34"/>
      <c r="AD184" s="23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/>
      </c>
    </row>
    <row r="185" spans="1:30" ht="15.5" hidden="1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>
        <f ca="1">IFERROR(OFFSET(M185,-1,,1,1)+0.1,OFFSET(M185,-1,-1,1,1)&amp;".1")</f>
        <v>11.299999999999999</v>
      </c>
      <c r="N185" s="20" t="s">
        <v>1049</v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4</v>
      </c>
      <c r="T185" s="158"/>
      <c r="U185" s="21">
        <v>0</v>
      </c>
      <c r="V185" s="21">
        <v>1</v>
      </c>
      <c r="W185" s="21">
        <v>0</v>
      </c>
      <c r="X185" s="156">
        <v>4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4</v>
      </c>
      <c r="Z185" s="22"/>
      <c r="AA185" s="157">
        <f>Y185+Y185*VLOOKUP(I185,EXTRAS_ARRAY,2,FALSE)</f>
        <v>4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ht="15.5" hidden="1" outlineLevel="2" x14ac:dyDescent="0.35">
      <c r="A186" s="86" t="s">
        <v>0</v>
      </c>
      <c r="B186" s="18"/>
      <c r="C186" s="78"/>
      <c r="D186" s="78"/>
      <c r="E186" s="78"/>
      <c r="F186" s="79"/>
      <c r="G186" s="19" t="s">
        <v>23</v>
      </c>
      <c r="H186" s="19" t="s">
        <v>23</v>
      </c>
      <c r="I186" s="20" t="s">
        <v>23</v>
      </c>
      <c r="J186" s="19" t="s">
        <v>23</v>
      </c>
      <c r="K186" s="35"/>
      <c r="L186" s="19"/>
      <c r="M186" s="263">
        <f ca="1">IFERROR(OFFSET(M186,-1,,1,1)+0.1,OFFSET(M186,-1,-1,1,1)&amp;".1")</f>
        <v>11.399999999999999</v>
      </c>
      <c r="N186" s="20" t="s">
        <v>1050</v>
      </c>
      <c r="O186" s="20"/>
      <c r="P186" s="20"/>
      <c r="Q186" s="134"/>
      <c r="R186" s="127"/>
      <c r="S186" s="157">
        <f>CEILING((IF(J186="Yes", 0, IF(H186="-",AA186,AA186+AA186*VLOOKUP(H186,BUFFERS_BY_TYPE,2,FALSE)))) +
   (IF(J186="Yes", 0, IF(H186="-",AA186,AA186+AA186*VLOOKUP(H186,BUFFERS_BY_TYPE,2,FALSE))))*VLOOKUP($S$5, SALES_CALL_SCALE_ARRAY, 2,FALSE),0.25)</f>
        <v>3</v>
      </c>
      <c r="T186" s="158"/>
      <c r="U186" s="21">
        <v>0</v>
      </c>
      <c r="V186" s="21">
        <v>1</v>
      </c>
      <c r="W186" s="21">
        <v>0</v>
      </c>
      <c r="X186" s="156">
        <v>3</v>
      </c>
      <c r="Y186" s="157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3</v>
      </c>
      <c r="Z186" s="22"/>
      <c r="AA186" s="157">
        <f>Y186+Y186*VLOOKUP(I186,EXTRAS_ARRAY,2,FALSE)</f>
        <v>3</v>
      </c>
      <c r="AB186" s="20"/>
      <c r="AC186" s="34"/>
      <c r="AD186" s="23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9" customFormat="1" ht="7.5" hidden="1" customHeight="1" outlineLevel="2" x14ac:dyDescent="0.35">
      <c r="A187" s="86" t="s">
        <v>132</v>
      </c>
      <c r="B187" s="15"/>
      <c r="C187" s="72"/>
      <c r="D187" s="72"/>
      <c r="E187" s="72"/>
      <c r="F187" s="72"/>
      <c r="M187" s="252"/>
      <c r="T187" s="15"/>
      <c r="X187" s="15"/>
      <c r="AB187" s="10"/>
      <c r="AC187" s="10"/>
      <c r="AD187" s="10"/>
    </row>
    <row r="188" spans="1:30" s="14" customFormat="1" ht="15.5" outlineLevel="1" collapsed="1" x14ac:dyDescent="0.35">
      <c r="A188" s="86" t="s">
        <v>100</v>
      </c>
      <c r="B188" s="18"/>
      <c r="C188" s="77"/>
      <c r="D188" s="77"/>
      <c r="E188" s="77"/>
      <c r="F188" s="76"/>
      <c r="G188" s="29"/>
      <c r="H188" s="29"/>
      <c r="I188" s="29"/>
      <c r="J188" s="29"/>
      <c r="K188" s="29"/>
      <c r="L188" s="17">
        <f ca="1">LOOKUP(1000,INDIRECT("L1:"&amp;CELL("address",INDIRECT("R[-1]C",FALSE))))+1</f>
        <v>12</v>
      </c>
      <c r="M188" s="332" t="s">
        <v>1051</v>
      </c>
      <c r="N188" s="303"/>
      <c r="O188" s="5"/>
      <c r="P188" s="30"/>
      <c r="Q188" s="30"/>
      <c r="R188" s="30"/>
      <c r="S188" s="30"/>
      <c r="T188" s="155">
        <f>IF($S$6="Exclude", SUMIFS(S189:S195, J189:J195, "&lt;&gt;Yes", G189:G195, "&lt;&gt;Yes"), SUMIFS(S189:S195, J189:J195, "&lt;&gt;Yes"))</f>
        <v>12</v>
      </c>
      <c r="U188" s="30"/>
      <c r="V188" s="30"/>
      <c r="W188" s="30"/>
      <c r="X188" s="31"/>
      <c r="Y188" s="32"/>
      <c r="Z188" s="32"/>
      <c r="AA188" s="32"/>
      <c r="AB188" s="219" t="s">
        <v>1052</v>
      </c>
      <c r="AC188" s="33"/>
      <c r="AD188" s="23" t="str">
        <f>IF(M188="", "Error: Task name cannot be empty.", "")</f>
        <v/>
      </c>
    </row>
    <row r="189" spans="1:30" s="12" customFormat="1" ht="1.5" hidden="1" customHeight="1" outlineLevel="2" x14ac:dyDescent="0.35">
      <c r="A189" s="86" t="s">
        <v>101</v>
      </c>
      <c r="B189" s="18"/>
      <c r="C189" s="77"/>
      <c r="D189" s="77"/>
      <c r="E189" s="77"/>
      <c r="F189" s="76"/>
      <c r="G189" s="29"/>
      <c r="H189" s="29"/>
      <c r="I189" s="29"/>
      <c r="J189" s="29"/>
      <c r="K189" s="29"/>
      <c r="L189" s="163">
        <f ca="1">L188</f>
        <v>12</v>
      </c>
      <c r="M189" s="164" t="s">
        <v>105</v>
      </c>
      <c r="N189" s="161"/>
      <c r="O189" s="162"/>
      <c r="P189" s="30"/>
      <c r="Q189" s="30"/>
      <c r="R189" s="30"/>
      <c r="S189" s="30"/>
      <c r="T189" s="155"/>
      <c r="U189" s="30"/>
      <c r="V189" s="30"/>
      <c r="W189" s="30"/>
      <c r="X189" s="31"/>
      <c r="Y189" s="32"/>
      <c r="Z189" s="32"/>
      <c r="AA189" s="32"/>
      <c r="AB189" s="33"/>
      <c r="AC189" s="33"/>
      <c r="AD189" s="23"/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 t="str">
        <f ca="1">IFERROR(OFFSET(M190,-1,,1,1)+0.1,OFFSET(M190,-1,-1,1,1)&amp;".1")</f>
        <v>12.1</v>
      </c>
      <c r="N190" s="20" t="s">
        <v>1053</v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2.5</v>
      </c>
      <c r="T190" s="158"/>
      <c r="U190" s="21">
        <v>0</v>
      </c>
      <c r="V190" s="21">
        <v>1</v>
      </c>
      <c r="W190" s="21">
        <v>0</v>
      </c>
      <c r="X190" s="156">
        <v>2.5</v>
      </c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2.5</v>
      </c>
      <c r="Z190" s="22"/>
      <c r="AA190" s="157">
        <f>Y190+Y190*VLOOKUP(I190,EXTRAS_ARRAY,2,FALSE)</f>
        <v>2.5</v>
      </c>
      <c r="AB190" s="20"/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ca="1">IFERROR(OFFSET(M191,-1,,1,1)+0.1,OFFSET(M191,-1,-1,1,1)&amp;".1")</f>
        <v>12.2</v>
      </c>
      <c r="N191" s="20" t="s">
        <v>1054</v>
      </c>
      <c r="O191" s="20"/>
      <c r="P191" s="20"/>
      <c r="Q191" s="134"/>
      <c r="R191" s="127"/>
      <c r="S191" s="157">
        <f>CEILING((IF(J191="Yes", 0, IF(H191="-",AA191,AA191+AA191*VLOOKUP(H191,BUFFERS_BY_TYPE,2,FALSE)))) +
   (IF(J191="Yes", 0, IF(H191="-",AA191,AA191+AA191*VLOOKUP(H191,BUFFERS_BY_TYPE,2,FALSE))))*VLOOKUP($S$5, SALES_CALL_SCALE_ARRAY, 2,FALSE),0.25)</f>
        <v>3</v>
      </c>
      <c r="T191" s="158"/>
      <c r="U191" s="21">
        <v>0</v>
      </c>
      <c r="V191" s="21">
        <v>1</v>
      </c>
      <c r="W191" s="21">
        <v>0</v>
      </c>
      <c r="X191" s="156">
        <v>3</v>
      </c>
      <c r="Y191" s="157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3</v>
      </c>
      <c r="Z191" s="22"/>
      <c r="AA191" s="157">
        <f>Y191+Y191*VLOOKUP(I191,EXTRAS_ARRAY,2,FALSE)</f>
        <v>3</v>
      </c>
      <c r="AB191" s="20"/>
      <c r="AC191" s="34"/>
      <c r="AD191" s="23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ht="15.5" hidden="1" outlineLevel="2" x14ac:dyDescent="0.35">
      <c r="A192" s="86" t="s">
        <v>0</v>
      </c>
      <c r="B192" s="18"/>
      <c r="C192" s="78"/>
      <c r="D192" s="78"/>
      <c r="E192" s="78"/>
      <c r="F192" s="79"/>
      <c r="G192" s="19" t="s">
        <v>23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ca="1">IFERROR(OFFSET(M192,-1,,1,1)+0.1,OFFSET(M192,-1,-1,1,1)&amp;".1")</f>
        <v>12.299999999999999</v>
      </c>
      <c r="N192" s="20" t="s">
        <v>1055</v>
      </c>
      <c r="O192" s="20"/>
      <c r="P192" s="20"/>
      <c r="Q192" s="134"/>
      <c r="R192" s="127"/>
      <c r="S192" s="157">
        <f>CEILING((IF(J192="Yes", 0, IF(H192="-",AA192,AA192+AA192*VLOOKUP(H192,BUFFERS_BY_TYPE,2,FALSE)))) +
   (IF(J192="Yes", 0, IF(H192="-",AA192,AA192+AA192*VLOOKUP(H192,BUFFERS_BY_TYPE,2,FALSE))))*VLOOKUP($S$5, SALES_CALL_SCALE_ARRAY, 2,FALSE),0.25)</f>
        <v>2.5</v>
      </c>
      <c r="T192" s="158"/>
      <c r="U192" s="21">
        <v>0</v>
      </c>
      <c r="V192" s="21">
        <v>1</v>
      </c>
      <c r="W192" s="21">
        <v>0</v>
      </c>
      <c r="X192" s="156">
        <v>2.5</v>
      </c>
      <c r="Y192" s="157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2.5</v>
      </c>
      <c r="Z192" s="22"/>
      <c r="AA192" s="157">
        <f>Y192+Y192*VLOOKUP(I192,EXTRAS_ARRAY,2,FALSE)</f>
        <v>2.5</v>
      </c>
      <c r="AB192" s="20"/>
      <c r="AC192" s="34"/>
      <c r="AD192" s="23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spans="1:30" ht="15.5" hidden="1" outlineLevel="2" x14ac:dyDescent="0.35">
      <c r="A193" s="86" t="s">
        <v>0</v>
      </c>
      <c r="B193" s="18"/>
      <c r="C193" s="78"/>
      <c r="D193" s="78"/>
      <c r="E193" s="78"/>
      <c r="F193" s="79"/>
      <c r="G193" s="19" t="s">
        <v>23</v>
      </c>
      <c r="H193" s="19" t="s">
        <v>23</v>
      </c>
      <c r="I193" s="20" t="s">
        <v>23</v>
      </c>
      <c r="J193" s="19" t="s">
        <v>23</v>
      </c>
      <c r="K193" s="35"/>
      <c r="L193" s="19"/>
      <c r="M193" s="263">
        <f ca="1">IFERROR(OFFSET(M193,-1,,1,1)+0.1,OFFSET(M193,-1,-1,1,1)&amp;".1")</f>
        <v>12.399999999999999</v>
      </c>
      <c r="N193" s="20" t="s">
        <v>1056</v>
      </c>
      <c r="O193" s="20"/>
      <c r="P193" s="20"/>
      <c r="Q193" s="134"/>
      <c r="R193" s="127"/>
      <c r="S193" s="157">
        <f>CEILING((IF(J193="Yes", 0, IF(H193="-",AA193,AA193+AA193*VLOOKUP(H193,BUFFERS_BY_TYPE,2,FALSE)))) +
   (IF(J193="Yes", 0, IF(H193="-",AA193,AA193+AA193*VLOOKUP(H193,BUFFERS_BY_TYPE,2,FALSE))))*VLOOKUP($S$5, SALES_CALL_SCALE_ARRAY, 2,FALSE),0.25)</f>
        <v>2</v>
      </c>
      <c r="T193" s="158"/>
      <c r="U193" s="21">
        <v>0</v>
      </c>
      <c r="V193" s="21">
        <v>1</v>
      </c>
      <c r="W193" s="21">
        <v>0</v>
      </c>
      <c r="X193" s="156">
        <v>2</v>
      </c>
      <c r="Y193" s="157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>2</v>
      </c>
      <c r="Z193" s="22"/>
      <c r="AA193" s="157">
        <f>Y193+Y193*VLOOKUP(I193,EXTRAS_ARRAY,2,FALSE)</f>
        <v>2</v>
      </c>
      <c r="AB193" s="20"/>
      <c r="AC193" s="34"/>
      <c r="AD193" s="23" t="str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spans="1:30" ht="15.5" hidden="1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>
        <f ca="1">IFERROR(OFFSET(M194,-1,,1,1)+0.1,OFFSET(M194,-1,-1,1,1)&amp;".1")</f>
        <v>12.499999999999998</v>
      </c>
      <c r="N194" s="20" t="s">
        <v>1057</v>
      </c>
      <c r="O194" s="20"/>
      <c r="P194" s="20"/>
      <c r="Q194" s="134"/>
      <c r="R194" s="127"/>
      <c r="S194" s="157">
        <f>CEILING((IF(J194="Yes", 0, IF(H194="-",AA194,AA194+AA194*VLOOKUP(H194,BUFFERS_BY_TYPE,2,FALSE)))) +
   (IF(J194="Yes", 0, IF(H194="-",AA194,AA194+AA194*VLOOKUP(H194,BUFFERS_BY_TYPE,2,FALSE))))*VLOOKUP($S$5, SALES_CALL_SCALE_ARRAY, 2,FALSE),0.25)</f>
        <v>2</v>
      </c>
      <c r="T194" s="158"/>
      <c r="U194" s="21">
        <v>0</v>
      </c>
      <c r="V194" s="21">
        <v>1</v>
      </c>
      <c r="W194" s="21">
        <v>0</v>
      </c>
      <c r="X194" s="156">
        <v>2</v>
      </c>
      <c r="Y194" s="157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2</v>
      </c>
      <c r="Z194" s="22"/>
      <c r="AA194" s="157">
        <f>Y194+Y194*VLOOKUP(I194,EXTRAS_ARRAY,2,FALSE)</f>
        <v>2</v>
      </c>
      <c r="AB194" s="20"/>
      <c r="AC194" s="34"/>
      <c r="AD194" s="23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s="9" customFormat="1" ht="7.5" hidden="1" customHeight="1" outlineLevel="2" x14ac:dyDescent="0.35">
      <c r="A195" s="86" t="s">
        <v>132</v>
      </c>
      <c r="B195" s="15"/>
      <c r="C195" s="72"/>
      <c r="D195" s="72"/>
      <c r="E195" s="72"/>
      <c r="F195" s="72"/>
      <c r="M195" s="252"/>
      <c r="T195" s="15"/>
      <c r="X195" s="15"/>
      <c r="AB195" s="10"/>
      <c r="AC195" s="10"/>
      <c r="AD195" s="10"/>
    </row>
    <row r="196" spans="1:30" s="14" customFormat="1" ht="15.5" outlineLevel="1" x14ac:dyDescent="0.35">
      <c r="A196" s="86" t="s">
        <v>107</v>
      </c>
      <c r="B196" s="18"/>
      <c r="C196" s="77"/>
      <c r="D196" s="77"/>
      <c r="E196" s="77"/>
      <c r="F196" s="76"/>
      <c r="G196" s="170"/>
      <c r="H196" s="170"/>
      <c r="I196" s="170"/>
      <c r="J196" s="170"/>
      <c r="K196" s="170"/>
      <c r="L196" s="85" t="s">
        <v>109</v>
      </c>
      <c r="M196" s="302" t="s">
        <v>881</v>
      </c>
      <c r="N196" s="302"/>
      <c r="O196" s="80"/>
      <c r="P196" s="81"/>
      <c r="Q196" s="81"/>
      <c r="R196" s="81"/>
      <c r="S196" s="293">
        <f>SUMGROUP(ROW(), "T")</f>
        <v>64</v>
      </c>
      <c r="T196" s="293"/>
      <c r="U196" s="294"/>
      <c r="V196" s="294"/>
      <c r="W196" s="294"/>
      <c r="X196" s="82"/>
      <c r="Y196" s="83"/>
      <c r="Z196" s="83"/>
      <c r="AA196" s="83"/>
      <c r="AB196" s="221"/>
      <c r="AC196" s="84"/>
      <c r="AD196" s="23" t="str">
        <f>IF(M196="", "Error: Module name cannot be empty.", "")</f>
        <v/>
      </c>
    </row>
    <row r="197" spans="1:30" s="14" customFormat="1" ht="15.5" outlineLevel="1" collapsed="1" x14ac:dyDescent="0.35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13</v>
      </c>
      <c r="M197" s="332" t="s">
        <v>1058</v>
      </c>
      <c r="N197" s="303"/>
      <c r="O197" s="5"/>
      <c r="P197" s="30"/>
      <c r="Q197" s="30"/>
      <c r="R197" s="30"/>
      <c r="S197" s="30"/>
      <c r="T197" s="155">
        <f>IF($S$6="Exclude", SUMIFS(S198:S205, J198:J205, "&lt;&gt;Yes", G198:G205, "&lt;&gt;Yes"), SUMIFS(S198:S205, J198:J205, "&lt;&gt;Yes"))</f>
        <v>28</v>
      </c>
      <c r="U197" s="30"/>
      <c r="V197" s="30"/>
      <c r="W197" s="30"/>
      <c r="X197" s="31"/>
      <c r="Y197" s="32"/>
      <c r="Z197" s="32"/>
      <c r="AA197" s="32"/>
      <c r="AB197" s="219" t="s">
        <v>951</v>
      </c>
      <c r="AC197" s="33"/>
      <c r="AD197" s="23" t="str">
        <f>IF(M197="", "Error: Task name cannot be empty.", "")</f>
        <v/>
      </c>
    </row>
    <row r="198" spans="1:30" s="12" customFormat="1" ht="1.5" hidden="1" customHeight="1" outlineLevel="2" x14ac:dyDescent="0.35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13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5.5" hidden="1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t="shared" ref="M199:M204" ca="1" si="20">IFERROR(OFFSET(M199,-1,,1,1)+0.1,OFFSET(M199,-1,-1,1,1)&amp;".1")</f>
        <v>13.1</v>
      </c>
      <c r="N199" s="20" t="s">
        <v>1059</v>
      </c>
      <c r="O199" s="20"/>
      <c r="P199" s="20"/>
      <c r="Q199" s="134"/>
      <c r="R199" s="127"/>
      <c r="S199" s="157">
        <f t="shared" ref="S199:S204" si="21">CEILING((IF(J199="Yes", 0, IF(H199="-",AA199,AA199+AA199*VLOOKUP(H199,BUFFERS_BY_TYPE,2,FALSE)))) +
   (IF(J199="Yes", 0, IF(H199="-",AA199,AA199+AA199*VLOOKUP(H199,BUFFERS_BY_TYPE,2,FALSE))))*VLOOKUP($S$5, SALES_CALL_SCALE_ARRAY, 2,FALSE),0.25)</f>
        <v>5</v>
      </c>
      <c r="T199" s="158"/>
      <c r="U199" s="21">
        <v>0</v>
      </c>
      <c r="V199" s="21">
        <v>1</v>
      </c>
      <c r="W199" s="21">
        <v>0</v>
      </c>
      <c r="X199" s="156">
        <v>5</v>
      </c>
      <c r="Y199" s="157">
        <f t="shared" ref="Y199:Y204" si="22"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5</v>
      </c>
      <c r="Z199" s="22"/>
      <c r="AA199" s="157">
        <f t="shared" ref="AA199:AA204" si="23">Y199+Y199*VLOOKUP(I199,EXTRAS_ARRAY,2,FALSE)</f>
        <v>5</v>
      </c>
      <c r="AB199" s="20"/>
      <c r="AC199" s="34"/>
      <c r="AD199" s="23" t="str">
        <f t="shared" ref="AD199:AD204" si="24"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5.5" hidden="1" outlineLevel="2" x14ac:dyDescent="0.35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t="shared" ca="1" si="20"/>
        <v>13.2</v>
      </c>
      <c r="N200" s="20" t="s">
        <v>1060</v>
      </c>
      <c r="O200" s="20"/>
      <c r="P200" s="20"/>
      <c r="Q200" s="134"/>
      <c r="R200" s="127"/>
      <c r="S200" s="157">
        <f t="shared" si="21"/>
        <v>5</v>
      </c>
      <c r="T200" s="158"/>
      <c r="U200" s="21">
        <v>0</v>
      </c>
      <c r="V200" s="21">
        <v>1</v>
      </c>
      <c r="W200" s="21">
        <v>0</v>
      </c>
      <c r="X200" s="156">
        <v>5</v>
      </c>
      <c r="Y200" s="157">
        <f t="shared" si="22"/>
        <v>5</v>
      </c>
      <c r="Z200" s="22"/>
      <c r="AA200" s="157">
        <f t="shared" si="23"/>
        <v>5</v>
      </c>
      <c r="AB200" s="20"/>
      <c r="AC200" s="34"/>
      <c r="AD200" s="23" t="str">
        <f t="shared" si="24"/>
        <v/>
      </c>
    </row>
    <row r="201" spans="1:30" ht="15.5" hidden="1" outlineLevel="2" x14ac:dyDescent="0.35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t="shared" ca="1" si="20"/>
        <v>13.299999999999999</v>
      </c>
      <c r="N201" s="20" t="s">
        <v>1061</v>
      </c>
      <c r="O201" s="20"/>
      <c r="P201" s="20"/>
      <c r="Q201" s="134"/>
      <c r="R201" s="127"/>
      <c r="S201" s="157">
        <f t="shared" si="21"/>
        <v>4</v>
      </c>
      <c r="T201" s="158"/>
      <c r="U201" s="21">
        <v>0</v>
      </c>
      <c r="V201" s="21">
        <v>1</v>
      </c>
      <c r="W201" s="21">
        <v>0</v>
      </c>
      <c r="X201" s="156">
        <v>4</v>
      </c>
      <c r="Y201" s="157">
        <f t="shared" si="22"/>
        <v>4</v>
      </c>
      <c r="Z201" s="22"/>
      <c r="AA201" s="157">
        <f t="shared" si="23"/>
        <v>4</v>
      </c>
      <c r="AB201" s="20"/>
      <c r="AC201" s="34"/>
      <c r="AD201" s="23" t="str">
        <f t="shared" si="24"/>
        <v/>
      </c>
    </row>
    <row r="202" spans="1:30" ht="15.5" hidden="1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t="shared" ca="1" si="20"/>
        <v>13.399999999999999</v>
      </c>
      <c r="N202" s="20" t="s">
        <v>1062</v>
      </c>
      <c r="O202" s="20"/>
      <c r="P202" s="20"/>
      <c r="Q202" s="134"/>
      <c r="R202" s="127"/>
      <c r="S202" s="157">
        <f t="shared" si="21"/>
        <v>5</v>
      </c>
      <c r="T202" s="158"/>
      <c r="U202" s="21">
        <v>0</v>
      </c>
      <c r="V202" s="21">
        <v>1</v>
      </c>
      <c r="W202" s="21">
        <v>0</v>
      </c>
      <c r="X202" s="156">
        <v>5</v>
      </c>
      <c r="Y202" s="157">
        <f t="shared" si="22"/>
        <v>5</v>
      </c>
      <c r="Z202" s="22"/>
      <c r="AA202" s="157">
        <f t="shared" si="23"/>
        <v>5</v>
      </c>
      <c r="AB202" s="20"/>
      <c r="AC202" s="34"/>
      <c r="AD202" s="23" t="str">
        <f t="shared" si="24"/>
        <v/>
      </c>
    </row>
    <row r="203" spans="1:30" ht="15.5" hidden="1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t="shared" ca="1" si="20"/>
        <v>13.499999999999998</v>
      </c>
      <c r="N203" s="20" t="s">
        <v>1063</v>
      </c>
      <c r="O203" s="20"/>
      <c r="P203" s="20"/>
      <c r="Q203" s="134"/>
      <c r="R203" s="127"/>
      <c r="S203" s="157">
        <f t="shared" si="21"/>
        <v>4.5</v>
      </c>
      <c r="T203" s="158"/>
      <c r="U203" s="21">
        <v>0</v>
      </c>
      <c r="V203" s="21">
        <v>1</v>
      </c>
      <c r="W203" s="21">
        <v>0</v>
      </c>
      <c r="X203" s="156">
        <v>4.5</v>
      </c>
      <c r="Y203" s="157">
        <f t="shared" si="22"/>
        <v>4.5</v>
      </c>
      <c r="Z203" s="22"/>
      <c r="AA203" s="157">
        <f t="shared" si="23"/>
        <v>4.5</v>
      </c>
      <c r="AB203" s="20"/>
      <c r="AC203" s="34"/>
      <c r="AD203" s="23" t="str">
        <f t="shared" si="24"/>
        <v/>
      </c>
    </row>
    <row r="204" spans="1:30" ht="15.5" hidden="1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t="shared" ca="1" si="20"/>
        <v>13.599999999999998</v>
      </c>
      <c r="N204" s="20" t="s">
        <v>1064</v>
      </c>
      <c r="O204" s="20"/>
      <c r="P204" s="20"/>
      <c r="Q204" s="134"/>
      <c r="R204" s="127"/>
      <c r="S204" s="157">
        <f t="shared" si="21"/>
        <v>4.5</v>
      </c>
      <c r="T204" s="158"/>
      <c r="U204" s="21">
        <v>0</v>
      </c>
      <c r="V204" s="21">
        <v>1</v>
      </c>
      <c r="W204" s="21">
        <v>0</v>
      </c>
      <c r="X204" s="156">
        <v>4.5</v>
      </c>
      <c r="Y204" s="157">
        <f t="shared" si="22"/>
        <v>4.5</v>
      </c>
      <c r="Z204" s="22"/>
      <c r="AA204" s="157">
        <f t="shared" si="23"/>
        <v>4.5</v>
      </c>
      <c r="AB204" s="20"/>
      <c r="AC204" s="34"/>
      <c r="AD204" s="23" t="str">
        <f t="shared" si="24"/>
        <v/>
      </c>
    </row>
    <row r="205" spans="1:30" s="9" customFormat="1" ht="7.5" hidden="1" customHeight="1" outlineLevel="2" x14ac:dyDescent="0.35">
      <c r="A205" s="86" t="s">
        <v>132</v>
      </c>
      <c r="B205" s="15"/>
      <c r="C205" s="72"/>
      <c r="D205" s="72"/>
      <c r="E205" s="72"/>
      <c r="F205" s="72"/>
      <c r="M205" s="252"/>
      <c r="T205" s="15"/>
      <c r="X205" s="15"/>
      <c r="AB205" s="10"/>
      <c r="AC205" s="10"/>
      <c r="AD205" s="10"/>
    </row>
    <row r="206" spans="1:30" s="14" customFormat="1" ht="15.5" outlineLevel="1" collapsed="1" x14ac:dyDescent="0.35">
      <c r="A206" s="86" t="s">
        <v>100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7">
        <f ca="1">LOOKUP(1000,INDIRECT("L1:"&amp;CELL("address",INDIRECT("R[-1]C",FALSE))))+1</f>
        <v>14</v>
      </c>
      <c r="M206" s="332" t="s">
        <v>1065</v>
      </c>
      <c r="N206" s="303"/>
      <c r="O206" s="5"/>
      <c r="P206" s="30"/>
      <c r="Q206" s="30"/>
      <c r="R206" s="30"/>
      <c r="S206" s="30"/>
      <c r="T206" s="155">
        <f>IF($S$6="Exclude", SUMIFS(S207:S214, J207:J214, "&lt;&gt;Yes", G207:G214, "&lt;&gt;Yes"), SUMIFS(S207:S214, J207:J214, "&lt;&gt;Yes"))</f>
        <v>22</v>
      </c>
      <c r="U206" s="30"/>
      <c r="V206" s="30"/>
      <c r="W206" s="30"/>
      <c r="X206" s="31"/>
      <c r="Y206" s="32"/>
      <c r="Z206" s="32"/>
      <c r="AA206" s="32"/>
      <c r="AB206" s="219" t="s">
        <v>1066</v>
      </c>
      <c r="AC206" s="33"/>
      <c r="AD206" s="23" t="str">
        <f>IF(M206="", "Error: Task name cannot be empty.", "")</f>
        <v/>
      </c>
    </row>
    <row r="207" spans="1:30" s="12" customFormat="1" ht="1.5" hidden="1" customHeight="1" outlineLevel="2" x14ac:dyDescent="0.35">
      <c r="A207" s="86" t="s">
        <v>101</v>
      </c>
      <c r="B207" s="18"/>
      <c r="C207" s="77"/>
      <c r="D207" s="77"/>
      <c r="E207" s="77"/>
      <c r="F207" s="76"/>
      <c r="G207" s="29"/>
      <c r="H207" s="29"/>
      <c r="I207" s="29"/>
      <c r="J207" s="29"/>
      <c r="K207" s="29"/>
      <c r="L207" s="163">
        <f ca="1">L206</f>
        <v>14</v>
      </c>
      <c r="M207" s="164" t="s">
        <v>105</v>
      </c>
      <c r="N207" s="161"/>
      <c r="O207" s="162"/>
      <c r="P207" s="30"/>
      <c r="Q207" s="30"/>
      <c r="R207" s="30"/>
      <c r="S207" s="30"/>
      <c r="T207" s="155"/>
      <c r="U207" s="30"/>
      <c r="V207" s="30"/>
      <c r="W207" s="30"/>
      <c r="X207" s="31"/>
      <c r="Y207" s="32"/>
      <c r="Z207" s="32"/>
      <c r="AA207" s="32"/>
      <c r="AB207" s="33"/>
      <c r="AC207" s="33"/>
      <c r="AD207" s="23"/>
    </row>
    <row r="208" spans="1:30" ht="15.5" hidden="1" outlineLevel="2" x14ac:dyDescent="0.35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 t="str">
        <f t="shared" ref="M208:M213" ca="1" si="25">IFERROR(OFFSET(M208,-1,,1,1)+0.1,OFFSET(M208,-1,-1,1,1)&amp;".1")</f>
        <v>14.1</v>
      </c>
      <c r="N208" s="20" t="s">
        <v>1067</v>
      </c>
      <c r="O208" s="20"/>
      <c r="P208" s="20"/>
      <c r="Q208" s="134"/>
      <c r="R208" s="127"/>
      <c r="S208" s="157">
        <f t="shared" ref="S208:S213" si="26">CEILING((IF(J208="Yes", 0, IF(H208="-",AA208,AA208+AA208*VLOOKUP(H208,BUFFERS_BY_TYPE,2,FALSE)))) +
   (IF(J208="Yes", 0, IF(H208="-",AA208,AA208+AA208*VLOOKUP(H208,BUFFERS_BY_TYPE,2,FALSE))))*VLOOKUP($S$5, SALES_CALL_SCALE_ARRAY, 2,FALSE),0.25)</f>
        <v>4</v>
      </c>
      <c r="T208" s="158"/>
      <c r="U208" s="21">
        <v>0</v>
      </c>
      <c r="V208" s="21">
        <v>1</v>
      </c>
      <c r="W208" s="21">
        <v>0</v>
      </c>
      <c r="X208" s="156">
        <v>4</v>
      </c>
      <c r="Y208" s="157">
        <f t="shared" ref="Y208:Y213" si="27"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4</v>
      </c>
      <c r="Z208" s="22"/>
      <c r="AA208" s="157">
        <f t="shared" ref="AA208:AA213" si="28">Y208+Y208*VLOOKUP(I208,EXTRAS_ARRAY,2,FALSE)</f>
        <v>4</v>
      </c>
      <c r="AB208" s="20"/>
      <c r="AC208" s="34"/>
      <c r="AD208" s="23" t="str">
        <f t="shared" ref="AD208:AD213" si="29"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ht="15.5" hidden="1" outlineLevel="2" x14ac:dyDescent="0.35">
      <c r="A209" s="86" t="s">
        <v>0</v>
      </c>
      <c r="B209" s="18"/>
      <c r="C209" s="78"/>
      <c r="D209" s="78"/>
      <c r="E209" s="78"/>
      <c r="F209" s="79"/>
      <c r="G209" s="19" t="s">
        <v>23</v>
      </c>
      <c r="H209" s="19" t="s">
        <v>23</v>
      </c>
      <c r="I209" s="20" t="s">
        <v>23</v>
      </c>
      <c r="J209" s="19" t="s">
        <v>23</v>
      </c>
      <c r="K209" s="35"/>
      <c r="L209" s="19"/>
      <c r="M209" s="263">
        <f t="shared" ca="1" si="25"/>
        <v>14.2</v>
      </c>
      <c r="N209" s="20" t="s">
        <v>1068</v>
      </c>
      <c r="O209" s="20"/>
      <c r="P209" s="20"/>
      <c r="Q209" s="134"/>
      <c r="R209" s="127"/>
      <c r="S209" s="157">
        <f t="shared" si="26"/>
        <v>5</v>
      </c>
      <c r="T209" s="158"/>
      <c r="U209" s="21">
        <v>0</v>
      </c>
      <c r="V209" s="21">
        <v>1</v>
      </c>
      <c r="W209" s="21">
        <v>0</v>
      </c>
      <c r="X209" s="156">
        <v>5</v>
      </c>
      <c r="Y209" s="157">
        <f t="shared" si="27"/>
        <v>5</v>
      </c>
      <c r="Z209" s="22"/>
      <c r="AA209" s="157">
        <f t="shared" si="28"/>
        <v>5</v>
      </c>
      <c r="AB209" s="20"/>
      <c r="AC209" s="34"/>
      <c r="AD209" s="23" t="str">
        <f t="shared" si="29"/>
        <v/>
      </c>
    </row>
    <row r="210" spans="1:30" ht="15.5" hidden="1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>
        <f t="shared" ca="1" si="25"/>
        <v>14.299999999999999</v>
      </c>
      <c r="N210" s="20" t="s">
        <v>1069</v>
      </c>
      <c r="O210" s="20"/>
      <c r="P210" s="20"/>
      <c r="Q210" s="134"/>
      <c r="R210" s="127"/>
      <c r="S210" s="157">
        <f t="shared" si="26"/>
        <v>4.5</v>
      </c>
      <c r="T210" s="158"/>
      <c r="U210" s="21">
        <v>0</v>
      </c>
      <c r="V210" s="21">
        <v>1</v>
      </c>
      <c r="W210" s="21">
        <v>0</v>
      </c>
      <c r="X210" s="156">
        <v>4.5</v>
      </c>
      <c r="Y210" s="157">
        <f t="shared" si="27"/>
        <v>4.5</v>
      </c>
      <c r="Z210" s="22"/>
      <c r="AA210" s="157">
        <f t="shared" si="28"/>
        <v>4.5</v>
      </c>
      <c r="AB210" s="20"/>
      <c r="AC210" s="34"/>
      <c r="AD210" s="23" t="str">
        <f t="shared" si="29"/>
        <v/>
      </c>
    </row>
    <row r="211" spans="1:30" ht="15.5" hidden="1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t="shared" ca="1" si="25"/>
        <v>14.399999999999999</v>
      </c>
      <c r="N211" s="20" t="s">
        <v>1070</v>
      </c>
      <c r="O211" s="20"/>
      <c r="P211" s="20"/>
      <c r="Q211" s="134"/>
      <c r="R211" s="127"/>
      <c r="S211" s="157">
        <f t="shared" si="26"/>
        <v>4.5</v>
      </c>
      <c r="T211" s="158"/>
      <c r="U211" s="21">
        <v>0</v>
      </c>
      <c r="V211" s="21">
        <v>1</v>
      </c>
      <c r="W211" s="21">
        <v>0</v>
      </c>
      <c r="X211" s="156">
        <v>4.5</v>
      </c>
      <c r="Y211" s="157">
        <f t="shared" si="27"/>
        <v>4.5</v>
      </c>
      <c r="Z211" s="22"/>
      <c r="AA211" s="157">
        <f t="shared" si="28"/>
        <v>4.5</v>
      </c>
      <c r="AB211" s="20"/>
      <c r="AC211" s="34"/>
      <c r="AD211" s="23" t="str">
        <f t="shared" si="29"/>
        <v/>
      </c>
    </row>
    <row r="212" spans="1:30" ht="15.5" hidden="1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t="shared" ca="1" si="25"/>
        <v>14.499999999999998</v>
      </c>
      <c r="N212" s="20" t="s">
        <v>1071</v>
      </c>
      <c r="O212" s="20"/>
      <c r="P212" s="20"/>
      <c r="Q212" s="134"/>
      <c r="R212" s="127"/>
      <c r="S212" s="157">
        <f t="shared" si="26"/>
        <v>2.5</v>
      </c>
      <c r="T212" s="158"/>
      <c r="U212" s="21">
        <v>0</v>
      </c>
      <c r="V212" s="21">
        <v>1</v>
      </c>
      <c r="W212" s="21">
        <v>0</v>
      </c>
      <c r="X212" s="156">
        <v>2.5</v>
      </c>
      <c r="Y212" s="157">
        <f t="shared" si="27"/>
        <v>2.5</v>
      </c>
      <c r="Z212" s="22"/>
      <c r="AA212" s="157">
        <f t="shared" si="28"/>
        <v>2.5</v>
      </c>
      <c r="AB212" s="20"/>
      <c r="AC212" s="34"/>
      <c r="AD212" s="23" t="str">
        <f t="shared" si="29"/>
        <v/>
      </c>
    </row>
    <row r="213" spans="1:30" ht="15.5" hidden="1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t="shared" ca="1" si="25"/>
        <v>14.599999999999998</v>
      </c>
      <c r="N213" s="20" t="s">
        <v>1072</v>
      </c>
      <c r="O213" s="20"/>
      <c r="P213" s="20"/>
      <c r="Q213" s="134"/>
      <c r="R213" s="127"/>
      <c r="S213" s="157">
        <f t="shared" si="26"/>
        <v>1.5</v>
      </c>
      <c r="T213" s="158"/>
      <c r="U213" s="21">
        <v>0</v>
      </c>
      <c r="V213" s="21">
        <v>1</v>
      </c>
      <c r="W213" s="21">
        <v>0</v>
      </c>
      <c r="X213" s="156">
        <v>1.5</v>
      </c>
      <c r="Y213" s="157">
        <f t="shared" si="27"/>
        <v>1.5</v>
      </c>
      <c r="Z213" s="22"/>
      <c r="AA213" s="157">
        <f t="shared" si="28"/>
        <v>1.5</v>
      </c>
      <c r="AB213" s="20"/>
      <c r="AC213" s="34"/>
      <c r="AD213" s="23" t="str">
        <f t="shared" si="29"/>
        <v/>
      </c>
    </row>
    <row r="214" spans="1:30" s="9" customFormat="1" ht="7.5" hidden="1" customHeight="1" outlineLevel="2" x14ac:dyDescent="0.35">
      <c r="A214" s="86" t="s">
        <v>132</v>
      </c>
      <c r="B214" s="15"/>
      <c r="C214" s="72"/>
      <c r="D214" s="72"/>
      <c r="E214" s="72"/>
      <c r="F214" s="72"/>
      <c r="M214" s="252"/>
      <c r="T214" s="15"/>
      <c r="X214" s="15"/>
      <c r="AB214" s="10"/>
      <c r="AC214" s="10"/>
      <c r="AD214" s="10"/>
    </row>
    <row r="215" spans="1:30" s="14" customFormat="1" ht="29" outlineLevel="1" collapsed="1" x14ac:dyDescent="0.35">
      <c r="A215" s="86" t="s">
        <v>100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7">
        <f ca="1">LOOKUP(1000,INDIRECT("L1:"&amp;CELL("address",INDIRECT("R[-1]C",FALSE))))+1</f>
        <v>15</v>
      </c>
      <c r="M215" s="332" t="s">
        <v>1073</v>
      </c>
      <c r="N215" s="303"/>
      <c r="O215" s="5"/>
      <c r="P215" s="30"/>
      <c r="Q215" s="30"/>
      <c r="R215" s="30"/>
      <c r="S215" s="30"/>
      <c r="T215" s="155">
        <f>IF($S$6="Exclude", SUMIFS(S216:S222, J216:J222, "&lt;&gt;Yes", G216:G222, "&lt;&gt;Yes"), SUMIFS(S216:S222, J216:J222, "&lt;&gt;Yes"))</f>
        <v>14</v>
      </c>
      <c r="U215" s="30"/>
      <c r="V215" s="30"/>
      <c r="W215" s="30"/>
      <c r="X215" s="31"/>
      <c r="Y215" s="32"/>
      <c r="Z215" s="32"/>
      <c r="AA215" s="32"/>
      <c r="AB215" s="219" t="s">
        <v>1074</v>
      </c>
      <c r="AC215" s="33"/>
      <c r="AD215" s="23" t="str">
        <f>IF(M215="", "Error: Task name cannot be empty.", "")</f>
        <v/>
      </c>
    </row>
    <row r="216" spans="1:30" s="12" customFormat="1" ht="1.5" hidden="1" customHeight="1" outlineLevel="2" x14ac:dyDescent="0.35">
      <c r="A216" s="86" t="s">
        <v>101</v>
      </c>
      <c r="B216" s="18"/>
      <c r="C216" s="77"/>
      <c r="D216" s="77"/>
      <c r="E216" s="77"/>
      <c r="F216" s="76"/>
      <c r="G216" s="29"/>
      <c r="H216" s="29"/>
      <c r="I216" s="29"/>
      <c r="J216" s="29"/>
      <c r="K216" s="29"/>
      <c r="L216" s="163">
        <f ca="1">L215</f>
        <v>15</v>
      </c>
      <c r="M216" s="164" t="s">
        <v>105</v>
      </c>
      <c r="N216" s="161"/>
      <c r="O216" s="162"/>
      <c r="P216" s="30"/>
      <c r="Q216" s="30"/>
      <c r="R216" s="30"/>
      <c r="S216" s="30"/>
      <c r="T216" s="155"/>
      <c r="U216" s="30"/>
      <c r="V216" s="30"/>
      <c r="W216" s="30"/>
      <c r="X216" s="31"/>
      <c r="Y216" s="32"/>
      <c r="Z216" s="32"/>
      <c r="AA216" s="32"/>
      <c r="AB216" s="33"/>
      <c r="AC216" s="33"/>
      <c r="AD216" s="23"/>
    </row>
    <row r="217" spans="1:30" ht="15.5" hidden="1" outlineLevel="2" x14ac:dyDescent="0.35">
      <c r="A217" s="86" t="s">
        <v>0</v>
      </c>
      <c r="B217" s="18"/>
      <c r="C217" s="78"/>
      <c r="D217" s="78"/>
      <c r="E217" s="78"/>
      <c r="F217" s="79"/>
      <c r="G217" s="19" t="s">
        <v>23</v>
      </c>
      <c r="H217" s="19" t="s">
        <v>23</v>
      </c>
      <c r="I217" s="20" t="s">
        <v>23</v>
      </c>
      <c r="J217" s="19" t="s">
        <v>23</v>
      </c>
      <c r="K217" s="35"/>
      <c r="L217" s="19"/>
      <c r="M217" s="263" t="str">
        <f ca="1">IFERROR(OFFSET(M217,-1,,1,1)+0.1,OFFSET(M217,-1,-1,1,1)&amp;".1")</f>
        <v>15.1</v>
      </c>
      <c r="N217" s="20" t="s">
        <v>1075</v>
      </c>
      <c r="O217" s="20"/>
      <c r="P217" s="20"/>
      <c r="Q217" s="134"/>
      <c r="R217" s="127"/>
      <c r="S217" s="157">
        <f>CEILING((IF(J217="Yes", 0, IF(H217="-",AA217,AA217+AA217*VLOOKUP(H217,BUFFERS_BY_TYPE,2,FALSE)))) +
   (IF(J217="Yes", 0, IF(H217="-",AA217,AA217+AA217*VLOOKUP(H217,BUFFERS_BY_TYPE,2,FALSE))))*VLOOKUP($S$5, SALES_CALL_SCALE_ARRAY, 2,FALSE),0.25)</f>
        <v>4</v>
      </c>
      <c r="T217" s="158"/>
      <c r="U217" s="21">
        <v>0</v>
      </c>
      <c r="V217" s="21">
        <v>1</v>
      </c>
      <c r="W217" s="21">
        <v>0</v>
      </c>
      <c r="X217" s="156">
        <v>4</v>
      </c>
      <c r="Y217" s="157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4</v>
      </c>
      <c r="Z217" s="22"/>
      <c r="AA217" s="157">
        <f>Y217+Y217*VLOOKUP(I217,EXTRAS_ARRAY,2,FALSE)</f>
        <v>4</v>
      </c>
      <c r="AB217" s="20"/>
      <c r="AC217" s="34"/>
      <c r="AD217" s="23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ht="15.5" hidden="1" outlineLevel="2" x14ac:dyDescent="0.35">
      <c r="A218" s="86" t="s">
        <v>0</v>
      </c>
      <c r="B218" s="18"/>
      <c r="C218" s="78"/>
      <c r="D218" s="78"/>
      <c r="E218" s="78"/>
      <c r="F218" s="79"/>
      <c r="G218" s="19" t="s">
        <v>23</v>
      </c>
      <c r="H218" s="19" t="s">
        <v>23</v>
      </c>
      <c r="I218" s="20" t="s">
        <v>23</v>
      </c>
      <c r="J218" s="19" t="s">
        <v>23</v>
      </c>
      <c r="K218" s="35"/>
      <c r="L218" s="19"/>
      <c r="M218" s="263">
        <f ca="1">IFERROR(OFFSET(M218,-1,,1,1)+0.1,OFFSET(M218,-1,-1,1,1)&amp;".1")</f>
        <v>15.2</v>
      </c>
      <c r="N218" s="20" t="s">
        <v>1076</v>
      </c>
      <c r="O218" s="20"/>
      <c r="P218" s="20"/>
      <c r="Q218" s="134"/>
      <c r="R218" s="127"/>
      <c r="S218" s="157">
        <f>CEILING((IF(J218="Yes", 0, IF(H218="-",AA218,AA218+AA218*VLOOKUP(H218,BUFFERS_BY_TYPE,2,FALSE)))) +
   (IF(J218="Yes", 0, IF(H218="-",AA218,AA218+AA218*VLOOKUP(H218,BUFFERS_BY_TYPE,2,FALSE))))*VLOOKUP($S$5, SALES_CALL_SCALE_ARRAY, 2,FALSE),0.25)</f>
        <v>4</v>
      </c>
      <c r="T218" s="158"/>
      <c r="U218" s="21">
        <v>0</v>
      </c>
      <c r="V218" s="21">
        <v>1</v>
      </c>
      <c r="W218" s="21">
        <v>0</v>
      </c>
      <c r="X218" s="156">
        <v>4</v>
      </c>
      <c r="Y218" s="157">
        <f>CEILING((IF(P218=AS_DEV_EFFORT, DEV_EFFORT*Q218%,
                           IF(P218=AS_DURATION_EFFORT, (MANUAL_DURATION*5)*Q218%,
                                    (IF(Q218&lt;=1,X218,
                                          IF(SUM(U218:W218)=0,(Q218*X218),
                                               (((Q218*U218)*(X218+(X218*EXTRA_FOR_H)))+
                                               ((Q218*V218)*X218)+
                                               ((Q218*W218)*(X218-(X218*LESS_FOR_L)))
                                    )*IF(R218=0,1,R218))))))+Z218), 0.25)</f>
        <v>4</v>
      </c>
      <c r="Z218" s="22"/>
      <c r="AA218" s="157">
        <f>Y218+Y218*VLOOKUP(I218,EXTRAS_ARRAY,2,FALSE)</f>
        <v>4</v>
      </c>
      <c r="AB218" s="20"/>
      <c r="AC218" s="34"/>
      <c r="AD218" s="23" t="str">
        <f>IF(J218&lt;&gt;"Yes",
IF(S218&lt;=0,"Error: Effort value is not defined or is invalid.",
IF(AND(SUM(U218:W218)&gt;0,SUM(U218:W218)&lt;&gt;1),"Error: Complexity % distribution should sum to 100%.",
IF(AND(P218=AS_DEV_EFFORT,X218&lt;&gt;0),"Error: PDs should not be defined when defining as dev effort %.",
IF(AND(P218=AS_DURATION_EFFORT,X218&lt;&gt;0),"Error: PDs should not be defined when defining as duration effort %.","")))))</f>
        <v/>
      </c>
    </row>
    <row r="219" spans="1:30" ht="15.5" hidden="1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>
        <f ca="1">IFERROR(OFFSET(M219,-1,,1,1)+0.1,OFFSET(M219,-1,-1,1,1)&amp;".1")</f>
        <v>15.299999999999999</v>
      </c>
      <c r="N219" s="20" t="s">
        <v>1077</v>
      </c>
      <c r="O219" s="20"/>
      <c r="P219" s="20"/>
      <c r="Q219" s="134"/>
      <c r="R219" s="127"/>
      <c r="S219" s="157">
        <f>CEILING((IF(J219="Yes", 0, IF(H219="-",AA219,AA219+AA219*VLOOKUP(H219,BUFFERS_BY_TYPE,2,FALSE)))) +
   (IF(J219="Yes", 0, IF(H219="-",AA219,AA219+AA219*VLOOKUP(H219,BUFFERS_BY_TYPE,2,FALSE))))*VLOOKUP($S$5, SALES_CALL_SCALE_ARRAY, 2,FALSE),0.25)</f>
        <v>2.5</v>
      </c>
      <c r="T219" s="158"/>
      <c r="U219" s="21">
        <v>0</v>
      </c>
      <c r="V219" s="21">
        <v>1</v>
      </c>
      <c r="W219" s="21">
        <v>0</v>
      </c>
      <c r="X219" s="156">
        <v>2.5</v>
      </c>
      <c r="Y219" s="157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2.5</v>
      </c>
      <c r="Z219" s="22"/>
      <c r="AA219" s="157">
        <f>Y219+Y219*VLOOKUP(I219,EXTRAS_ARRAY,2,FALSE)</f>
        <v>2.5</v>
      </c>
      <c r="AB219" s="20"/>
      <c r="AC219" s="34"/>
      <c r="AD219" s="23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ca="1">IFERROR(OFFSET(M220,-1,,1,1)+0.1,OFFSET(M220,-1,-1,1,1)&amp;".1")</f>
        <v>15.399999999999999</v>
      </c>
      <c r="N220" s="20" t="s">
        <v>1078</v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2</v>
      </c>
      <c r="T220" s="158"/>
      <c r="U220" s="21">
        <v>0</v>
      </c>
      <c r="V220" s="21">
        <v>1</v>
      </c>
      <c r="W220" s="21">
        <v>0</v>
      </c>
      <c r="X220" s="156">
        <v>2</v>
      </c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2</v>
      </c>
      <c r="Z220" s="22"/>
      <c r="AA220" s="157">
        <f>Y220+Y220*VLOOKUP(I220,EXTRAS_ARRAY,2,FALSE)</f>
        <v>2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15.499999999999998</v>
      </c>
      <c r="N221" s="20" t="s">
        <v>1079</v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1.5</v>
      </c>
      <c r="T221" s="158"/>
      <c r="U221" s="21">
        <v>0</v>
      </c>
      <c r="V221" s="21">
        <v>1</v>
      </c>
      <c r="W221" s="21">
        <v>0</v>
      </c>
      <c r="X221" s="156">
        <v>1.5</v>
      </c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1.5</v>
      </c>
      <c r="Z221" s="22"/>
      <c r="AA221" s="157">
        <f>Y221+Y221*VLOOKUP(I221,EXTRAS_ARRAY,2,FALSE)</f>
        <v>1.5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/>
      </c>
    </row>
    <row r="222" spans="1:30" s="9" customFormat="1" ht="7.5" hidden="1" customHeight="1" outlineLevel="2" x14ac:dyDescent="0.35">
      <c r="A222" s="86" t="s">
        <v>132</v>
      </c>
      <c r="B222" s="15"/>
      <c r="C222" s="72"/>
      <c r="D222" s="72"/>
      <c r="E222" s="72"/>
      <c r="F222" s="72"/>
      <c r="M222" s="252"/>
      <c r="T222" s="15"/>
      <c r="X222" s="15"/>
      <c r="AB222" s="10"/>
      <c r="AC222" s="10"/>
      <c r="AD222" s="10"/>
    </row>
    <row r="223" spans="1:30" s="14" customFormat="1" ht="15.5" outlineLevel="1" x14ac:dyDescent="0.35">
      <c r="A223" s="86" t="s">
        <v>107</v>
      </c>
      <c r="B223" s="18"/>
      <c r="C223" s="77"/>
      <c r="D223" s="77"/>
      <c r="E223" s="77"/>
      <c r="F223" s="76"/>
      <c r="G223" s="170"/>
      <c r="H223" s="170"/>
      <c r="I223" s="170"/>
      <c r="J223" s="170"/>
      <c r="K223" s="170"/>
      <c r="L223" s="85" t="s">
        <v>109</v>
      </c>
      <c r="M223" s="302" t="s">
        <v>882</v>
      </c>
      <c r="N223" s="302"/>
      <c r="O223" s="80"/>
      <c r="P223" s="81"/>
      <c r="Q223" s="81"/>
      <c r="R223" s="81"/>
      <c r="S223" s="293">
        <f>SUMGROUP(ROW(), "T")</f>
        <v>66</v>
      </c>
      <c r="T223" s="293"/>
      <c r="U223" s="294"/>
      <c r="V223" s="294"/>
      <c r="W223" s="294"/>
      <c r="X223" s="82"/>
      <c r="Y223" s="83"/>
      <c r="Z223" s="83"/>
      <c r="AA223" s="83"/>
      <c r="AB223" s="221"/>
      <c r="AC223" s="84"/>
      <c r="AD223" s="23" t="str">
        <f>IF(M223="", "Error: Module name cannot be empty.", "")</f>
        <v/>
      </c>
    </row>
    <row r="224" spans="1:30" s="14" customFormat="1" ht="15.5" outlineLevel="1" collapsed="1" x14ac:dyDescent="0.35">
      <c r="A224" s="86" t="s">
        <v>100</v>
      </c>
      <c r="B224" s="18"/>
      <c r="C224" s="77"/>
      <c r="D224" s="77"/>
      <c r="E224" s="77"/>
      <c r="F224" s="76"/>
      <c r="G224" s="29"/>
      <c r="H224" s="29"/>
      <c r="I224" s="29"/>
      <c r="J224" s="29"/>
      <c r="K224" s="29"/>
      <c r="L224" s="17">
        <f ca="1">LOOKUP(1000,INDIRECT("L1:"&amp;CELL("address",INDIRECT("R[-1]C",FALSE))))+1</f>
        <v>16</v>
      </c>
      <c r="M224" s="332" t="s">
        <v>1080</v>
      </c>
      <c r="N224" s="303"/>
      <c r="O224" s="5"/>
      <c r="P224" s="30"/>
      <c r="Q224" s="30"/>
      <c r="R224" s="30"/>
      <c r="S224" s="30"/>
      <c r="T224" s="155">
        <f>IF($S$6="Exclude", SUMIFS(S225:S231, J225:J231, "&lt;&gt;Yes", G225:G231, "&lt;&gt;Yes"), SUMIFS(S225:S231, J225:J231, "&lt;&gt;Yes"))</f>
        <v>14</v>
      </c>
      <c r="U224" s="30"/>
      <c r="V224" s="30"/>
      <c r="W224" s="30"/>
      <c r="X224" s="31"/>
      <c r="Y224" s="32"/>
      <c r="Z224" s="32"/>
      <c r="AA224" s="32"/>
      <c r="AB224" s="219" t="s">
        <v>952</v>
      </c>
      <c r="AC224" s="33"/>
      <c r="AD224" s="23" t="str">
        <f>IF(M224="", "Error: Task name cannot be empty.", "")</f>
        <v/>
      </c>
    </row>
    <row r="225" spans="1:30" s="12" customFormat="1" ht="1.5" hidden="1" customHeight="1" outlineLevel="2" x14ac:dyDescent="0.35">
      <c r="A225" s="86" t="s">
        <v>101</v>
      </c>
      <c r="B225" s="18"/>
      <c r="C225" s="77"/>
      <c r="D225" s="77"/>
      <c r="E225" s="77"/>
      <c r="F225" s="76"/>
      <c r="G225" s="29"/>
      <c r="H225" s="29"/>
      <c r="I225" s="29"/>
      <c r="J225" s="29"/>
      <c r="K225" s="29"/>
      <c r="L225" s="163">
        <f ca="1">L224</f>
        <v>16</v>
      </c>
      <c r="M225" s="164" t="s">
        <v>105</v>
      </c>
      <c r="N225" s="161"/>
      <c r="O225" s="162"/>
      <c r="P225" s="30"/>
      <c r="Q225" s="30"/>
      <c r="R225" s="30"/>
      <c r="S225" s="30"/>
      <c r="T225" s="155"/>
      <c r="U225" s="30"/>
      <c r="V225" s="30"/>
      <c r="W225" s="30"/>
      <c r="X225" s="31"/>
      <c r="Y225" s="32"/>
      <c r="Z225" s="32"/>
      <c r="AA225" s="32"/>
      <c r="AB225" s="33"/>
      <c r="AC225" s="33"/>
      <c r="AD225" s="23"/>
    </row>
    <row r="226" spans="1:30" ht="15.5" hidden="1" outlineLevel="2" x14ac:dyDescent="0.35">
      <c r="A226" s="86" t="s">
        <v>0</v>
      </c>
      <c r="B226" s="18"/>
      <c r="C226" s="78"/>
      <c r="D226" s="78"/>
      <c r="E226" s="78"/>
      <c r="F226" s="79"/>
      <c r="G226" s="19" t="s">
        <v>23</v>
      </c>
      <c r="H226" s="19" t="s">
        <v>23</v>
      </c>
      <c r="I226" s="20" t="s">
        <v>23</v>
      </c>
      <c r="J226" s="19" t="s">
        <v>23</v>
      </c>
      <c r="K226" s="35"/>
      <c r="L226" s="19"/>
      <c r="M226" s="263" t="str">
        <f ca="1">IFERROR(OFFSET(M226,-1,,1,1)+0.1,OFFSET(M226,-1,-1,1,1)&amp;".1")</f>
        <v>16.1</v>
      </c>
      <c r="N226" s="20" t="s">
        <v>1081</v>
      </c>
      <c r="O226" s="20"/>
      <c r="P226" s="20"/>
      <c r="Q226" s="134"/>
      <c r="R226" s="127"/>
      <c r="S226" s="157">
        <f>CEILING((IF(J226="Yes", 0, IF(H226="-",AA226,AA226+AA226*VLOOKUP(H226,BUFFERS_BY_TYPE,2,FALSE)))) +
   (IF(J226="Yes", 0, IF(H226="-",AA226,AA226+AA226*VLOOKUP(H226,BUFFERS_BY_TYPE,2,FALSE))))*VLOOKUP($S$5, SALES_CALL_SCALE_ARRAY, 2,FALSE),0.25)</f>
        <v>3</v>
      </c>
      <c r="T226" s="158"/>
      <c r="U226" s="21">
        <v>0</v>
      </c>
      <c r="V226" s="21">
        <v>1</v>
      </c>
      <c r="W226" s="21">
        <v>0</v>
      </c>
      <c r="X226" s="156">
        <v>3</v>
      </c>
      <c r="Y226" s="157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3</v>
      </c>
      <c r="Z226" s="22"/>
      <c r="AA226" s="157">
        <f>Y226+Y226*VLOOKUP(I226,EXTRAS_ARRAY,2,FALSE)</f>
        <v>3</v>
      </c>
      <c r="AB226" s="20"/>
      <c r="AC226" s="34"/>
      <c r="AD226" s="23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ht="15.5" hidden="1" outlineLevel="2" x14ac:dyDescent="0.35">
      <c r="A227" s="86" t="s">
        <v>0</v>
      </c>
      <c r="B227" s="18"/>
      <c r="C227" s="78"/>
      <c r="D227" s="78"/>
      <c r="E227" s="78"/>
      <c r="F227" s="79"/>
      <c r="G227" s="19" t="s">
        <v>23</v>
      </c>
      <c r="H227" s="19" t="s">
        <v>23</v>
      </c>
      <c r="I227" s="20" t="s">
        <v>23</v>
      </c>
      <c r="J227" s="19" t="s">
        <v>23</v>
      </c>
      <c r="K227" s="35"/>
      <c r="L227" s="19"/>
      <c r="M227" s="263">
        <f ca="1">IFERROR(OFFSET(M227,-1,,1,1)+0.1,OFFSET(M227,-1,-1,1,1)&amp;".1")</f>
        <v>16.200000000000003</v>
      </c>
      <c r="N227" s="20" t="s">
        <v>1082</v>
      </c>
      <c r="O227" s="20"/>
      <c r="P227" s="20"/>
      <c r="Q227" s="134"/>
      <c r="R227" s="127"/>
      <c r="S227" s="157">
        <f>CEILING((IF(J227="Yes", 0, IF(H227="-",AA227,AA227+AA227*VLOOKUP(H227,BUFFERS_BY_TYPE,2,FALSE)))) +
   (IF(J227="Yes", 0, IF(H227="-",AA227,AA227+AA227*VLOOKUP(H227,BUFFERS_BY_TYPE,2,FALSE))))*VLOOKUP($S$5, SALES_CALL_SCALE_ARRAY, 2,FALSE),0.25)</f>
        <v>3</v>
      </c>
      <c r="T227" s="158"/>
      <c r="U227" s="21">
        <v>0</v>
      </c>
      <c r="V227" s="21">
        <v>1</v>
      </c>
      <c r="W227" s="21">
        <v>0</v>
      </c>
      <c r="X227" s="156">
        <v>3</v>
      </c>
      <c r="Y227" s="157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3</v>
      </c>
      <c r="Z227" s="22"/>
      <c r="AA227" s="157">
        <f>Y227+Y227*VLOOKUP(I227,EXTRAS_ARRAY,2,FALSE)</f>
        <v>3</v>
      </c>
      <c r="AB227" s="20"/>
      <c r="AC227" s="34"/>
      <c r="AD227" s="23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/>
      </c>
    </row>
    <row r="228" spans="1:30" ht="15.5" hidden="1" outlineLevel="2" x14ac:dyDescent="0.35">
      <c r="A228" s="86" t="s">
        <v>0</v>
      </c>
      <c r="B228" s="18"/>
      <c r="C228" s="78"/>
      <c r="D228" s="78"/>
      <c r="E228" s="78"/>
      <c r="F228" s="79"/>
      <c r="G228" s="19" t="s">
        <v>23</v>
      </c>
      <c r="H228" s="19" t="s">
        <v>23</v>
      </c>
      <c r="I228" s="20" t="s">
        <v>23</v>
      </c>
      <c r="J228" s="19" t="s">
        <v>23</v>
      </c>
      <c r="K228" s="35"/>
      <c r="L228" s="19"/>
      <c r="M228" s="263">
        <f ca="1">IFERROR(OFFSET(M228,-1,,1,1)+0.1,OFFSET(M228,-1,-1,1,1)&amp;".1")</f>
        <v>16.300000000000004</v>
      </c>
      <c r="N228" s="20" t="s">
        <v>1083</v>
      </c>
      <c r="O228" s="20"/>
      <c r="P228" s="20"/>
      <c r="Q228" s="134"/>
      <c r="R228" s="127"/>
      <c r="S228" s="157">
        <f>CEILING((IF(J228="Yes", 0, IF(H228="-",AA228,AA228+AA228*VLOOKUP(H228,BUFFERS_BY_TYPE,2,FALSE)))) +
   (IF(J228="Yes", 0, IF(H228="-",AA228,AA228+AA228*VLOOKUP(H228,BUFFERS_BY_TYPE,2,FALSE))))*VLOOKUP($S$5, SALES_CALL_SCALE_ARRAY, 2,FALSE),0.25)</f>
        <v>3</v>
      </c>
      <c r="T228" s="158"/>
      <c r="U228" s="21">
        <v>0</v>
      </c>
      <c r="V228" s="21">
        <v>1</v>
      </c>
      <c r="W228" s="21">
        <v>0</v>
      </c>
      <c r="X228" s="156">
        <v>3</v>
      </c>
      <c r="Y228" s="157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3</v>
      </c>
      <c r="Z228" s="22"/>
      <c r="AA228" s="157">
        <f>Y228+Y228*VLOOKUP(I228,EXTRAS_ARRAY,2,FALSE)</f>
        <v>3</v>
      </c>
      <c r="AB228" s="20"/>
      <c r="AC228" s="34"/>
      <c r="AD228" s="23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/>
      </c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>
        <f ca="1">IFERROR(OFFSET(M229,-1,,1,1)+0.1,OFFSET(M229,-1,-1,1,1)&amp;".1")</f>
        <v>16.400000000000006</v>
      </c>
      <c r="N229" s="20" t="s">
        <v>1084</v>
      </c>
      <c r="O229" s="20"/>
      <c r="P229" s="20"/>
      <c r="Q229" s="134"/>
      <c r="R229" s="127"/>
      <c r="S229" s="157">
        <f>CEILING((IF(J229="Yes", 0, IF(H229="-",AA229,AA229+AA229*VLOOKUP(H229,BUFFERS_BY_TYPE,2,FALSE)))) +
   (IF(J229="Yes", 0, IF(H229="-",AA229,AA229+AA229*VLOOKUP(H229,BUFFERS_BY_TYPE,2,FALSE))))*VLOOKUP($S$5, SALES_CALL_SCALE_ARRAY, 2,FALSE),0.25)</f>
        <v>3</v>
      </c>
      <c r="T229" s="158"/>
      <c r="U229" s="21">
        <v>0</v>
      </c>
      <c r="V229" s="21">
        <v>1</v>
      </c>
      <c r="W229" s="21">
        <v>0</v>
      </c>
      <c r="X229" s="156">
        <v>3</v>
      </c>
      <c r="Y229" s="157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3</v>
      </c>
      <c r="Z229" s="22"/>
      <c r="AA229" s="157">
        <f>Y229+Y229*VLOOKUP(I229,EXTRAS_ARRAY,2,FALSE)</f>
        <v>3</v>
      </c>
      <c r="AB229" s="20"/>
      <c r="AC229" s="34"/>
      <c r="AD229" s="23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hidden="1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ca="1">IFERROR(OFFSET(M230,-1,,1,1)+0.1,OFFSET(M230,-1,-1,1,1)&amp;".1")</f>
        <v>16.500000000000007</v>
      </c>
      <c r="N230" s="20" t="s">
        <v>883</v>
      </c>
      <c r="O230" s="20"/>
      <c r="P230" s="20"/>
      <c r="Q230" s="134"/>
      <c r="R230" s="127"/>
      <c r="S230" s="157">
        <f>CEILING((IF(J230="Yes", 0, IF(H230="-",AA230,AA230+AA230*VLOOKUP(H230,BUFFERS_BY_TYPE,2,FALSE)))) +
   (IF(J230="Yes", 0, IF(H230="-",AA230,AA230+AA230*VLOOKUP(H230,BUFFERS_BY_TYPE,2,FALSE))))*VLOOKUP($S$5, SALES_CALL_SCALE_ARRAY, 2,FALSE),0.25)</f>
        <v>2</v>
      </c>
      <c r="T230" s="158"/>
      <c r="U230" s="21">
        <v>0</v>
      </c>
      <c r="V230" s="21">
        <v>1</v>
      </c>
      <c r="W230" s="21">
        <v>0</v>
      </c>
      <c r="X230" s="156">
        <v>2</v>
      </c>
      <c r="Y230" s="157">
        <f>CEILING((IF(P230=AS_DEV_EFFORT, DEV_EFFORT*Q230%,
                           IF(P230=AS_DURATION_EFFORT, (MANUAL_DURATION*5)*Q230%,
                                    (IF(Q230&lt;=1,X230,
                                          IF(SUM(U230:W230)=0,(Q230*X230),
                                               (((Q230*U230)*(X230+(X230*EXTRA_FOR_H)))+
                                               ((Q230*V230)*X230)+
                                               ((Q230*W230)*(X230-(X230*LESS_FOR_L)))
                                    )*IF(R230=0,1,R230))))))+Z230), 0.25)</f>
        <v>2</v>
      </c>
      <c r="Z230" s="22"/>
      <c r="AA230" s="157">
        <f>Y230+Y230*VLOOKUP(I230,EXTRAS_ARRAY,2,FALSE)</f>
        <v>2</v>
      </c>
      <c r="AB230" s="20"/>
      <c r="AC230" s="34"/>
      <c r="AD230" s="23" t="str">
        <f>IF(J230&lt;&gt;"Yes",
IF(S230&lt;=0,"Error: Effort value is not defined or is invalid.",
IF(AND(SUM(U230:W230)&gt;0,SUM(U230:W230)&lt;&gt;1),"Error: Complexity % distribution should sum to 100%.",
IF(AND(P230=AS_DEV_EFFORT,X230&lt;&gt;0),"Error: PDs should not be defined when defining as dev effort %.",
IF(AND(P230=AS_DURATION_EFFORT,X230&lt;&gt;0),"Error: PDs should not be defined when defining as duration effort %.","")))))</f>
        <v/>
      </c>
    </row>
    <row r="231" spans="1:30" s="9" customFormat="1" ht="7.5" hidden="1" customHeight="1" outlineLevel="2" x14ac:dyDescent="0.35">
      <c r="A231" s="86" t="s">
        <v>132</v>
      </c>
      <c r="B231" s="15"/>
      <c r="C231" s="72"/>
      <c r="D231" s="72"/>
      <c r="E231" s="72"/>
      <c r="F231" s="72"/>
      <c r="M231" s="252"/>
      <c r="T231" s="15"/>
      <c r="X231" s="15"/>
      <c r="AB231" s="10"/>
      <c r="AC231" s="10"/>
      <c r="AD231" s="10"/>
    </row>
    <row r="232" spans="1:30" s="14" customFormat="1" ht="15.5" outlineLevel="1" collapsed="1" x14ac:dyDescent="0.35">
      <c r="A232" s="86" t="s">
        <v>100</v>
      </c>
      <c r="B232" s="18"/>
      <c r="C232" s="77"/>
      <c r="D232" s="77"/>
      <c r="E232" s="77"/>
      <c r="F232" s="76"/>
      <c r="G232" s="29"/>
      <c r="H232" s="29"/>
      <c r="I232" s="29"/>
      <c r="J232" s="29"/>
      <c r="K232" s="29"/>
      <c r="L232" s="17">
        <f ca="1">LOOKUP(1000,INDIRECT("L1:"&amp;CELL("address",INDIRECT("R[-1]C",FALSE))))+1</f>
        <v>17</v>
      </c>
      <c r="M232" s="332" t="s">
        <v>1085</v>
      </c>
      <c r="N232" s="303"/>
      <c r="O232" s="5"/>
      <c r="P232" s="30"/>
      <c r="Q232" s="30"/>
      <c r="R232" s="30"/>
      <c r="S232" s="30"/>
      <c r="T232" s="155">
        <f>IF($S$6="Exclude", SUMIFS(S233:S239, J233:J239, "&lt;&gt;Yes", G233:G239, "&lt;&gt;Yes"), SUMIFS(S233:S239, J233:J239, "&lt;&gt;Yes"))</f>
        <v>16</v>
      </c>
      <c r="U232" s="30"/>
      <c r="V232" s="30"/>
      <c r="W232" s="30"/>
      <c r="X232" s="31"/>
      <c r="Y232" s="32"/>
      <c r="Z232" s="32"/>
      <c r="AA232" s="32"/>
      <c r="AB232" s="219" t="s">
        <v>953</v>
      </c>
      <c r="AC232" s="33"/>
      <c r="AD232" s="23" t="str">
        <f>IF(M232="", "Error: Task name cannot be empty.", "")</f>
        <v/>
      </c>
    </row>
    <row r="233" spans="1:30" s="12" customFormat="1" ht="1.5" hidden="1" customHeight="1" outlineLevel="2" x14ac:dyDescent="0.35">
      <c r="A233" s="86" t="s">
        <v>101</v>
      </c>
      <c r="B233" s="18"/>
      <c r="C233" s="77"/>
      <c r="D233" s="77"/>
      <c r="E233" s="77"/>
      <c r="F233" s="76"/>
      <c r="G233" s="29"/>
      <c r="H233" s="29"/>
      <c r="I233" s="29"/>
      <c r="J233" s="29"/>
      <c r="K233" s="29"/>
      <c r="L233" s="163">
        <f ca="1">L232</f>
        <v>17</v>
      </c>
      <c r="M233" s="164" t="s">
        <v>105</v>
      </c>
      <c r="N233" s="161"/>
      <c r="O233" s="162"/>
      <c r="P233" s="30"/>
      <c r="Q233" s="30"/>
      <c r="R233" s="30"/>
      <c r="S233" s="30"/>
      <c r="T233" s="155"/>
      <c r="U233" s="30"/>
      <c r="V233" s="30"/>
      <c r="W233" s="30"/>
      <c r="X233" s="31"/>
      <c r="Y233" s="32"/>
      <c r="Z233" s="32"/>
      <c r="AA233" s="32"/>
      <c r="AB233" s="33"/>
      <c r="AC233" s="33"/>
      <c r="AD233" s="23"/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 t="str">
        <f ca="1">IFERROR(OFFSET(M234,-1,,1,1)+0.1,OFFSET(M234,-1,-1,1,1)&amp;".1")</f>
        <v>17.1</v>
      </c>
      <c r="N234" s="20" t="s">
        <v>1086</v>
      </c>
      <c r="O234" s="20"/>
      <c r="P234" s="20"/>
      <c r="Q234" s="134"/>
      <c r="R234" s="127"/>
      <c r="S234" s="157">
        <f>CEILING((IF(J234="Yes", 0, IF(H234="-",AA234,AA234+AA234*VLOOKUP(H234,BUFFERS_BY_TYPE,2,FALSE)))) +
   (IF(J234="Yes", 0, IF(H234="-",AA234,AA234+AA234*VLOOKUP(H234,BUFFERS_BY_TYPE,2,FALSE))))*VLOOKUP($S$5, SALES_CALL_SCALE_ARRAY, 2,FALSE),0.25)</f>
        <v>3</v>
      </c>
      <c r="T234" s="158"/>
      <c r="U234" s="21">
        <v>0</v>
      </c>
      <c r="V234" s="21">
        <v>1</v>
      </c>
      <c r="W234" s="21">
        <v>0</v>
      </c>
      <c r="X234" s="156">
        <v>3</v>
      </c>
      <c r="Y234" s="157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3</v>
      </c>
      <c r="Z234" s="22"/>
      <c r="AA234" s="157">
        <f>Y234+Y234*VLOOKUP(I234,EXTRAS_ARRAY,2,FALSE)</f>
        <v>3</v>
      </c>
      <c r="AB234" s="20"/>
      <c r="AC234" s="34"/>
      <c r="AD234" s="23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ht="15.5" hidden="1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17.200000000000003</v>
      </c>
      <c r="N235" s="20" t="s">
        <v>1087</v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4</v>
      </c>
      <c r="T235" s="158"/>
      <c r="U235" s="21">
        <v>0</v>
      </c>
      <c r="V235" s="21">
        <v>1</v>
      </c>
      <c r="W235" s="21">
        <v>0</v>
      </c>
      <c r="X235" s="156">
        <v>4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4</v>
      </c>
      <c r="Z235" s="22"/>
      <c r="AA235" s="157">
        <f>Y235+Y235*VLOOKUP(I235,EXTRAS_ARRAY,2,FALSE)</f>
        <v>4</v>
      </c>
      <c r="AB235" s="20"/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15.5" hidden="1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17.300000000000004</v>
      </c>
      <c r="N236" s="20" t="s">
        <v>1088</v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4</v>
      </c>
      <c r="T236" s="158"/>
      <c r="U236" s="21">
        <v>0</v>
      </c>
      <c r="V236" s="21">
        <v>1</v>
      </c>
      <c r="W236" s="21">
        <v>0</v>
      </c>
      <c r="X236" s="156">
        <v>4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4</v>
      </c>
      <c r="Z236" s="22"/>
      <c r="AA236" s="157">
        <f>Y236+Y236*VLOOKUP(I236,EXTRAS_ARRAY,2,FALSE)</f>
        <v>4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ht="15.5" hidden="1" outlineLevel="2" x14ac:dyDescent="0.35">
      <c r="A237" s="86" t="s">
        <v>0</v>
      </c>
      <c r="B237" s="18"/>
      <c r="C237" s="78"/>
      <c r="D237" s="78"/>
      <c r="E237" s="78"/>
      <c r="F237" s="79"/>
      <c r="G237" s="19" t="s">
        <v>23</v>
      </c>
      <c r="H237" s="19" t="s">
        <v>23</v>
      </c>
      <c r="I237" s="20" t="s">
        <v>23</v>
      </c>
      <c r="J237" s="19" t="s">
        <v>23</v>
      </c>
      <c r="K237" s="35"/>
      <c r="L237" s="19"/>
      <c r="M237" s="263">
        <f ca="1">IFERROR(OFFSET(M237,-1,,1,1)+0.1,OFFSET(M237,-1,-1,1,1)&amp;".1")</f>
        <v>17.400000000000006</v>
      </c>
      <c r="N237" s="20" t="s">
        <v>1089</v>
      </c>
      <c r="O237" s="20"/>
      <c r="P237" s="20"/>
      <c r="Q237" s="134"/>
      <c r="R237" s="127"/>
      <c r="S237" s="157">
        <f>CEILING((IF(J237="Yes", 0, IF(H237="-",AA237,AA237+AA237*VLOOKUP(H237,BUFFERS_BY_TYPE,2,FALSE)))) +
   (IF(J237="Yes", 0, IF(H237="-",AA237,AA237+AA237*VLOOKUP(H237,BUFFERS_BY_TYPE,2,FALSE))))*VLOOKUP($S$5, SALES_CALL_SCALE_ARRAY, 2,FALSE),0.25)</f>
        <v>2.5</v>
      </c>
      <c r="T237" s="158"/>
      <c r="U237" s="21">
        <v>0</v>
      </c>
      <c r="V237" s="21">
        <v>1</v>
      </c>
      <c r="W237" s="21">
        <v>0</v>
      </c>
      <c r="X237" s="156">
        <v>2.5</v>
      </c>
      <c r="Y237" s="157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2.5</v>
      </c>
      <c r="Z237" s="22"/>
      <c r="AA237" s="157">
        <f>Y237+Y237*VLOOKUP(I237,EXTRAS_ARRAY,2,FALSE)</f>
        <v>2.5</v>
      </c>
      <c r="AB237" s="20"/>
      <c r="AC237" s="34"/>
      <c r="AD237" s="23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ht="15.5" hidden="1" outlineLevel="2" x14ac:dyDescent="0.35">
      <c r="A238" s="86" t="s">
        <v>0</v>
      </c>
      <c r="B238" s="18"/>
      <c r="C238" s="78"/>
      <c r="D238" s="78"/>
      <c r="E238" s="78"/>
      <c r="F238" s="79"/>
      <c r="G238" s="19" t="s">
        <v>23</v>
      </c>
      <c r="H238" s="19" t="s">
        <v>23</v>
      </c>
      <c r="I238" s="20" t="s">
        <v>23</v>
      </c>
      <c r="J238" s="19" t="s">
        <v>23</v>
      </c>
      <c r="K238" s="35"/>
      <c r="L238" s="19"/>
      <c r="M238" s="263">
        <f ca="1">IFERROR(OFFSET(M238,-1,,1,1)+0.1,OFFSET(M238,-1,-1,1,1)&amp;".1")</f>
        <v>17.500000000000007</v>
      </c>
      <c r="N238" s="20" t="s">
        <v>1090</v>
      </c>
      <c r="O238" s="20"/>
      <c r="P238" s="20"/>
      <c r="Q238" s="134"/>
      <c r="R238" s="127"/>
      <c r="S238" s="157">
        <f>CEILING((IF(J238="Yes", 0, IF(H238="-",AA238,AA238+AA238*VLOOKUP(H238,BUFFERS_BY_TYPE,2,FALSE)))) +
   (IF(J238="Yes", 0, IF(H238="-",AA238,AA238+AA238*VLOOKUP(H238,BUFFERS_BY_TYPE,2,FALSE))))*VLOOKUP($S$5, SALES_CALL_SCALE_ARRAY, 2,FALSE),0.25)</f>
        <v>2.5</v>
      </c>
      <c r="T238" s="158"/>
      <c r="U238" s="21">
        <v>0</v>
      </c>
      <c r="V238" s="21">
        <v>1</v>
      </c>
      <c r="W238" s="21">
        <v>0</v>
      </c>
      <c r="X238" s="156">
        <v>2.5</v>
      </c>
      <c r="Y238" s="157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2.5</v>
      </c>
      <c r="Z238" s="22"/>
      <c r="AA238" s="157">
        <f>Y238+Y238*VLOOKUP(I238,EXTRAS_ARRAY,2,FALSE)</f>
        <v>2.5</v>
      </c>
      <c r="AB238" s="20"/>
      <c r="AC238" s="34"/>
      <c r="AD238" s="23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s="9" customFormat="1" ht="7.5" hidden="1" customHeight="1" outlineLevel="2" x14ac:dyDescent="0.35">
      <c r="A239" s="86" t="s">
        <v>132</v>
      </c>
      <c r="B239" s="15"/>
      <c r="C239" s="72"/>
      <c r="D239" s="72"/>
      <c r="E239" s="72"/>
      <c r="F239" s="72"/>
      <c r="M239" s="252"/>
      <c r="T239" s="15"/>
      <c r="X239" s="15"/>
      <c r="AB239" s="10"/>
      <c r="AC239" s="10"/>
      <c r="AD239" s="10"/>
    </row>
    <row r="240" spans="1:30" s="14" customFormat="1" ht="15.5" outlineLevel="1" collapsed="1" x14ac:dyDescent="0.35">
      <c r="A240" s="86" t="s">
        <v>100</v>
      </c>
      <c r="B240" s="18"/>
      <c r="C240" s="77"/>
      <c r="D240" s="77"/>
      <c r="E240" s="77"/>
      <c r="F240" s="76"/>
      <c r="G240" s="29"/>
      <c r="H240" s="29"/>
      <c r="I240" s="29"/>
      <c r="J240" s="29"/>
      <c r="K240" s="29"/>
      <c r="L240" s="17">
        <f ca="1">LOOKUP(1000,INDIRECT("L1:"&amp;CELL("address",INDIRECT("R[-1]C",FALSE))))+1</f>
        <v>18</v>
      </c>
      <c r="M240" s="332" t="s">
        <v>1091</v>
      </c>
      <c r="N240" s="303"/>
      <c r="O240" s="5"/>
      <c r="P240" s="30"/>
      <c r="Q240" s="30"/>
      <c r="R240" s="30"/>
      <c r="S240" s="30"/>
      <c r="T240" s="155">
        <f>IF($S$6="Exclude", SUMIFS(S241:S247, J241:J247, "&lt;&gt;Yes", G241:G247, "&lt;&gt;Yes"), SUMIFS(S241:S247, J241:J247, "&lt;&gt;Yes"))</f>
        <v>18</v>
      </c>
      <c r="U240" s="30"/>
      <c r="V240" s="30"/>
      <c r="W240" s="30"/>
      <c r="X240" s="31"/>
      <c r="Y240" s="32"/>
      <c r="Z240" s="32"/>
      <c r="AA240" s="32"/>
      <c r="AB240" s="219" t="s">
        <v>954</v>
      </c>
      <c r="AC240" s="33"/>
      <c r="AD240" s="23" t="str">
        <f>IF(M240="", "Error: Task name cannot be empty.", "")</f>
        <v/>
      </c>
    </row>
    <row r="241" spans="1:30" s="12" customFormat="1" ht="1.5" hidden="1" customHeight="1" outlineLevel="2" x14ac:dyDescent="0.35">
      <c r="A241" s="86" t="s">
        <v>101</v>
      </c>
      <c r="B241" s="18"/>
      <c r="C241" s="77"/>
      <c r="D241" s="77"/>
      <c r="E241" s="77"/>
      <c r="F241" s="76"/>
      <c r="G241" s="29"/>
      <c r="H241" s="29"/>
      <c r="I241" s="29"/>
      <c r="J241" s="29"/>
      <c r="K241" s="29"/>
      <c r="L241" s="163">
        <f ca="1">L240</f>
        <v>18</v>
      </c>
      <c r="M241" s="164" t="s">
        <v>105</v>
      </c>
      <c r="N241" s="161"/>
      <c r="O241" s="162"/>
      <c r="P241" s="30"/>
      <c r="Q241" s="30"/>
      <c r="R241" s="30"/>
      <c r="S241" s="30"/>
      <c r="T241" s="155"/>
      <c r="U241" s="30"/>
      <c r="V241" s="30"/>
      <c r="W241" s="30"/>
      <c r="X241" s="31"/>
      <c r="Y241" s="32"/>
      <c r="Z241" s="32"/>
      <c r="AA241" s="32"/>
      <c r="AB241" s="33"/>
      <c r="AC241" s="33"/>
      <c r="AD241" s="23"/>
    </row>
    <row r="242" spans="1:30" ht="29" hidden="1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 t="str">
        <f ca="1">IFERROR(OFFSET(M242,-1,,1,1)+0.1,OFFSET(M242,-1,-1,1,1)&amp;".1")</f>
        <v>18.1</v>
      </c>
      <c r="N242" s="20" t="s">
        <v>1092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4.5</v>
      </c>
      <c r="Z242" s="22"/>
      <c r="AA242" s="157">
        <f>Y242+Y242*VLOOKUP(I242,EXTRAS_ARRAY,2,FALSE)</f>
        <v>4.5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15.5" hidden="1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ca="1">IFERROR(OFFSET(M243,-1,,1,1)+0.1,OFFSET(M243,-1,-1,1,1)&amp;".1")</f>
        <v>18.200000000000003</v>
      </c>
      <c r="N243" s="20" t="s">
        <v>1093</v>
      </c>
      <c r="O243" s="20"/>
      <c r="P243" s="20"/>
      <c r="Q243" s="134"/>
      <c r="R243" s="127"/>
      <c r="S243" s="157">
        <f>CEILING((IF(J243="Yes", 0, IF(H243="-",AA243,AA243+AA243*VLOOKUP(H243,BUFFERS_BY_TYPE,2,FALSE)))) +
   (IF(J243="Yes", 0, IF(H243="-",AA243,AA243+AA243*VLOOKUP(H243,BUFFERS_BY_TYPE,2,FALSE))))*VLOOKUP($S$5, SALES_CALL_SCALE_ARRAY, 2,FALSE),0.25)</f>
        <v>4.5</v>
      </c>
      <c r="T243" s="158"/>
      <c r="U243" s="21">
        <v>0</v>
      </c>
      <c r="V243" s="21">
        <v>1</v>
      </c>
      <c r="W243" s="21">
        <v>0</v>
      </c>
      <c r="X243" s="156">
        <v>4.5</v>
      </c>
      <c r="Y243" s="157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4.5</v>
      </c>
      <c r="Z243" s="22"/>
      <c r="AA243" s="157">
        <f>Y243+Y243*VLOOKUP(I243,EXTRAS_ARRAY,2,FALSE)</f>
        <v>4.5</v>
      </c>
      <c r="AB243" s="20"/>
      <c r="AC243" s="34"/>
      <c r="AD243" s="23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15.5" hidden="1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ca="1">IFERROR(OFFSET(M244,-1,,1,1)+0.1,OFFSET(M244,-1,-1,1,1)&amp;".1")</f>
        <v>18.300000000000004</v>
      </c>
      <c r="N244" s="20" t="s">
        <v>1094</v>
      </c>
      <c r="O244" s="20"/>
      <c r="P244" s="20"/>
      <c r="Q244" s="134"/>
      <c r="R244" s="127"/>
      <c r="S244" s="157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58"/>
      <c r="U244" s="21">
        <v>0</v>
      </c>
      <c r="V244" s="21">
        <v>1</v>
      </c>
      <c r="W244" s="21">
        <v>0</v>
      </c>
      <c r="X244" s="156">
        <v>4</v>
      </c>
      <c r="Y244" s="157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2"/>
      <c r="AA244" s="157">
        <f>Y244+Y244*VLOOKUP(I244,EXTRAS_ARRAY,2,FALSE)</f>
        <v>4</v>
      </c>
      <c r="AB244" s="20"/>
      <c r="AC244" s="34"/>
      <c r="AD244" s="23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hidden="1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ca="1">IFERROR(OFFSET(M245,-1,,1,1)+0.1,OFFSET(M245,-1,-1,1,1)&amp;".1")</f>
        <v>18.400000000000006</v>
      </c>
      <c r="N245" s="20" t="s">
        <v>1095</v>
      </c>
      <c r="O245" s="20"/>
      <c r="P245" s="20"/>
      <c r="Q245" s="134"/>
      <c r="R245" s="127"/>
      <c r="S245" s="157">
        <f>CEILING((IF(J245="Yes", 0, IF(H245="-",AA245,AA245+AA245*VLOOKUP(H245,BUFFERS_BY_TYPE,2,FALSE)))) +
   (IF(J245="Yes", 0, IF(H245="-",AA245,AA245+AA245*VLOOKUP(H245,BUFFERS_BY_TYPE,2,FALSE))))*VLOOKUP($S$5, SALES_CALL_SCALE_ARRAY, 2,FALSE),0.25)</f>
        <v>3</v>
      </c>
      <c r="T245" s="158"/>
      <c r="U245" s="21">
        <v>0</v>
      </c>
      <c r="V245" s="21">
        <v>1</v>
      </c>
      <c r="W245" s="21">
        <v>0</v>
      </c>
      <c r="X245" s="156">
        <v>3</v>
      </c>
      <c r="Y245" s="157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3</v>
      </c>
      <c r="Z245" s="22"/>
      <c r="AA245" s="157">
        <f>Y245+Y245*VLOOKUP(I245,EXTRAS_ARRAY,2,FALSE)</f>
        <v>3</v>
      </c>
      <c r="AB245" s="20"/>
      <c r="AC245" s="34"/>
      <c r="AD245" s="23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ht="15.5" hidden="1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>
        <f ca="1">IFERROR(OFFSET(M246,-1,,1,1)+0.1,OFFSET(M246,-1,-1,1,1)&amp;".1")</f>
        <v>18.500000000000007</v>
      </c>
      <c r="N246" s="20" t="s">
        <v>1096</v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2</v>
      </c>
      <c r="T246" s="158"/>
      <c r="U246" s="21">
        <v>0</v>
      </c>
      <c r="V246" s="21">
        <v>1</v>
      </c>
      <c r="W246" s="21">
        <v>0</v>
      </c>
      <c r="X246" s="156">
        <v>2</v>
      </c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2</v>
      </c>
      <c r="Z246" s="22"/>
      <c r="AA246" s="157">
        <f>Y246+Y246*VLOOKUP(I246,EXTRAS_ARRAY,2,FALSE)</f>
        <v>2</v>
      </c>
      <c r="AB246" s="20"/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9" customFormat="1" ht="7.5" hidden="1" customHeight="1" outlineLevel="2" x14ac:dyDescent="0.35">
      <c r="A247" s="86" t="s">
        <v>132</v>
      </c>
      <c r="B247" s="15"/>
      <c r="C247" s="72"/>
      <c r="D247" s="72"/>
      <c r="E247" s="72"/>
      <c r="F247" s="72"/>
      <c r="M247" s="252"/>
      <c r="T247" s="15"/>
      <c r="X247" s="15"/>
      <c r="AB247" s="10"/>
      <c r="AC247" s="10"/>
      <c r="AD247" s="10"/>
    </row>
    <row r="248" spans="1:30" s="14" customFormat="1" ht="15.5" outlineLevel="1" collapsed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19</v>
      </c>
      <c r="M248" s="332" t="s">
        <v>1097</v>
      </c>
      <c r="N248" s="303"/>
      <c r="O248" s="5"/>
      <c r="P248" s="30"/>
      <c r="Q248" s="30"/>
      <c r="R248" s="30"/>
      <c r="S248" s="30"/>
      <c r="T248" s="155">
        <f>IF($S$6="Exclude", SUMIFS(S249:S255, J249:J255, "&lt;&gt;Yes", G249:G255, "&lt;&gt;Yes"), SUMIFS(S249:S255, J249:J255, "&lt;&gt;Yes"))</f>
        <v>18</v>
      </c>
      <c r="U248" s="30"/>
      <c r="V248" s="30"/>
      <c r="W248" s="30"/>
      <c r="X248" s="31"/>
      <c r="Y248" s="32"/>
      <c r="Z248" s="32"/>
      <c r="AA248" s="32"/>
      <c r="AB248" s="219" t="s">
        <v>955</v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19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29" hidden="1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19.1</v>
      </c>
      <c r="N250" s="20" t="s">
        <v>1098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4.5</v>
      </c>
      <c r="T250" s="158"/>
      <c r="U250" s="21">
        <v>0</v>
      </c>
      <c r="V250" s="21">
        <v>1</v>
      </c>
      <c r="W250" s="21">
        <v>0</v>
      </c>
      <c r="X250" s="156">
        <v>4.5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4.5</v>
      </c>
      <c r="Z250" s="22"/>
      <c r="AA250" s="157">
        <f>Y250+Y250*VLOOKUP(I250,EXTRAS_ARRAY,2,FALSE)</f>
        <v>4.5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hidden="1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19.200000000000003</v>
      </c>
      <c r="N251" s="20" t="s">
        <v>1099</v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4.5</v>
      </c>
      <c r="T251" s="158"/>
      <c r="U251" s="21">
        <v>0</v>
      </c>
      <c r="V251" s="21">
        <v>1</v>
      </c>
      <c r="W251" s="21">
        <v>0</v>
      </c>
      <c r="X251" s="156">
        <v>4.5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4.5</v>
      </c>
      <c r="Z251" s="22"/>
      <c r="AA251" s="157">
        <f>Y251+Y251*VLOOKUP(I251,EXTRAS_ARRAY,2,FALSE)</f>
        <v>4.5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5" hidden="1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19.300000000000004</v>
      </c>
      <c r="N252" s="20" t="s">
        <v>1100</v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3</v>
      </c>
      <c r="T252" s="158"/>
      <c r="U252" s="21">
        <v>0</v>
      </c>
      <c r="V252" s="21">
        <v>1</v>
      </c>
      <c r="W252" s="21">
        <v>0</v>
      </c>
      <c r="X252" s="156">
        <v>3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3</v>
      </c>
      <c r="Z252" s="22"/>
      <c r="AA252" s="157">
        <f>Y252+Y252*VLOOKUP(I252,EXTRAS_ARRAY,2,FALSE)</f>
        <v>3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5" hidden="1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19.400000000000006</v>
      </c>
      <c r="N253" s="20" t="s">
        <v>1101</v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4</v>
      </c>
      <c r="T253" s="158"/>
      <c r="U253" s="21">
        <v>0</v>
      </c>
      <c r="V253" s="21">
        <v>1</v>
      </c>
      <c r="W253" s="21">
        <v>0</v>
      </c>
      <c r="X253" s="156">
        <v>4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4</v>
      </c>
      <c r="Z253" s="22"/>
      <c r="AA253" s="157">
        <f>Y253+Y253*VLOOKUP(I253,EXTRAS_ARRAY,2,FALSE)</f>
        <v>4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5" hidden="1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19.500000000000007</v>
      </c>
      <c r="N254" s="20" t="s">
        <v>1102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2</v>
      </c>
      <c r="T254" s="158"/>
      <c r="U254" s="21">
        <v>0</v>
      </c>
      <c r="V254" s="21">
        <v>1</v>
      </c>
      <c r="W254" s="21">
        <v>0</v>
      </c>
      <c r="X254" s="156">
        <v>2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2</v>
      </c>
      <c r="Z254" s="22"/>
      <c r="AA254" s="157">
        <f>Y254+Y254*VLOOKUP(I254,EXTRAS_ARRAY,2,FALSE)</f>
        <v>2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s="9" customFormat="1" ht="7.5" hidden="1" customHeight="1" outlineLevel="2" x14ac:dyDescent="0.35">
      <c r="A255" s="86" t="s">
        <v>132</v>
      </c>
      <c r="B255" s="15"/>
      <c r="C255" s="72"/>
      <c r="D255" s="72"/>
      <c r="E255" s="72"/>
      <c r="F255" s="72"/>
      <c r="M255" s="252"/>
      <c r="T255" s="15"/>
      <c r="X255" s="15"/>
      <c r="AB255" s="10"/>
      <c r="AC255" s="10"/>
      <c r="AD255" s="10"/>
    </row>
    <row r="256" spans="1:30" s="14" customFormat="1" ht="15.5" outlineLevel="1" x14ac:dyDescent="0.35">
      <c r="A256" s="86" t="s">
        <v>107</v>
      </c>
      <c r="B256" s="18"/>
      <c r="C256" s="77"/>
      <c r="D256" s="77"/>
      <c r="E256" s="77"/>
      <c r="F256" s="76"/>
      <c r="G256" s="170"/>
      <c r="H256" s="170"/>
      <c r="I256" s="170"/>
      <c r="J256" s="170"/>
      <c r="K256" s="170"/>
      <c r="L256" s="85" t="s">
        <v>109</v>
      </c>
      <c r="M256" s="302" t="s">
        <v>1103</v>
      </c>
      <c r="N256" s="302"/>
      <c r="O256" s="80"/>
      <c r="P256" s="81"/>
      <c r="Q256" s="81"/>
      <c r="R256" s="81"/>
      <c r="S256" s="293">
        <f>SUMGROUP(ROW(), "T")</f>
        <v>22</v>
      </c>
      <c r="T256" s="293"/>
      <c r="U256" s="294"/>
      <c r="V256" s="294"/>
      <c r="W256" s="294"/>
      <c r="X256" s="82"/>
      <c r="Y256" s="83"/>
      <c r="Z256" s="83"/>
      <c r="AA256" s="83"/>
      <c r="AB256" s="221"/>
      <c r="AC256" s="84"/>
      <c r="AD256" s="23" t="str">
        <f>IF(M256="", "Error: Module name cannot be empty.", "")</f>
        <v/>
      </c>
    </row>
    <row r="257" spans="1:30" s="14" customFormat="1" ht="15.5" outlineLevel="1" collapsed="1" x14ac:dyDescent="0.35">
      <c r="A257" s="86" t="s">
        <v>100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7">
        <f ca="1">LOOKUP(1000,INDIRECT("L1:"&amp;CELL("address",INDIRECT("R[-1]C",FALSE))))+1</f>
        <v>20</v>
      </c>
      <c r="M257" s="332" t="s">
        <v>1104</v>
      </c>
      <c r="N257" s="303"/>
      <c r="O257" s="5"/>
      <c r="P257" s="30"/>
      <c r="Q257" s="30"/>
      <c r="R257" s="30"/>
      <c r="S257" s="30"/>
      <c r="T257" s="155">
        <f>IF($S$6="Exclude", SUMIFS(S258:S264, J258:J264, "&lt;&gt;Yes", G258:G264, "&lt;&gt;Yes"), SUMIFS(S258:S264, J258:J264, "&lt;&gt;Yes"))</f>
        <v>14</v>
      </c>
      <c r="U257" s="30"/>
      <c r="V257" s="30"/>
      <c r="W257" s="30"/>
      <c r="X257" s="31"/>
      <c r="Y257" s="32"/>
      <c r="Z257" s="32"/>
      <c r="AA257" s="32"/>
      <c r="AB257" s="219" t="s">
        <v>1105</v>
      </c>
      <c r="AC257" s="33"/>
      <c r="AD257" s="23" t="str">
        <f>IF(M257="", "Error: Task name cannot be empty.", "")</f>
        <v/>
      </c>
    </row>
    <row r="258" spans="1:30" s="12" customFormat="1" ht="1.5" hidden="1" customHeight="1" outlineLevel="2" x14ac:dyDescent="0.35">
      <c r="A258" s="86" t="s">
        <v>101</v>
      </c>
      <c r="B258" s="18"/>
      <c r="C258" s="77"/>
      <c r="D258" s="77"/>
      <c r="E258" s="77"/>
      <c r="F258" s="76"/>
      <c r="G258" s="29"/>
      <c r="H258" s="29"/>
      <c r="I258" s="29"/>
      <c r="J258" s="29"/>
      <c r="K258" s="29"/>
      <c r="L258" s="163">
        <f ca="1">L257</f>
        <v>20</v>
      </c>
      <c r="M258" s="164" t="s">
        <v>105</v>
      </c>
      <c r="N258" s="161"/>
      <c r="O258" s="162"/>
      <c r="P258" s="30"/>
      <c r="Q258" s="30"/>
      <c r="R258" s="30"/>
      <c r="S258" s="30"/>
      <c r="T258" s="155"/>
      <c r="U258" s="30"/>
      <c r="V258" s="30"/>
      <c r="W258" s="30"/>
      <c r="X258" s="31"/>
      <c r="Y258" s="32"/>
      <c r="Z258" s="32"/>
      <c r="AA258" s="32"/>
      <c r="AB258" s="33"/>
      <c r="AC258" s="33"/>
      <c r="AD258" s="23"/>
    </row>
    <row r="259" spans="1:30" ht="15.5" hidden="1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 t="str">
        <f ca="1">IFERROR(OFFSET(M259,-1,,1,1)+0.1,OFFSET(M259,-1,-1,1,1)&amp;".1")</f>
        <v>20.1</v>
      </c>
      <c r="N259" s="20" t="s">
        <v>1106</v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3.5</v>
      </c>
      <c r="T259" s="158"/>
      <c r="U259" s="21">
        <v>0</v>
      </c>
      <c r="V259" s="21">
        <v>1</v>
      </c>
      <c r="W259" s="21">
        <v>0</v>
      </c>
      <c r="X259" s="156">
        <v>3.5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3.5</v>
      </c>
      <c r="Z259" s="22"/>
      <c r="AA259" s="157">
        <f>Y259+Y259*VLOOKUP(I259,EXTRAS_ARRAY,2,FALSE)</f>
        <v>3.5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5" hidden="1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20.200000000000003</v>
      </c>
      <c r="N260" s="20" t="s">
        <v>1107</v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3.5</v>
      </c>
      <c r="T260" s="158"/>
      <c r="U260" s="21">
        <v>0</v>
      </c>
      <c r="V260" s="21">
        <v>1</v>
      </c>
      <c r="W260" s="21">
        <v>0</v>
      </c>
      <c r="X260" s="156">
        <v>3.5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3.5</v>
      </c>
      <c r="Z260" s="22"/>
      <c r="AA260" s="157">
        <f>Y260+Y260*VLOOKUP(I260,EXTRAS_ARRAY,2,FALSE)</f>
        <v>3.5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15.5" hidden="1" outlineLevel="2" x14ac:dyDescent="0.35">
      <c r="A261" s="86" t="s">
        <v>0</v>
      </c>
      <c r="B261" s="18"/>
      <c r="C261" s="78"/>
      <c r="D261" s="78"/>
      <c r="E261" s="78"/>
      <c r="F261" s="79"/>
      <c r="G261" s="19" t="s">
        <v>23</v>
      </c>
      <c r="H261" s="19" t="s">
        <v>23</v>
      </c>
      <c r="I261" s="20" t="s">
        <v>23</v>
      </c>
      <c r="J261" s="19" t="s">
        <v>23</v>
      </c>
      <c r="K261" s="35"/>
      <c r="L261" s="19"/>
      <c r="M261" s="263">
        <f ca="1">IFERROR(OFFSET(M261,-1,,1,1)+0.1,OFFSET(M261,-1,-1,1,1)&amp;".1")</f>
        <v>20.300000000000004</v>
      </c>
      <c r="N261" s="20" t="s">
        <v>1108</v>
      </c>
      <c r="O261" s="20"/>
      <c r="P261" s="20"/>
      <c r="Q261" s="134"/>
      <c r="R261" s="127"/>
      <c r="S261" s="157">
        <f>CEILING((IF(J261="Yes", 0, IF(H261="-",AA261,AA261+AA261*VLOOKUP(H261,BUFFERS_BY_TYPE,2,FALSE)))) +
   (IF(J261="Yes", 0, IF(H261="-",AA261,AA261+AA261*VLOOKUP(H261,BUFFERS_BY_TYPE,2,FALSE))))*VLOOKUP($S$5, SALES_CALL_SCALE_ARRAY, 2,FALSE),0.25)</f>
        <v>3</v>
      </c>
      <c r="T261" s="158"/>
      <c r="U261" s="21">
        <v>0</v>
      </c>
      <c r="V261" s="21">
        <v>1</v>
      </c>
      <c r="W261" s="21">
        <v>0</v>
      </c>
      <c r="X261" s="156">
        <v>3</v>
      </c>
      <c r="Y261" s="157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3</v>
      </c>
      <c r="Z261" s="22"/>
      <c r="AA261" s="157">
        <f>Y261+Y261*VLOOKUP(I261,EXTRAS_ARRAY,2,FALSE)</f>
        <v>3</v>
      </c>
      <c r="AB261" s="20"/>
      <c r="AC261" s="34"/>
      <c r="AD261" s="23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15.5" hidden="1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>
        <f ca="1">IFERROR(OFFSET(M262,-1,,1,1)+0.1,OFFSET(M262,-1,-1,1,1)&amp;".1")</f>
        <v>20.400000000000006</v>
      </c>
      <c r="N262" s="20" t="s">
        <v>1109</v>
      </c>
      <c r="O262" s="20"/>
      <c r="P262" s="20"/>
      <c r="Q262" s="134"/>
      <c r="R262" s="127"/>
      <c r="S262" s="157">
        <f>CEILING((IF(J262="Yes", 0, IF(H262="-",AA262,AA262+AA262*VLOOKUP(H262,BUFFERS_BY_TYPE,2,FALSE)))) +
   (IF(J262="Yes", 0, IF(H262="-",AA262,AA262+AA262*VLOOKUP(H262,BUFFERS_BY_TYPE,2,FALSE))))*VLOOKUP($S$5, SALES_CALL_SCALE_ARRAY, 2,FALSE),0.25)</f>
        <v>2.5</v>
      </c>
      <c r="T262" s="158"/>
      <c r="U262" s="21">
        <v>0</v>
      </c>
      <c r="V262" s="21">
        <v>1</v>
      </c>
      <c r="W262" s="21">
        <v>0</v>
      </c>
      <c r="X262" s="156">
        <v>2.5</v>
      </c>
      <c r="Y262" s="157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2.5</v>
      </c>
      <c r="Z262" s="22"/>
      <c r="AA262" s="157">
        <f>Y262+Y262*VLOOKUP(I262,EXTRAS_ARRAY,2,FALSE)</f>
        <v>2.5</v>
      </c>
      <c r="AB262" s="20"/>
      <c r="AC262" s="34"/>
      <c r="AD262" s="23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hidden="1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ca="1">IFERROR(OFFSET(M263,-1,,1,1)+0.1,OFFSET(M263,-1,-1,1,1)&amp;".1")</f>
        <v>20.500000000000007</v>
      </c>
      <c r="N263" s="20" t="s">
        <v>1110</v>
      </c>
      <c r="O263" s="20"/>
      <c r="P263" s="20"/>
      <c r="Q263" s="134"/>
      <c r="R263" s="127"/>
      <c r="S263" s="157">
        <f>CEILING((IF(J263="Yes", 0, IF(H263="-",AA263,AA263+AA263*VLOOKUP(H263,BUFFERS_BY_TYPE,2,FALSE)))) +
   (IF(J263="Yes", 0, IF(H263="-",AA263,AA263+AA263*VLOOKUP(H263,BUFFERS_BY_TYPE,2,FALSE))))*VLOOKUP($S$5, SALES_CALL_SCALE_ARRAY, 2,FALSE),0.25)</f>
        <v>1.5</v>
      </c>
      <c r="T263" s="158"/>
      <c r="U263" s="21">
        <v>0</v>
      </c>
      <c r="V263" s="21">
        <v>1</v>
      </c>
      <c r="W263" s="21">
        <v>0</v>
      </c>
      <c r="X263" s="156">
        <v>1.5</v>
      </c>
      <c r="Y263" s="157">
        <f>CEILING((IF(P263=AS_DEV_EFFORT, DEV_EFFORT*Q263%,
                           IF(P263=AS_DURATION_EFFORT, (MANUAL_DURATION*5)*Q263%,
                                    (IF(Q263&lt;=1,X263,
                                          IF(SUM(U263:W263)=0,(Q263*X263),
                                               (((Q263*U263)*(X263+(X263*EXTRA_FOR_H)))+
                                               ((Q263*V263)*X263)+
                                               ((Q263*W263)*(X263-(X263*LESS_FOR_L)))
                                    )*IF(R263=0,1,R263))))))+Z263), 0.25)</f>
        <v>1.5</v>
      </c>
      <c r="Z263" s="22"/>
      <c r="AA263" s="157">
        <f>Y263+Y263*VLOOKUP(I263,EXTRAS_ARRAY,2,FALSE)</f>
        <v>1.5</v>
      </c>
      <c r="AB263" s="20"/>
      <c r="AC263" s="34"/>
      <c r="AD263" s="23" t="str">
        <f>IF(J263&lt;&gt;"Yes",
IF(S263&lt;=0,"Error: Effort value is not defined or is invalid.",
IF(AND(SUM(U263:W263)&gt;0,SUM(U263:W263)&lt;&gt;1),"Error: Complexity % distribution should sum to 100%.",
IF(AND(P263=AS_DEV_EFFORT,X263&lt;&gt;0),"Error: PDs should not be defined when defining as dev effort %.",
IF(AND(P263=AS_DURATION_EFFORT,X263&lt;&gt;0),"Error: PDs should not be defined when defining as duration effort %.","")))))</f>
        <v/>
      </c>
    </row>
    <row r="264" spans="1:30" s="9" customFormat="1" ht="7.5" hidden="1" customHeight="1" outlineLevel="2" x14ac:dyDescent="0.35">
      <c r="A264" s="86" t="s">
        <v>132</v>
      </c>
      <c r="B264" s="15"/>
      <c r="C264" s="72"/>
      <c r="D264" s="72"/>
      <c r="E264" s="72"/>
      <c r="F264" s="72"/>
      <c r="M264" s="252"/>
      <c r="T264" s="15"/>
      <c r="X264" s="15"/>
      <c r="AB264" s="10"/>
      <c r="AC264" s="10"/>
      <c r="AD264" s="10"/>
    </row>
    <row r="265" spans="1:30" s="14" customFormat="1" ht="15.5" outlineLevel="1" collapsed="1" x14ac:dyDescent="0.35">
      <c r="A265" s="86" t="s">
        <v>100</v>
      </c>
      <c r="B265" s="18"/>
      <c r="C265" s="77"/>
      <c r="D265" s="77"/>
      <c r="E265" s="77"/>
      <c r="F265" s="76"/>
      <c r="G265" s="29"/>
      <c r="H265" s="29"/>
      <c r="I265" s="29"/>
      <c r="J265" s="29"/>
      <c r="K265" s="29"/>
      <c r="L265" s="17">
        <f ca="1">LOOKUP(1000,INDIRECT("L1:"&amp;CELL("address",INDIRECT("R[-1]C",FALSE))))+1</f>
        <v>21</v>
      </c>
      <c r="M265" s="332" t="s">
        <v>1111</v>
      </c>
      <c r="N265" s="303"/>
      <c r="O265" s="5"/>
      <c r="P265" s="30"/>
      <c r="Q265" s="30"/>
      <c r="R265" s="30"/>
      <c r="S265" s="30"/>
      <c r="T265" s="155">
        <f>IF($S$6="Exclude", SUMIFS(S266:S270, J266:J270, "&lt;&gt;Yes", G266:G270, "&lt;&gt;Yes"), SUMIFS(S266:S270, J266:J270, "&lt;&gt;Yes"))</f>
        <v>8</v>
      </c>
      <c r="U265" s="30"/>
      <c r="V265" s="30"/>
      <c r="W265" s="30"/>
      <c r="X265" s="31"/>
      <c r="Y265" s="32"/>
      <c r="Z265" s="32"/>
      <c r="AA265" s="32"/>
      <c r="AB265" s="219" t="s">
        <v>956</v>
      </c>
      <c r="AC265" s="33"/>
      <c r="AD265" s="23" t="str">
        <f>IF(M265="", "Error: Task name cannot be empty.", "")</f>
        <v/>
      </c>
    </row>
    <row r="266" spans="1:30" s="12" customFormat="1" ht="1.5" hidden="1" customHeight="1" outlineLevel="2" x14ac:dyDescent="0.35">
      <c r="A266" s="86" t="s">
        <v>101</v>
      </c>
      <c r="B266" s="18"/>
      <c r="C266" s="77"/>
      <c r="D266" s="77"/>
      <c r="E266" s="77"/>
      <c r="F266" s="76"/>
      <c r="G266" s="29"/>
      <c r="H266" s="29"/>
      <c r="I266" s="29"/>
      <c r="J266" s="29"/>
      <c r="K266" s="29"/>
      <c r="L266" s="163">
        <f ca="1">L265</f>
        <v>21</v>
      </c>
      <c r="M266" s="164" t="s">
        <v>105</v>
      </c>
      <c r="N266" s="161"/>
      <c r="O266" s="162"/>
      <c r="P266" s="30"/>
      <c r="Q266" s="30"/>
      <c r="R266" s="30"/>
      <c r="S266" s="30"/>
      <c r="T266" s="155"/>
      <c r="U266" s="30"/>
      <c r="V266" s="30"/>
      <c r="W266" s="30"/>
      <c r="X266" s="31"/>
      <c r="Y266" s="32"/>
      <c r="Z266" s="32"/>
      <c r="AA266" s="32"/>
      <c r="AB266" s="33"/>
      <c r="AC266" s="33"/>
      <c r="AD266" s="23"/>
    </row>
    <row r="267" spans="1:30" ht="15.5" hidden="1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 t="str">
        <f ca="1">IFERROR(OFFSET(M267,-1,,1,1)+0.1,OFFSET(M267,-1,-1,1,1)&amp;".1")</f>
        <v>21.1</v>
      </c>
      <c r="N267" s="20" t="s">
        <v>1112</v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2.5</v>
      </c>
      <c r="T267" s="158"/>
      <c r="U267" s="21">
        <v>0</v>
      </c>
      <c r="V267" s="21">
        <v>1</v>
      </c>
      <c r="W267" s="21">
        <v>0</v>
      </c>
      <c r="X267" s="156">
        <v>2.5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2.5</v>
      </c>
      <c r="Z267" s="22"/>
      <c r="AA267" s="157">
        <f>Y267+Y267*VLOOKUP(I267,EXTRAS_ARRAY,2,FALSE)</f>
        <v>2.5</v>
      </c>
      <c r="AB267" s="20"/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15.5" hidden="1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21.200000000000003</v>
      </c>
      <c r="N268" s="20" t="s">
        <v>1113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3</v>
      </c>
      <c r="T268" s="158"/>
      <c r="U268" s="21">
        <v>0</v>
      </c>
      <c r="V268" s="21">
        <v>1</v>
      </c>
      <c r="W268" s="21">
        <v>0</v>
      </c>
      <c r="X268" s="156">
        <v>3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3</v>
      </c>
      <c r="Z268" s="22"/>
      <c r="AA268" s="157">
        <f>Y268+Y268*VLOOKUP(I268,EXTRAS_ARRAY,2,FALSE)</f>
        <v>3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15.5" hidden="1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21.300000000000004</v>
      </c>
      <c r="N269" s="20" t="s">
        <v>1114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2.5</v>
      </c>
      <c r="T269" s="158"/>
      <c r="U269" s="21">
        <v>0</v>
      </c>
      <c r="V269" s="21">
        <v>1</v>
      </c>
      <c r="W269" s="21">
        <v>0</v>
      </c>
      <c r="X269" s="156">
        <v>2.5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2.5</v>
      </c>
      <c r="Z269" s="22"/>
      <c r="AA269" s="157">
        <f>Y269+Y269*VLOOKUP(I269,EXTRAS_ARRAY,2,FALSE)</f>
        <v>2.5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hidden="1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outlineLevel="1" x14ac:dyDescent="0.35">
      <c r="A271" s="86" t="s">
        <v>107</v>
      </c>
      <c r="B271" s="18"/>
      <c r="C271" s="77"/>
      <c r="D271" s="77"/>
      <c r="E271" s="77"/>
      <c r="F271" s="76"/>
      <c r="G271" s="170"/>
      <c r="H271" s="170"/>
      <c r="I271" s="170"/>
      <c r="J271" s="170"/>
      <c r="K271" s="170"/>
      <c r="L271" s="85" t="s">
        <v>109</v>
      </c>
      <c r="M271" s="302" t="s">
        <v>884</v>
      </c>
      <c r="N271" s="302"/>
      <c r="O271" s="80"/>
      <c r="P271" s="81"/>
      <c r="Q271" s="81"/>
      <c r="R271" s="81"/>
      <c r="S271" s="293">
        <f>SUMGROUP(ROW(), "T")</f>
        <v>64</v>
      </c>
      <c r="T271" s="293"/>
      <c r="U271" s="294"/>
      <c r="V271" s="294"/>
      <c r="W271" s="294"/>
      <c r="X271" s="82"/>
      <c r="Y271" s="83"/>
      <c r="Z271" s="83"/>
      <c r="AA271" s="83"/>
      <c r="AB271" s="221"/>
      <c r="AC271" s="84"/>
      <c r="AD271" s="23" t="str">
        <f>IF(M271="", "Error: Module name cannot be empty.", "")</f>
        <v/>
      </c>
    </row>
    <row r="272" spans="1:30" s="14" customFormat="1" ht="15.5" outlineLevel="1" collapsed="1" x14ac:dyDescent="0.35">
      <c r="A272" s="86" t="s">
        <v>100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7">
        <f ca="1">LOOKUP(1000,INDIRECT("L1:"&amp;CELL("address",INDIRECT("R[-1]C",FALSE))))+1</f>
        <v>22</v>
      </c>
      <c r="M272" s="303" t="s">
        <v>1115</v>
      </c>
      <c r="N272" s="303"/>
      <c r="O272" s="5"/>
      <c r="P272" s="30"/>
      <c r="Q272" s="30"/>
      <c r="R272" s="30"/>
      <c r="S272" s="30"/>
      <c r="T272" s="155">
        <f>IF($S$6="Exclude", SUMIFS(S273:S279, J273:J279, "&lt;&gt;Yes", G273:G279, "&lt;&gt;Yes"), SUMIFS(S273:S279, J273:J279, "&lt;&gt;Yes"))</f>
        <v>14</v>
      </c>
      <c r="U272" s="30"/>
      <c r="V272" s="30"/>
      <c r="W272" s="30"/>
      <c r="X272" s="31"/>
      <c r="Y272" s="32"/>
      <c r="Z272" s="32"/>
      <c r="AA272" s="32"/>
      <c r="AB272" s="219" t="s">
        <v>957</v>
      </c>
      <c r="AC272" s="33"/>
      <c r="AD272" s="23" t="str">
        <f>IF(M272="", "Error: Task name cannot be empty.", "")</f>
        <v/>
      </c>
    </row>
    <row r="273" spans="1:30" s="12" customFormat="1" ht="1.5" hidden="1" customHeight="1" outlineLevel="2" x14ac:dyDescent="0.35">
      <c r="A273" s="86" t="s">
        <v>101</v>
      </c>
      <c r="B273" s="18"/>
      <c r="C273" s="77"/>
      <c r="D273" s="77"/>
      <c r="E273" s="77"/>
      <c r="F273" s="76"/>
      <c r="G273" s="29"/>
      <c r="H273" s="29"/>
      <c r="I273" s="29"/>
      <c r="J273" s="29"/>
      <c r="K273" s="29"/>
      <c r="L273" s="163">
        <f ca="1">L272</f>
        <v>22</v>
      </c>
      <c r="M273" s="164" t="s">
        <v>105</v>
      </c>
      <c r="N273" s="161"/>
      <c r="O273" s="162"/>
      <c r="P273" s="30"/>
      <c r="Q273" s="30"/>
      <c r="R273" s="30"/>
      <c r="S273" s="30"/>
      <c r="T273" s="155"/>
      <c r="U273" s="30"/>
      <c r="V273" s="30"/>
      <c r="W273" s="30"/>
      <c r="X273" s="31"/>
      <c r="Y273" s="32"/>
      <c r="Z273" s="32"/>
      <c r="AA273" s="32"/>
      <c r="AB273" s="33"/>
      <c r="AC273" s="33"/>
      <c r="AD273" s="23"/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 t="str">
        <f ca="1">IFERROR(OFFSET(M274,-1,,1,1)+0.1,OFFSET(M274,-1,-1,1,1)&amp;".1")</f>
        <v>22.1</v>
      </c>
      <c r="N274" s="20" t="s">
        <v>1116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3</v>
      </c>
      <c r="T274" s="158"/>
      <c r="U274" s="21">
        <v>0</v>
      </c>
      <c r="V274" s="21">
        <v>1</v>
      </c>
      <c r="W274" s="21">
        <v>0</v>
      </c>
      <c r="X274" s="156">
        <v>3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3</v>
      </c>
      <c r="Z274" s="22"/>
      <c r="AA274" s="157">
        <f>Y274+Y274*VLOOKUP(I274,EXTRAS_ARRAY,2,FALSE)</f>
        <v>3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29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22.200000000000003</v>
      </c>
      <c r="N275" s="20" t="s">
        <v>1117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3</v>
      </c>
      <c r="T275" s="158"/>
      <c r="U275" s="21">
        <v>0</v>
      </c>
      <c r="V275" s="21">
        <v>1</v>
      </c>
      <c r="W275" s="21">
        <v>0</v>
      </c>
      <c r="X275" s="156">
        <v>3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3</v>
      </c>
      <c r="Z275" s="22"/>
      <c r="AA275" s="157">
        <f>Y275+Y275*VLOOKUP(I275,EXTRAS_ARRAY,2,FALSE)</f>
        <v>3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ht="15.5" hidden="1" outlineLevel="2" x14ac:dyDescent="0.35">
      <c r="A276" s="86" t="s">
        <v>0</v>
      </c>
      <c r="B276" s="18"/>
      <c r="C276" s="78"/>
      <c r="D276" s="78"/>
      <c r="E276" s="78"/>
      <c r="F276" s="79"/>
      <c r="G276" s="19" t="s">
        <v>23</v>
      </c>
      <c r="H276" s="19" t="s">
        <v>23</v>
      </c>
      <c r="I276" s="20" t="s">
        <v>23</v>
      </c>
      <c r="J276" s="19" t="s">
        <v>23</v>
      </c>
      <c r="K276" s="35"/>
      <c r="L276" s="19"/>
      <c r="M276" s="263">
        <f ca="1">IFERROR(OFFSET(M276,-1,,1,1)+0.1,OFFSET(M276,-1,-1,1,1)&amp;".1")</f>
        <v>22.300000000000004</v>
      </c>
      <c r="N276" s="20" t="s">
        <v>1118</v>
      </c>
      <c r="O276" s="20"/>
      <c r="P276" s="20"/>
      <c r="Q276" s="134"/>
      <c r="R276" s="127"/>
      <c r="S276" s="157">
        <f>CEILING((IF(J276="Yes", 0, IF(H276="-",AA276,AA276+AA276*VLOOKUP(H276,BUFFERS_BY_TYPE,2,FALSE)))) +
   (IF(J276="Yes", 0, IF(H276="-",AA276,AA276+AA276*VLOOKUP(H276,BUFFERS_BY_TYPE,2,FALSE))))*VLOOKUP($S$5, SALES_CALL_SCALE_ARRAY, 2,FALSE),0.25)</f>
        <v>2.5</v>
      </c>
      <c r="T276" s="158"/>
      <c r="U276" s="21">
        <v>0</v>
      </c>
      <c r="V276" s="21">
        <v>1</v>
      </c>
      <c r="W276" s="21">
        <v>0</v>
      </c>
      <c r="X276" s="156">
        <v>2.5</v>
      </c>
      <c r="Y276" s="157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2.5</v>
      </c>
      <c r="Z276" s="22"/>
      <c r="AA276" s="157">
        <f>Y276+Y276*VLOOKUP(I276,EXTRAS_ARRAY,2,FALSE)</f>
        <v>2.5</v>
      </c>
      <c r="AB276" s="20"/>
      <c r="AC276" s="34"/>
      <c r="AD276" s="23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ht="15.5" hidden="1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>
        <f ca="1">IFERROR(OFFSET(M277,-1,,1,1)+0.1,OFFSET(M277,-1,-1,1,1)&amp;".1")</f>
        <v>22.400000000000006</v>
      </c>
      <c r="N277" s="20" t="s">
        <v>1119</v>
      </c>
      <c r="O277" s="20"/>
      <c r="P277" s="20"/>
      <c r="Q277" s="134"/>
      <c r="R277" s="127"/>
      <c r="S277" s="157">
        <f>CEILING((IF(J277="Yes", 0, IF(H277="-",AA277,AA277+AA277*VLOOKUP(H277,BUFFERS_BY_TYPE,2,FALSE)))) +
   (IF(J277="Yes", 0, IF(H277="-",AA277,AA277+AA277*VLOOKUP(H277,BUFFERS_BY_TYPE,2,FALSE))))*VLOOKUP($S$5, SALES_CALL_SCALE_ARRAY, 2,FALSE),0.25)</f>
        <v>3</v>
      </c>
      <c r="T277" s="158"/>
      <c r="U277" s="21">
        <v>0</v>
      </c>
      <c r="V277" s="21">
        <v>1</v>
      </c>
      <c r="W277" s="21">
        <v>0</v>
      </c>
      <c r="X277" s="156">
        <v>3</v>
      </c>
      <c r="Y277" s="157">
        <f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3</v>
      </c>
      <c r="Z277" s="22"/>
      <c r="AA277" s="157">
        <f>Y277+Y277*VLOOKUP(I277,EXTRAS_ARRAY,2,FALSE)</f>
        <v>3</v>
      </c>
      <c r="AB277" s="20"/>
      <c r="AC277" s="34"/>
      <c r="AD277" s="23" t="str">
        <f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ht="15.5" hidden="1" outlineLevel="2" x14ac:dyDescent="0.35">
      <c r="A278" s="86" t="s">
        <v>0</v>
      </c>
      <c r="B278" s="18"/>
      <c r="C278" s="78"/>
      <c r="D278" s="78"/>
      <c r="E278" s="78"/>
      <c r="F278" s="79"/>
      <c r="G278" s="19" t="s">
        <v>23</v>
      </c>
      <c r="H278" s="19" t="s">
        <v>23</v>
      </c>
      <c r="I278" s="20" t="s">
        <v>23</v>
      </c>
      <c r="J278" s="19" t="s">
        <v>23</v>
      </c>
      <c r="K278" s="35"/>
      <c r="L278" s="19"/>
      <c r="M278" s="263">
        <f ca="1">IFERROR(OFFSET(M278,-1,,1,1)+0.1,OFFSET(M278,-1,-1,1,1)&amp;".1")</f>
        <v>22.500000000000007</v>
      </c>
      <c r="N278" s="20" t="s">
        <v>1120</v>
      </c>
      <c r="O278" s="20"/>
      <c r="P278" s="20"/>
      <c r="Q278" s="134"/>
      <c r="R278" s="127"/>
      <c r="S278" s="157">
        <f>CEILING((IF(J278="Yes", 0, IF(H278="-",AA278,AA278+AA278*VLOOKUP(H278,BUFFERS_BY_TYPE,2,FALSE)))) +
   (IF(J278="Yes", 0, IF(H278="-",AA278,AA278+AA278*VLOOKUP(H278,BUFFERS_BY_TYPE,2,FALSE))))*VLOOKUP($S$5, SALES_CALL_SCALE_ARRAY, 2,FALSE),0.25)</f>
        <v>2.5</v>
      </c>
      <c r="T278" s="158"/>
      <c r="U278" s="21">
        <v>0</v>
      </c>
      <c r="V278" s="21">
        <v>1</v>
      </c>
      <c r="W278" s="21">
        <v>0</v>
      </c>
      <c r="X278" s="156">
        <v>2.5</v>
      </c>
      <c r="Y278" s="157">
        <f>CEILING((IF(P278=AS_DEV_EFFORT, DEV_EFFORT*Q278%,
                           IF(P278=AS_DURATION_EFFORT, (MANUAL_DURATION*5)*Q278%,
                                    (IF(Q278&lt;=1,X278,
                                          IF(SUM(U278:W278)=0,(Q278*X278),
                                               (((Q278*U278)*(X278+(X278*EXTRA_FOR_H)))+
                                               ((Q278*V278)*X278)+
                                               ((Q278*W278)*(X278-(X278*LESS_FOR_L)))
                                    )*IF(R278=0,1,R278))))))+Z278), 0.25)</f>
        <v>2.5</v>
      </c>
      <c r="Z278" s="22"/>
      <c r="AA278" s="157">
        <f>Y278+Y278*VLOOKUP(I278,EXTRAS_ARRAY,2,FALSE)</f>
        <v>2.5</v>
      </c>
      <c r="AB278" s="20"/>
      <c r="AC278" s="34"/>
      <c r="AD278" s="23" t="str">
        <f>IF(J278&lt;&gt;"Yes",
IF(S278&lt;=0,"Error: Effort value is not defined or is invalid.",
IF(AND(SUM(U278:W278)&gt;0,SUM(U278:W278)&lt;&gt;1),"Error: Complexity % distribution should sum to 100%.",
IF(AND(P278=AS_DEV_EFFORT,X278&lt;&gt;0),"Error: PDs should not be defined when defining as dev effort %.",
IF(AND(P278=AS_DURATION_EFFORT,X278&lt;&gt;0),"Error: PDs should not be defined when defining as duration effort %.","")))))</f>
        <v/>
      </c>
    </row>
    <row r="279" spans="1:30" s="9" customFormat="1" ht="7.5" hidden="1" customHeight="1" outlineLevel="2" x14ac:dyDescent="0.35">
      <c r="A279" s="86" t="s">
        <v>132</v>
      </c>
      <c r="B279" s="15"/>
      <c r="C279" s="72"/>
      <c r="D279" s="72"/>
      <c r="E279" s="72"/>
      <c r="F279" s="72"/>
      <c r="M279" s="252"/>
      <c r="T279" s="15"/>
      <c r="X279" s="15"/>
      <c r="AB279" s="10"/>
      <c r="AC279" s="10"/>
      <c r="AD279" s="10"/>
    </row>
    <row r="280" spans="1:30" s="14" customFormat="1" ht="15.5" outlineLevel="1" collapsed="1" x14ac:dyDescent="0.35">
      <c r="A280" s="86" t="s">
        <v>100</v>
      </c>
      <c r="B280" s="18"/>
      <c r="C280" s="77"/>
      <c r="D280" s="77"/>
      <c r="E280" s="77"/>
      <c r="F280" s="76"/>
      <c r="G280" s="29"/>
      <c r="H280" s="29"/>
      <c r="I280" s="29"/>
      <c r="J280" s="29"/>
      <c r="K280" s="29"/>
      <c r="L280" s="17">
        <f ca="1">LOOKUP(1000,INDIRECT("L1:"&amp;CELL("address",INDIRECT("R[-1]C",FALSE))))+1</f>
        <v>23</v>
      </c>
      <c r="M280" s="303" t="s">
        <v>1121</v>
      </c>
      <c r="N280" s="303"/>
      <c r="O280" s="5"/>
      <c r="P280" s="30"/>
      <c r="Q280" s="30"/>
      <c r="R280" s="30"/>
      <c r="S280" s="30"/>
      <c r="T280" s="155">
        <f>IF($S$6="Exclude", SUMIFS(S281:S285, J281:J285, "&lt;&gt;Yes", G281:G285, "&lt;&gt;Yes"), SUMIFS(S281:S285, J281:J285, "&lt;&gt;Yes"))</f>
        <v>16</v>
      </c>
      <c r="U280" s="30"/>
      <c r="V280" s="30"/>
      <c r="W280" s="30"/>
      <c r="X280" s="31"/>
      <c r="Y280" s="32"/>
      <c r="Z280" s="32"/>
      <c r="AA280" s="32"/>
      <c r="AB280" s="219" t="s">
        <v>1122</v>
      </c>
      <c r="AC280" s="33"/>
      <c r="AD280" s="23" t="str">
        <f>IF(M280="", "Error: Task name cannot be empty.", "")</f>
        <v/>
      </c>
    </row>
    <row r="281" spans="1:30" s="12" customFormat="1" ht="1.5" hidden="1" customHeight="1" outlineLevel="2" x14ac:dyDescent="0.35">
      <c r="A281" s="86" t="s">
        <v>101</v>
      </c>
      <c r="B281" s="18"/>
      <c r="C281" s="77"/>
      <c r="D281" s="77"/>
      <c r="E281" s="77"/>
      <c r="F281" s="76"/>
      <c r="G281" s="29"/>
      <c r="H281" s="29"/>
      <c r="I281" s="29"/>
      <c r="J281" s="29"/>
      <c r="K281" s="29"/>
      <c r="L281" s="163">
        <f ca="1">L280</f>
        <v>23</v>
      </c>
      <c r="M281" s="164" t="s">
        <v>105</v>
      </c>
      <c r="N281" s="161"/>
      <c r="O281" s="162"/>
      <c r="P281" s="30"/>
      <c r="Q281" s="30"/>
      <c r="R281" s="30"/>
      <c r="S281" s="30"/>
      <c r="T281" s="155"/>
      <c r="U281" s="30"/>
      <c r="V281" s="30"/>
      <c r="W281" s="30"/>
      <c r="X281" s="31"/>
      <c r="Y281" s="32"/>
      <c r="Z281" s="32"/>
      <c r="AA281" s="32"/>
      <c r="AB281" s="33"/>
      <c r="AC281" s="33"/>
      <c r="AD281" s="23"/>
    </row>
    <row r="282" spans="1:30" ht="15.5" hidden="1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 t="str">
        <f ca="1">IFERROR(OFFSET(M282,-1,,1,1)+0.1,OFFSET(M282,-1,-1,1,1)&amp;".1")</f>
        <v>23.1</v>
      </c>
      <c r="N282" s="20" t="s">
        <v>1123</v>
      </c>
      <c r="O282" s="20"/>
      <c r="P282" s="20"/>
      <c r="Q282" s="134"/>
      <c r="R282" s="127"/>
      <c r="S282" s="157">
        <f>CEILING((IF(J282="Yes", 0, IF(H282="-",AA282,AA282+AA282*VLOOKUP(H282,BUFFERS_BY_TYPE,2,FALSE)))) +
   (IF(J282="Yes", 0, IF(H282="-",AA282,AA282+AA282*VLOOKUP(H282,BUFFERS_BY_TYPE,2,FALSE))))*VLOOKUP($S$5, SALES_CALL_SCALE_ARRAY, 2,FALSE),0.25)</f>
        <v>6</v>
      </c>
      <c r="T282" s="158"/>
      <c r="U282" s="21">
        <v>0.25</v>
      </c>
      <c r="V282" s="21">
        <v>0.5</v>
      </c>
      <c r="W282" s="21">
        <v>0.25</v>
      </c>
      <c r="X282" s="156">
        <v>6</v>
      </c>
      <c r="Y282" s="157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6</v>
      </c>
      <c r="Z282" s="22"/>
      <c r="AA282" s="157">
        <f>Y282+Y282*VLOOKUP(I282,EXTRAS_ARRAY,2,FALSE)</f>
        <v>6</v>
      </c>
      <c r="AB282" s="20"/>
      <c r="AC282" s="34"/>
      <c r="AD282" s="23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15.5" hidden="1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ca="1">IFERROR(OFFSET(M283,-1,,1,1)+0.1,OFFSET(M283,-1,-1,1,1)&amp;".1")</f>
        <v>23.200000000000003</v>
      </c>
      <c r="N283" s="20" t="s">
        <v>1124</v>
      </c>
      <c r="O283" s="20"/>
      <c r="P283" s="20"/>
      <c r="Q283" s="134"/>
      <c r="R283" s="127"/>
      <c r="S283" s="157">
        <f>CEILING((IF(J283="Yes", 0, IF(H283="-",AA283,AA283+AA283*VLOOKUP(H283,BUFFERS_BY_TYPE,2,FALSE)))) +
   (IF(J283="Yes", 0, IF(H283="-",AA283,AA283+AA283*VLOOKUP(H283,BUFFERS_BY_TYPE,2,FALSE))))*VLOOKUP($S$5, SALES_CALL_SCALE_ARRAY, 2,FALSE),0.25)</f>
        <v>5</v>
      </c>
      <c r="T283" s="158"/>
      <c r="U283" s="21">
        <v>0.1</v>
      </c>
      <c r="V283" s="21">
        <v>0.8</v>
      </c>
      <c r="W283" s="21">
        <v>0.1</v>
      </c>
      <c r="X283" s="156">
        <v>5</v>
      </c>
      <c r="Y283" s="157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5</v>
      </c>
      <c r="Z283" s="22"/>
      <c r="AA283" s="157">
        <f>Y283+Y283*VLOOKUP(I283,EXTRAS_ARRAY,2,FALSE)</f>
        <v>5</v>
      </c>
      <c r="AB283" s="20"/>
      <c r="AC283" s="34"/>
      <c r="AD283" s="23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ht="15.5" hidden="1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ca="1">IFERROR(OFFSET(M284,-1,,1,1)+0.1,OFFSET(M284,-1,-1,1,1)&amp;".1")</f>
        <v>23.300000000000004</v>
      </c>
      <c r="N284" s="20" t="s">
        <v>1125</v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5</v>
      </c>
      <c r="T284" s="158"/>
      <c r="U284" s="21">
        <v>0.15</v>
      </c>
      <c r="V284" s="21">
        <v>0.7</v>
      </c>
      <c r="W284" s="21">
        <v>0.15</v>
      </c>
      <c r="X284" s="156">
        <v>5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5</v>
      </c>
      <c r="Z284" s="22"/>
      <c r="AA284" s="157">
        <f>Y284+Y284*VLOOKUP(I284,EXTRAS_ARRAY,2,FALSE)</f>
        <v>5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s="9" customFormat="1" ht="7.5" hidden="1" customHeight="1" outlineLevel="2" x14ac:dyDescent="0.35">
      <c r="A285" s="86" t="s">
        <v>132</v>
      </c>
      <c r="B285" s="15"/>
      <c r="C285" s="72"/>
      <c r="D285" s="72"/>
      <c r="E285" s="72"/>
      <c r="F285" s="72"/>
      <c r="M285" s="252"/>
      <c r="T285" s="15"/>
      <c r="X285" s="15"/>
      <c r="AB285" s="10"/>
      <c r="AC285" s="10"/>
      <c r="AD285" s="10"/>
    </row>
    <row r="286" spans="1:30" s="14" customFormat="1" ht="15.5" outlineLevel="1" collapsed="1" x14ac:dyDescent="0.35">
      <c r="A286" s="86" t="s">
        <v>100</v>
      </c>
      <c r="B286" s="18"/>
      <c r="C286" s="77"/>
      <c r="D286" s="77"/>
      <c r="E286" s="77"/>
      <c r="F286" s="76"/>
      <c r="G286" s="29"/>
      <c r="H286" s="29"/>
      <c r="I286" s="29"/>
      <c r="J286" s="29"/>
      <c r="K286" s="29"/>
      <c r="L286" s="17">
        <f ca="1">LOOKUP(1000,INDIRECT("L1:"&amp;CELL("address",INDIRECT("R[-1]C",FALSE))))+1</f>
        <v>24</v>
      </c>
      <c r="M286" s="303" t="s">
        <v>1126</v>
      </c>
      <c r="N286" s="303"/>
      <c r="O286" s="5"/>
      <c r="P286" s="30"/>
      <c r="Q286" s="30"/>
      <c r="R286" s="30"/>
      <c r="S286" s="30"/>
      <c r="T286" s="155">
        <f>IF($S$6="Exclude", SUMIFS(S287:S290, J287:J290, "&lt;&gt;Yes", G287:G290, "&lt;&gt;Yes"), SUMIFS(S287:S290, J287:J290, "&lt;&gt;Yes"))</f>
        <v>10</v>
      </c>
      <c r="U286" s="30"/>
      <c r="V286" s="30"/>
      <c r="W286" s="30"/>
      <c r="X286" s="31"/>
      <c r="Y286" s="32"/>
      <c r="Z286" s="32"/>
      <c r="AA286" s="32"/>
      <c r="AB286" s="219" t="s">
        <v>970</v>
      </c>
      <c r="AC286" s="33"/>
      <c r="AD286" s="23" t="str">
        <f>IF(M286="", "Error: Task name cannot be empty.", "")</f>
        <v/>
      </c>
    </row>
    <row r="287" spans="1:30" s="12" customFormat="1" ht="1.5" hidden="1" customHeight="1" outlineLevel="2" x14ac:dyDescent="0.35">
      <c r="A287" s="86" t="s">
        <v>101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63">
        <f ca="1">L286</f>
        <v>24</v>
      </c>
      <c r="M287" s="164" t="s">
        <v>105</v>
      </c>
      <c r="N287" s="161"/>
      <c r="O287" s="162"/>
      <c r="P287" s="30"/>
      <c r="Q287" s="30"/>
      <c r="R287" s="30"/>
      <c r="S287" s="30"/>
      <c r="T287" s="155"/>
      <c r="U287" s="30"/>
      <c r="V287" s="30"/>
      <c r="W287" s="30"/>
      <c r="X287" s="31"/>
      <c r="Y287" s="32"/>
      <c r="Z287" s="32"/>
      <c r="AA287" s="32"/>
      <c r="AB287" s="33"/>
      <c r="AC287" s="33"/>
      <c r="AD287" s="23"/>
    </row>
    <row r="288" spans="1:30" ht="15.5" hidden="1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 t="str">
        <f ca="1">IFERROR(OFFSET(M288,-1,,1,1)+0.1,OFFSET(M288,-1,-1,1,1)&amp;".1")</f>
        <v>24.1</v>
      </c>
      <c r="N288" s="20" t="s">
        <v>1127</v>
      </c>
      <c r="O288" s="20"/>
      <c r="P288" s="20"/>
      <c r="Q288" s="134"/>
      <c r="R288" s="127"/>
      <c r="S288" s="157">
        <f>CEILING((IF(J288="Yes", 0, IF(H288="-",AA288,AA288+AA288*VLOOKUP(H288,BUFFERS_BY_TYPE,2,FALSE)))) +
   (IF(J288="Yes", 0, IF(H288="-",AA288,AA288+AA288*VLOOKUP(H288,BUFFERS_BY_TYPE,2,FALSE))))*VLOOKUP($S$5, SALES_CALL_SCALE_ARRAY, 2,FALSE),0.25)</f>
        <v>5.5</v>
      </c>
      <c r="T288" s="158"/>
      <c r="U288" s="21">
        <v>0.25</v>
      </c>
      <c r="V288" s="21">
        <v>0.75</v>
      </c>
      <c r="W288" s="21">
        <v>0</v>
      </c>
      <c r="X288" s="156">
        <v>5.5</v>
      </c>
      <c r="Y288" s="157">
        <f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5.5</v>
      </c>
      <c r="Z288" s="22"/>
      <c r="AA288" s="157">
        <f>Y288+Y288*VLOOKUP(I288,EXTRAS_ARRAY,2,FALSE)</f>
        <v>5.5</v>
      </c>
      <c r="AB288" s="20"/>
      <c r="AC288" s="34"/>
      <c r="AD288" s="23" t="str">
        <f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/>
      </c>
    </row>
    <row r="289" spans="1:30" ht="15.5" hidden="1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>
        <f ca="1">IFERROR(OFFSET(M289,-1,,1,1)+0.1,OFFSET(M289,-1,-1,1,1)&amp;".1")</f>
        <v>24.200000000000003</v>
      </c>
      <c r="N289" s="20" t="s">
        <v>1128</v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4.5</v>
      </c>
      <c r="T289" s="158"/>
      <c r="U289" s="21">
        <v>0.5</v>
      </c>
      <c r="V289" s="21">
        <v>0.5</v>
      </c>
      <c r="W289" s="21">
        <v>0</v>
      </c>
      <c r="X289" s="156">
        <v>4.5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4.5</v>
      </c>
      <c r="Z289" s="22"/>
      <c r="AA289" s="157">
        <f>Y289+Y289*VLOOKUP(I289,EXTRAS_ARRAY,2,FALSE)</f>
        <v>4.5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s="9" customFormat="1" ht="7.5" hidden="1" customHeight="1" outlineLevel="2" x14ac:dyDescent="0.35">
      <c r="A290" s="86" t="s">
        <v>132</v>
      </c>
      <c r="B290" s="15"/>
      <c r="C290" s="72"/>
      <c r="D290" s="72"/>
      <c r="E290" s="72"/>
      <c r="F290" s="72"/>
      <c r="M290" s="252"/>
      <c r="T290" s="15"/>
      <c r="X290" s="15"/>
      <c r="AB290" s="10"/>
      <c r="AC290" s="10"/>
      <c r="AD290" s="10"/>
    </row>
    <row r="291" spans="1:30" s="14" customFormat="1" ht="15.5" outlineLevel="1" collapsed="1" x14ac:dyDescent="0.35">
      <c r="A291" s="86" t="s">
        <v>100</v>
      </c>
      <c r="B291" s="18"/>
      <c r="C291" s="77"/>
      <c r="D291" s="77"/>
      <c r="E291" s="77"/>
      <c r="F291" s="76"/>
      <c r="G291" s="29"/>
      <c r="H291" s="29"/>
      <c r="I291" s="29"/>
      <c r="J291" s="29"/>
      <c r="K291" s="29"/>
      <c r="L291" s="17">
        <f ca="1">LOOKUP(1000,INDIRECT("L1:"&amp;CELL("address",INDIRECT("R[-1]C",FALSE))))+1</f>
        <v>25</v>
      </c>
      <c r="M291" s="303" t="s">
        <v>1129</v>
      </c>
      <c r="N291" s="303"/>
      <c r="O291" s="5"/>
      <c r="P291" s="30"/>
      <c r="Q291" s="30"/>
      <c r="R291" s="30"/>
      <c r="S291" s="30"/>
      <c r="T291" s="155">
        <f>IF($S$6="Exclude", SUMIFS(S292:S295, J292:J295, "&lt;&gt;Yes", G292:G295, "&lt;&gt;Yes"), SUMIFS(S292:S295, J292:J295, "&lt;&gt;Yes"))</f>
        <v>10</v>
      </c>
      <c r="U291" s="30"/>
      <c r="V291" s="30"/>
      <c r="W291" s="30"/>
      <c r="X291" s="31"/>
      <c r="Y291" s="32"/>
      <c r="Z291" s="32"/>
      <c r="AA291" s="32"/>
      <c r="AB291" s="219" t="s">
        <v>971</v>
      </c>
      <c r="AC291" s="33"/>
      <c r="AD291" s="23" t="str">
        <f>IF(M291="", "Error: Task name cannot be empty.", "")</f>
        <v/>
      </c>
    </row>
    <row r="292" spans="1:30" s="12" customFormat="1" ht="1.5" hidden="1" customHeight="1" outlineLevel="2" x14ac:dyDescent="0.35">
      <c r="A292" s="86" t="s">
        <v>101</v>
      </c>
      <c r="B292" s="18"/>
      <c r="C292" s="77"/>
      <c r="D292" s="77"/>
      <c r="E292" s="77"/>
      <c r="F292" s="76"/>
      <c r="G292" s="29"/>
      <c r="H292" s="29"/>
      <c r="I292" s="29"/>
      <c r="J292" s="29"/>
      <c r="K292" s="29"/>
      <c r="L292" s="163">
        <f ca="1">L291</f>
        <v>25</v>
      </c>
      <c r="M292" s="164" t="s">
        <v>105</v>
      </c>
      <c r="N292" s="161"/>
      <c r="O292" s="162"/>
      <c r="P292" s="30"/>
      <c r="Q292" s="30"/>
      <c r="R292" s="30"/>
      <c r="S292" s="30"/>
      <c r="T292" s="155"/>
      <c r="U292" s="30"/>
      <c r="V292" s="30"/>
      <c r="W292" s="30"/>
      <c r="X292" s="31"/>
      <c r="Y292" s="32"/>
      <c r="Z292" s="32"/>
      <c r="AA292" s="32"/>
      <c r="AB292" s="33"/>
      <c r="AC292" s="33"/>
      <c r="AD292" s="23"/>
    </row>
    <row r="293" spans="1:30" ht="15.5" hidden="1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 t="str">
        <f ca="1">IFERROR(OFFSET(M293,-1,,1,1)+0.1,OFFSET(M293,-1,-1,1,1)&amp;".1")</f>
        <v>25.1</v>
      </c>
      <c r="N293" s="20" t="s">
        <v>1130</v>
      </c>
      <c r="O293" s="20"/>
      <c r="P293" s="20"/>
      <c r="Q293" s="134"/>
      <c r="R293" s="127"/>
      <c r="S293" s="157">
        <f>CEILING((IF(J293="Yes", 0, IF(H293="-",AA293,AA293+AA293*VLOOKUP(H293,BUFFERS_BY_TYPE,2,FALSE)))) +
   (IF(J293="Yes", 0, IF(H293="-",AA293,AA293+AA293*VLOOKUP(H293,BUFFERS_BY_TYPE,2,FALSE))))*VLOOKUP($S$5, SALES_CALL_SCALE_ARRAY, 2,FALSE),0.25)</f>
        <v>5</v>
      </c>
      <c r="T293" s="158"/>
      <c r="U293" s="21">
        <v>0</v>
      </c>
      <c r="V293" s="21">
        <v>1</v>
      </c>
      <c r="W293" s="21">
        <v>0</v>
      </c>
      <c r="X293" s="156">
        <v>5</v>
      </c>
      <c r="Y293" s="157">
        <f>CEILING((IF(P293=AS_DEV_EFFORT, DEV_EFFORT*Q293%,
                           IF(P293=AS_DURATION_EFFORT, (MANUAL_DURATION*5)*Q293%,
                                    (IF(Q293&lt;=1,X293,
                                          IF(SUM(U293:W293)=0,(Q293*X293),
                                               (((Q293*U293)*(X293+(X293*EXTRA_FOR_H)))+
                                               ((Q293*V293)*X293)+
                                               ((Q293*W293)*(X293-(X293*LESS_FOR_L)))
                                    )*IF(R293=0,1,R293))))))+Z293), 0.25)</f>
        <v>5</v>
      </c>
      <c r="Z293" s="22"/>
      <c r="AA293" s="157">
        <f>Y293+Y293*VLOOKUP(I293,EXTRAS_ARRAY,2,FALSE)</f>
        <v>5</v>
      </c>
      <c r="AB293" s="20"/>
      <c r="AC293" s="34"/>
      <c r="AD293" s="23" t="str">
        <f>IF(J293&lt;&gt;"Yes",
IF(S293&lt;=0,"Error: Effort value is not defined or is invalid.",
IF(AND(SUM(U293:W293)&gt;0,SUM(U293:W293)&lt;&gt;1),"Error: Complexity % distribution should sum to 100%.",
IF(AND(P293=AS_DEV_EFFORT,X293&lt;&gt;0),"Error: PDs should not be defined when defining as dev effort %.",
IF(AND(P293=AS_DURATION_EFFORT,X293&lt;&gt;0),"Error: PDs should not be defined when defining as duration effort %.","")))))</f>
        <v/>
      </c>
    </row>
    <row r="294" spans="1:30" ht="15.5" hidden="1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ca="1">IFERROR(OFFSET(M294,-1,,1,1)+0.1,OFFSET(M294,-1,-1,1,1)&amp;".1")</f>
        <v>25.200000000000003</v>
      </c>
      <c r="N294" s="20" t="s">
        <v>1131</v>
      </c>
      <c r="O294" s="20"/>
      <c r="P294" s="20"/>
      <c r="Q294" s="134"/>
      <c r="R294" s="127"/>
      <c r="S294" s="157">
        <f>CEILING((IF(J294="Yes", 0, IF(H294="-",AA294,AA294+AA294*VLOOKUP(H294,BUFFERS_BY_TYPE,2,FALSE)))) +
   (IF(J294="Yes", 0, IF(H294="-",AA294,AA294+AA294*VLOOKUP(H294,BUFFERS_BY_TYPE,2,FALSE))))*VLOOKUP($S$5, SALES_CALL_SCALE_ARRAY, 2,FALSE),0.25)</f>
        <v>5</v>
      </c>
      <c r="T294" s="158"/>
      <c r="U294" s="21">
        <v>0</v>
      </c>
      <c r="V294" s="21">
        <v>1</v>
      </c>
      <c r="W294" s="21">
        <v>0</v>
      </c>
      <c r="X294" s="156">
        <v>5</v>
      </c>
      <c r="Y294" s="157">
        <f>CEILING((IF(P294=AS_DEV_EFFORT, DEV_EFFORT*Q294%,
                           IF(P294=AS_DURATION_EFFORT, (MANUAL_DURATION*5)*Q294%,
                                    (IF(Q294&lt;=1,X294,
                                          IF(SUM(U294:W294)=0,(Q294*X294),
                                               (((Q294*U294)*(X294+(X294*EXTRA_FOR_H)))+
                                               ((Q294*V294)*X294)+
                                               ((Q294*W294)*(X294-(X294*LESS_FOR_L)))
                                    )*IF(R294=0,1,R294))))))+Z294), 0.25)</f>
        <v>5</v>
      </c>
      <c r="Z294" s="22"/>
      <c r="AA294" s="157">
        <f>Y294+Y294*VLOOKUP(I294,EXTRAS_ARRAY,2,FALSE)</f>
        <v>5</v>
      </c>
      <c r="AB294" s="20"/>
      <c r="AC294" s="34"/>
      <c r="AD294" s="23" t="str">
        <f>IF(J294&lt;&gt;"Yes",
IF(S294&lt;=0,"Error: Effort value is not defined or is invalid.",
IF(AND(SUM(U294:W294)&gt;0,SUM(U294:W294)&lt;&gt;1),"Error: Complexity % distribution should sum to 100%.",
IF(AND(P294=AS_DEV_EFFORT,X294&lt;&gt;0),"Error: PDs should not be defined when defining as dev effort %.",
IF(AND(P294=AS_DURATION_EFFORT,X294&lt;&gt;0),"Error: PDs should not be defined when defining as duration effort %.","")))))</f>
        <v/>
      </c>
    </row>
    <row r="295" spans="1:30" s="9" customFormat="1" ht="7.5" hidden="1" customHeight="1" outlineLevel="2" x14ac:dyDescent="0.35">
      <c r="A295" s="86" t="s">
        <v>132</v>
      </c>
      <c r="B295" s="15"/>
      <c r="C295" s="72"/>
      <c r="D295" s="72"/>
      <c r="E295" s="72"/>
      <c r="F295" s="72"/>
      <c r="M295" s="252"/>
      <c r="T295" s="15"/>
      <c r="X295" s="15"/>
      <c r="AB295" s="10"/>
      <c r="AC295" s="10"/>
      <c r="AD295" s="10"/>
    </row>
    <row r="296" spans="1:30" s="14" customFormat="1" ht="15.5" outlineLevel="1" collapsed="1" x14ac:dyDescent="0.35">
      <c r="A296" s="86" t="s">
        <v>100</v>
      </c>
      <c r="B296" s="18"/>
      <c r="C296" s="77"/>
      <c r="D296" s="77"/>
      <c r="E296" s="77"/>
      <c r="F296" s="76"/>
      <c r="G296" s="29"/>
      <c r="H296" s="29"/>
      <c r="I296" s="29"/>
      <c r="J296" s="29"/>
      <c r="K296" s="29"/>
      <c r="L296" s="17">
        <f ca="1">LOOKUP(1000,INDIRECT("L1:"&amp;CELL("address",INDIRECT("R[-1]C",FALSE))))+1</f>
        <v>26</v>
      </c>
      <c r="M296" s="303" t="s">
        <v>1132</v>
      </c>
      <c r="N296" s="303"/>
      <c r="O296" s="5"/>
      <c r="P296" s="30"/>
      <c r="Q296" s="30"/>
      <c r="R296" s="30"/>
      <c r="S296" s="30"/>
      <c r="T296" s="155">
        <f>IF($S$6="Exclude", SUMIFS(S297:S300, J297:J300, "&lt;&gt;Yes", G297:G300, "&lt;&gt;Yes"), SUMIFS(S297:S300, J297:J300, "&lt;&gt;Yes"))</f>
        <v>14</v>
      </c>
      <c r="U296" s="30"/>
      <c r="V296" s="30"/>
      <c r="W296" s="30"/>
      <c r="X296" s="31"/>
      <c r="Y296" s="32"/>
      <c r="Z296" s="32"/>
      <c r="AA296" s="32"/>
      <c r="AB296" s="219" t="s">
        <v>972</v>
      </c>
      <c r="AC296" s="33"/>
      <c r="AD296" s="23" t="str">
        <f>IF(M296="", "Error: Task name cannot be empty.", "")</f>
        <v/>
      </c>
    </row>
    <row r="297" spans="1:30" s="12" customFormat="1" ht="1.5" hidden="1" customHeight="1" outlineLevel="2" x14ac:dyDescent="0.35">
      <c r="A297" s="86" t="s">
        <v>101</v>
      </c>
      <c r="B297" s="18"/>
      <c r="C297" s="77"/>
      <c r="D297" s="77"/>
      <c r="E297" s="77"/>
      <c r="F297" s="76"/>
      <c r="G297" s="29"/>
      <c r="H297" s="29"/>
      <c r="I297" s="29"/>
      <c r="J297" s="29"/>
      <c r="K297" s="29"/>
      <c r="L297" s="163">
        <f ca="1">L296</f>
        <v>26</v>
      </c>
      <c r="M297" s="164" t="s">
        <v>105</v>
      </c>
      <c r="N297" s="161"/>
      <c r="O297" s="162"/>
      <c r="P297" s="30"/>
      <c r="Q297" s="30"/>
      <c r="R297" s="30"/>
      <c r="S297" s="30"/>
      <c r="T297" s="155"/>
      <c r="U297" s="30"/>
      <c r="V297" s="30"/>
      <c r="W297" s="30"/>
      <c r="X297" s="31"/>
      <c r="Y297" s="32"/>
      <c r="Z297" s="32"/>
      <c r="AA297" s="32"/>
      <c r="AB297" s="33"/>
      <c r="AC297" s="33"/>
      <c r="AD297" s="23"/>
    </row>
    <row r="298" spans="1:30" ht="15.5" hidden="1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 t="str">
        <f ca="1">IFERROR(OFFSET(M298,-1,,1,1)+0.1,OFFSET(M298,-1,-1,1,1)&amp;".1")</f>
        <v>26.1</v>
      </c>
      <c r="N298" s="20" t="s">
        <v>1133</v>
      </c>
      <c r="O298" s="20"/>
      <c r="P298" s="20"/>
      <c r="Q298" s="134"/>
      <c r="R298" s="127"/>
      <c r="S298" s="157">
        <f>CEILING((IF(J298="Yes", 0, IF(H298="-",AA298,AA298+AA298*VLOOKUP(H298,BUFFERS_BY_TYPE,2,FALSE)))) +
   (IF(J298="Yes", 0, IF(H298="-",AA298,AA298+AA298*VLOOKUP(H298,BUFFERS_BY_TYPE,2,FALSE))))*VLOOKUP($S$5, SALES_CALL_SCALE_ARRAY, 2,FALSE),0.25)</f>
        <v>6</v>
      </c>
      <c r="T298" s="158"/>
      <c r="U298" s="21">
        <v>0</v>
      </c>
      <c r="V298" s="21">
        <v>1</v>
      </c>
      <c r="W298" s="21">
        <v>0</v>
      </c>
      <c r="X298" s="156">
        <v>6</v>
      </c>
      <c r="Y298" s="157">
        <f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6</v>
      </c>
      <c r="Z298" s="22"/>
      <c r="AA298" s="157">
        <f>Y298+Y298*VLOOKUP(I298,EXTRAS_ARRAY,2,FALSE)</f>
        <v>6</v>
      </c>
      <c r="AB298" s="20"/>
      <c r="AC298" s="34"/>
      <c r="AD298" s="23" t="str">
        <f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15.5" hidden="1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ca="1">IFERROR(OFFSET(M299,-1,,1,1)+0.1,OFFSET(M299,-1,-1,1,1)&amp;".1")</f>
        <v>26.200000000000003</v>
      </c>
      <c r="N299" s="20" t="s">
        <v>1134</v>
      </c>
      <c r="O299" s="20"/>
      <c r="P299" s="20"/>
      <c r="Q299" s="134"/>
      <c r="R299" s="127"/>
      <c r="S299" s="157">
        <f>CEILING((IF(J299="Yes", 0, IF(H299="-",AA299,AA299+AA299*VLOOKUP(H299,BUFFERS_BY_TYPE,2,FALSE)))) +
   (IF(J299="Yes", 0, IF(H299="-",AA299,AA299+AA299*VLOOKUP(H299,BUFFERS_BY_TYPE,2,FALSE))))*VLOOKUP($S$5, SALES_CALL_SCALE_ARRAY, 2,FALSE),0.25)</f>
        <v>8</v>
      </c>
      <c r="T299" s="158"/>
      <c r="U299" s="21">
        <v>0</v>
      </c>
      <c r="V299" s="21">
        <v>1</v>
      </c>
      <c r="W299" s="21">
        <v>0</v>
      </c>
      <c r="X299" s="156">
        <v>8</v>
      </c>
      <c r="Y299" s="157">
        <f>CEILING((IF(P299=AS_DEV_EFFORT, DEV_EFFORT*Q299%,
                           IF(P299=AS_DURATION_EFFORT, (MANUAL_DURATION*5)*Q299%,
                                    (IF(Q299&lt;=1,X299,
                                          IF(SUM(U299:W299)=0,(Q299*X299),
                                               (((Q299*U299)*(X299+(X299*EXTRA_FOR_H)))+
                                               ((Q299*V299)*X299)+
                                               ((Q299*W299)*(X299-(X299*LESS_FOR_L)))
                                    )*IF(R299=0,1,R299))))))+Z299), 0.25)</f>
        <v>8</v>
      </c>
      <c r="Z299" s="22"/>
      <c r="AA299" s="157">
        <f>Y299+Y299*VLOOKUP(I299,EXTRAS_ARRAY,2,FALSE)</f>
        <v>8</v>
      </c>
      <c r="AB299" s="20"/>
      <c r="AC299" s="34"/>
      <c r="AD299" s="23" t="str">
        <f>IF(J299&lt;&gt;"Yes",
IF(S299&lt;=0,"Error: Effort value is not defined or is invalid.",
IF(AND(SUM(U299:W299)&gt;0,SUM(U299:W299)&lt;&gt;1),"Error: Complexity % distribution should sum to 100%.",
IF(AND(P299=AS_DEV_EFFORT,X299&lt;&gt;0),"Error: PDs should not be defined when defining as dev effort %.",
IF(AND(P299=AS_DURATION_EFFORT,X299&lt;&gt;0),"Error: PDs should not be defined when defining as duration effort %.","")))))</f>
        <v/>
      </c>
    </row>
    <row r="300" spans="1:30" s="9" customFormat="1" ht="7.5" hidden="1" customHeight="1" outlineLevel="2" x14ac:dyDescent="0.35">
      <c r="A300" s="86" t="s">
        <v>132</v>
      </c>
      <c r="B300" s="15"/>
      <c r="C300" s="72"/>
      <c r="D300" s="72"/>
      <c r="E300" s="72"/>
      <c r="F300" s="72"/>
      <c r="M300" s="252"/>
      <c r="T300" s="15"/>
      <c r="X300" s="15"/>
      <c r="AB300" s="10"/>
      <c r="AC300" s="10"/>
      <c r="AD300" s="10"/>
    </row>
    <row r="301" spans="1:30" s="14" customFormat="1" ht="15.5" outlineLevel="1" x14ac:dyDescent="0.35">
      <c r="A301" s="86" t="s">
        <v>107</v>
      </c>
      <c r="B301" s="18"/>
      <c r="C301" s="77"/>
      <c r="D301" s="77"/>
      <c r="E301" s="77"/>
      <c r="F301" s="76"/>
      <c r="G301" s="170"/>
      <c r="H301" s="170"/>
      <c r="I301" s="170"/>
      <c r="J301" s="170"/>
      <c r="K301" s="170"/>
      <c r="L301" s="85" t="s">
        <v>109</v>
      </c>
      <c r="M301" s="302" t="s">
        <v>885</v>
      </c>
      <c r="N301" s="302"/>
      <c r="O301" s="80"/>
      <c r="P301" s="81"/>
      <c r="Q301" s="81"/>
      <c r="R301" s="81"/>
      <c r="S301" s="293">
        <f>SUMGROUP(ROW(), "T")</f>
        <v>131</v>
      </c>
      <c r="T301" s="293"/>
      <c r="U301" s="294"/>
      <c r="V301" s="294"/>
      <c r="W301" s="294"/>
      <c r="X301" s="82"/>
      <c r="Y301" s="83"/>
      <c r="Z301" s="83"/>
      <c r="AA301" s="83"/>
      <c r="AB301" s="221"/>
      <c r="AC301" s="84"/>
      <c r="AD301" s="23" t="str">
        <f>IF(M301="", "Error: Module name cannot be empty.", "")</f>
        <v/>
      </c>
    </row>
    <row r="302" spans="1:30" s="14" customFormat="1" ht="15.5" outlineLevel="1" collapsed="1" x14ac:dyDescent="0.35">
      <c r="A302" s="86" t="s">
        <v>100</v>
      </c>
      <c r="B302" s="18"/>
      <c r="C302" s="77"/>
      <c r="D302" s="77"/>
      <c r="E302" s="77"/>
      <c r="F302" s="76"/>
      <c r="G302" s="29"/>
      <c r="H302" s="29"/>
      <c r="I302" s="29"/>
      <c r="J302" s="29"/>
      <c r="K302" s="29"/>
      <c r="L302" s="17">
        <f ca="1">LOOKUP(1000,INDIRECT("L1:"&amp;CELL("address",INDIRECT("R[-1]C",FALSE))))+1</f>
        <v>27</v>
      </c>
      <c r="M302" s="303" t="s">
        <v>1135</v>
      </c>
      <c r="N302" s="303"/>
      <c r="O302" s="5"/>
      <c r="P302" s="30"/>
      <c r="Q302" s="30"/>
      <c r="R302" s="30"/>
      <c r="S302" s="30"/>
      <c r="T302" s="155">
        <f>IF($S$6="Exclude", SUMIFS(S303:S311, J303:J311, "&lt;&gt;Yes", G303:G311, "&lt;&gt;Yes"), SUMIFS(S303:S311, J303:J311, "&lt;&gt;Yes"))</f>
        <v>12</v>
      </c>
      <c r="U302" s="30"/>
      <c r="V302" s="30"/>
      <c r="W302" s="30"/>
      <c r="X302" s="31"/>
      <c r="Y302" s="32"/>
      <c r="Z302" s="32"/>
      <c r="AA302" s="32"/>
      <c r="AB302" s="219" t="s">
        <v>973</v>
      </c>
      <c r="AC302" s="33"/>
      <c r="AD302" s="23" t="str">
        <f>IF(M302="", "Error: Task name cannot be empty.", "")</f>
        <v/>
      </c>
    </row>
    <row r="303" spans="1:30" s="12" customFormat="1" ht="1.5" hidden="1" customHeight="1" outlineLevel="2" x14ac:dyDescent="0.35">
      <c r="A303" s="86" t="s">
        <v>101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63">
        <f ca="1">L302</f>
        <v>27</v>
      </c>
      <c r="M303" s="164" t="s">
        <v>105</v>
      </c>
      <c r="N303" s="161"/>
      <c r="O303" s="162"/>
      <c r="P303" s="30"/>
      <c r="Q303" s="30"/>
      <c r="R303" s="30"/>
      <c r="S303" s="30"/>
      <c r="T303" s="155"/>
      <c r="U303" s="30"/>
      <c r="V303" s="30"/>
      <c r="W303" s="30"/>
      <c r="X303" s="31"/>
      <c r="Y303" s="32"/>
      <c r="Z303" s="32"/>
      <c r="AA303" s="32"/>
      <c r="AB303" s="33"/>
      <c r="AC303" s="33"/>
      <c r="AD303" s="23"/>
    </row>
    <row r="304" spans="1:30" ht="15.5" hidden="1" outlineLevel="2" x14ac:dyDescent="0.35">
      <c r="A304" s="86" t="s">
        <v>0</v>
      </c>
      <c r="B304" s="18"/>
      <c r="C304" s="78"/>
      <c r="D304" s="78"/>
      <c r="E304" s="78"/>
      <c r="F304" s="79"/>
      <c r="G304" s="19" t="s">
        <v>23</v>
      </c>
      <c r="H304" s="19" t="s">
        <v>23</v>
      </c>
      <c r="I304" s="20" t="s">
        <v>23</v>
      </c>
      <c r="J304" s="19" t="s">
        <v>23</v>
      </c>
      <c r="K304" s="35"/>
      <c r="L304" s="19"/>
      <c r="M304" s="263" t="str">
        <f t="shared" ref="M304:M310" ca="1" si="30">IFERROR(OFFSET(M304,-1,,1,1)+0.1,OFFSET(M304,-1,-1,1,1)&amp;".1")</f>
        <v>27.1</v>
      </c>
      <c r="N304" s="20" t="s">
        <v>1136</v>
      </c>
      <c r="O304" s="20"/>
      <c r="P304" s="20"/>
      <c r="Q304" s="134"/>
      <c r="R304" s="127"/>
      <c r="S304" s="157">
        <f t="shared" ref="S304:S310" si="31">CEILING((IF(J304="Yes", 0, IF(H304="-",AA304,AA304+AA304*VLOOKUP(H304,BUFFERS_BY_TYPE,2,FALSE)))) +
   (IF(J304="Yes", 0, IF(H304="-",AA304,AA304+AA304*VLOOKUP(H304,BUFFERS_BY_TYPE,2,FALSE))))*VLOOKUP($S$5, SALES_CALL_SCALE_ARRAY, 2,FALSE),0.25)</f>
        <v>2</v>
      </c>
      <c r="T304" s="158"/>
      <c r="U304" s="21">
        <v>0</v>
      </c>
      <c r="V304" s="21">
        <v>1</v>
      </c>
      <c r="W304" s="21">
        <v>0</v>
      </c>
      <c r="X304" s="156">
        <v>2</v>
      </c>
      <c r="Y304" s="157">
        <f t="shared" ref="Y304:Y310" si="32">CEILING((IF(P304=AS_DEV_EFFORT, DEV_EFFORT*Q304%,
                           IF(P304=AS_DURATION_EFFORT, (MANUAL_DURATION*5)*Q304%,
                                    (IF(Q304&lt;=1,X304,
                                          IF(SUM(U304:W304)=0,(Q304*X304),
                                               (((Q304*U304)*(X304+(X304*EXTRA_FOR_H)))+
                                               ((Q304*V304)*X304)+
                                               ((Q304*W304)*(X304-(X304*LESS_FOR_L)))
                                    )*IF(R304=0,1,R304))))))+Z304), 0.25)</f>
        <v>2</v>
      </c>
      <c r="Z304" s="22"/>
      <c r="AA304" s="157">
        <f t="shared" ref="AA304:AA310" si="33">Y304+Y304*VLOOKUP(I304,EXTRAS_ARRAY,2,FALSE)</f>
        <v>2</v>
      </c>
      <c r="AB304" s="20"/>
      <c r="AC304" s="34"/>
      <c r="AD304" s="23" t="str">
        <f t="shared" ref="AD304:AD310" si="34">IF(J304&lt;&gt;"Yes",
IF(S304&lt;=0,"Error: Effort value is not defined or is invalid.",
IF(AND(SUM(U304:W304)&gt;0,SUM(U304:W304)&lt;&gt;1),"Error: Complexity % distribution should sum to 100%.",
IF(AND(P304=AS_DEV_EFFORT,X304&lt;&gt;0),"Error: PDs should not be defined when defining as dev effort %.",
IF(AND(P304=AS_DURATION_EFFORT,X304&lt;&gt;0),"Error: PDs should not be defined when defining as duration effort %.","")))))</f>
        <v/>
      </c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>
        <f t="shared" ca="1" si="30"/>
        <v>27.200000000000003</v>
      </c>
      <c r="N305" s="20" t="s">
        <v>886</v>
      </c>
      <c r="O305" s="20"/>
      <c r="P305" s="20"/>
      <c r="Q305" s="134"/>
      <c r="R305" s="127"/>
      <c r="S305" s="157">
        <f t="shared" si="31"/>
        <v>1.5</v>
      </c>
      <c r="T305" s="158"/>
      <c r="U305" s="21">
        <v>0</v>
      </c>
      <c r="V305" s="21">
        <v>1</v>
      </c>
      <c r="W305" s="21">
        <v>0</v>
      </c>
      <c r="X305" s="156">
        <v>1.5</v>
      </c>
      <c r="Y305" s="157">
        <f t="shared" si="32"/>
        <v>1.5</v>
      </c>
      <c r="Z305" s="22"/>
      <c r="AA305" s="157">
        <f t="shared" si="33"/>
        <v>1.5</v>
      </c>
      <c r="AB305" s="20"/>
      <c r="AC305" s="34"/>
      <c r="AD305" s="23" t="str">
        <f t="shared" si="34"/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t="shared" ca="1" si="30"/>
        <v>27.300000000000004</v>
      </c>
      <c r="N306" s="20" t="s">
        <v>887</v>
      </c>
      <c r="O306" s="20"/>
      <c r="P306" s="20"/>
      <c r="Q306" s="134"/>
      <c r="R306" s="127"/>
      <c r="S306" s="157">
        <f t="shared" si="31"/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 t="shared" si="32"/>
        <v>2</v>
      </c>
      <c r="Z306" s="22"/>
      <c r="AA306" s="157">
        <f t="shared" si="33"/>
        <v>2</v>
      </c>
      <c r="AB306" s="20"/>
      <c r="AC306" s="34"/>
      <c r="AD306" s="23" t="str">
        <f t="shared" si="34"/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t="shared" ca="1" si="30"/>
        <v>27.400000000000006</v>
      </c>
      <c r="N307" s="20" t="s">
        <v>888</v>
      </c>
      <c r="O307" s="20"/>
      <c r="P307" s="20"/>
      <c r="Q307" s="134"/>
      <c r="R307" s="127"/>
      <c r="S307" s="157">
        <f t="shared" si="31"/>
        <v>2</v>
      </c>
      <c r="T307" s="158"/>
      <c r="U307" s="21">
        <v>0</v>
      </c>
      <c r="V307" s="21">
        <v>1</v>
      </c>
      <c r="W307" s="21">
        <v>0</v>
      </c>
      <c r="X307" s="156">
        <v>2</v>
      </c>
      <c r="Y307" s="157">
        <f t="shared" si="32"/>
        <v>2</v>
      </c>
      <c r="Z307" s="22"/>
      <c r="AA307" s="157">
        <f t="shared" si="33"/>
        <v>2</v>
      </c>
      <c r="AB307" s="20"/>
      <c r="AC307" s="34"/>
      <c r="AD307" s="23" t="str">
        <f t="shared" si="34"/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t="shared" ca="1" si="30"/>
        <v>27.500000000000007</v>
      </c>
      <c r="N308" s="20" t="s">
        <v>889</v>
      </c>
      <c r="O308" s="20"/>
      <c r="P308" s="20"/>
      <c r="Q308" s="134"/>
      <c r="R308" s="127"/>
      <c r="S308" s="157">
        <f t="shared" si="31"/>
        <v>1.5</v>
      </c>
      <c r="T308" s="158"/>
      <c r="U308" s="21">
        <v>0</v>
      </c>
      <c r="V308" s="21">
        <v>1</v>
      </c>
      <c r="W308" s="21">
        <v>0</v>
      </c>
      <c r="X308" s="156">
        <v>1.5</v>
      </c>
      <c r="Y308" s="157">
        <f t="shared" si="32"/>
        <v>1.5</v>
      </c>
      <c r="Z308" s="22"/>
      <c r="AA308" s="157">
        <f t="shared" si="33"/>
        <v>1.5</v>
      </c>
      <c r="AB308" s="20"/>
      <c r="AC308" s="34"/>
      <c r="AD308" s="23" t="str">
        <f t="shared" si="34"/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t="shared" ca="1" si="30"/>
        <v>27.600000000000009</v>
      </c>
      <c r="N309" s="20" t="s">
        <v>890</v>
      </c>
      <c r="O309" s="20"/>
      <c r="P309" s="20"/>
      <c r="Q309" s="134"/>
      <c r="R309" s="127"/>
      <c r="S309" s="157">
        <f t="shared" si="31"/>
        <v>1.5</v>
      </c>
      <c r="T309" s="158"/>
      <c r="U309" s="21">
        <v>0</v>
      </c>
      <c r="V309" s="21">
        <v>1</v>
      </c>
      <c r="W309" s="21">
        <v>0</v>
      </c>
      <c r="X309" s="156">
        <v>1.5</v>
      </c>
      <c r="Y309" s="157">
        <f t="shared" si="32"/>
        <v>1.5</v>
      </c>
      <c r="Z309" s="22"/>
      <c r="AA309" s="157">
        <f t="shared" si="33"/>
        <v>1.5</v>
      </c>
      <c r="AB309" s="20"/>
      <c r="AC309" s="34"/>
      <c r="AD309" s="23" t="str">
        <f t="shared" si="34"/>
        <v/>
      </c>
    </row>
    <row r="310" spans="1:30" ht="15.5" hidden="1" outlineLevel="2" x14ac:dyDescent="0.35">
      <c r="A310" s="86" t="s">
        <v>0</v>
      </c>
      <c r="B310" s="18"/>
      <c r="C310" s="78"/>
      <c r="D310" s="78"/>
      <c r="E310" s="78"/>
      <c r="F310" s="79"/>
      <c r="G310" s="19" t="s">
        <v>23</v>
      </c>
      <c r="H310" s="19" t="s">
        <v>23</v>
      </c>
      <c r="I310" s="20" t="s">
        <v>23</v>
      </c>
      <c r="J310" s="19" t="s">
        <v>23</v>
      </c>
      <c r="K310" s="35"/>
      <c r="L310" s="19"/>
      <c r="M310" s="263">
        <f t="shared" ca="1" si="30"/>
        <v>27.70000000000001</v>
      </c>
      <c r="N310" s="20" t="s">
        <v>891</v>
      </c>
      <c r="O310" s="20"/>
      <c r="P310" s="20"/>
      <c r="Q310" s="134"/>
      <c r="R310" s="127"/>
      <c r="S310" s="157">
        <f t="shared" si="31"/>
        <v>1.5</v>
      </c>
      <c r="T310" s="158"/>
      <c r="U310" s="21">
        <v>0</v>
      </c>
      <c r="V310" s="21">
        <v>1</v>
      </c>
      <c r="W310" s="21">
        <v>0</v>
      </c>
      <c r="X310" s="156">
        <v>1.5</v>
      </c>
      <c r="Y310" s="157">
        <f t="shared" si="32"/>
        <v>1.5</v>
      </c>
      <c r="Z310" s="22"/>
      <c r="AA310" s="157">
        <f t="shared" si="33"/>
        <v>1.5</v>
      </c>
      <c r="AB310" s="20"/>
      <c r="AC310" s="34"/>
      <c r="AD310" s="23" t="str">
        <f t="shared" si="34"/>
        <v/>
      </c>
    </row>
    <row r="311" spans="1:30" s="9" customFormat="1" ht="7.5" hidden="1" customHeight="1" outlineLevel="2" x14ac:dyDescent="0.35">
      <c r="A311" s="86" t="s">
        <v>132</v>
      </c>
      <c r="B311" s="15"/>
      <c r="C311" s="72"/>
      <c r="D311" s="72"/>
      <c r="E311" s="72"/>
      <c r="F311" s="72"/>
      <c r="M311" s="252"/>
      <c r="T311" s="15"/>
      <c r="X311" s="15"/>
      <c r="AB311" s="10"/>
      <c r="AC311" s="10"/>
      <c r="AD311" s="10"/>
    </row>
    <row r="312" spans="1:30" s="14" customFormat="1" ht="15.5" outlineLevel="1" collapsed="1" x14ac:dyDescent="0.35">
      <c r="A312" s="86" t="s">
        <v>100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7">
        <f ca="1">LOOKUP(1000,INDIRECT("L1:"&amp;CELL("address",INDIRECT("R[-1]C",FALSE))))+1</f>
        <v>28</v>
      </c>
      <c r="M312" s="303" t="s">
        <v>1137</v>
      </c>
      <c r="N312" s="303"/>
      <c r="O312" s="5"/>
      <c r="P312" s="30"/>
      <c r="Q312" s="30"/>
      <c r="R312" s="30"/>
      <c r="S312" s="30"/>
      <c r="T312" s="155">
        <f>IF($S$6="Exclude", SUMIFS(S313:S321, J313:J321, "&lt;&gt;Yes", G313:G321, "&lt;&gt;Yes"), SUMIFS(S313:S321, J313:J321, "&lt;&gt;Yes"))</f>
        <v>16</v>
      </c>
      <c r="U312" s="30"/>
      <c r="V312" s="30"/>
      <c r="W312" s="30"/>
      <c r="X312" s="31"/>
      <c r="Y312" s="32"/>
      <c r="Z312" s="32"/>
      <c r="AA312" s="32"/>
      <c r="AB312" s="219" t="s">
        <v>974</v>
      </c>
      <c r="AC312" s="33"/>
      <c r="AD312" s="23" t="str">
        <f>IF(M312="", "Error: Task name cannot be empty.", "")</f>
        <v/>
      </c>
    </row>
    <row r="313" spans="1:30" s="12" customFormat="1" ht="1.5" hidden="1" customHeight="1" outlineLevel="2" x14ac:dyDescent="0.35">
      <c r="A313" s="86" t="s">
        <v>101</v>
      </c>
      <c r="B313" s="18"/>
      <c r="C313" s="77"/>
      <c r="D313" s="77"/>
      <c r="E313" s="77"/>
      <c r="F313" s="76"/>
      <c r="G313" s="29"/>
      <c r="H313" s="29"/>
      <c r="I313" s="29"/>
      <c r="J313" s="29"/>
      <c r="K313" s="29"/>
      <c r="L313" s="163">
        <f ca="1">L312</f>
        <v>28</v>
      </c>
      <c r="M313" s="164" t="s">
        <v>105</v>
      </c>
      <c r="N313" s="161"/>
      <c r="O313" s="162"/>
      <c r="P313" s="30"/>
      <c r="Q313" s="30"/>
      <c r="R313" s="30"/>
      <c r="S313" s="30"/>
      <c r="T313" s="155"/>
      <c r="U313" s="30"/>
      <c r="V313" s="30"/>
      <c r="W313" s="30"/>
      <c r="X313" s="31"/>
      <c r="Y313" s="32"/>
      <c r="Z313" s="32"/>
      <c r="AA313" s="32"/>
      <c r="AB313" s="33"/>
      <c r="AC313" s="33"/>
      <c r="AD313" s="23"/>
    </row>
    <row r="314" spans="1:30" ht="15.5" hidden="1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 t="str">
        <f t="shared" ref="M314:M320" ca="1" si="35">IFERROR(OFFSET(M314,-1,,1,1)+0.1,OFFSET(M314,-1,-1,1,1)&amp;".1")</f>
        <v>28.1</v>
      </c>
      <c r="N314" s="20" t="s">
        <v>1138</v>
      </c>
      <c r="O314" s="20"/>
      <c r="P314" s="20"/>
      <c r="Q314" s="134"/>
      <c r="R314" s="127"/>
      <c r="S314" s="157">
        <f t="shared" ref="S314:S320" si="36">CEILING((IF(J314="Yes", 0, IF(H314="-",AA314,AA314+AA314*VLOOKUP(H314,BUFFERS_BY_TYPE,2,FALSE)))) +
   (IF(J314="Yes", 0, IF(H314="-",AA314,AA314+AA314*VLOOKUP(H314,BUFFERS_BY_TYPE,2,FALSE))))*VLOOKUP($S$5, SALES_CALL_SCALE_ARRAY, 2,FALSE),0.25)</f>
        <v>2.5</v>
      </c>
      <c r="T314" s="158"/>
      <c r="U314" s="21">
        <v>0</v>
      </c>
      <c r="V314" s="21">
        <v>1</v>
      </c>
      <c r="W314" s="21">
        <v>0</v>
      </c>
      <c r="X314" s="156">
        <v>2.5</v>
      </c>
      <c r="Y314" s="157">
        <f t="shared" ref="Y314:Y320" si="37">CEILING((IF(P314=AS_DEV_EFFORT, DEV_EFFORT*Q314%,
                           IF(P314=AS_DURATION_EFFORT, (MANUAL_DURATION*5)*Q314%,
                                    (IF(Q314&lt;=1,X314,
                                          IF(SUM(U314:W314)=0,(Q314*X314),
                                               (((Q314*U314)*(X314+(X314*EXTRA_FOR_H)))+
                                               ((Q314*V314)*X314)+
                                               ((Q314*W314)*(X314-(X314*LESS_FOR_L)))
                                    )*IF(R314=0,1,R314))))))+Z314), 0.25)</f>
        <v>2.5</v>
      </c>
      <c r="Z314" s="22"/>
      <c r="AA314" s="157">
        <f t="shared" ref="AA314:AA320" si="38">Y314+Y314*VLOOKUP(I314,EXTRAS_ARRAY,2,FALSE)</f>
        <v>2.5</v>
      </c>
      <c r="AB314" s="20"/>
      <c r="AC314" s="34"/>
      <c r="AD314" s="23" t="str">
        <f t="shared" ref="AD314:AD320" si="39">IF(J314&lt;&gt;"Yes",
IF(S314&lt;=0,"Error: Effort value is not defined or is invalid.",
IF(AND(SUM(U314:W314)&gt;0,SUM(U314:W314)&lt;&gt;1),"Error: Complexity % distribution should sum to 100%.",
IF(AND(P314=AS_DEV_EFFORT,X314&lt;&gt;0),"Error: PDs should not be defined when defining as dev effort %.",
IF(AND(P314=AS_DURATION_EFFORT,X314&lt;&gt;0),"Error: PDs should not be defined when defining as duration effort %.","")))))</f>
        <v/>
      </c>
    </row>
    <row r="315" spans="1:30" ht="15.5" hidden="1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t="shared" ca="1" si="35"/>
        <v>28.200000000000003</v>
      </c>
      <c r="N315" s="20" t="s">
        <v>1139</v>
      </c>
      <c r="O315" s="20"/>
      <c r="P315" s="20"/>
      <c r="Q315" s="134"/>
      <c r="R315" s="127"/>
      <c r="S315" s="157">
        <f t="shared" si="36"/>
        <v>2</v>
      </c>
      <c r="T315" s="158"/>
      <c r="U315" s="21">
        <v>0</v>
      </c>
      <c r="V315" s="21">
        <v>1</v>
      </c>
      <c r="W315" s="21">
        <v>0</v>
      </c>
      <c r="X315" s="156">
        <v>2</v>
      </c>
      <c r="Y315" s="157">
        <f t="shared" si="37"/>
        <v>2</v>
      </c>
      <c r="Z315" s="22"/>
      <c r="AA315" s="157">
        <f t="shared" si="38"/>
        <v>2</v>
      </c>
      <c r="AB315" s="20"/>
      <c r="AC315" s="34"/>
      <c r="AD315" s="23" t="str">
        <f t="shared" si="39"/>
        <v/>
      </c>
    </row>
    <row r="316" spans="1:30" ht="15.5" hidden="1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35"/>
        <v>28.300000000000004</v>
      </c>
      <c r="N316" s="20" t="s">
        <v>1140</v>
      </c>
      <c r="O316" s="20"/>
      <c r="P316" s="20"/>
      <c r="Q316" s="134"/>
      <c r="R316" s="127"/>
      <c r="S316" s="157">
        <f t="shared" si="36"/>
        <v>2.5</v>
      </c>
      <c r="T316" s="158"/>
      <c r="U316" s="21">
        <v>0</v>
      </c>
      <c r="V316" s="21">
        <v>1</v>
      </c>
      <c r="W316" s="21">
        <v>0</v>
      </c>
      <c r="X316" s="156">
        <v>2.5</v>
      </c>
      <c r="Y316" s="157">
        <f t="shared" si="37"/>
        <v>2.5</v>
      </c>
      <c r="Z316" s="22"/>
      <c r="AA316" s="157">
        <f t="shared" si="38"/>
        <v>2.5</v>
      </c>
      <c r="AB316" s="20"/>
      <c r="AC316" s="34"/>
      <c r="AD316" s="23" t="str">
        <f t="shared" si="39"/>
        <v/>
      </c>
    </row>
    <row r="317" spans="1:30" ht="15.5" hidden="1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35"/>
        <v>28.400000000000006</v>
      </c>
      <c r="N317" s="20" t="s">
        <v>1141</v>
      </c>
      <c r="O317" s="20"/>
      <c r="P317" s="20"/>
      <c r="Q317" s="134"/>
      <c r="R317" s="127"/>
      <c r="S317" s="157">
        <f t="shared" si="36"/>
        <v>2</v>
      </c>
      <c r="T317" s="158"/>
      <c r="U317" s="21">
        <v>0</v>
      </c>
      <c r="V317" s="21">
        <v>1</v>
      </c>
      <c r="W317" s="21">
        <v>0</v>
      </c>
      <c r="X317" s="156">
        <v>2</v>
      </c>
      <c r="Y317" s="157">
        <f t="shared" si="37"/>
        <v>2</v>
      </c>
      <c r="Z317" s="22"/>
      <c r="AA317" s="157">
        <f t="shared" si="38"/>
        <v>2</v>
      </c>
      <c r="AB317" s="20"/>
      <c r="AC317" s="34"/>
      <c r="AD317" s="23" t="str">
        <f t="shared" si="39"/>
        <v/>
      </c>
    </row>
    <row r="318" spans="1:30" ht="15.5" hidden="1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t="shared" ca="1" si="35"/>
        <v>28.500000000000007</v>
      </c>
      <c r="N318" s="20" t="s">
        <v>1142</v>
      </c>
      <c r="O318" s="20"/>
      <c r="P318" s="20"/>
      <c r="Q318" s="134"/>
      <c r="R318" s="127"/>
      <c r="S318" s="157">
        <f t="shared" si="36"/>
        <v>2</v>
      </c>
      <c r="T318" s="158"/>
      <c r="U318" s="21">
        <v>0</v>
      </c>
      <c r="V318" s="21">
        <v>1</v>
      </c>
      <c r="W318" s="21">
        <v>0</v>
      </c>
      <c r="X318" s="156">
        <v>2</v>
      </c>
      <c r="Y318" s="157">
        <f t="shared" si="37"/>
        <v>2</v>
      </c>
      <c r="Z318" s="22"/>
      <c r="AA318" s="157">
        <f t="shared" si="38"/>
        <v>2</v>
      </c>
      <c r="AB318" s="20"/>
      <c r="AC318" s="34"/>
      <c r="AD318" s="23" t="str">
        <f t="shared" si="39"/>
        <v/>
      </c>
    </row>
    <row r="319" spans="1:30" ht="15.5" hidden="1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t="shared" ca="1" si="35"/>
        <v>28.600000000000009</v>
      </c>
      <c r="N319" s="20" t="s">
        <v>892</v>
      </c>
      <c r="O319" s="20"/>
      <c r="P319" s="20"/>
      <c r="Q319" s="134"/>
      <c r="R319" s="127"/>
      <c r="S319" s="157">
        <f t="shared" si="36"/>
        <v>2</v>
      </c>
      <c r="T319" s="158"/>
      <c r="U319" s="21">
        <v>0</v>
      </c>
      <c r="V319" s="21">
        <v>1</v>
      </c>
      <c r="W319" s="21">
        <v>0</v>
      </c>
      <c r="X319" s="156">
        <v>2</v>
      </c>
      <c r="Y319" s="157">
        <f t="shared" si="37"/>
        <v>2</v>
      </c>
      <c r="Z319" s="22"/>
      <c r="AA319" s="157">
        <f t="shared" si="38"/>
        <v>2</v>
      </c>
      <c r="AB319" s="20"/>
      <c r="AC319" s="34"/>
      <c r="AD319" s="23" t="str">
        <f t="shared" si="39"/>
        <v/>
      </c>
    </row>
    <row r="320" spans="1:30" ht="15.5" hidden="1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t="shared" ca="1" si="35"/>
        <v>28.70000000000001</v>
      </c>
      <c r="N320" s="20" t="s">
        <v>893</v>
      </c>
      <c r="O320" s="20"/>
      <c r="P320" s="20"/>
      <c r="Q320" s="134"/>
      <c r="R320" s="127"/>
      <c r="S320" s="157">
        <f t="shared" si="36"/>
        <v>3</v>
      </c>
      <c r="T320" s="158"/>
      <c r="U320" s="21">
        <v>0</v>
      </c>
      <c r="V320" s="21">
        <v>1</v>
      </c>
      <c r="W320" s="21">
        <v>0</v>
      </c>
      <c r="X320" s="156">
        <v>3</v>
      </c>
      <c r="Y320" s="157">
        <f t="shared" si="37"/>
        <v>3</v>
      </c>
      <c r="Z320" s="22"/>
      <c r="AA320" s="157">
        <f t="shared" si="38"/>
        <v>3</v>
      </c>
      <c r="AB320" s="20"/>
      <c r="AC320" s="34"/>
      <c r="AD320" s="23" t="str">
        <f t="shared" si="39"/>
        <v/>
      </c>
    </row>
    <row r="321" spans="1:30" s="9" customFormat="1" ht="7.5" hidden="1" customHeight="1" outlineLevel="2" x14ac:dyDescent="0.35">
      <c r="A321" s="86" t="s">
        <v>132</v>
      </c>
      <c r="B321" s="15"/>
      <c r="C321" s="72"/>
      <c r="D321" s="72"/>
      <c r="E321" s="72"/>
      <c r="F321" s="72"/>
      <c r="M321" s="252"/>
      <c r="T321" s="15"/>
      <c r="X321" s="15"/>
      <c r="AB321" s="10"/>
      <c r="AC321" s="10"/>
      <c r="AD321" s="10"/>
    </row>
    <row r="322" spans="1:30" s="14" customFormat="1" ht="15.5" outlineLevel="1" collapsed="1" x14ac:dyDescent="0.35">
      <c r="A322" s="86" t="s">
        <v>100</v>
      </c>
      <c r="B322" s="18"/>
      <c r="C322" s="77"/>
      <c r="D322" s="77"/>
      <c r="E322" s="77"/>
      <c r="F322" s="76"/>
      <c r="G322" s="29"/>
      <c r="H322" s="29"/>
      <c r="I322" s="29"/>
      <c r="J322" s="29"/>
      <c r="K322" s="29"/>
      <c r="L322" s="17">
        <f ca="1">LOOKUP(1000,INDIRECT("L1:"&amp;CELL("address",INDIRECT("R[-1]C",FALSE))))+1</f>
        <v>29</v>
      </c>
      <c r="M322" s="303" t="s">
        <v>1143</v>
      </c>
      <c r="N322" s="303"/>
      <c r="O322" s="5"/>
      <c r="P322" s="30"/>
      <c r="Q322" s="30"/>
      <c r="R322" s="30"/>
      <c r="S322" s="30"/>
      <c r="T322" s="155">
        <f>IF($S$6="Exclude", SUMIFS(S323:S334, J323:J334, "&lt;&gt;Yes", G323:G334, "&lt;&gt;Yes"), SUMIFS(S323:S334, J323:J334, "&lt;&gt;Yes"))</f>
        <v>30</v>
      </c>
      <c r="U322" s="30"/>
      <c r="V322" s="30"/>
      <c r="W322" s="30"/>
      <c r="X322" s="31"/>
      <c r="Y322" s="32"/>
      <c r="Z322" s="32"/>
      <c r="AA322" s="32"/>
      <c r="AB322" s="219" t="s">
        <v>975</v>
      </c>
      <c r="AC322" s="33"/>
      <c r="AD322" s="23" t="str">
        <f>IF(M322="", "Error: Task name cannot be empty.", "")</f>
        <v/>
      </c>
    </row>
    <row r="323" spans="1:30" s="12" customFormat="1" ht="1.5" hidden="1" customHeight="1" outlineLevel="2" x14ac:dyDescent="0.35">
      <c r="A323" s="86" t="s">
        <v>101</v>
      </c>
      <c r="B323" s="18"/>
      <c r="C323" s="77"/>
      <c r="D323" s="77"/>
      <c r="E323" s="77"/>
      <c r="F323" s="76"/>
      <c r="G323" s="29"/>
      <c r="H323" s="29"/>
      <c r="I323" s="29"/>
      <c r="J323" s="29"/>
      <c r="K323" s="29"/>
      <c r="L323" s="163">
        <f ca="1">L322</f>
        <v>29</v>
      </c>
      <c r="M323" s="164" t="s">
        <v>105</v>
      </c>
      <c r="N323" s="161"/>
      <c r="O323" s="162"/>
      <c r="P323" s="30"/>
      <c r="Q323" s="30"/>
      <c r="R323" s="30"/>
      <c r="S323" s="30"/>
      <c r="T323" s="155"/>
      <c r="U323" s="30"/>
      <c r="V323" s="30"/>
      <c r="W323" s="30"/>
      <c r="X323" s="31"/>
      <c r="Y323" s="32"/>
      <c r="Z323" s="32"/>
      <c r="AA323" s="32"/>
      <c r="AB323" s="33"/>
      <c r="AC323" s="33"/>
      <c r="AD323" s="23"/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 t="str">
        <f t="shared" ref="M324:M333" ca="1" si="40">IFERROR(OFFSET(M324,-1,,1,1)+0.1,OFFSET(M324,-1,-1,1,1)&amp;".1")</f>
        <v>29.1</v>
      </c>
      <c r="N324" s="20" t="s">
        <v>1144</v>
      </c>
      <c r="O324" s="20"/>
      <c r="P324" s="20"/>
      <c r="Q324" s="134"/>
      <c r="R324" s="127"/>
      <c r="S324" s="157">
        <f t="shared" ref="S324:S333" si="41">CEILING((IF(J324="Yes", 0, IF(H324="-",AA324,AA324+AA324*VLOOKUP(H324,BUFFERS_BY_TYPE,2,FALSE)))) +
   (IF(J324="Yes", 0, IF(H324="-",AA324,AA324+AA324*VLOOKUP(H324,BUFFERS_BY_TYPE,2,FALSE))))*VLOOKUP($S$5, SALES_CALL_SCALE_ARRAY, 2,FALSE),0.25)</f>
        <v>2</v>
      </c>
      <c r="T324" s="158"/>
      <c r="U324" s="21">
        <v>0</v>
      </c>
      <c r="V324" s="21">
        <v>1</v>
      </c>
      <c r="W324" s="21">
        <v>0</v>
      </c>
      <c r="X324" s="156">
        <v>2</v>
      </c>
      <c r="Y324" s="157">
        <f t="shared" ref="Y324:Y333" si="42">CEILING((IF(P324=AS_DEV_EFFORT, DEV_EFFORT*Q324%,
                           IF(P324=AS_DURATION_EFFORT, (MANUAL_DURATION*5)*Q324%,
                                    (IF(Q324&lt;=1,X324,
                                          IF(SUM(U324:W324)=0,(Q324*X324),
                                               (((Q324*U324)*(X324+(X324*EXTRA_FOR_H)))+
                                               ((Q324*V324)*X324)+
                                               ((Q324*W324)*(X324-(X324*LESS_FOR_L)))
                                    )*IF(R324=0,1,R324))))))+Z324), 0.25)</f>
        <v>2</v>
      </c>
      <c r="Z324" s="22"/>
      <c r="AA324" s="157">
        <f t="shared" ref="AA324:AA333" si="43">Y324+Y324*VLOOKUP(I324,EXTRAS_ARRAY,2,FALSE)</f>
        <v>2</v>
      </c>
      <c r="AB324" s="20"/>
      <c r="AC324" s="34"/>
      <c r="AD324" s="23" t="str">
        <f t="shared" ref="AD324:AD333" si="44">IF(J324&lt;&gt;"Yes",
IF(S324&lt;=0,"Error: Effort value is not defined or is invalid.",
IF(AND(SUM(U324:W324)&gt;0,SUM(U324:W324)&lt;&gt;1),"Error: Complexity % distribution should sum to 100%.",
IF(AND(P324=AS_DEV_EFFORT,X324&lt;&gt;0),"Error: PDs should not be defined when defining as dev effort %.",
IF(AND(P324=AS_DURATION_EFFORT,X324&lt;&gt;0),"Error: PDs should not be defined when defining as duration effort %.","")))))</f>
        <v/>
      </c>
    </row>
    <row r="325" spans="1:30" ht="15.5" hidden="1" outlineLevel="2" x14ac:dyDescent="0.35">
      <c r="A325" s="86" t="s">
        <v>0</v>
      </c>
      <c r="B325" s="18"/>
      <c r="C325" s="78"/>
      <c r="D325" s="78"/>
      <c r="E325" s="78"/>
      <c r="F325" s="79"/>
      <c r="G325" s="19" t="s">
        <v>23</v>
      </c>
      <c r="H325" s="19" t="s">
        <v>23</v>
      </c>
      <c r="I325" s="20" t="s">
        <v>23</v>
      </c>
      <c r="J325" s="19" t="s">
        <v>23</v>
      </c>
      <c r="K325" s="35"/>
      <c r="L325" s="19"/>
      <c r="M325" s="263">
        <f t="shared" ca="1" si="40"/>
        <v>29.200000000000003</v>
      </c>
      <c r="N325" s="20" t="s">
        <v>894</v>
      </c>
      <c r="O325" s="20"/>
      <c r="P325" s="20"/>
      <c r="Q325" s="134"/>
      <c r="R325" s="127"/>
      <c r="S325" s="157">
        <f t="shared" si="41"/>
        <v>4</v>
      </c>
      <c r="T325" s="158"/>
      <c r="U325" s="21">
        <v>0</v>
      </c>
      <c r="V325" s="21">
        <v>1</v>
      </c>
      <c r="W325" s="21">
        <v>0</v>
      </c>
      <c r="X325" s="156">
        <v>4</v>
      </c>
      <c r="Y325" s="157">
        <f t="shared" si="42"/>
        <v>4</v>
      </c>
      <c r="Z325" s="22"/>
      <c r="AA325" s="157">
        <f t="shared" si="43"/>
        <v>4</v>
      </c>
      <c r="AB325" s="20"/>
      <c r="AC325" s="34"/>
      <c r="AD325" s="23" t="str">
        <f t="shared" si="44"/>
        <v/>
      </c>
    </row>
    <row r="326" spans="1:30" ht="15.5" hidden="1" outlineLevel="2" x14ac:dyDescent="0.35">
      <c r="A326" s="86" t="s">
        <v>0</v>
      </c>
      <c r="B326" s="18"/>
      <c r="C326" s="78"/>
      <c r="D326" s="78"/>
      <c r="E326" s="78"/>
      <c r="F326" s="79"/>
      <c r="G326" s="19" t="s">
        <v>23</v>
      </c>
      <c r="H326" s="19" t="s">
        <v>23</v>
      </c>
      <c r="I326" s="20" t="s">
        <v>23</v>
      </c>
      <c r="J326" s="19" t="s">
        <v>23</v>
      </c>
      <c r="K326" s="35"/>
      <c r="L326" s="19"/>
      <c r="M326" s="263">
        <f t="shared" ca="1" si="40"/>
        <v>29.300000000000004</v>
      </c>
      <c r="N326" s="20" t="s">
        <v>895</v>
      </c>
      <c r="O326" s="20"/>
      <c r="P326" s="20"/>
      <c r="Q326" s="134"/>
      <c r="R326" s="127"/>
      <c r="S326" s="157">
        <f t="shared" si="41"/>
        <v>3</v>
      </c>
      <c r="T326" s="158"/>
      <c r="U326" s="21">
        <v>0</v>
      </c>
      <c r="V326" s="21">
        <v>1</v>
      </c>
      <c r="W326" s="21">
        <v>0</v>
      </c>
      <c r="X326" s="156">
        <v>3</v>
      </c>
      <c r="Y326" s="157">
        <f t="shared" si="42"/>
        <v>3</v>
      </c>
      <c r="Z326" s="22"/>
      <c r="AA326" s="157">
        <f t="shared" si="43"/>
        <v>3</v>
      </c>
      <c r="AB326" s="20"/>
      <c r="AC326" s="34"/>
      <c r="AD326" s="23" t="str">
        <f t="shared" si="44"/>
        <v/>
      </c>
    </row>
    <row r="327" spans="1:30" ht="15.5" hidden="1" outlineLevel="2" x14ac:dyDescent="0.35">
      <c r="A327" s="86" t="s">
        <v>0</v>
      </c>
      <c r="B327" s="18"/>
      <c r="C327" s="78"/>
      <c r="D327" s="78"/>
      <c r="E327" s="78"/>
      <c r="F327" s="79"/>
      <c r="G327" s="19" t="s">
        <v>23</v>
      </c>
      <c r="H327" s="19" t="s">
        <v>23</v>
      </c>
      <c r="I327" s="20" t="s">
        <v>23</v>
      </c>
      <c r="J327" s="19" t="s">
        <v>23</v>
      </c>
      <c r="K327" s="35"/>
      <c r="L327" s="19"/>
      <c r="M327" s="263">
        <f t="shared" ca="1" si="40"/>
        <v>29.400000000000006</v>
      </c>
      <c r="N327" s="20" t="s">
        <v>896</v>
      </c>
      <c r="O327" s="20"/>
      <c r="P327" s="20"/>
      <c r="Q327" s="134"/>
      <c r="R327" s="127"/>
      <c r="S327" s="157">
        <f t="shared" si="41"/>
        <v>3</v>
      </c>
      <c r="T327" s="158"/>
      <c r="U327" s="21">
        <v>0</v>
      </c>
      <c r="V327" s="21">
        <v>1</v>
      </c>
      <c r="W327" s="21">
        <v>0</v>
      </c>
      <c r="X327" s="156">
        <v>3</v>
      </c>
      <c r="Y327" s="157">
        <f t="shared" si="42"/>
        <v>3</v>
      </c>
      <c r="Z327" s="22"/>
      <c r="AA327" s="157">
        <f t="shared" si="43"/>
        <v>3</v>
      </c>
      <c r="AB327" s="20"/>
      <c r="AC327" s="34"/>
      <c r="AD327" s="23" t="str">
        <f t="shared" si="44"/>
        <v/>
      </c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>
        <f t="shared" ca="1" si="40"/>
        <v>29.500000000000007</v>
      </c>
      <c r="N328" s="20" t="s">
        <v>897</v>
      </c>
      <c r="O328" s="20"/>
      <c r="P328" s="20"/>
      <c r="Q328" s="134"/>
      <c r="R328" s="127"/>
      <c r="S328" s="157">
        <f t="shared" si="41"/>
        <v>2.5</v>
      </c>
      <c r="T328" s="158"/>
      <c r="U328" s="21">
        <v>0</v>
      </c>
      <c r="V328" s="21">
        <v>1</v>
      </c>
      <c r="W328" s="21">
        <v>0</v>
      </c>
      <c r="X328" s="156">
        <v>2.5</v>
      </c>
      <c r="Y328" s="157">
        <f t="shared" si="42"/>
        <v>2.5</v>
      </c>
      <c r="Z328" s="22"/>
      <c r="AA328" s="157">
        <f t="shared" si="43"/>
        <v>2.5</v>
      </c>
      <c r="AB328" s="20"/>
      <c r="AC328" s="34"/>
      <c r="AD328" s="23" t="str">
        <f t="shared" si="44"/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t="shared" ca="1" si="40"/>
        <v>29.600000000000009</v>
      </c>
      <c r="N329" s="20" t="s">
        <v>898</v>
      </c>
      <c r="O329" s="20"/>
      <c r="P329" s="20"/>
      <c r="Q329" s="134"/>
      <c r="R329" s="127"/>
      <c r="S329" s="157">
        <f t="shared" si="41"/>
        <v>2.5</v>
      </c>
      <c r="T329" s="158"/>
      <c r="U329" s="21">
        <v>0</v>
      </c>
      <c r="V329" s="21">
        <v>1</v>
      </c>
      <c r="W329" s="21">
        <v>0</v>
      </c>
      <c r="X329" s="156">
        <v>2.5</v>
      </c>
      <c r="Y329" s="157">
        <f t="shared" si="42"/>
        <v>2.5</v>
      </c>
      <c r="Z329" s="22"/>
      <c r="AA329" s="157">
        <f t="shared" si="43"/>
        <v>2.5</v>
      </c>
      <c r="AB329" s="20"/>
      <c r="AC329" s="34"/>
      <c r="AD329" s="23" t="str">
        <f t="shared" si="44"/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t="shared" ca="1" si="40"/>
        <v>29.70000000000001</v>
      </c>
      <c r="N330" s="20" t="s">
        <v>899</v>
      </c>
      <c r="O330" s="20"/>
      <c r="P330" s="20"/>
      <c r="Q330" s="134"/>
      <c r="R330" s="127"/>
      <c r="S330" s="157">
        <f t="shared" si="41"/>
        <v>4</v>
      </c>
      <c r="T330" s="158"/>
      <c r="U330" s="21">
        <v>0</v>
      </c>
      <c r="V330" s="21">
        <v>1</v>
      </c>
      <c r="W330" s="21">
        <v>0</v>
      </c>
      <c r="X330" s="156">
        <v>4</v>
      </c>
      <c r="Y330" s="157">
        <f t="shared" si="42"/>
        <v>4</v>
      </c>
      <c r="Z330" s="22"/>
      <c r="AA330" s="157">
        <f t="shared" si="43"/>
        <v>4</v>
      </c>
      <c r="AB330" s="20"/>
      <c r="AC330" s="34"/>
      <c r="AD330" s="23" t="str">
        <f t="shared" si="44"/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t="shared" ca="1" si="40"/>
        <v>29.800000000000011</v>
      </c>
      <c r="N331" s="20" t="s">
        <v>900</v>
      </c>
      <c r="O331" s="20"/>
      <c r="P331" s="20"/>
      <c r="Q331" s="134"/>
      <c r="R331" s="127"/>
      <c r="S331" s="157">
        <f t="shared" si="41"/>
        <v>2.5</v>
      </c>
      <c r="T331" s="158"/>
      <c r="U331" s="21">
        <v>0</v>
      </c>
      <c r="V331" s="21">
        <v>1</v>
      </c>
      <c r="W331" s="21">
        <v>0</v>
      </c>
      <c r="X331" s="156">
        <v>2.5</v>
      </c>
      <c r="Y331" s="157">
        <f t="shared" si="42"/>
        <v>2.5</v>
      </c>
      <c r="Z331" s="22"/>
      <c r="AA331" s="157">
        <f t="shared" si="43"/>
        <v>2.5</v>
      </c>
      <c r="AB331" s="20"/>
      <c r="AC331" s="34"/>
      <c r="AD331" s="23" t="str">
        <f t="shared" si="44"/>
        <v/>
      </c>
    </row>
    <row r="332" spans="1:30" ht="15.5" hidden="1" outlineLevel="2" x14ac:dyDescent="0.35">
      <c r="A332" s="86" t="s">
        <v>0</v>
      </c>
      <c r="B332" s="18"/>
      <c r="C332" s="78"/>
      <c r="D332" s="78"/>
      <c r="E332" s="78"/>
      <c r="F332" s="79"/>
      <c r="G332" s="19" t="s">
        <v>23</v>
      </c>
      <c r="H332" s="19" t="s">
        <v>23</v>
      </c>
      <c r="I332" s="20" t="s">
        <v>23</v>
      </c>
      <c r="J332" s="19" t="s">
        <v>23</v>
      </c>
      <c r="K332" s="35"/>
      <c r="L332" s="19"/>
      <c r="M332" s="263">
        <f t="shared" ca="1" si="40"/>
        <v>29.900000000000013</v>
      </c>
      <c r="N332" s="20" t="s">
        <v>901</v>
      </c>
      <c r="O332" s="20"/>
      <c r="P332" s="20"/>
      <c r="Q332" s="134"/>
      <c r="R332" s="127"/>
      <c r="S332" s="157">
        <f t="shared" si="41"/>
        <v>3</v>
      </c>
      <c r="T332" s="158"/>
      <c r="U332" s="21">
        <v>0</v>
      </c>
      <c r="V332" s="21">
        <v>1</v>
      </c>
      <c r="W332" s="21">
        <v>0</v>
      </c>
      <c r="X332" s="156">
        <v>3</v>
      </c>
      <c r="Y332" s="157">
        <f t="shared" si="42"/>
        <v>3</v>
      </c>
      <c r="Z332" s="22"/>
      <c r="AA332" s="157">
        <f t="shared" si="43"/>
        <v>3</v>
      </c>
      <c r="AB332" s="20"/>
      <c r="AC332" s="34"/>
      <c r="AD332" s="23" t="str">
        <f t="shared" si="44"/>
        <v/>
      </c>
    </row>
    <row r="333" spans="1:30" ht="15.5" hidden="1" outlineLevel="2" x14ac:dyDescent="0.35">
      <c r="A333" s="86" t="s">
        <v>0</v>
      </c>
      <c r="B333" s="18"/>
      <c r="C333" s="78"/>
      <c r="D333" s="78"/>
      <c r="E333" s="78"/>
      <c r="F333" s="79"/>
      <c r="G333" s="19" t="s">
        <v>23</v>
      </c>
      <c r="H333" s="19" t="s">
        <v>23</v>
      </c>
      <c r="I333" s="20" t="s">
        <v>23</v>
      </c>
      <c r="J333" s="19" t="s">
        <v>23</v>
      </c>
      <c r="K333" s="35"/>
      <c r="L333" s="19"/>
      <c r="M333" s="263">
        <f t="shared" ca="1" si="40"/>
        <v>30.000000000000014</v>
      </c>
      <c r="N333" s="20" t="s">
        <v>902</v>
      </c>
      <c r="O333" s="20"/>
      <c r="P333" s="20"/>
      <c r="Q333" s="134"/>
      <c r="R333" s="127"/>
      <c r="S333" s="157">
        <f t="shared" si="41"/>
        <v>3.5</v>
      </c>
      <c r="T333" s="158"/>
      <c r="U333" s="21">
        <v>0</v>
      </c>
      <c r="V333" s="21">
        <v>1</v>
      </c>
      <c r="W333" s="21">
        <v>0</v>
      </c>
      <c r="X333" s="156">
        <v>3.5</v>
      </c>
      <c r="Y333" s="157">
        <f t="shared" si="42"/>
        <v>3.5</v>
      </c>
      <c r="Z333" s="22"/>
      <c r="AA333" s="157">
        <f t="shared" si="43"/>
        <v>3.5</v>
      </c>
      <c r="AB333" s="20"/>
      <c r="AC333" s="34"/>
      <c r="AD333" s="23" t="str">
        <f t="shared" si="44"/>
        <v/>
      </c>
    </row>
    <row r="334" spans="1:30" s="9" customFormat="1" ht="7.5" hidden="1" customHeight="1" outlineLevel="2" x14ac:dyDescent="0.35">
      <c r="A334" s="86" t="s">
        <v>132</v>
      </c>
      <c r="B334" s="15"/>
      <c r="C334" s="72"/>
      <c r="D334" s="72"/>
      <c r="E334" s="72"/>
      <c r="F334" s="72"/>
      <c r="M334" s="252"/>
      <c r="T334" s="15"/>
      <c r="X334" s="15"/>
      <c r="AB334" s="10"/>
      <c r="AC334" s="10"/>
      <c r="AD334" s="10"/>
    </row>
    <row r="335" spans="1:30" s="14" customFormat="1" ht="15.5" outlineLevel="1" collapsed="1" x14ac:dyDescent="0.35">
      <c r="A335" s="86" t="s">
        <v>100</v>
      </c>
      <c r="B335" s="18"/>
      <c r="C335" s="77"/>
      <c r="D335" s="77"/>
      <c r="E335" s="77"/>
      <c r="F335" s="76"/>
      <c r="G335" s="29"/>
      <c r="H335" s="29"/>
      <c r="I335" s="29"/>
      <c r="J335" s="29"/>
      <c r="K335" s="29"/>
      <c r="L335" s="17">
        <f ca="1">LOOKUP(1000,INDIRECT("L1:"&amp;CELL("address",INDIRECT("R[-1]C",FALSE))))+1</f>
        <v>30</v>
      </c>
      <c r="M335" s="303" t="s">
        <v>1145</v>
      </c>
      <c r="N335" s="303"/>
      <c r="O335" s="5"/>
      <c r="P335" s="30"/>
      <c r="Q335" s="30"/>
      <c r="R335" s="30"/>
      <c r="S335" s="30"/>
      <c r="T335" s="155">
        <f>IF($S$6="Exclude", SUMIFS(S336:S345, J336:J345, "&lt;&gt;Yes", G336:G345, "&lt;&gt;Yes"), SUMIFS(S336:S345, J336:J345, "&lt;&gt;Yes"))</f>
        <v>28</v>
      </c>
      <c r="U335" s="30"/>
      <c r="V335" s="30"/>
      <c r="W335" s="30"/>
      <c r="X335" s="31"/>
      <c r="Y335" s="32"/>
      <c r="Z335" s="32"/>
      <c r="AA335" s="32"/>
      <c r="AB335" s="219" t="s">
        <v>976</v>
      </c>
      <c r="AC335" s="33"/>
      <c r="AD335" s="23" t="str">
        <f>IF(M335="", "Error: Task name cannot be empty.", "")</f>
        <v/>
      </c>
    </row>
    <row r="336" spans="1:30" s="12" customFormat="1" ht="1.5" hidden="1" customHeight="1" outlineLevel="2" x14ac:dyDescent="0.35">
      <c r="A336" s="86" t="s">
        <v>101</v>
      </c>
      <c r="B336" s="18"/>
      <c r="C336" s="77"/>
      <c r="D336" s="77"/>
      <c r="E336" s="77"/>
      <c r="F336" s="76"/>
      <c r="G336" s="29"/>
      <c r="H336" s="29"/>
      <c r="I336" s="29"/>
      <c r="J336" s="29"/>
      <c r="K336" s="29"/>
      <c r="L336" s="163">
        <f ca="1">L335</f>
        <v>30</v>
      </c>
      <c r="M336" s="164" t="s">
        <v>105</v>
      </c>
      <c r="N336" s="161"/>
      <c r="O336" s="162"/>
      <c r="P336" s="30"/>
      <c r="Q336" s="30"/>
      <c r="R336" s="30"/>
      <c r="S336" s="30"/>
      <c r="T336" s="155"/>
      <c r="U336" s="30"/>
      <c r="V336" s="30"/>
      <c r="W336" s="30"/>
      <c r="X336" s="31"/>
      <c r="Y336" s="32"/>
      <c r="Z336" s="32"/>
      <c r="AA336" s="32"/>
      <c r="AB336" s="33"/>
      <c r="AC336" s="33"/>
      <c r="AD336" s="23"/>
    </row>
    <row r="337" spans="1:30" ht="15.5" hidden="1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 t="str">
        <f t="shared" ref="M337:M344" ca="1" si="45">IFERROR(OFFSET(M337,-1,,1,1)+0.1,OFFSET(M337,-1,-1,1,1)&amp;".1")</f>
        <v>30.1</v>
      </c>
      <c r="N337" s="20" t="s">
        <v>903</v>
      </c>
      <c r="O337" s="20"/>
      <c r="P337" s="20"/>
      <c r="Q337" s="134"/>
      <c r="R337" s="127"/>
      <c r="S337" s="157">
        <f t="shared" ref="S337:S344" si="46">CEILING((IF(J337="Yes", 0, IF(H337="-",AA337,AA337+AA337*VLOOKUP(H337,BUFFERS_BY_TYPE,2,FALSE)))) +
   (IF(J337="Yes", 0, IF(H337="-",AA337,AA337+AA337*VLOOKUP(H337,BUFFERS_BY_TYPE,2,FALSE))))*VLOOKUP($S$5, SALES_CALL_SCALE_ARRAY, 2,FALSE),0.25)</f>
        <v>4</v>
      </c>
      <c r="T337" s="158"/>
      <c r="U337" s="21">
        <v>0</v>
      </c>
      <c r="V337" s="21">
        <v>1</v>
      </c>
      <c r="W337" s="21">
        <v>0</v>
      </c>
      <c r="X337" s="156">
        <v>4</v>
      </c>
      <c r="Y337" s="157">
        <f t="shared" ref="Y337:Y344" si="47"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4</v>
      </c>
      <c r="Z337" s="22"/>
      <c r="AA337" s="157">
        <f t="shared" ref="AA337:AA344" si="48">Y337+Y337*VLOOKUP(I337,EXTRAS_ARRAY,2,FALSE)</f>
        <v>4</v>
      </c>
      <c r="AB337" s="20"/>
      <c r="AC337" s="34"/>
      <c r="AD337" s="23" t="str">
        <f t="shared" ref="AD337:AD344" si="49"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ht="15.5" hidden="1" outlineLevel="2" x14ac:dyDescent="0.35">
      <c r="A338" s="86" t="s">
        <v>0</v>
      </c>
      <c r="B338" s="18"/>
      <c r="C338" s="78"/>
      <c r="D338" s="78"/>
      <c r="E338" s="78"/>
      <c r="F338" s="79"/>
      <c r="G338" s="19" t="s">
        <v>23</v>
      </c>
      <c r="H338" s="19" t="s">
        <v>23</v>
      </c>
      <c r="I338" s="20" t="s">
        <v>23</v>
      </c>
      <c r="J338" s="19" t="s">
        <v>23</v>
      </c>
      <c r="K338" s="35"/>
      <c r="L338" s="19"/>
      <c r="M338" s="263">
        <f t="shared" ca="1" si="45"/>
        <v>30.200000000000003</v>
      </c>
      <c r="N338" s="20" t="s">
        <v>904</v>
      </c>
      <c r="O338" s="20"/>
      <c r="P338" s="20"/>
      <c r="Q338" s="134"/>
      <c r="R338" s="127"/>
      <c r="S338" s="157">
        <f t="shared" si="46"/>
        <v>4</v>
      </c>
      <c r="T338" s="158"/>
      <c r="U338" s="21">
        <v>0</v>
      </c>
      <c r="V338" s="21">
        <v>1</v>
      </c>
      <c r="W338" s="21">
        <v>0</v>
      </c>
      <c r="X338" s="156">
        <v>4</v>
      </c>
      <c r="Y338" s="157">
        <f t="shared" si="47"/>
        <v>4</v>
      </c>
      <c r="Z338" s="22"/>
      <c r="AA338" s="157">
        <f t="shared" si="48"/>
        <v>4</v>
      </c>
      <c r="AB338" s="20"/>
      <c r="AC338" s="34"/>
      <c r="AD338" s="23" t="str">
        <f t="shared" si="49"/>
        <v/>
      </c>
    </row>
    <row r="339" spans="1:30" ht="15.5" hidden="1" outlineLevel="2" x14ac:dyDescent="0.35">
      <c r="A339" s="86" t="s">
        <v>0</v>
      </c>
      <c r="B339" s="18"/>
      <c r="C339" s="78"/>
      <c r="D339" s="78"/>
      <c r="E339" s="78"/>
      <c r="F339" s="79"/>
      <c r="G339" s="19" t="s">
        <v>23</v>
      </c>
      <c r="H339" s="19" t="s">
        <v>23</v>
      </c>
      <c r="I339" s="20" t="s">
        <v>23</v>
      </c>
      <c r="J339" s="19" t="s">
        <v>23</v>
      </c>
      <c r="K339" s="35"/>
      <c r="L339" s="19"/>
      <c r="M339" s="263">
        <f t="shared" ca="1" si="45"/>
        <v>30.300000000000004</v>
      </c>
      <c r="N339" s="20" t="s">
        <v>905</v>
      </c>
      <c r="O339" s="20"/>
      <c r="P339" s="20"/>
      <c r="Q339" s="134"/>
      <c r="R339" s="127"/>
      <c r="S339" s="157">
        <f t="shared" si="46"/>
        <v>3</v>
      </c>
      <c r="T339" s="158"/>
      <c r="U339" s="21">
        <v>0</v>
      </c>
      <c r="V339" s="21">
        <v>1</v>
      </c>
      <c r="W339" s="21">
        <v>0</v>
      </c>
      <c r="X339" s="156">
        <v>3</v>
      </c>
      <c r="Y339" s="157">
        <f t="shared" si="47"/>
        <v>3</v>
      </c>
      <c r="Z339" s="22"/>
      <c r="AA339" s="157">
        <f t="shared" si="48"/>
        <v>3</v>
      </c>
      <c r="AB339" s="20"/>
      <c r="AC339" s="34"/>
      <c r="AD339" s="23" t="str">
        <f t="shared" si="49"/>
        <v/>
      </c>
    </row>
    <row r="340" spans="1:30" ht="15.5" hidden="1" outlineLevel="2" x14ac:dyDescent="0.35">
      <c r="A340" s="86" t="s">
        <v>0</v>
      </c>
      <c r="B340" s="18"/>
      <c r="C340" s="78"/>
      <c r="D340" s="78"/>
      <c r="E340" s="78"/>
      <c r="F340" s="79"/>
      <c r="G340" s="19" t="s">
        <v>23</v>
      </c>
      <c r="H340" s="19" t="s">
        <v>23</v>
      </c>
      <c r="I340" s="20" t="s">
        <v>23</v>
      </c>
      <c r="J340" s="19" t="s">
        <v>23</v>
      </c>
      <c r="K340" s="35"/>
      <c r="L340" s="19"/>
      <c r="M340" s="263">
        <f t="shared" ca="1" si="45"/>
        <v>30.400000000000006</v>
      </c>
      <c r="N340" s="20" t="s">
        <v>906</v>
      </c>
      <c r="O340" s="20"/>
      <c r="P340" s="20"/>
      <c r="Q340" s="134"/>
      <c r="R340" s="127"/>
      <c r="S340" s="157">
        <f t="shared" si="46"/>
        <v>4</v>
      </c>
      <c r="T340" s="158"/>
      <c r="U340" s="21">
        <v>0</v>
      </c>
      <c r="V340" s="21">
        <v>1</v>
      </c>
      <c r="W340" s="21">
        <v>0</v>
      </c>
      <c r="X340" s="156">
        <v>4</v>
      </c>
      <c r="Y340" s="157">
        <f t="shared" si="47"/>
        <v>4</v>
      </c>
      <c r="Z340" s="22"/>
      <c r="AA340" s="157">
        <f t="shared" si="48"/>
        <v>4</v>
      </c>
      <c r="AB340" s="20"/>
      <c r="AC340" s="34"/>
      <c r="AD340" s="23" t="str">
        <f t="shared" si="49"/>
        <v/>
      </c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>
        <f t="shared" ca="1" si="45"/>
        <v>30.500000000000007</v>
      </c>
      <c r="N341" s="20" t="s">
        <v>907</v>
      </c>
      <c r="O341" s="20"/>
      <c r="P341" s="20"/>
      <c r="Q341" s="134"/>
      <c r="R341" s="127"/>
      <c r="S341" s="157">
        <f t="shared" si="46"/>
        <v>3.5</v>
      </c>
      <c r="T341" s="158"/>
      <c r="U341" s="21">
        <v>0</v>
      </c>
      <c r="V341" s="21">
        <v>1</v>
      </c>
      <c r="W341" s="21">
        <v>0</v>
      </c>
      <c r="X341" s="156">
        <v>3.5</v>
      </c>
      <c r="Y341" s="157">
        <f t="shared" si="47"/>
        <v>3.5</v>
      </c>
      <c r="Z341" s="22"/>
      <c r="AA341" s="157">
        <f t="shared" si="48"/>
        <v>3.5</v>
      </c>
      <c r="AB341" s="20"/>
      <c r="AC341" s="34"/>
      <c r="AD341" s="23" t="str">
        <f t="shared" si="49"/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t="shared" ca="1" si="45"/>
        <v>30.600000000000009</v>
      </c>
      <c r="N342" s="20" t="s">
        <v>908</v>
      </c>
      <c r="O342" s="20"/>
      <c r="P342" s="20"/>
      <c r="Q342" s="134"/>
      <c r="R342" s="127"/>
      <c r="S342" s="157">
        <f t="shared" si="46"/>
        <v>4</v>
      </c>
      <c r="T342" s="158"/>
      <c r="U342" s="21">
        <v>0</v>
      </c>
      <c r="V342" s="21">
        <v>1</v>
      </c>
      <c r="W342" s="21">
        <v>0</v>
      </c>
      <c r="X342" s="156">
        <v>4</v>
      </c>
      <c r="Y342" s="157">
        <f t="shared" si="47"/>
        <v>4</v>
      </c>
      <c r="Z342" s="22"/>
      <c r="AA342" s="157">
        <f t="shared" si="48"/>
        <v>4</v>
      </c>
      <c r="AB342" s="20"/>
      <c r="AC342" s="34"/>
      <c r="AD342" s="23" t="str">
        <f t="shared" si="49"/>
        <v/>
      </c>
    </row>
    <row r="343" spans="1:30" ht="15.5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t="shared" ca="1" si="45"/>
        <v>30.70000000000001</v>
      </c>
      <c r="N343" s="20" t="s">
        <v>909</v>
      </c>
      <c r="O343" s="20"/>
      <c r="P343" s="20"/>
      <c r="Q343" s="134"/>
      <c r="R343" s="127"/>
      <c r="S343" s="157">
        <f t="shared" si="46"/>
        <v>2.5</v>
      </c>
      <c r="T343" s="158"/>
      <c r="U343" s="21">
        <v>0</v>
      </c>
      <c r="V343" s="21">
        <v>1</v>
      </c>
      <c r="W343" s="21">
        <v>0</v>
      </c>
      <c r="X343" s="156">
        <v>2.5</v>
      </c>
      <c r="Y343" s="157">
        <f t="shared" si="47"/>
        <v>2.5</v>
      </c>
      <c r="Z343" s="22"/>
      <c r="AA343" s="157">
        <f t="shared" si="48"/>
        <v>2.5</v>
      </c>
      <c r="AB343" s="20"/>
      <c r="AC343" s="34"/>
      <c r="AD343" s="23" t="str">
        <f t="shared" si="49"/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t="shared" ca="1" si="45"/>
        <v>30.800000000000011</v>
      </c>
      <c r="N344" s="20" t="s">
        <v>910</v>
      </c>
      <c r="O344" s="20"/>
      <c r="P344" s="20"/>
      <c r="Q344" s="134"/>
      <c r="R344" s="127"/>
      <c r="S344" s="157">
        <f t="shared" si="46"/>
        <v>3</v>
      </c>
      <c r="T344" s="158"/>
      <c r="U344" s="21">
        <v>0</v>
      </c>
      <c r="V344" s="21">
        <v>1</v>
      </c>
      <c r="W344" s="21">
        <v>0</v>
      </c>
      <c r="X344" s="156">
        <v>3</v>
      </c>
      <c r="Y344" s="157">
        <f t="shared" si="47"/>
        <v>3</v>
      </c>
      <c r="Z344" s="22"/>
      <c r="AA344" s="157">
        <f t="shared" si="48"/>
        <v>3</v>
      </c>
      <c r="AB344" s="20"/>
      <c r="AC344" s="34"/>
      <c r="AD344" s="23" t="str">
        <f t="shared" si="49"/>
        <v/>
      </c>
    </row>
    <row r="345" spans="1:30" s="9" customFormat="1" ht="7.5" hidden="1" customHeight="1" outlineLevel="2" x14ac:dyDescent="0.35">
      <c r="A345" s="86" t="s">
        <v>132</v>
      </c>
      <c r="B345" s="15"/>
      <c r="C345" s="72"/>
      <c r="D345" s="72"/>
      <c r="E345" s="72"/>
      <c r="F345" s="72"/>
      <c r="M345" s="252"/>
      <c r="T345" s="15"/>
      <c r="X345" s="15"/>
      <c r="AB345" s="10"/>
      <c r="AC345" s="10"/>
      <c r="AD345" s="10"/>
    </row>
    <row r="346" spans="1:30" s="14" customFormat="1" ht="15.5" outlineLevel="1" collapsed="1" x14ac:dyDescent="0.35">
      <c r="A346" s="86" t="s">
        <v>100</v>
      </c>
      <c r="B346" s="18"/>
      <c r="C346" s="77"/>
      <c r="D346" s="77"/>
      <c r="E346" s="77"/>
      <c r="F346" s="76"/>
      <c r="G346" s="29"/>
      <c r="H346" s="29"/>
      <c r="I346" s="29"/>
      <c r="J346" s="29"/>
      <c r="K346" s="29"/>
      <c r="L346" s="17">
        <f ca="1">LOOKUP(1000,INDIRECT("L1:"&amp;CELL("address",INDIRECT("R[-1]C",FALSE))))+1</f>
        <v>31</v>
      </c>
      <c r="M346" s="303" t="s">
        <v>1146</v>
      </c>
      <c r="N346" s="303"/>
      <c r="O346" s="5"/>
      <c r="P346" s="30"/>
      <c r="Q346" s="30"/>
      <c r="R346" s="30"/>
      <c r="S346" s="30"/>
      <c r="T346" s="155">
        <f>IF($S$6="Exclude", SUMIFS(S347:S354, J347:J354, "&lt;&gt;Yes", G347:G354, "&lt;&gt;Yes"), SUMIFS(S347:S354, J347:J354, "&lt;&gt;Yes"))</f>
        <v>18</v>
      </c>
      <c r="U346" s="30"/>
      <c r="V346" s="30"/>
      <c r="W346" s="30"/>
      <c r="X346" s="31"/>
      <c r="Y346" s="32"/>
      <c r="Z346" s="32"/>
      <c r="AA346" s="32"/>
      <c r="AB346" s="219" t="s">
        <v>977</v>
      </c>
      <c r="AC346" s="33"/>
      <c r="AD346" s="23" t="str">
        <f>IF(M346="", "Error: Task name cannot be empty.", "")</f>
        <v/>
      </c>
    </row>
    <row r="347" spans="1:30" s="12" customFormat="1" ht="1.5" hidden="1" customHeight="1" outlineLevel="2" x14ac:dyDescent="0.35">
      <c r="A347" s="86" t="s">
        <v>101</v>
      </c>
      <c r="B347" s="18"/>
      <c r="C347" s="77"/>
      <c r="D347" s="77"/>
      <c r="E347" s="77"/>
      <c r="F347" s="76"/>
      <c r="G347" s="29"/>
      <c r="H347" s="29"/>
      <c r="I347" s="29"/>
      <c r="J347" s="29"/>
      <c r="K347" s="29"/>
      <c r="L347" s="163">
        <f ca="1">L346</f>
        <v>31</v>
      </c>
      <c r="M347" s="164" t="s">
        <v>105</v>
      </c>
      <c r="N347" s="161"/>
      <c r="O347" s="162"/>
      <c r="P347" s="30"/>
      <c r="Q347" s="30"/>
      <c r="R347" s="30"/>
      <c r="S347" s="30"/>
      <c r="T347" s="155"/>
      <c r="U347" s="30"/>
      <c r="V347" s="30"/>
      <c r="W347" s="30"/>
      <c r="X347" s="31"/>
      <c r="Y347" s="32"/>
      <c r="Z347" s="32"/>
      <c r="AA347" s="32"/>
      <c r="AB347" s="33"/>
      <c r="AC347" s="33"/>
      <c r="AD347" s="23"/>
    </row>
    <row r="348" spans="1:30" ht="15.5" hidden="1" outlineLevel="2" x14ac:dyDescent="0.35">
      <c r="A348" s="86" t="s">
        <v>0</v>
      </c>
      <c r="B348" s="18"/>
      <c r="C348" s="78"/>
      <c r="D348" s="78"/>
      <c r="E348" s="78"/>
      <c r="F348" s="79"/>
      <c r="G348" s="19" t="s">
        <v>23</v>
      </c>
      <c r="H348" s="19" t="s">
        <v>23</v>
      </c>
      <c r="I348" s="20" t="s">
        <v>23</v>
      </c>
      <c r="J348" s="19" t="s">
        <v>23</v>
      </c>
      <c r="K348" s="35"/>
      <c r="L348" s="19"/>
      <c r="M348" s="263" t="str">
        <f t="shared" ref="M348:M353" ca="1" si="50">IFERROR(OFFSET(M348,-1,,1,1)+0.1,OFFSET(M348,-1,-1,1,1)&amp;".1")</f>
        <v>31.1</v>
      </c>
      <c r="N348" s="20" t="s">
        <v>911</v>
      </c>
      <c r="O348" s="20"/>
      <c r="P348" s="20"/>
      <c r="Q348" s="134"/>
      <c r="R348" s="127"/>
      <c r="S348" s="157">
        <f t="shared" ref="S348:S353" si="51">CEILING((IF(J348="Yes", 0, IF(H348="-",AA348,AA348+AA348*VLOOKUP(H348,BUFFERS_BY_TYPE,2,FALSE)))) +
   (IF(J348="Yes", 0, IF(H348="-",AA348,AA348+AA348*VLOOKUP(H348,BUFFERS_BY_TYPE,2,FALSE))))*VLOOKUP($S$5, SALES_CALL_SCALE_ARRAY, 2,FALSE),0.25)</f>
        <v>2</v>
      </c>
      <c r="T348" s="158"/>
      <c r="U348" s="21">
        <v>0</v>
      </c>
      <c r="V348" s="21">
        <v>1</v>
      </c>
      <c r="W348" s="21">
        <v>0</v>
      </c>
      <c r="X348" s="156">
        <v>2</v>
      </c>
      <c r="Y348" s="157">
        <f t="shared" ref="Y348:Y353" si="52">CEILING((IF(P348=AS_DEV_EFFORT, DEV_EFFORT*Q348%,
                           IF(P348=AS_DURATION_EFFORT, (MANUAL_DURATION*5)*Q348%,
                                    (IF(Q348&lt;=1,X348,
                                          IF(SUM(U348:W348)=0,(Q348*X348),
                                               (((Q348*U348)*(X348+(X348*EXTRA_FOR_H)))+
                                               ((Q348*V348)*X348)+
                                               ((Q348*W348)*(X348-(X348*LESS_FOR_L)))
                                    )*IF(R348=0,1,R348))))))+Z348), 0.25)</f>
        <v>2</v>
      </c>
      <c r="Z348" s="22"/>
      <c r="AA348" s="157">
        <f t="shared" ref="AA348:AA353" si="53">Y348+Y348*VLOOKUP(I348,EXTRAS_ARRAY,2,FALSE)</f>
        <v>2</v>
      </c>
      <c r="AB348" s="20"/>
      <c r="AC348" s="34"/>
      <c r="AD348" s="23" t="str">
        <f t="shared" ref="AD348:AD353" si="54">IF(J348&lt;&gt;"Yes",
IF(S348&lt;=0,"Error: Effort value is not defined or is invalid.",
IF(AND(SUM(U348:W348)&gt;0,SUM(U348:W348)&lt;&gt;1),"Error: Complexity % distribution should sum to 100%.",
IF(AND(P348=AS_DEV_EFFORT,X348&lt;&gt;0),"Error: PDs should not be defined when defining as dev effort %.",
IF(AND(P348=AS_DURATION_EFFORT,X348&lt;&gt;0),"Error: PDs should not be defined when defining as duration effort %.","")))))</f>
        <v/>
      </c>
    </row>
    <row r="349" spans="1:30" ht="15.5" hidden="1" outlineLevel="2" x14ac:dyDescent="0.35">
      <c r="A349" s="86" t="s">
        <v>0</v>
      </c>
      <c r="B349" s="18"/>
      <c r="C349" s="78"/>
      <c r="D349" s="78"/>
      <c r="E349" s="78"/>
      <c r="F349" s="79"/>
      <c r="G349" s="19" t="s">
        <v>23</v>
      </c>
      <c r="H349" s="19" t="s">
        <v>23</v>
      </c>
      <c r="I349" s="20" t="s">
        <v>23</v>
      </c>
      <c r="J349" s="19" t="s">
        <v>23</v>
      </c>
      <c r="K349" s="35"/>
      <c r="L349" s="19"/>
      <c r="M349" s="263">
        <f t="shared" ca="1" si="50"/>
        <v>31.200000000000003</v>
      </c>
      <c r="N349" s="20" t="s">
        <v>912</v>
      </c>
      <c r="O349" s="20"/>
      <c r="P349" s="20"/>
      <c r="Q349" s="134"/>
      <c r="R349" s="127"/>
      <c r="S349" s="157">
        <f t="shared" si="51"/>
        <v>2.5</v>
      </c>
      <c r="T349" s="158"/>
      <c r="U349" s="21">
        <v>0</v>
      </c>
      <c r="V349" s="21">
        <v>1</v>
      </c>
      <c r="W349" s="21">
        <v>0</v>
      </c>
      <c r="X349" s="156">
        <v>2.5</v>
      </c>
      <c r="Y349" s="157">
        <f t="shared" si="52"/>
        <v>2.5</v>
      </c>
      <c r="Z349" s="22"/>
      <c r="AA349" s="157">
        <f t="shared" si="53"/>
        <v>2.5</v>
      </c>
      <c r="AB349" s="20"/>
      <c r="AC349" s="34"/>
      <c r="AD349" s="23" t="str">
        <f t="shared" si="54"/>
        <v/>
      </c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>
        <f t="shared" ca="1" si="50"/>
        <v>31.300000000000004</v>
      </c>
      <c r="N350" s="20" t="s">
        <v>913</v>
      </c>
      <c r="O350" s="20"/>
      <c r="P350" s="20"/>
      <c r="Q350" s="134"/>
      <c r="R350" s="127"/>
      <c r="S350" s="157">
        <f t="shared" si="51"/>
        <v>3.5</v>
      </c>
      <c r="T350" s="158"/>
      <c r="U350" s="21">
        <v>0</v>
      </c>
      <c r="V350" s="21">
        <v>1</v>
      </c>
      <c r="W350" s="21">
        <v>0</v>
      </c>
      <c r="X350" s="156">
        <v>3.5</v>
      </c>
      <c r="Y350" s="157">
        <f t="shared" si="52"/>
        <v>3.5</v>
      </c>
      <c r="Z350" s="22"/>
      <c r="AA350" s="157">
        <f t="shared" si="53"/>
        <v>3.5</v>
      </c>
      <c r="AB350" s="20"/>
      <c r="AC350" s="34"/>
      <c r="AD350" s="23" t="str">
        <f t="shared" si="54"/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t="shared" ca="1" si="50"/>
        <v>31.400000000000006</v>
      </c>
      <c r="N351" s="20" t="s">
        <v>914</v>
      </c>
      <c r="O351" s="20"/>
      <c r="P351" s="20"/>
      <c r="Q351" s="134"/>
      <c r="R351" s="127"/>
      <c r="S351" s="157">
        <f t="shared" si="51"/>
        <v>3</v>
      </c>
      <c r="T351" s="158"/>
      <c r="U351" s="21">
        <v>0</v>
      </c>
      <c r="V351" s="21">
        <v>1</v>
      </c>
      <c r="W351" s="21">
        <v>0</v>
      </c>
      <c r="X351" s="156">
        <v>3</v>
      </c>
      <c r="Y351" s="157">
        <f t="shared" si="52"/>
        <v>3</v>
      </c>
      <c r="Z351" s="22"/>
      <c r="AA351" s="157">
        <f t="shared" si="53"/>
        <v>3</v>
      </c>
      <c r="AB351" s="20"/>
      <c r="AC351" s="34"/>
      <c r="AD351" s="23" t="str">
        <f t="shared" si="54"/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t="shared" ca="1" si="50"/>
        <v>31.500000000000007</v>
      </c>
      <c r="N352" s="20" t="s">
        <v>915</v>
      </c>
      <c r="O352" s="20"/>
      <c r="P352" s="20"/>
      <c r="Q352" s="134"/>
      <c r="R352" s="127"/>
      <c r="S352" s="157">
        <f t="shared" si="51"/>
        <v>3.5</v>
      </c>
      <c r="T352" s="158"/>
      <c r="U352" s="21">
        <v>0</v>
      </c>
      <c r="V352" s="21">
        <v>1</v>
      </c>
      <c r="W352" s="21">
        <v>0</v>
      </c>
      <c r="X352" s="156">
        <v>3.5</v>
      </c>
      <c r="Y352" s="157">
        <f t="shared" si="52"/>
        <v>3.5</v>
      </c>
      <c r="Z352" s="22"/>
      <c r="AA352" s="157">
        <f t="shared" si="53"/>
        <v>3.5</v>
      </c>
      <c r="AB352" s="20"/>
      <c r="AC352" s="34"/>
      <c r="AD352" s="23" t="str">
        <f t="shared" si="54"/>
        <v/>
      </c>
    </row>
    <row r="353" spans="1:30" ht="15.5" hidden="1" outlineLevel="2" x14ac:dyDescent="0.35">
      <c r="A353" s="86" t="s">
        <v>0</v>
      </c>
      <c r="B353" s="18"/>
      <c r="C353" s="78"/>
      <c r="D353" s="78"/>
      <c r="E353" s="78"/>
      <c r="F353" s="79"/>
      <c r="G353" s="19" t="s">
        <v>23</v>
      </c>
      <c r="H353" s="19" t="s">
        <v>23</v>
      </c>
      <c r="I353" s="20" t="s">
        <v>23</v>
      </c>
      <c r="J353" s="19" t="s">
        <v>23</v>
      </c>
      <c r="K353" s="35"/>
      <c r="L353" s="19"/>
      <c r="M353" s="263">
        <f t="shared" ca="1" si="50"/>
        <v>31.600000000000009</v>
      </c>
      <c r="N353" s="20" t="s">
        <v>916</v>
      </c>
      <c r="O353" s="20"/>
      <c r="P353" s="20"/>
      <c r="Q353" s="134"/>
      <c r="R353" s="127"/>
      <c r="S353" s="157">
        <f t="shared" si="51"/>
        <v>3.5</v>
      </c>
      <c r="T353" s="158"/>
      <c r="U353" s="21">
        <v>0</v>
      </c>
      <c r="V353" s="21">
        <v>1</v>
      </c>
      <c r="W353" s="21">
        <v>0</v>
      </c>
      <c r="X353" s="156">
        <v>3.5</v>
      </c>
      <c r="Y353" s="157">
        <f t="shared" si="52"/>
        <v>3.5</v>
      </c>
      <c r="Z353" s="22"/>
      <c r="AA353" s="157">
        <f t="shared" si="53"/>
        <v>3.5</v>
      </c>
      <c r="AB353" s="20"/>
      <c r="AC353" s="34"/>
      <c r="AD353" s="23" t="str">
        <f t="shared" si="54"/>
        <v/>
      </c>
    </row>
    <row r="354" spans="1:30" s="9" customFormat="1" ht="7.5" hidden="1" customHeight="1" outlineLevel="2" x14ac:dyDescent="0.35">
      <c r="A354" s="86" t="s">
        <v>132</v>
      </c>
      <c r="B354" s="15"/>
      <c r="C354" s="72"/>
      <c r="D354" s="72"/>
      <c r="E354" s="72"/>
      <c r="F354" s="72"/>
      <c r="M354" s="252"/>
      <c r="T354" s="15"/>
      <c r="X354" s="15"/>
      <c r="AB354" s="10"/>
      <c r="AC354" s="10"/>
      <c r="AD354" s="10"/>
    </row>
    <row r="355" spans="1:30" s="14" customFormat="1" ht="15.5" outlineLevel="1" collapsed="1" x14ac:dyDescent="0.35">
      <c r="A355" s="86" t="s">
        <v>100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7">
        <f ca="1">LOOKUP(1000,INDIRECT("L1:"&amp;CELL("address",INDIRECT("R[-1]C",FALSE))))+1</f>
        <v>32</v>
      </c>
      <c r="M355" s="303" t="s">
        <v>1147</v>
      </c>
      <c r="N355" s="303"/>
      <c r="O355" s="5"/>
      <c r="P355" s="30"/>
      <c r="Q355" s="30"/>
      <c r="R355" s="30"/>
      <c r="S355" s="30"/>
      <c r="T355" s="155">
        <f>IF($S$6="Exclude", SUMIFS(S356:S362, J356:J362, "&lt;&gt;Yes", G356:G362, "&lt;&gt;Yes"), SUMIFS(S356:S362, J356:J362, "&lt;&gt;Yes"))</f>
        <v>15</v>
      </c>
      <c r="U355" s="30"/>
      <c r="V355" s="30"/>
      <c r="W355" s="30"/>
      <c r="X355" s="31"/>
      <c r="Y355" s="32"/>
      <c r="Z355" s="32"/>
      <c r="AA355" s="32"/>
      <c r="AB355" s="219" t="s">
        <v>978</v>
      </c>
      <c r="AC355" s="33"/>
      <c r="AD355" s="23" t="str">
        <f>IF(M355="", "Error: Task name cannot be empty.", "")</f>
        <v/>
      </c>
    </row>
    <row r="356" spans="1:30" s="12" customFormat="1" ht="1.5" hidden="1" customHeight="1" outlineLevel="2" x14ac:dyDescent="0.35">
      <c r="A356" s="86" t="s">
        <v>101</v>
      </c>
      <c r="B356" s="18"/>
      <c r="C356" s="77"/>
      <c r="D356" s="77"/>
      <c r="E356" s="77"/>
      <c r="F356" s="76"/>
      <c r="G356" s="29"/>
      <c r="H356" s="29"/>
      <c r="I356" s="29"/>
      <c r="J356" s="29"/>
      <c r="K356" s="29"/>
      <c r="L356" s="163">
        <f ca="1">L355</f>
        <v>32</v>
      </c>
      <c r="M356" s="164" t="s">
        <v>105</v>
      </c>
      <c r="N356" s="161"/>
      <c r="O356" s="162"/>
      <c r="P356" s="30"/>
      <c r="Q356" s="30"/>
      <c r="R356" s="30"/>
      <c r="S356" s="30"/>
      <c r="T356" s="155"/>
      <c r="U356" s="30"/>
      <c r="V356" s="30"/>
      <c r="W356" s="30"/>
      <c r="X356" s="31"/>
      <c r="Y356" s="32"/>
      <c r="Z356" s="32"/>
      <c r="AA356" s="32"/>
      <c r="AB356" s="33"/>
      <c r="AC356" s="33"/>
      <c r="AD356" s="23"/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 t="str">
        <f ca="1">IFERROR(OFFSET(M357,-1,,1,1)+0.1,OFFSET(M357,-1,-1,1,1)&amp;".1")</f>
        <v>32.1</v>
      </c>
      <c r="N357" s="20" t="s">
        <v>917</v>
      </c>
      <c r="O357" s="20"/>
      <c r="P357" s="20"/>
      <c r="Q357" s="134"/>
      <c r="R357" s="127"/>
      <c r="S357" s="157">
        <f>CEILING((IF(J357="Yes", 0, IF(H357="-",AA357,AA357+AA357*VLOOKUP(H357,BUFFERS_BY_TYPE,2,FALSE)))) +
   (IF(J357="Yes", 0, IF(H357="-",AA357,AA357+AA357*VLOOKUP(H357,BUFFERS_BY_TYPE,2,FALSE))))*VLOOKUP($S$5, SALES_CALL_SCALE_ARRAY, 2,FALSE),0.25)</f>
        <v>3</v>
      </c>
      <c r="T357" s="158"/>
      <c r="U357" s="21">
        <v>0</v>
      </c>
      <c r="V357" s="21">
        <v>1</v>
      </c>
      <c r="W357" s="21">
        <v>0</v>
      </c>
      <c r="X357" s="156">
        <v>3</v>
      </c>
      <c r="Y357" s="157">
        <f>CEILING((IF(P357=AS_DEV_EFFORT, DEV_EFFORT*Q357%,
                           IF(P357=AS_DURATION_EFFORT, (MANUAL_DURATION*5)*Q357%,
                                    (IF(Q357&lt;=1,X357,
                                          IF(SUM(U357:W357)=0,(Q357*X357),
                                               (((Q357*U357)*(X357+(X357*EXTRA_FOR_H)))+
                                               ((Q357*V357)*X357)+
                                               ((Q357*W357)*(X357-(X357*LESS_FOR_L)))
                                    )*IF(R357=0,1,R357))))))+Z357), 0.25)</f>
        <v>3</v>
      </c>
      <c r="Z357" s="22"/>
      <c r="AA357" s="157">
        <f>Y357+Y357*VLOOKUP(I357,EXTRAS_ARRAY,2,FALSE)</f>
        <v>3</v>
      </c>
      <c r="AB357" s="20"/>
      <c r="AC357" s="34"/>
      <c r="AD357" s="23" t="str">
        <f>IF(J357&lt;&gt;"Yes",
IF(S357&lt;=0,"Error: Effort value is not defined or is invalid.",
IF(AND(SUM(U357:W357)&gt;0,SUM(U357:W357)&lt;&gt;1),"Error: Complexity % distribution should sum to 100%.",
IF(AND(P357=AS_DEV_EFFORT,X357&lt;&gt;0),"Error: PDs should not be defined when defining as dev effort %.",
IF(AND(P357=AS_DURATION_EFFORT,X357&lt;&gt;0),"Error: PDs should not be defined when defining as duration effort %.","")))))</f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ca="1">IFERROR(OFFSET(M358,-1,,1,1)+0.1,OFFSET(M358,-1,-1,1,1)&amp;".1")</f>
        <v>32.200000000000003</v>
      </c>
      <c r="N358" s="20" t="s">
        <v>918</v>
      </c>
      <c r="O358" s="20"/>
      <c r="P358" s="20"/>
      <c r="Q358" s="134"/>
      <c r="R358" s="127"/>
      <c r="S358" s="157">
        <f>CEILING((IF(J358="Yes", 0, IF(H358="-",AA358,AA358+AA358*VLOOKUP(H358,BUFFERS_BY_TYPE,2,FALSE)))) +
   (IF(J358="Yes", 0, IF(H358="-",AA358,AA358+AA358*VLOOKUP(H358,BUFFERS_BY_TYPE,2,FALSE))))*VLOOKUP($S$5, SALES_CALL_SCALE_ARRAY, 2,FALSE),0.25)</f>
        <v>3</v>
      </c>
      <c r="T358" s="158"/>
      <c r="U358" s="21">
        <v>0</v>
      </c>
      <c r="V358" s="21">
        <v>1</v>
      </c>
      <c r="W358" s="21">
        <v>0</v>
      </c>
      <c r="X358" s="156">
        <v>3</v>
      </c>
      <c r="Y358" s="157">
        <f>CEILING((IF(P358=AS_DEV_EFFORT, DEV_EFFORT*Q358%,
                           IF(P358=AS_DURATION_EFFORT, (MANUAL_DURATION*5)*Q358%,
                                    (IF(Q358&lt;=1,X358,
                                          IF(SUM(U358:W358)=0,(Q358*X358),
                                               (((Q358*U358)*(X358+(X358*EXTRA_FOR_H)))+
                                               ((Q358*V358)*X358)+
                                               ((Q358*W358)*(X358-(X358*LESS_FOR_L)))
                                    )*IF(R358=0,1,R358))))))+Z358), 0.25)</f>
        <v>3</v>
      </c>
      <c r="Z358" s="22"/>
      <c r="AA358" s="157">
        <f>Y358+Y358*VLOOKUP(I358,EXTRAS_ARRAY,2,FALSE)</f>
        <v>3</v>
      </c>
      <c r="AB358" s="20"/>
      <c r="AC358" s="34"/>
      <c r="AD358" s="23" t="str">
        <f>IF(J358&lt;&gt;"Yes",
IF(S358&lt;=0,"Error: Effort value is not defined or is invalid.",
IF(AND(SUM(U358:W358)&gt;0,SUM(U358:W358)&lt;&gt;1),"Error: Complexity % distribution should sum to 100%.",
IF(AND(P358=AS_DEV_EFFORT,X358&lt;&gt;0),"Error: PDs should not be defined when defining as dev effort %.",
IF(AND(P358=AS_DURATION_EFFORT,X358&lt;&gt;0),"Error: PDs should not be defined when defining as duration effort %.","")))))</f>
        <v/>
      </c>
    </row>
    <row r="359" spans="1:30" ht="15.5" hidden="1" outlineLevel="2" x14ac:dyDescent="0.35">
      <c r="A359" s="86" t="s">
        <v>0</v>
      </c>
      <c r="B359" s="18"/>
      <c r="C359" s="78"/>
      <c r="D359" s="78"/>
      <c r="E359" s="78"/>
      <c r="F359" s="79"/>
      <c r="G359" s="19" t="s">
        <v>23</v>
      </c>
      <c r="H359" s="19" t="s">
        <v>23</v>
      </c>
      <c r="I359" s="20" t="s">
        <v>23</v>
      </c>
      <c r="J359" s="19" t="s">
        <v>23</v>
      </c>
      <c r="K359" s="35"/>
      <c r="L359" s="19"/>
      <c r="M359" s="263">
        <f ca="1">IFERROR(OFFSET(M359,-1,,1,1)+0.1,OFFSET(M359,-1,-1,1,1)&amp;".1")</f>
        <v>32.300000000000004</v>
      </c>
      <c r="N359" s="20" t="s">
        <v>919</v>
      </c>
      <c r="O359" s="20"/>
      <c r="P359" s="20"/>
      <c r="Q359" s="134"/>
      <c r="R359" s="127"/>
      <c r="S359" s="157">
        <f>CEILING((IF(J359="Yes", 0, IF(H359="-",AA359,AA359+AA359*VLOOKUP(H359,BUFFERS_BY_TYPE,2,FALSE)))) +
   (IF(J359="Yes", 0, IF(H359="-",AA359,AA359+AA359*VLOOKUP(H359,BUFFERS_BY_TYPE,2,FALSE))))*VLOOKUP($S$5, SALES_CALL_SCALE_ARRAY, 2,FALSE),0.25)</f>
        <v>3</v>
      </c>
      <c r="T359" s="158"/>
      <c r="U359" s="21">
        <v>0</v>
      </c>
      <c r="V359" s="21">
        <v>1</v>
      </c>
      <c r="W359" s="21">
        <v>0</v>
      </c>
      <c r="X359" s="156">
        <v>3</v>
      </c>
      <c r="Y359" s="157">
        <f>CEILING((IF(P359=AS_DEV_EFFORT, DEV_EFFORT*Q359%,
                           IF(P359=AS_DURATION_EFFORT, (MANUAL_DURATION*5)*Q359%,
                                    (IF(Q359&lt;=1,X359,
                                          IF(SUM(U359:W359)=0,(Q359*X359),
                                               (((Q359*U359)*(X359+(X359*EXTRA_FOR_H)))+
                                               ((Q359*V359)*X359)+
                                               ((Q359*W359)*(X359-(X359*LESS_FOR_L)))
                                    )*IF(R359=0,1,R359))))))+Z359), 0.25)</f>
        <v>3</v>
      </c>
      <c r="Z359" s="22"/>
      <c r="AA359" s="157">
        <f>Y359+Y359*VLOOKUP(I359,EXTRAS_ARRAY,2,FALSE)</f>
        <v>3</v>
      </c>
      <c r="AB359" s="20"/>
      <c r="AC359" s="34"/>
      <c r="AD359" s="23" t="str">
        <f>IF(J359&lt;&gt;"Yes",
IF(S359&lt;=0,"Error: Effort value is not defined or is invalid.",
IF(AND(SUM(U359:W359)&gt;0,SUM(U359:W359)&lt;&gt;1),"Error: Complexity % distribution should sum to 100%.",
IF(AND(P359=AS_DEV_EFFORT,X359&lt;&gt;0),"Error: PDs should not be defined when defining as dev effort %.",
IF(AND(P359=AS_DURATION_EFFORT,X359&lt;&gt;0),"Error: PDs should not be defined when defining as duration effort %.","")))))</f>
        <v/>
      </c>
    </row>
    <row r="360" spans="1:30" ht="15.5" hidden="1" outlineLevel="2" x14ac:dyDescent="0.35">
      <c r="A360" s="86" t="s">
        <v>0</v>
      </c>
      <c r="B360" s="18"/>
      <c r="C360" s="78"/>
      <c r="D360" s="78"/>
      <c r="E360" s="78"/>
      <c r="F360" s="79"/>
      <c r="G360" s="19" t="s">
        <v>23</v>
      </c>
      <c r="H360" s="19" t="s">
        <v>23</v>
      </c>
      <c r="I360" s="20" t="s">
        <v>23</v>
      </c>
      <c r="J360" s="19" t="s">
        <v>23</v>
      </c>
      <c r="K360" s="35"/>
      <c r="L360" s="19"/>
      <c r="M360" s="263">
        <f ca="1">IFERROR(OFFSET(M360,-1,,1,1)+0.1,OFFSET(M360,-1,-1,1,1)&amp;".1")</f>
        <v>32.400000000000006</v>
      </c>
      <c r="N360" s="20" t="s">
        <v>920</v>
      </c>
      <c r="O360" s="20"/>
      <c r="P360" s="20"/>
      <c r="Q360" s="134"/>
      <c r="R360" s="127"/>
      <c r="S360" s="157">
        <f>CEILING((IF(J360="Yes", 0, IF(H360="-",AA360,AA360+AA360*VLOOKUP(H360,BUFFERS_BY_TYPE,2,FALSE)))) +
   (IF(J360="Yes", 0, IF(H360="-",AA360,AA360+AA360*VLOOKUP(H360,BUFFERS_BY_TYPE,2,FALSE))))*VLOOKUP($S$5, SALES_CALL_SCALE_ARRAY, 2,FALSE),0.25)</f>
        <v>3</v>
      </c>
      <c r="T360" s="158"/>
      <c r="U360" s="21">
        <v>0</v>
      </c>
      <c r="V360" s="21">
        <v>1</v>
      </c>
      <c r="W360" s="21">
        <v>0</v>
      </c>
      <c r="X360" s="156">
        <v>3</v>
      </c>
      <c r="Y360" s="157">
        <f>CEILING((IF(P360=AS_DEV_EFFORT, DEV_EFFORT*Q360%,
                           IF(P360=AS_DURATION_EFFORT, (MANUAL_DURATION*5)*Q360%,
                                    (IF(Q360&lt;=1,X360,
                                          IF(SUM(U360:W360)=0,(Q360*X360),
                                               (((Q360*U360)*(X360+(X360*EXTRA_FOR_H)))+
                                               ((Q360*V360)*X360)+
                                               ((Q360*W360)*(X360-(X360*LESS_FOR_L)))
                                    )*IF(R360=0,1,R360))))))+Z360), 0.25)</f>
        <v>3</v>
      </c>
      <c r="Z360" s="22"/>
      <c r="AA360" s="157">
        <f>Y360+Y360*VLOOKUP(I360,EXTRAS_ARRAY,2,FALSE)</f>
        <v>3</v>
      </c>
      <c r="AB360" s="20"/>
      <c r="AC360" s="34"/>
      <c r="AD360" s="23" t="str">
        <f>IF(J360&lt;&gt;"Yes",
IF(S360&lt;=0,"Error: Effort value is not defined or is invalid.",
IF(AND(SUM(U360:W360)&gt;0,SUM(U360:W360)&lt;&gt;1),"Error: Complexity % distribution should sum to 100%.",
IF(AND(P360=AS_DEV_EFFORT,X360&lt;&gt;0),"Error: PDs should not be defined when defining as dev effort %.",
IF(AND(P360=AS_DURATION_EFFORT,X360&lt;&gt;0),"Error: PDs should not be defined when defining as duration effort %.","")))))</f>
        <v/>
      </c>
    </row>
    <row r="361" spans="1:30" ht="15.5" hidden="1" outlineLevel="2" x14ac:dyDescent="0.35">
      <c r="A361" s="86" t="s">
        <v>0</v>
      </c>
      <c r="B361" s="18"/>
      <c r="C361" s="78"/>
      <c r="D361" s="78"/>
      <c r="E361" s="78"/>
      <c r="F361" s="79"/>
      <c r="G361" s="19" t="s">
        <v>23</v>
      </c>
      <c r="H361" s="19" t="s">
        <v>23</v>
      </c>
      <c r="I361" s="20" t="s">
        <v>23</v>
      </c>
      <c r="J361" s="19" t="s">
        <v>23</v>
      </c>
      <c r="K361" s="35"/>
      <c r="L361" s="19"/>
      <c r="M361" s="263">
        <f ca="1">IFERROR(OFFSET(M361,-1,,1,1)+0.1,OFFSET(M361,-1,-1,1,1)&amp;".1")</f>
        <v>32.500000000000007</v>
      </c>
      <c r="N361" s="20" t="s">
        <v>921</v>
      </c>
      <c r="O361" s="20"/>
      <c r="P361" s="20"/>
      <c r="Q361" s="134"/>
      <c r="R361" s="127"/>
      <c r="S361" s="157">
        <f>CEILING((IF(J361="Yes", 0, IF(H361="-",AA361,AA361+AA361*VLOOKUP(H361,BUFFERS_BY_TYPE,2,FALSE)))) +
   (IF(J361="Yes", 0, IF(H361="-",AA361,AA361+AA361*VLOOKUP(H361,BUFFERS_BY_TYPE,2,FALSE))))*VLOOKUP($S$5, SALES_CALL_SCALE_ARRAY, 2,FALSE),0.25)</f>
        <v>3</v>
      </c>
      <c r="T361" s="158"/>
      <c r="U361" s="21">
        <v>0</v>
      </c>
      <c r="V361" s="21">
        <v>1</v>
      </c>
      <c r="W361" s="21">
        <v>0</v>
      </c>
      <c r="X361" s="156">
        <v>3</v>
      </c>
      <c r="Y361" s="157">
        <f>CEILING((IF(P361=AS_DEV_EFFORT, DEV_EFFORT*Q361%,
                           IF(P361=AS_DURATION_EFFORT, (MANUAL_DURATION*5)*Q361%,
                                    (IF(Q361&lt;=1,X361,
                                          IF(SUM(U361:W361)=0,(Q361*X361),
                                               (((Q361*U361)*(X361+(X361*EXTRA_FOR_H)))+
                                               ((Q361*V361)*X361)+
                                               ((Q361*W361)*(X361-(X361*LESS_FOR_L)))
                                    )*IF(R361=0,1,R361))))))+Z361), 0.25)</f>
        <v>3</v>
      </c>
      <c r="Z361" s="22"/>
      <c r="AA361" s="157">
        <f>Y361+Y361*VLOOKUP(I361,EXTRAS_ARRAY,2,FALSE)</f>
        <v>3</v>
      </c>
      <c r="AB361" s="20"/>
      <c r="AC361" s="34"/>
      <c r="AD361" s="23" t="str">
        <f>IF(J361&lt;&gt;"Yes",
IF(S361&lt;=0,"Error: Effort value is not defined or is invalid.",
IF(AND(SUM(U361:W361)&gt;0,SUM(U361:W361)&lt;&gt;1),"Error: Complexity % distribution should sum to 100%.",
IF(AND(P361=AS_DEV_EFFORT,X361&lt;&gt;0),"Error: PDs should not be defined when defining as dev effort %.",
IF(AND(P361=AS_DURATION_EFFORT,X361&lt;&gt;0),"Error: PDs should not be defined when defining as duration effort %.","")))))</f>
        <v/>
      </c>
    </row>
    <row r="362" spans="1:30" s="9" customFormat="1" ht="7.5" hidden="1" customHeight="1" outlineLevel="2" x14ac:dyDescent="0.35">
      <c r="A362" s="86" t="s">
        <v>132</v>
      </c>
      <c r="B362" s="15"/>
      <c r="C362" s="72"/>
      <c r="D362" s="72"/>
      <c r="E362" s="72"/>
      <c r="F362" s="72"/>
      <c r="M362" s="252"/>
      <c r="T362" s="15"/>
      <c r="X362" s="15"/>
      <c r="AB362" s="10"/>
      <c r="AC362" s="10"/>
      <c r="AD362" s="10"/>
    </row>
    <row r="363" spans="1:30" s="14" customFormat="1" ht="15.5" outlineLevel="1" collapsed="1" x14ac:dyDescent="0.35">
      <c r="A363" s="86" t="s">
        <v>100</v>
      </c>
      <c r="B363" s="18"/>
      <c r="C363" s="77"/>
      <c r="D363" s="77"/>
      <c r="E363" s="77"/>
      <c r="F363" s="76"/>
      <c r="G363" s="29"/>
      <c r="H363" s="29"/>
      <c r="I363" s="29"/>
      <c r="J363" s="29"/>
      <c r="K363" s="29"/>
      <c r="L363" s="17">
        <f ca="1">LOOKUP(1000,INDIRECT("L1:"&amp;CELL("address",INDIRECT("R[-1]C",FALSE))))+1</f>
        <v>33</v>
      </c>
      <c r="M363" s="303" t="s">
        <v>1148</v>
      </c>
      <c r="N363" s="303"/>
      <c r="O363" s="5"/>
      <c r="P363" s="30"/>
      <c r="Q363" s="30"/>
      <c r="R363" s="30"/>
      <c r="S363" s="30"/>
      <c r="T363" s="155">
        <f>IF($S$6="Exclude", SUMIFS(S364:S372, J364:J372, "&lt;&gt;Yes", G364:G372, "&lt;&gt;Yes"), SUMIFS(S364:S372, J364:J372, "&lt;&gt;Yes"))</f>
        <v>12</v>
      </c>
      <c r="U363" s="30"/>
      <c r="V363" s="30"/>
      <c r="W363" s="30"/>
      <c r="X363" s="31"/>
      <c r="Y363" s="32"/>
      <c r="Z363" s="32"/>
      <c r="AA363" s="32"/>
      <c r="AB363" s="219" t="s">
        <v>979</v>
      </c>
      <c r="AC363" s="33"/>
      <c r="AD363" s="23" t="str">
        <f>IF(M363="", "Error: Task name cannot be empty.", "")</f>
        <v/>
      </c>
    </row>
    <row r="364" spans="1:30" s="12" customFormat="1" ht="1.5" hidden="1" customHeight="1" outlineLevel="2" x14ac:dyDescent="0.35">
      <c r="A364" s="86" t="s">
        <v>101</v>
      </c>
      <c r="B364" s="18"/>
      <c r="C364" s="77"/>
      <c r="D364" s="77"/>
      <c r="E364" s="77"/>
      <c r="F364" s="76"/>
      <c r="G364" s="29"/>
      <c r="H364" s="29"/>
      <c r="I364" s="29"/>
      <c r="J364" s="29"/>
      <c r="K364" s="29"/>
      <c r="L364" s="163">
        <f ca="1">L363</f>
        <v>33</v>
      </c>
      <c r="M364" s="164" t="s">
        <v>105</v>
      </c>
      <c r="N364" s="161"/>
      <c r="O364" s="162"/>
      <c r="P364" s="30"/>
      <c r="Q364" s="30"/>
      <c r="R364" s="30"/>
      <c r="S364" s="30"/>
      <c r="T364" s="155"/>
      <c r="U364" s="30"/>
      <c r="V364" s="30"/>
      <c r="W364" s="30"/>
      <c r="X364" s="31"/>
      <c r="Y364" s="32"/>
      <c r="Z364" s="32"/>
      <c r="AA364" s="32"/>
      <c r="AB364" s="33"/>
      <c r="AC364" s="33"/>
      <c r="AD364" s="23"/>
    </row>
    <row r="365" spans="1:30" ht="15.5" hidden="1" outlineLevel="2" x14ac:dyDescent="0.35">
      <c r="A365" s="86" t="s">
        <v>0</v>
      </c>
      <c r="B365" s="18"/>
      <c r="C365" s="78"/>
      <c r="D365" s="78"/>
      <c r="E365" s="78"/>
      <c r="F365" s="79"/>
      <c r="G365" s="19" t="s">
        <v>23</v>
      </c>
      <c r="H365" s="19" t="s">
        <v>23</v>
      </c>
      <c r="I365" s="20" t="s">
        <v>23</v>
      </c>
      <c r="J365" s="19" t="s">
        <v>23</v>
      </c>
      <c r="K365" s="35"/>
      <c r="L365" s="19"/>
      <c r="M365" s="263" t="str">
        <f t="shared" ref="M365:M371" ca="1" si="55">IFERROR(OFFSET(M365,-1,,1,1)+0.1,OFFSET(M365,-1,-1,1,1)&amp;".1")</f>
        <v>33.1</v>
      </c>
      <c r="N365" s="20" t="s">
        <v>922</v>
      </c>
      <c r="O365" s="20"/>
      <c r="P365" s="20"/>
      <c r="Q365" s="134"/>
      <c r="R365" s="127"/>
      <c r="S365" s="157">
        <f t="shared" ref="S365:S371" si="56">CEILING((IF(J365="Yes", 0, IF(H365="-",AA365,AA365+AA365*VLOOKUP(H365,BUFFERS_BY_TYPE,2,FALSE)))) +
   (IF(J365="Yes", 0, IF(H365="-",AA365,AA365+AA365*VLOOKUP(H365,BUFFERS_BY_TYPE,2,FALSE))))*VLOOKUP($S$5, SALES_CALL_SCALE_ARRAY, 2,FALSE),0.25)</f>
        <v>1.5</v>
      </c>
      <c r="T365" s="158"/>
      <c r="U365" s="21">
        <v>0</v>
      </c>
      <c r="V365" s="21">
        <v>1</v>
      </c>
      <c r="W365" s="21">
        <v>0</v>
      </c>
      <c r="X365" s="156">
        <v>1.5</v>
      </c>
      <c r="Y365" s="157">
        <f t="shared" ref="Y365:Y371" si="57">CEILING((IF(P365=AS_DEV_EFFORT, DEV_EFFORT*Q365%,
                           IF(P365=AS_DURATION_EFFORT, (MANUAL_DURATION*5)*Q365%,
                                    (IF(Q365&lt;=1,X365,
                                          IF(SUM(U365:W365)=0,(Q365*X365),
                                               (((Q365*U365)*(X365+(X365*EXTRA_FOR_H)))+
                                               ((Q365*V365)*X365)+
                                               ((Q365*W365)*(X365-(X365*LESS_FOR_L)))
                                    )*IF(R365=0,1,R365))))))+Z365), 0.25)</f>
        <v>1.5</v>
      </c>
      <c r="Z365" s="22"/>
      <c r="AA365" s="157">
        <f t="shared" ref="AA365:AA371" si="58">Y365+Y365*VLOOKUP(I365,EXTRAS_ARRAY,2,FALSE)</f>
        <v>1.5</v>
      </c>
      <c r="AB365" s="20"/>
      <c r="AC365" s="34"/>
      <c r="AD365" s="23" t="str">
        <f t="shared" ref="AD365:AD371" si="59">IF(J365&lt;&gt;"Yes",
IF(S365&lt;=0,"Error: Effort value is not defined or is invalid.",
IF(AND(SUM(U365:W365)&gt;0,SUM(U365:W365)&lt;&gt;1),"Error: Complexity % distribution should sum to 100%.",
IF(AND(P365=AS_DEV_EFFORT,X365&lt;&gt;0),"Error: PDs should not be defined when defining as dev effort %.",
IF(AND(P365=AS_DURATION_EFFORT,X365&lt;&gt;0),"Error: PDs should not be defined when defining as duration effort %.","")))))</f>
        <v/>
      </c>
    </row>
    <row r="366" spans="1:30" ht="15.5" hidden="1" outlineLevel="2" x14ac:dyDescent="0.35">
      <c r="A366" s="86" t="s">
        <v>0</v>
      </c>
      <c r="B366" s="18"/>
      <c r="C366" s="78"/>
      <c r="D366" s="78"/>
      <c r="E366" s="78"/>
      <c r="F366" s="79"/>
      <c r="G366" s="19" t="s">
        <v>23</v>
      </c>
      <c r="H366" s="19" t="s">
        <v>23</v>
      </c>
      <c r="I366" s="20" t="s">
        <v>23</v>
      </c>
      <c r="J366" s="19" t="s">
        <v>23</v>
      </c>
      <c r="K366" s="35"/>
      <c r="L366" s="19"/>
      <c r="M366" s="263">
        <f t="shared" ca="1" si="55"/>
        <v>33.200000000000003</v>
      </c>
      <c r="N366" s="20" t="s">
        <v>923</v>
      </c>
      <c r="O366" s="20"/>
      <c r="P366" s="20"/>
      <c r="Q366" s="134"/>
      <c r="R366" s="127"/>
      <c r="S366" s="157">
        <f t="shared" si="56"/>
        <v>2</v>
      </c>
      <c r="T366" s="158"/>
      <c r="U366" s="21">
        <v>0</v>
      </c>
      <c r="V366" s="21">
        <v>1</v>
      </c>
      <c r="W366" s="21">
        <v>0</v>
      </c>
      <c r="X366" s="156">
        <v>2</v>
      </c>
      <c r="Y366" s="157">
        <f t="shared" si="57"/>
        <v>2</v>
      </c>
      <c r="Z366" s="22"/>
      <c r="AA366" s="157">
        <f t="shared" si="58"/>
        <v>2</v>
      </c>
      <c r="AB366" s="20"/>
      <c r="AC366" s="34"/>
      <c r="AD366" s="23" t="str">
        <f t="shared" si="59"/>
        <v/>
      </c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>
        <f t="shared" ca="1" si="55"/>
        <v>33.300000000000004</v>
      </c>
      <c r="N367" s="20" t="s">
        <v>924</v>
      </c>
      <c r="O367" s="20"/>
      <c r="P367" s="20"/>
      <c r="Q367" s="134"/>
      <c r="R367" s="127"/>
      <c r="S367" s="157">
        <f t="shared" si="56"/>
        <v>1.5</v>
      </c>
      <c r="T367" s="158"/>
      <c r="U367" s="21">
        <v>0</v>
      </c>
      <c r="V367" s="21">
        <v>1</v>
      </c>
      <c r="W367" s="21">
        <v>0</v>
      </c>
      <c r="X367" s="156">
        <v>1.5</v>
      </c>
      <c r="Y367" s="157">
        <f t="shared" si="57"/>
        <v>1.5</v>
      </c>
      <c r="Z367" s="22"/>
      <c r="AA367" s="157">
        <f t="shared" si="58"/>
        <v>1.5</v>
      </c>
      <c r="AB367" s="20"/>
      <c r="AC367" s="34"/>
      <c r="AD367" s="23" t="str">
        <f t="shared" si="59"/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t="shared" ca="1" si="55"/>
        <v>33.400000000000006</v>
      </c>
      <c r="N368" s="20" t="s">
        <v>925</v>
      </c>
      <c r="O368" s="20"/>
      <c r="P368" s="20"/>
      <c r="Q368" s="134"/>
      <c r="R368" s="127"/>
      <c r="S368" s="157">
        <f t="shared" si="56"/>
        <v>2</v>
      </c>
      <c r="T368" s="158"/>
      <c r="U368" s="21">
        <v>0</v>
      </c>
      <c r="V368" s="21">
        <v>1</v>
      </c>
      <c r="W368" s="21">
        <v>0</v>
      </c>
      <c r="X368" s="156">
        <v>2</v>
      </c>
      <c r="Y368" s="157">
        <f t="shared" si="57"/>
        <v>2</v>
      </c>
      <c r="Z368" s="22"/>
      <c r="AA368" s="157">
        <f t="shared" si="58"/>
        <v>2</v>
      </c>
      <c r="AB368" s="20"/>
      <c r="AC368" s="34"/>
      <c r="AD368" s="23" t="str">
        <f t="shared" si="59"/>
        <v/>
      </c>
    </row>
    <row r="369" spans="1:30" ht="15.5" hidden="1" outlineLevel="2" x14ac:dyDescent="0.35">
      <c r="A369" s="86" t="s">
        <v>0</v>
      </c>
      <c r="B369" s="18"/>
      <c r="C369" s="78"/>
      <c r="D369" s="78"/>
      <c r="E369" s="78"/>
      <c r="F369" s="79"/>
      <c r="G369" s="19" t="s">
        <v>23</v>
      </c>
      <c r="H369" s="19" t="s">
        <v>23</v>
      </c>
      <c r="I369" s="20" t="s">
        <v>23</v>
      </c>
      <c r="J369" s="19" t="s">
        <v>23</v>
      </c>
      <c r="K369" s="35"/>
      <c r="L369" s="19"/>
      <c r="M369" s="263">
        <f t="shared" ca="1" si="55"/>
        <v>33.500000000000007</v>
      </c>
      <c r="N369" s="20" t="s">
        <v>926</v>
      </c>
      <c r="O369" s="20"/>
      <c r="P369" s="20"/>
      <c r="Q369" s="134"/>
      <c r="R369" s="127"/>
      <c r="S369" s="157">
        <f t="shared" si="56"/>
        <v>2</v>
      </c>
      <c r="T369" s="158"/>
      <c r="U369" s="21">
        <v>0</v>
      </c>
      <c r="V369" s="21">
        <v>1</v>
      </c>
      <c r="W369" s="21">
        <v>0</v>
      </c>
      <c r="X369" s="156">
        <v>2</v>
      </c>
      <c r="Y369" s="157">
        <f t="shared" si="57"/>
        <v>2</v>
      </c>
      <c r="Z369" s="22"/>
      <c r="AA369" s="157">
        <f t="shared" si="58"/>
        <v>2</v>
      </c>
      <c r="AB369" s="20"/>
      <c r="AC369" s="34"/>
      <c r="AD369" s="23" t="str">
        <f t="shared" si="59"/>
        <v/>
      </c>
    </row>
    <row r="370" spans="1:30" ht="15.5" hidden="1" outlineLevel="2" x14ac:dyDescent="0.35">
      <c r="A370" s="86" t="s">
        <v>0</v>
      </c>
      <c r="B370" s="18"/>
      <c r="C370" s="78"/>
      <c r="D370" s="78"/>
      <c r="E370" s="78"/>
      <c r="F370" s="79"/>
      <c r="G370" s="19" t="s">
        <v>23</v>
      </c>
      <c r="H370" s="19" t="s">
        <v>23</v>
      </c>
      <c r="I370" s="20" t="s">
        <v>23</v>
      </c>
      <c r="J370" s="19" t="s">
        <v>23</v>
      </c>
      <c r="K370" s="35"/>
      <c r="L370" s="19"/>
      <c r="M370" s="263">
        <f t="shared" ca="1" si="55"/>
        <v>33.600000000000009</v>
      </c>
      <c r="N370" s="20" t="s">
        <v>927</v>
      </c>
      <c r="O370" s="20"/>
      <c r="P370" s="20"/>
      <c r="Q370" s="134"/>
      <c r="R370" s="127"/>
      <c r="S370" s="157">
        <f t="shared" si="56"/>
        <v>1.5</v>
      </c>
      <c r="T370" s="158"/>
      <c r="U370" s="21">
        <v>0</v>
      </c>
      <c r="V370" s="21">
        <v>1</v>
      </c>
      <c r="W370" s="21">
        <v>0</v>
      </c>
      <c r="X370" s="156">
        <v>1.5</v>
      </c>
      <c r="Y370" s="157">
        <f t="shared" si="57"/>
        <v>1.5</v>
      </c>
      <c r="Z370" s="22"/>
      <c r="AA370" s="157">
        <f t="shared" si="58"/>
        <v>1.5</v>
      </c>
      <c r="AB370" s="20"/>
      <c r="AC370" s="34"/>
      <c r="AD370" s="23" t="str">
        <f t="shared" si="59"/>
        <v/>
      </c>
    </row>
    <row r="371" spans="1:30" ht="15.5" hidden="1" outlineLevel="2" x14ac:dyDescent="0.35">
      <c r="A371" s="86" t="s">
        <v>0</v>
      </c>
      <c r="B371" s="18"/>
      <c r="C371" s="78"/>
      <c r="D371" s="78"/>
      <c r="E371" s="78"/>
      <c r="F371" s="79"/>
      <c r="G371" s="19" t="s">
        <v>23</v>
      </c>
      <c r="H371" s="19" t="s">
        <v>23</v>
      </c>
      <c r="I371" s="20" t="s">
        <v>23</v>
      </c>
      <c r="J371" s="19" t="s">
        <v>23</v>
      </c>
      <c r="K371" s="35"/>
      <c r="L371" s="19"/>
      <c r="M371" s="263">
        <f t="shared" ca="1" si="55"/>
        <v>33.70000000000001</v>
      </c>
      <c r="N371" s="20" t="s">
        <v>928</v>
      </c>
      <c r="O371" s="20"/>
      <c r="P371" s="20"/>
      <c r="Q371" s="134"/>
      <c r="R371" s="127"/>
      <c r="S371" s="157">
        <f t="shared" si="56"/>
        <v>1.5</v>
      </c>
      <c r="T371" s="158"/>
      <c r="U371" s="21">
        <v>0</v>
      </c>
      <c r="V371" s="21">
        <v>1</v>
      </c>
      <c r="W371" s="21">
        <v>0</v>
      </c>
      <c r="X371" s="156">
        <v>1.5</v>
      </c>
      <c r="Y371" s="157">
        <f t="shared" si="57"/>
        <v>1.5</v>
      </c>
      <c r="Z371" s="22"/>
      <c r="AA371" s="157">
        <f t="shared" si="58"/>
        <v>1.5</v>
      </c>
      <c r="AB371" s="20"/>
      <c r="AC371" s="34"/>
      <c r="AD371" s="23" t="str">
        <f t="shared" si="59"/>
        <v/>
      </c>
    </row>
    <row r="372" spans="1:30" s="9" customFormat="1" ht="7.5" hidden="1" customHeight="1" outlineLevel="2" x14ac:dyDescent="0.35">
      <c r="A372" s="86" t="s">
        <v>132</v>
      </c>
      <c r="B372" s="15"/>
      <c r="C372" s="72"/>
      <c r="D372" s="72"/>
      <c r="E372" s="72"/>
      <c r="F372" s="72"/>
      <c r="M372" s="252"/>
      <c r="T372" s="15"/>
      <c r="X372" s="15"/>
      <c r="AB372" s="10"/>
      <c r="AC372" s="10"/>
      <c r="AD372" s="10"/>
    </row>
    <row r="373" spans="1:30" s="14" customFormat="1" ht="15.5" outlineLevel="1" x14ac:dyDescent="0.35">
      <c r="A373" s="86" t="s">
        <v>107</v>
      </c>
      <c r="B373" s="18"/>
      <c r="C373" s="77"/>
      <c r="D373" s="77"/>
      <c r="E373" s="77"/>
      <c r="F373" s="76"/>
      <c r="G373" s="170"/>
      <c r="H373" s="170"/>
      <c r="I373" s="170"/>
      <c r="J373" s="170"/>
      <c r="K373" s="170"/>
      <c r="L373" s="85" t="s">
        <v>109</v>
      </c>
      <c r="M373" s="302" t="s">
        <v>459</v>
      </c>
      <c r="N373" s="302"/>
      <c r="O373" s="80"/>
      <c r="P373" s="81"/>
      <c r="Q373" s="81"/>
      <c r="R373" s="81"/>
      <c r="S373" s="293">
        <f>SUMGROUP(ROW(), "T")</f>
        <v>14</v>
      </c>
      <c r="T373" s="293"/>
      <c r="U373" s="294"/>
      <c r="V373" s="294"/>
      <c r="W373" s="294"/>
      <c r="X373" s="82"/>
      <c r="Y373" s="83"/>
      <c r="Z373" s="83"/>
      <c r="AA373" s="83"/>
      <c r="AB373" s="221"/>
      <c r="AC373" s="84"/>
      <c r="AD373" s="23" t="str">
        <f>IF(M373="", "Error: Module name cannot be empty.", "")</f>
        <v/>
      </c>
    </row>
    <row r="374" spans="1:30" s="14" customFormat="1" ht="15.5" outlineLevel="1" collapsed="1" x14ac:dyDescent="0.35">
      <c r="A374" s="86" t="s">
        <v>100</v>
      </c>
      <c r="B374" s="18"/>
      <c r="C374" s="77"/>
      <c r="D374" s="77"/>
      <c r="E374" s="77"/>
      <c r="F374" s="76"/>
      <c r="G374" s="29"/>
      <c r="H374" s="29"/>
      <c r="I374" s="29"/>
      <c r="J374" s="29"/>
      <c r="K374" s="29"/>
      <c r="L374" s="17">
        <f ca="1">LOOKUP(1000,INDIRECT("L1:"&amp;CELL("address",INDIRECT("R[-1]C",FALSE))))+1</f>
        <v>34</v>
      </c>
      <c r="M374" s="303" t="s">
        <v>1149</v>
      </c>
      <c r="N374" s="303"/>
      <c r="O374" s="5"/>
      <c r="P374" s="30"/>
      <c r="Q374" s="30"/>
      <c r="R374" s="30"/>
      <c r="S374" s="30"/>
      <c r="T374" s="155">
        <f>IF($S$6="Exclude", SUMIFS(S375:S379, J375:J379, "&lt;&gt;Yes", G375:G379, "&lt;&gt;Yes"), SUMIFS(S375:S379, J375:J379, "&lt;&gt;Yes"))</f>
        <v>14</v>
      </c>
      <c r="U374" s="30"/>
      <c r="V374" s="30"/>
      <c r="W374" s="30"/>
      <c r="X374" s="31"/>
      <c r="Y374" s="32"/>
      <c r="Z374" s="32"/>
      <c r="AA374" s="32"/>
      <c r="AB374" s="219" t="s">
        <v>980</v>
      </c>
      <c r="AC374" s="33"/>
      <c r="AD374" s="23" t="str">
        <f>IF(M374="", "Error: Task name cannot be empty.", "")</f>
        <v/>
      </c>
    </row>
    <row r="375" spans="1:30" s="12" customFormat="1" ht="1.5" hidden="1" customHeight="1" outlineLevel="2" x14ac:dyDescent="0.35">
      <c r="A375" s="86" t="s">
        <v>101</v>
      </c>
      <c r="B375" s="18"/>
      <c r="C375" s="77"/>
      <c r="D375" s="77"/>
      <c r="E375" s="77"/>
      <c r="F375" s="76"/>
      <c r="G375" s="29"/>
      <c r="H375" s="29"/>
      <c r="I375" s="29"/>
      <c r="J375" s="29"/>
      <c r="K375" s="29"/>
      <c r="L375" s="163">
        <f ca="1">L374</f>
        <v>34</v>
      </c>
      <c r="M375" s="164" t="s">
        <v>105</v>
      </c>
      <c r="N375" s="161"/>
      <c r="O375" s="162"/>
      <c r="P375" s="30"/>
      <c r="Q375" s="30"/>
      <c r="R375" s="30"/>
      <c r="S375" s="30"/>
      <c r="T375" s="155"/>
      <c r="U375" s="30"/>
      <c r="V375" s="30"/>
      <c r="W375" s="30"/>
      <c r="X375" s="31"/>
      <c r="Y375" s="32"/>
      <c r="Z375" s="32"/>
      <c r="AA375" s="32"/>
      <c r="AB375" s="33"/>
      <c r="AC375" s="33"/>
      <c r="AD375" s="23"/>
    </row>
    <row r="376" spans="1:30" ht="15.5" hidden="1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 t="str">
        <f ca="1">IFERROR(OFFSET(M376,-1,,1,1)+0.1,OFFSET(M376,-1,-1,1,1)&amp;".1")</f>
        <v>34.1</v>
      </c>
      <c r="N376" s="20" t="s">
        <v>1150</v>
      </c>
      <c r="O376" s="20"/>
      <c r="P376" s="20"/>
      <c r="Q376" s="134"/>
      <c r="R376" s="127"/>
      <c r="S376" s="157">
        <f>CEILING((IF(J376="Yes", 0, IF(H376="-",AA376,AA376+AA376*VLOOKUP(H376,BUFFERS_BY_TYPE,2,FALSE)))) +
   (IF(J376="Yes", 0, IF(H376="-",AA376,AA376+AA376*VLOOKUP(H376,BUFFERS_BY_TYPE,2,FALSE))))*VLOOKUP($S$5, SALES_CALL_SCALE_ARRAY, 2,FALSE),0.25)</f>
        <v>5</v>
      </c>
      <c r="T376" s="158"/>
      <c r="U376" s="21">
        <v>0</v>
      </c>
      <c r="V376" s="21">
        <v>1</v>
      </c>
      <c r="W376" s="21">
        <v>0</v>
      </c>
      <c r="X376" s="156">
        <v>5</v>
      </c>
      <c r="Y376" s="157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>5</v>
      </c>
      <c r="Z376" s="22"/>
      <c r="AA376" s="157">
        <f>Y376+Y376*VLOOKUP(I376,EXTRAS_ARRAY,2,FALSE)</f>
        <v>5</v>
      </c>
      <c r="AB376" s="20"/>
      <c r="AC376" s="34"/>
      <c r="AD376" s="23" t="str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/>
      </c>
    </row>
    <row r="377" spans="1:30" ht="43.5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 t="s">
        <v>483</v>
      </c>
      <c r="L377" s="19"/>
      <c r="M377" s="263">
        <f ca="1">IFERROR(OFFSET(M377,-1,,1,1)+0.1,OFFSET(M377,-1,-1,1,1)&amp;".1")</f>
        <v>34.200000000000003</v>
      </c>
      <c r="N377" s="20" t="s">
        <v>1151</v>
      </c>
      <c r="O377" s="20"/>
      <c r="P377" s="20"/>
      <c r="Q377" s="134"/>
      <c r="R377" s="127"/>
      <c r="S377" s="157">
        <f>CEILING((IF(J377="Yes", 0, IF(H377="-",AA377,AA377+AA377*VLOOKUP(H377,BUFFERS_BY_TYPE,2,FALSE)))) +
   (IF(J377="Yes", 0, IF(H377="-",AA377,AA377+AA377*VLOOKUP(H377,BUFFERS_BY_TYPE,2,FALSE))))*VLOOKUP($S$5, SALES_CALL_SCALE_ARRAY, 2,FALSE),0.25)</f>
        <v>5</v>
      </c>
      <c r="T377" s="158"/>
      <c r="U377" s="21">
        <v>0</v>
      </c>
      <c r="V377" s="21">
        <v>1</v>
      </c>
      <c r="W377" s="21">
        <v>0</v>
      </c>
      <c r="X377" s="156">
        <v>5</v>
      </c>
      <c r="Y377" s="157">
        <f>CEILING((IF(P377=AS_DEV_EFFORT, DEV_EFFORT*Q377%,
                           IF(P377=AS_DURATION_EFFORT, (MANUAL_DURATION*5)*Q377%,
                                    (IF(Q377&lt;=1,X377,
                                          IF(SUM(U377:W377)=0,(Q377*X377),
                                               (((Q377*U377)*(X377+(X377*EXTRA_FOR_H)))+
                                               ((Q377*V377)*X377)+
                                               ((Q377*W377)*(X377-(X377*LESS_FOR_L)))
                                    )*IF(R377=0,1,R377))))))+Z377), 0.25)</f>
        <v>5</v>
      </c>
      <c r="Z377" s="22"/>
      <c r="AA377" s="157">
        <f>Y377+Y377*VLOOKUP(I377,EXTRAS_ARRAY,2,FALSE)</f>
        <v>5</v>
      </c>
      <c r="AB377" s="20"/>
      <c r="AC377" s="34"/>
      <c r="AD377" s="23" t="str">
        <f>IF(J377&lt;&gt;"Yes",
IF(S377&lt;=0,"Error: Effort value is not defined or is invalid.",
IF(AND(SUM(U377:W377)&gt;0,SUM(U377:W377)&lt;&gt;1),"Error: Complexity % distribution should sum to 100%.",
IF(AND(P377=AS_DEV_EFFORT,X377&lt;&gt;0),"Error: PDs should not be defined when defining as dev effort %.",
IF(AND(P377=AS_DURATION_EFFORT,X377&lt;&gt;0),"Error: PDs should not be defined when defining as duration effort %.","")))))</f>
        <v/>
      </c>
    </row>
    <row r="378" spans="1:30" ht="15.5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ca="1">IFERROR(OFFSET(M378,-1,,1,1)+0.1,OFFSET(M378,-1,-1,1,1)&amp;".1")</f>
        <v>34.300000000000004</v>
      </c>
      <c r="N378" s="20" t="s">
        <v>1152</v>
      </c>
      <c r="O378" s="20"/>
      <c r="P378" s="20"/>
      <c r="Q378" s="134"/>
      <c r="R378" s="127"/>
      <c r="S378" s="157">
        <f>CEILING((IF(J378="Yes", 0, IF(H378="-",AA378,AA378+AA378*VLOOKUP(H378,BUFFERS_BY_TYPE,2,FALSE)))) +
   (IF(J378="Yes", 0, IF(H378="-",AA378,AA378+AA378*VLOOKUP(H378,BUFFERS_BY_TYPE,2,FALSE))))*VLOOKUP($S$5, SALES_CALL_SCALE_ARRAY, 2,FALSE),0.25)</f>
        <v>4</v>
      </c>
      <c r="T378" s="158"/>
      <c r="U378" s="21">
        <v>0</v>
      </c>
      <c r="V378" s="21">
        <v>1</v>
      </c>
      <c r="W378" s="21">
        <v>0</v>
      </c>
      <c r="X378" s="156">
        <v>4</v>
      </c>
      <c r="Y378" s="157">
        <f>CEILING((IF(P378=AS_DEV_EFFORT, DEV_EFFORT*Q378%,
                           IF(P378=AS_DURATION_EFFORT, (MANUAL_DURATION*5)*Q378%,
                                    (IF(Q378&lt;=1,X378,
                                          IF(SUM(U378:W378)=0,(Q378*X378),
                                               (((Q378*U378)*(X378+(X378*EXTRA_FOR_H)))+
                                               ((Q378*V378)*X378)+
                                               ((Q378*W378)*(X378-(X378*LESS_FOR_L)))
                                    )*IF(R378=0,1,R378))))))+Z378), 0.25)</f>
        <v>4</v>
      </c>
      <c r="Z378" s="22"/>
      <c r="AA378" s="157">
        <f>Y378+Y378*VLOOKUP(I378,EXTRAS_ARRAY,2,FALSE)</f>
        <v>4</v>
      </c>
      <c r="AB378" s="20"/>
      <c r="AC378" s="34"/>
      <c r="AD378" s="23" t="str">
        <f>IF(J378&lt;&gt;"Yes",
IF(S378&lt;=0,"Error: Effort value is not defined or is invalid.",
IF(AND(SUM(U378:W378)&gt;0,SUM(U378:W378)&lt;&gt;1),"Error: Complexity % distribution should sum to 100%.",
IF(AND(P378=AS_DEV_EFFORT,X378&lt;&gt;0),"Error: PDs should not be defined when defining as dev effort %.",
IF(AND(P378=AS_DURATION_EFFORT,X378&lt;&gt;0),"Error: PDs should not be defined when defining as duration effort %.","")))))</f>
        <v/>
      </c>
    </row>
    <row r="379" spans="1:30" s="9" customFormat="1" ht="7.5" hidden="1" customHeight="1" outlineLevel="2" x14ac:dyDescent="0.35">
      <c r="A379" s="86" t="s">
        <v>132</v>
      </c>
      <c r="B379" s="15"/>
      <c r="C379" s="72"/>
      <c r="D379" s="72"/>
      <c r="E379" s="72"/>
      <c r="F379" s="72"/>
      <c r="M379" s="252"/>
      <c r="T379" s="15"/>
      <c r="X379" s="15"/>
      <c r="AB379" s="10"/>
      <c r="AC379" s="10"/>
      <c r="AD379" s="10"/>
    </row>
    <row r="380" spans="1:30" s="9" customFormat="1" ht="3" customHeight="1" outlineLevel="1" x14ac:dyDescent="0.35">
      <c r="A380" s="86" t="s">
        <v>102</v>
      </c>
      <c r="C380" s="72"/>
      <c r="D380" s="72"/>
      <c r="E380" s="72"/>
      <c r="F380" s="72"/>
      <c r="G380" s="25"/>
      <c r="H380" s="25"/>
      <c r="I380" s="25"/>
      <c r="J380" s="25"/>
      <c r="K380" s="25"/>
      <c r="L380" s="56"/>
      <c r="M380" s="264"/>
      <c r="N380" s="57"/>
      <c r="O380" s="57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7"/>
      <c r="AC380" s="57"/>
      <c r="AD380" s="10"/>
    </row>
    <row r="381" spans="1:30" s="14" customFormat="1" ht="18.5" x14ac:dyDescent="0.35">
      <c r="A381" s="86" t="s">
        <v>98</v>
      </c>
      <c r="B381" s="12"/>
      <c r="C381" s="73"/>
      <c r="D381" s="73"/>
      <c r="E381" s="73"/>
      <c r="F381" s="72"/>
      <c r="G381" s="52"/>
      <c r="H381" s="52"/>
      <c r="I381" s="52"/>
      <c r="J381" s="52"/>
      <c r="K381" s="52"/>
      <c r="L381" s="52" t="s">
        <v>70</v>
      </c>
      <c r="M381" s="261" t="s">
        <v>74</v>
      </c>
      <c r="N381" s="53"/>
      <c r="O381" s="54"/>
      <c r="P381" s="55"/>
      <c r="Q381" s="55"/>
      <c r="R381" s="55"/>
      <c r="S381" s="304">
        <f>CEILING(SUMIF(J382:J417, "&lt;&gt;Yes", T382:T417),1)</f>
        <v>96</v>
      </c>
      <c r="T381" s="304"/>
      <c r="U381" s="55"/>
      <c r="V381" s="55"/>
      <c r="W381" s="55"/>
      <c r="X381" s="55"/>
      <c r="Y381" s="55"/>
      <c r="Z381" s="55"/>
      <c r="AA381" s="55"/>
      <c r="AB381" s="55"/>
      <c r="AC381" s="55"/>
      <c r="AD381" s="13"/>
    </row>
    <row r="382" spans="1:30" s="9" customFormat="1" ht="3" customHeight="1" outlineLevel="1" x14ac:dyDescent="0.35">
      <c r="A382" s="86" t="s">
        <v>99</v>
      </c>
      <c r="B382" s="15"/>
      <c r="C382" s="72"/>
      <c r="D382" s="72"/>
      <c r="E382" s="72"/>
      <c r="F382" s="72"/>
      <c r="G382" s="25"/>
      <c r="H382" s="25"/>
      <c r="I382" s="25"/>
      <c r="J382" s="25"/>
      <c r="K382" s="25"/>
      <c r="L382" s="26">
        <v>0</v>
      </c>
      <c r="M382" s="262"/>
      <c r="N382" s="25"/>
      <c r="O382" s="25"/>
      <c r="P382" s="25"/>
      <c r="Q382" s="25"/>
      <c r="R382" s="25"/>
      <c r="S382" s="25"/>
      <c r="T382" s="27"/>
      <c r="U382" s="25"/>
      <c r="V382" s="25"/>
      <c r="W382" s="25"/>
      <c r="X382" s="27"/>
      <c r="Y382" s="25"/>
      <c r="Z382" s="25"/>
      <c r="AA382" s="25"/>
      <c r="AB382" s="28"/>
      <c r="AC382" s="28"/>
      <c r="AD382" s="10"/>
    </row>
    <row r="383" spans="1:30" s="14" customFormat="1" ht="15.5" outlineLevel="1" x14ac:dyDescent="0.35">
      <c r="A383" s="86" t="s">
        <v>107</v>
      </c>
      <c r="B383" s="18"/>
      <c r="C383" s="77"/>
      <c r="D383" s="77"/>
      <c r="E383" s="77"/>
      <c r="F383" s="76"/>
      <c r="G383" s="170"/>
      <c r="H383" s="170"/>
      <c r="I383" s="170"/>
      <c r="J383" s="170"/>
      <c r="K383" s="170"/>
      <c r="L383" s="85" t="s">
        <v>109</v>
      </c>
      <c r="M383" s="302" t="s">
        <v>1153</v>
      </c>
      <c r="N383" s="302"/>
      <c r="O383" s="80"/>
      <c r="P383" s="81"/>
      <c r="Q383" s="81"/>
      <c r="R383" s="81"/>
      <c r="S383" s="293">
        <f>SUMGROUP(ROW(), "T")</f>
        <v>10</v>
      </c>
      <c r="T383" s="293"/>
      <c r="U383" s="294"/>
      <c r="V383" s="294"/>
      <c r="W383" s="294"/>
      <c r="X383" s="82"/>
      <c r="Y383" s="83"/>
      <c r="Z383" s="83"/>
      <c r="AA383" s="83"/>
      <c r="AB383" s="221"/>
      <c r="AC383" s="84"/>
      <c r="AD383" s="23" t="str">
        <f>IF(M383="", "Error: Module name cannot be empty.", "")</f>
        <v/>
      </c>
    </row>
    <row r="384" spans="1:30" s="14" customFormat="1" ht="15.5" outlineLevel="1" collapsed="1" x14ac:dyDescent="0.35">
      <c r="A384" s="86" t="s">
        <v>100</v>
      </c>
      <c r="B384" s="18"/>
      <c r="C384" s="77"/>
      <c r="D384" s="77"/>
      <c r="E384" s="77"/>
      <c r="F384" s="76"/>
      <c r="G384" s="29"/>
      <c r="H384" s="29"/>
      <c r="I384" s="29"/>
      <c r="J384" s="29"/>
      <c r="K384" s="29"/>
      <c r="L384" s="17">
        <f ca="1">LOOKUP(1000,INDIRECT("L1:"&amp;CELL("address",INDIRECT("R[-1]C",FALSE))))+1</f>
        <v>1</v>
      </c>
      <c r="M384" s="303" t="s">
        <v>484</v>
      </c>
      <c r="N384" s="303"/>
      <c r="O384" s="5"/>
      <c r="P384" s="30"/>
      <c r="Q384" s="30"/>
      <c r="R384" s="30"/>
      <c r="S384" s="30"/>
      <c r="T384" s="155">
        <f>IF($S$6="Exclude", SUMIFS(S385:S388, J385:J388, "&lt;&gt;Yes", G385:G388, "&lt;&gt;Yes"), SUMIFS(S385:S388, J385:J388, "&lt;&gt;Yes"))</f>
        <v>10</v>
      </c>
      <c r="U384" s="30"/>
      <c r="V384" s="30"/>
      <c r="W384" s="30"/>
      <c r="X384" s="31"/>
      <c r="Y384" s="32"/>
      <c r="Z384" s="32"/>
      <c r="AA384" s="32"/>
      <c r="AB384" s="219"/>
      <c r="AC384" s="33"/>
      <c r="AD384" s="23" t="str">
        <f>IF(M384="", "Error: Task name cannot be empty.", "")</f>
        <v/>
      </c>
    </row>
    <row r="385" spans="1:30" s="12" customFormat="1" ht="1.5" hidden="1" customHeight="1" outlineLevel="2" x14ac:dyDescent="0.35">
      <c r="A385" s="86" t="s">
        <v>101</v>
      </c>
      <c r="B385" s="18"/>
      <c r="C385" s="77"/>
      <c r="D385" s="77"/>
      <c r="E385" s="77"/>
      <c r="F385" s="76"/>
      <c r="G385" s="29"/>
      <c r="H385" s="29"/>
      <c r="I385" s="29"/>
      <c r="J385" s="29"/>
      <c r="K385" s="29"/>
      <c r="L385" s="163">
        <f ca="1">L384</f>
        <v>1</v>
      </c>
      <c r="M385" s="164" t="s">
        <v>105</v>
      </c>
      <c r="N385" s="161"/>
      <c r="O385" s="162"/>
      <c r="P385" s="30"/>
      <c r="Q385" s="30"/>
      <c r="R385" s="30"/>
      <c r="S385" s="30"/>
      <c r="T385" s="155"/>
      <c r="U385" s="30"/>
      <c r="V385" s="30"/>
      <c r="W385" s="30"/>
      <c r="X385" s="31"/>
      <c r="Y385" s="32"/>
      <c r="Z385" s="32"/>
      <c r="AA385" s="32"/>
      <c r="AB385" s="33"/>
      <c r="AC385" s="33"/>
      <c r="AD385" s="23"/>
    </row>
    <row r="386" spans="1:30" ht="87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 t="str">
        <f ca="1">IFERROR(OFFSET(M386,-1,,1,1)+0.1,OFFSET(M386,-1,-1,1,1)&amp;".1")</f>
        <v>1.1</v>
      </c>
      <c r="N386" s="20" t="s">
        <v>929</v>
      </c>
      <c r="O386" s="20"/>
      <c r="P386" s="20"/>
      <c r="Q386" s="134"/>
      <c r="R386" s="127"/>
      <c r="S386" s="157">
        <f>CEILING((IF(J386="Yes", 0, IF(H386="-",AA386,AA386+AA386*VLOOKUP(H386,BUFFERS_BY_TYPE,2,FALSE)))) +
   (IF(J386="Yes", 0, IF(H386="-",AA386,AA386+AA386*VLOOKUP(H386,BUFFERS_BY_TYPE,2,FALSE))))*VLOOKUP($S$5, SALES_CALL_SCALE_ARRAY, 2,FALSE),0.25)</f>
        <v>5</v>
      </c>
      <c r="T386" s="158"/>
      <c r="U386" s="21">
        <v>0.2</v>
      </c>
      <c r="V386" s="21">
        <v>0.5</v>
      </c>
      <c r="W386" s="21">
        <v>0.3</v>
      </c>
      <c r="X386" s="156">
        <v>5</v>
      </c>
      <c r="Y386" s="157">
        <f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5</v>
      </c>
      <c r="Z386" s="22"/>
      <c r="AA386" s="157">
        <f>Y386+Y386*VLOOKUP(I386,EXTRAS_ARRAY,2,FALSE)</f>
        <v>5</v>
      </c>
      <c r="AB386" s="20"/>
      <c r="AC386" s="34"/>
      <c r="AD386" s="23" t="str">
        <f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ht="116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ca="1">IFERROR(OFFSET(M387,-1,,1,1)+0.1,OFFSET(M387,-1,-1,1,1)&amp;".1")</f>
        <v>1.2000000000000002</v>
      </c>
      <c r="N387" s="20" t="s">
        <v>930</v>
      </c>
      <c r="O387" s="20"/>
      <c r="P387" s="20" t="s">
        <v>485</v>
      </c>
      <c r="Q387" s="134">
        <f>Total_Use_Cases</f>
        <v>24</v>
      </c>
      <c r="R387" s="127"/>
      <c r="S387" s="157">
        <f>CEILING((IF(J387="Yes", 0, IF(H387="-",AA387,AA387+AA387*VLOOKUP(H387,BUFFERS_BY_TYPE,2,FALSE)))) +
   (IF(J387="Yes", 0, IF(H387="-",AA387,AA387+AA387*VLOOKUP(H387,BUFFERS_BY_TYPE,2,FALSE))))*VLOOKUP($S$5, SALES_CALL_SCALE_ARRAY, 2,FALSE),0.25)</f>
        <v>5</v>
      </c>
      <c r="T387" s="158"/>
      <c r="U387" s="21">
        <v>0.2</v>
      </c>
      <c r="V387" s="21">
        <v>0.5</v>
      </c>
      <c r="W387" s="21">
        <v>0.3</v>
      </c>
      <c r="X387" s="156">
        <v>0.2</v>
      </c>
      <c r="Y387" s="157">
        <f>CEILING((IF(P387=AS_DEV_EFFORT, DEV_EFFORT*Q387%,
                           IF(P387=AS_DURATION_EFFORT, (MANUAL_DURATION*5)*Q387%,
                                    (IF(Q387&lt;=1,X387,
                                          IF(SUM(U387:W387)=0,(Q387*X387),
                                               (((Q387*U387)*(X387+(X387*EXTRA_FOR_H)))+
                                               ((Q387*V387)*X387)+
                                               ((Q387*W387)*(X387-(X387*LESS_FOR_L)))
                                    )*IF(R387=0,1,R387))))))+Z387), 0.25)</f>
        <v>5</v>
      </c>
      <c r="Z387" s="22">
        <v>7.9000000000000001E-2</v>
      </c>
      <c r="AA387" s="157">
        <f>Y387+Y387*VLOOKUP(I387,EXTRAS_ARRAY,2,FALSE)</f>
        <v>5</v>
      </c>
      <c r="AB387" s="20"/>
      <c r="AC387" s="34"/>
      <c r="AD387" s="23" t="str">
        <f>IF(J387&lt;&gt;"Yes",
IF(S387&lt;=0,"Error: Effort value is not defined or is invalid.",
IF(AND(SUM(U387:W387)&gt;0,SUM(U387:W387)&lt;&gt;1),"Error: Complexity % distribution should sum to 100%.",
IF(AND(P387=AS_DEV_EFFORT,X387&lt;&gt;0),"Error: PDs should not be defined when defining as dev effort %.",
IF(AND(P387=AS_DURATION_EFFORT,X387&lt;&gt;0),"Error: PDs should not be defined when defining as duration effort %.","")))))</f>
        <v/>
      </c>
    </row>
    <row r="388" spans="1:30" s="9" customFormat="1" ht="7.5" hidden="1" customHeight="1" outlineLevel="2" x14ac:dyDescent="0.35">
      <c r="A388" s="86" t="s">
        <v>132</v>
      </c>
      <c r="B388" s="15"/>
      <c r="C388" s="72"/>
      <c r="D388" s="72"/>
      <c r="E388" s="72"/>
      <c r="F388" s="72"/>
      <c r="M388" s="252"/>
      <c r="T388" s="15"/>
      <c r="X388" s="15"/>
      <c r="AB388" s="10"/>
      <c r="AC388" s="10"/>
      <c r="AD388" s="10"/>
    </row>
    <row r="389" spans="1:30" s="14" customFormat="1" ht="15.5" outlineLevel="1" x14ac:dyDescent="0.35">
      <c r="A389" s="86" t="s">
        <v>107</v>
      </c>
      <c r="B389" s="18"/>
      <c r="C389" s="77"/>
      <c r="D389" s="77"/>
      <c r="E389" s="77"/>
      <c r="F389" s="76"/>
      <c r="G389" s="170"/>
      <c r="H389" s="170"/>
      <c r="I389" s="170"/>
      <c r="J389" s="170"/>
      <c r="K389" s="170"/>
      <c r="L389" s="85" t="s">
        <v>109</v>
      </c>
      <c r="M389" s="302" t="s">
        <v>1154</v>
      </c>
      <c r="N389" s="302"/>
      <c r="O389" s="80"/>
      <c r="P389" s="81"/>
      <c r="Q389" s="81"/>
      <c r="R389" s="81"/>
      <c r="S389" s="293">
        <f>SUMGROUP(ROW(), "T")</f>
        <v>86</v>
      </c>
      <c r="T389" s="293"/>
      <c r="U389" s="294"/>
      <c r="V389" s="294"/>
      <c r="W389" s="294"/>
      <c r="X389" s="82"/>
      <c r="Y389" s="83"/>
      <c r="Z389" s="83"/>
      <c r="AA389" s="83"/>
      <c r="AB389" s="221"/>
      <c r="AC389" s="84"/>
      <c r="AD389" s="23" t="str">
        <f>IF(M389="", "Error: Module name cannot be empty.", "")</f>
        <v/>
      </c>
    </row>
    <row r="390" spans="1:30" s="14" customFormat="1" ht="15.5" outlineLevel="1" collapsed="1" x14ac:dyDescent="0.35">
      <c r="A390" s="86" t="s">
        <v>100</v>
      </c>
      <c r="B390" s="18"/>
      <c r="C390" s="77"/>
      <c r="D390" s="77"/>
      <c r="E390" s="77"/>
      <c r="F390" s="76"/>
      <c r="G390" s="29"/>
      <c r="H390" s="29"/>
      <c r="I390" s="29"/>
      <c r="J390" s="29"/>
      <c r="K390" s="29"/>
      <c r="L390" s="17">
        <f ca="1">LOOKUP(1000,INDIRECT("L1:"&amp;CELL("address",INDIRECT("R[-1]C",FALSE))))+1</f>
        <v>2</v>
      </c>
      <c r="M390" s="303" t="s">
        <v>452</v>
      </c>
      <c r="N390" s="303"/>
      <c r="O390" s="5"/>
      <c r="P390" s="30"/>
      <c r="Q390" s="30"/>
      <c r="R390" s="30"/>
      <c r="S390" s="30"/>
      <c r="T390" s="155">
        <f>IF($S$6="Exclude", SUMIFS(S391:S396, J391:J396, "&lt;&gt;Yes", G391:G396, "&lt;&gt;Yes"), SUMIFS(S391:S396, J391:J396, "&lt;&gt;Yes"))</f>
        <v>29</v>
      </c>
      <c r="U390" s="30"/>
      <c r="V390" s="30"/>
      <c r="W390" s="30"/>
      <c r="X390" s="31"/>
      <c r="Y390" s="32"/>
      <c r="Z390" s="32"/>
      <c r="AA390" s="32"/>
      <c r="AB390" s="219"/>
      <c r="AC390" s="33"/>
      <c r="AD390" s="23" t="str">
        <f>IF(M390="", "Error: Task name cannot be empty.", "")</f>
        <v/>
      </c>
    </row>
    <row r="391" spans="1:30" s="12" customFormat="1" ht="1.5" hidden="1" customHeight="1" outlineLevel="2" x14ac:dyDescent="0.35">
      <c r="A391" s="86" t="s">
        <v>101</v>
      </c>
      <c r="B391" s="18"/>
      <c r="C391" s="77"/>
      <c r="D391" s="77"/>
      <c r="E391" s="77"/>
      <c r="F391" s="76"/>
      <c r="G391" s="29"/>
      <c r="H391" s="29"/>
      <c r="I391" s="29"/>
      <c r="J391" s="29"/>
      <c r="K391" s="29"/>
      <c r="L391" s="163">
        <f ca="1">L390</f>
        <v>2</v>
      </c>
      <c r="M391" s="164" t="s">
        <v>105</v>
      </c>
      <c r="N391" s="161"/>
      <c r="O391" s="162"/>
      <c r="P391" s="30"/>
      <c r="Q391" s="30"/>
      <c r="R391" s="30"/>
      <c r="S391" s="30"/>
      <c r="T391" s="155"/>
      <c r="U391" s="30"/>
      <c r="V391" s="30"/>
      <c r="W391" s="30"/>
      <c r="X391" s="31"/>
      <c r="Y391" s="32"/>
      <c r="Z391" s="32"/>
      <c r="AA391" s="32"/>
      <c r="AB391" s="33"/>
      <c r="AC391" s="33"/>
      <c r="AD391" s="23"/>
    </row>
    <row r="392" spans="1:30" ht="72.5" hidden="1" outlineLevel="2" x14ac:dyDescent="0.35">
      <c r="A392" s="86" t="s">
        <v>0</v>
      </c>
      <c r="B392" s="18"/>
      <c r="C392" s="78"/>
      <c r="D392" s="78"/>
      <c r="E392" s="78"/>
      <c r="F392" s="79"/>
      <c r="G392" s="19" t="s">
        <v>23</v>
      </c>
      <c r="H392" s="19" t="s">
        <v>23</v>
      </c>
      <c r="I392" s="20" t="s">
        <v>23</v>
      </c>
      <c r="J392" s="19" t="s">
        <v>23</v>
      </c>
      <c r="K392" s="35"/>
      <c r="L392" s="19"/>
      <c r="M392" s="263" t="str">
        <f ca="1">IFERROR(OFFSET(M392,-1,,1,1)+0.1,OFFSET(M392,-1,-1,1,1)&amp;".1")</f>
        <v>2.1</v>
      </c>
      <c r="N392" s="20" t="s">
        <v>931</v>
      </c>
      <c r="O392" s="20"/>
      <c r="P392" s="20"/>
      <c r="Q392" s="134"/>
      <c r="R392" s="127"/>
      <c r="S392" s="157">
        <f>CEILING((IF(J392="Yes", 0, IF(H392="-",AA392,AA392+AA392*VLOOKUP(H392,BUFFERS_BY_TYPE,2,FALSE)))) +
   (IF(J392="Yes", 0, IF(H392="-",AA392,AA392+AA392*VLOOKUP(H392,BUFFERS_BY_TYPE,2,FALSE))))*VLOOKUP($S$5, SALES_CALL_SCALE_ARRAY, 2,FALSE),0.25)</f>
        <v>6</v>
      </c>
      <c r="T392" s="158"/>
      <c r="U392" s="21">
        <v>0</v>
      </c>
      <c r="V392" s="21">
        <v>1</v>
      </c>
      <c r="W392" s="21">
        <v>0</v>
      </c>
      <c r="X392" s="156">
        <v>6</v>
      </c>
      <c r="Y392" s="157">
        <f>CEILING((IF(P392=AS_DEV_EFFORT, DEV_EFFORT*Q392%,
                           IF(P392=AS_DURATION_EFFORT, (MANUAL_DURATION*5)*Q392%,
                                    (IF(Q392&lt;=1,X392,
                                          IF(SUM(U392:W392)=0,(Q392*X392),
                                               (((Q392*U392)*(X392+(X392*EXTRA_FOR_H)))+
                                               ((Q392*V392)*X392)+
                                               ((Q392*W392)*(X392-(X392*LESS_FOR_L)))
                                    )*IF(R392=0,1,R392))))))+Z392), 0.25)</f>
        <v>6</v>
      </c>
      <c r="Z392" s="22"/>
      <c r="AA392" s="157">
        <f>Y392+Y392*VLOOKUP(I392,EXTRAS_ARRAY,2,FALSE)</f>
        <v>6</v>
      </c>
      <c r="AB392" s="20"/>
      <c r="AC392" s="34"/>
      <c r="AD392" s="23" t="str">
        <f>IF(J392&lt;&gt;"Yes",
IF(S392&lt;=0,"Error: Effort value is not defined or is invalid.",
IF(AND(SUM(U392:W392)&gt;0,SUM(U392:W392)&lt;&gt;1),"Error: Complexity % distribution should sum to 100%.",
IF(AND(P392=AS_DEV_EFFORT,X392&lt;&gt;0),"Error: PDs should not be defined when defining as dev effort %.",
IF(AND(P392=AS_DURATION_EFFORT,X392&lt;&gt;0),"Error: PDs should not be defined when defining as duration effort %.","")))))</f>
        <v/>
      </c>
    </row>
    <row r="393" spans="1:30" ht="130.5" hidden="1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 t="s">
        <v>1155</v>
      </c>
      <c r="L393" s="19"/>
      <c r="M393" s="263">
        <f ca="1">IFERROR(OFFSET(M393,-1,,1,1)+0.1,OFFSET(M393,-1,-1,1,1)&amp;".1")</f>
        <v>2.2000000000000002</v>
      </c>
      <c r="N393" s="20" t="s">
        <v>932</v>
      </c>
      <c r="O393" s="20" t="s">
        <v>1156</v>
      </c>
      <c r="P393" s="20">
        <f>Total_Use_Cases * R393</f>
        <v>120</v>
      </c>
      <c r="Q393" s="134">
        <f>Total_Use_Cases</f>
        <v>24</v>
      </c>
      <c r="R393" s="127">
        <v>5</v>
      </c>
      <c r="S393" s="157">
        <f>CEILING((IF(J393="Yes", 0, IF(H393="-",AA393,AA393+AA393*VLOOKUP(H393,BUFFERS_BY_TYPE,2,FALSE)))) +
   (IF(J393="Yes", 0, IF(H393="-",AA393,AA393+AA393*VLOOKUP(H393,BUFFERS_BY_TYPE,2,FALSE))))*VLOOKUP($S$5, SALES_CALL_SCALE_ARRAY, 2,FALSE),0.25)</f>
        <v>18</v>
      </c>
      <c r="T393" s="158"/>
      <c r="U393" s="21">
        <v>0.15</v>
      </c>
      <c r="V393" s="21">
        <v>0.5</v>
      </c>
      <c r="W393" s="21">
        <v>0.35</v>
      </c>
      <c r="X393" s="156">
        <v>0.15</v>
      </c>
      <c r="Y393" s="157">
        <f>CEILING((IF(P393=AS_DEV_EFFORT, DEV_EFFORT*Q393%,
                           IF(P393=AS_DURATION_EFFORT, (MANUAL_DURATION*5)*Q393%,
                                    (IF(Q393&lt;=1,X393,
                                          IF(SUM(U393:W393)=0,(Q393*X393),
                                               (((Q393*U393)*(X393+(X393*EXTRA_FOR_H)))+
                                               ((Q393*V393)*X393)+
                                               ((Q393*W393)*(X393-(X393*LESS_FOR_L)))
                                    )*IF(R393=0,1,R393))))))+Z393), 0.25)</f>
        <v>18</v>
      </c>
      <c r="Z393" s="22">
        <v>0.224</v>
      </c>
      <c r="AA393" s="157">
        <f>Y393+Y393*VLOOKUP(I393,EXTRAS_ARRAY,2,FALSE)</f>
        <v>18</v>
      </c>
      <c r="AB393" s="20"/>
      <c r="AC393" s="34"/>
      <c r="AD393" s="23" t="str">
        <f>IF(J393&lt;&gt;"Yes",
IF(S393&lt;=0,"Error: Effort value is not defined or is invalid.",
IF(AND(SUM(U393:W393)&gt;0,SUM(U393:W393)&lt;&gt;1),"Error: Complexity % distribution should sum to 100%.",
IF(AND(P393=AS_DEV_EFFORT,X393&lt;&gt;0),"Error: PDs should not be defined when defining as dev effort %.",
IF(AND(P393=AS_DURATION_EFFORT,X393&lt;&gt;0),"Error: PDs should not be defined when defining as duration effort %.","")))))</f>
        <v/>
      </c>
    </row>
    <row r="394" spans="1:30" ht="101.5" hidden="1" outlineLevel="2" x14ac:dyDescent="0.35">
      <c r="A394" s="86" t="s">
        <v>0</v>
      </c>
      <c r="B394" s="18"/>
      <c r="C394" s="78"/>
      <c r="D394" s="78"/>
      <c r="E394" s="78"/>
      <c r="F394" s="79"/>
      <c r="G394" s="19" t="s">
        <v>23</v>
      </c>
      <c r="H394" s="19" t="s">
        <v>23</v>
      </c>
      <c r="I394" s="20" t="s">
        <v>23</v>
      </c>
      <c r="J394" s="19" t="s">
        <v>6</v>
      </c>
      <c r="K394" s="35" t="s">
        <v>1157</v>
      </c>
      <c r="L394" s="19"/>
      <c r="M394" s="263">
        <f ca="1">IFERROR(OFFSET(M394,-1,,1,1)+0.1,OFFSET(M394,-1,-1,1,1)&amp;".1")</f>
        <v>2.3000000000000003</v>
      </c>
      <c r="N394" s="20" t="s">
        <v>933</v>
      </c>
      <c r="O394" s="20" t="s">
        <v>1158</v>
      </c>
      <c r="P394" s="20">
        <f>Total_Use_Cases * R394 * 50%</f>
        <v>60</v>
      </c>
      <c r="Q394" s="134">
        <f>Total_Use_Cases</f>
        <v>24</v>
      </c>
      <c r="R394" s="127">
        <v>5</v>
      </c>
      <c r="S394" s="157">
        <f>CEILING((IF(J394="Yes", 0, IF(H394="-",AA394,AA394+AA394*VLOOKUP(H394,BUFFERS_BY_TYPE,2,FALSE)))) +
   (IF(J394="Yes", 0, IF(H394="-",AA394,AA394+AA394*VLOOKUP(H394,BUFFERS_BY_TYPE,2,FALSE))))*VLOOKUP($S$5, SALES_CALL_SCALE_ARRAY, 2,FALSE),0.25)</f>
        <v>0</v>
      </c>
      <c r="T394" s="158"/>
      <c r="U394" s="21">
        <v>0.15</v>
      </c>
      <c r="V394" s="21">
        <v>0.5</v>
      </c>
      <c r="W394" s="21">
        <v>0.35</v>
      </c>
      <c r="X394" s="156">
        <v>0.1</v>
      </c>
      <c r="Y394" s="157">
        <f>CEILING((IF(P394=AS_DEV_EFFORT, DEV_EFFORT*Q394%,
                           IF(P394=AS_DURATION_EFFORT, (MANUAL_DURATION*5)*Q394%,
                                    (IF(Q394&lt;=1,X394,
                                          IF(SUM(U394:W394)=0,(Q394*X394),
                                               (((Q394*U394)*(X394+(X394*EXTRA_FOR_H)))+
                                               ((Q394*V394)*X394)+
                                               ((Q394*W394)*(X394-(X394*LESS_FOR_L)))
                                    )*IF(R394=0,1,R394))))))+Z394), 0.25)</f>
        <v>9</v>
      </c>
      <c r="Z394" s="22">
        <v>-2.851</v>
      </c>
      <c r="AA394" s="157">
        <f>Y394+Y394*VLOOKUP(I394,EXTRAS_ARRAY,2,FALSE)</f>
        <v>9</v>
      </c>
      <c r="AB394" s="20"/>
      <c r="AC394" s="34"/>
      <c r="AD394" s="23" t="b">
        <f>IF(J394&lt;&gt;"Yes",
IF(S394&lt;=0,"Error: Effort value is not defined or is invalid.",
IF(AND(SUM(U394:W394)&gt;0,SUM(U394:W394)&lt;&gt;1),"Error: Complexity % distribution should sum to 100%.",
IF(AND(P394=AS_DEV_EFFORT,X394&lt;&gt;0),"Error: PDs should not be defined when defining as dev effort %.",
IF(AND(P394=AS_DURATION_EFFORT,X394&lt;&gt;0),"Error: PDs should not be defined when defining as duration effort %.","")))))</f>
        <v>0</v>
      </c>
    </row>
    <row r="395" spans="1:30" ht="72.5" hidden="1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>
        <f ca="1">IFERROR(OFFSET(M395,-1,,1,1)+0.1,OFFSET(M395,-1,-1,1,1)&amp;".1")</f>
        <v>2.4000000000000004</v>
      </c>
      <c r="N395" s="20" t="s">
        <v>934</v>
      </c>
      <c r="O395" s="20"/>
      <c r="P395" s="20"/>
      <c r="Q395" s="134"/>
      <c r="R395" s="127"/>
      <c r="S395" s="157">
        <f>CEILING((IF(J395="Yes", 0, IF(H395="-",AA395,AA395+AA395*VLOOKUP(H395,BUFFERS_BY_TYPE,2,FALSE)))) +
   (IF(J395="Yes", 0, IF(H395="-",AA395,AA395+AA395*VLOOKUP(H395,BUFFERS_BY_TYPE,2,FALSE))))*VLOOKUP($S$5, SALES_CALL_SCALE_ARRAY, 2,FALSE),0.25)</f>
        <v>5</v>
      </c>
      <c r="T395" s="158"/>
      <c r="U395" s="21">
        <v>0</v>
      </c>
      <c r="V395" s="21">
        <v>1</v>
      </c>
      <c r="W395" s="21">
        <v>0</v>
      </c>
      <c r="X395" s="156">
        <v>5</v>
      </c>
      <c r="Y395" s="157">
        <f>CEILING((IF(P395=AS_DEV_EFFORT, DEV_EFFORT*Q395%,
                           IF(P395=AS_DURATION_EFFORT, (MANUAL_DURATION*5)*Q395%,
                                    (IF(Q395&lt;=1,X395,
                                          IF(SUM(U395:W395)=0,(Q395*X395),
                                               (((Q395*U395)*(X395+(X395*EXTRA_FOR_H)))+
                                               ((Q395*V395)*X395)+
                                               ((Q395*W395)*(X395-(X395*LESS_FOR_L)))
                                    )*IF(R395=0,1,R395))))))+Z395), 0.25)</f>
        <v>5</v>
      </c>
      <c r="Z395" s="22"/>
      <c r="AA395" s="157">
        <f>Y395+Y395*VLOOKUP(I395,EXTRAS_ARRAY,2,FALSE)</f>
        <v>5</v>
      </c>
      <c r="AB395" s="20"/>
      <c r="AC395" s="34"/>
      <c r="AD395" s="23" t="str">
        <f>IF(J395&lt;&gt;"Yes",
IF(S395&lt;=0,"Error: Effort value is not defined or is invalid.",
IF(AND(SUM(U395:W395)&gt;0,SUM(U395:W395)&lt;&gt;1),"Error: Complexity % distribution should sum to 100%.",
IF(AND(P395=AS_DEV_EFFORT,X395&lt;&gt;0),"Error: PDs should not be defined when defining as dev effort %.",
IF(AND(P395=AS_DURATION_EFFORT,X395&lt;&gt;0),"Error: PDs should not be defined when defining as duration effort %.","")))))</f>
        <v/>
      </c>
    </row>
    <row r="396" spans="1:30" s="9" customFormat="1" ht="7.5" hidden="1" customHeight="1" outlineLevel="2" x14ac:dyDescent="0.35">
      <c r="A396" s="86" t="s">
        <v>132</v>
      </c>
      <c r="B396" s="15"/>
      <c r="C396" s="72"/>
      <c r="D396" s="72"/>
      <c r="E396" s="72"/>
      <c r="F396" s="72"/>
      <c r="M396" s="252"/>
      <c r="T396" s="15"/>
      <c r="X396" s="15"/>
      <c r="AB396" s="10"/>
      <c r="AC396" s="10"/>
      <c r="AD396" s="10"/>
    </row>
    <row r="397" spans="1:30" s="14" customFormat="1" ht="15.5" outlineLevel="1" collapsed="1" x14ac:dyDescent="0.35">
      <c r="A397" s="86" t="s">
        <v>100</v>
      </c>
      <c r="B397" s="18"/>
      <c r="C397" s="77"/>
      <c r="D397" s="77"/>
      <c r="E397" s="77"/>
      <c r="F397" s="76"/>
      <c r="G397" s="29"/>
      <c r="H397" s="29"/>
      <c r="I397" s="29"/>
      <c r="J397" s="29"/>
      <c r="K397" s="29"/>
      <c r="L397" s="17">
        <f ca="1">LOOKUP(1000,INDIRECT("L1:"&amp;CELL("address",INDIRECT("R[-1]C",FALSE))))+1</f>
        <v>3</v>
      </c>
      <c r="M397" s="303" t="s">
        <v>455</v>
      </c>
      <c r="N397" s="303"/>
      <c r="O397" s="5"/>
      <c r="P397" s="30"/>
      <c r="Q397" s="30"/>
      <c r="R397" s="30"/>
      <c r="S397" s="30"/>
      <c r="T397" s="155">
        <f>IF($S$6="Exclude", SUMIFS(S398:S401, J398:J401, "&lt;&gt;Yes", G398:G401, "&lt;&gt;Yes"), SUMIFS(S398:S401, J398:J401, "&lt;&gt;Yes"))</f>
        <v>30</v>
      </c>
      <c r="U397" s="30"/>
      <c r="V397" s="30"/>
      <c r="W397" s="30"/>
      <c r="X397" s="31"/>
      <c r="Y397" s="32"/>
      <c r="Z397" s="32"/>
      <c r="AA397" s="32"/>
      <c r="AB397" s="219"/>
      <c r="AC397" s="33"/>
      <c r="AD397" s="23" t="str">
        <f>IF(M397="", "Error: Task name cannot be empty.", "")</f>
        <v/>
      </c>
    </row>
    <row r="398" spans="1:30" s="12" customFormat="1" ht="1.5" hidden="1" customHeight="1" outlineLevel="2" x14ac:dyDescent="0.35">
      <c r="A398" s="86" t="s">
        <v>101</v>
      </c>
      <c r="B398" s="18"/>
      <c r="C398" s="77"/>
      <c r="D398" s="77"/>
      <c r="E398" s="77"/>
      <c r="F398" s="76"/>
      <c r="G398" s="29"/>
      <c r="H398" s="29"/>
      <c r="I398" s="29"/>
      <c r="J398" s="29"/>
      <c r="K398" s="29"/>
      <c r="L398" s="163">
        <f ca="1">L397</f>
        <v>3</v>
      </c>
      <c r="M398" s="164" t="s">
        <v>105</v>
      </c>
      <c r="N398" s="161"/>
      <c r="O398" s="162"/>
      <c r="P398" s="30"/>
      <c r="Q398" s="30"/>
      <c r="R398" s="30"/>
      <c r="S398" s="30"/>
      <c r="T398" s="155"/>
      <c r="U398" s="30"/>
      <c r="V398" s="30"/>
      <c r="W398" s="30"/>
      <c r="X398" s="31"/>
      <c r="Y398" s="32"/>
      <c r="Z398" s="32"/>
      <c r="AA398" s="32"/>
      <c r="AB398" s="33"/>
      <c r="AC398" s="33"/>
      <c r="AD398" s="23"/>
    </row>
    <row r="399" spans="1:30" ht="72.5" hidden="1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 t="str">
        <f ca="1">IFERROR(OFFSET(M399,-1,,1,1)+0.1,OFFSET(M399,-1,-1,1,1)&amp;".1")</f>
        <v>3.1</v>
      </c>
      <c r="N399" s="20" t="s">
        <v>935</v>
      </c>
      <c r="O399" s="20"/>
      <c r="P399" s="20"/>
      <c r="Q399" s="134"/>
      <c r="R399" s="127"/>
      <c r="S399" s="157">
        <f>CEILING((IF(J399="Yes", 0, IF(H399="-",AA399,AA399+AA399*VLOOKUP(H399,BUFFERS_BY_TYPE,2,FALSE)))) +
   (IF(J399="Yes", 0, IF(H399="-",AA399,AA399+AA399*VLOOKUP(H399,BUFFERS_BY_TYPE,2,FALSE))))*VLOOKUP($S$5, SALES_CALL_SCALE_ARRAY, 2,FALSE),0.25)</f>
        <v>8</v>
      </c>
      <c r="T399" s="158"/>
      <c r="U399" s="21">
        <v>0</v>
      </c>
      <c r="V399" s="21">
        <v>1</v>
      </c>
      <c r="W399" s="21">
        <v>0</v>
      </c>
      <c r="X399" s="156">
        <v>8</v>
      </c>
      <c r="Y399" s="157">
        <f>CEILING((IF(P399=AS_DEV_EFFORT, DEV_EFFORT*Q399%,
                           IF(P399=AS_DURATION_EFFORT, (MANUAL_DURATION*5)*Q399%,
                                    (IF(Q399&lt;=1,X399,
                                          IF(SUM(U399:W399)=0,(Q399*X399),
                                               (((Q399*U399)*(X399+(X399*EXTRA_FOR_H)))+
                                               ((Q399*V399)*X399)+
                                               ((Q399*W399)*(X399-(X399*LESS_FOR_L)))
                                    )*IF(R399=0,1,R399))))))+Z399), 0.25)</f>
        <v>8</v>
      </c>
      <c r="Z399" s="22"/>
      <c r="AA399" s="157">
        <f>Y399+Y399*VLOOKUP(I399,EXTRAS_ARRAY,2,FALSE)</f>
        <v>8</v>
      </c>
      <c r="AB399" s="20"/>
      <c r="AC399" s="34"/>
      <c r="AD399" s="23" t="str">
        <f>IF(J399&lt;&gt;"Yes",
IF(S399&lt;=0,"Error: Effort value is not defined or is invalid.",
IF(AND(SUM(U399:W399)&gt;0,SUM(U399:W399)&lt;&gt;1),"Error: Complexity % distribution should sum to 100%.",
IF(AND(P399=AS_DEV_EFFORT,X399&lt;&gt;0),"Error: PDs should not be defined when defining as dev effort %.",
IF(AND(P399=AS_DURATION_EFFORT,X399&lt;&gt;0),"Error: PDs should not be defined when defining as duration effort %.","")))))</f>
        <v/>
      </c>
    </row>
    <row r="400" spans="1:30" ht="116" hidden="1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 t="s">
        <v>487</v>
      </c>
      <c r="L400" s="19"/>
      <c r="M400" s="263">
        <f ca="1">IFERROR(OFFSET(M400,-1,,1,1)+0.1,OFFSET(M400,-1,-1,1,1)&amp;".1")</f>
        <v>3.2</v>
      </c>
      <c r="N400" s="20" t="s">
        <v>936</v>
      </c>
      <c r="O400" s="20" t="s">
        <v>486</v>
      </c>
      <c r="P400" s="251">
        <v>0.75</v>
      </c>
      <c r="Q400" s="134">
        <f>Total_Test_Cases * P400</f>
        <v>90</v>
      </c>
      <c r="R400" s="127"/>
      <c r="S400" s="157">
        <f>CEILING((IF(J400="Yes", 0, IF(H400="-",AA400,AA400+AA400*VLOOKUP(H400,BUFFERS_BY_TYPE,2,FALSE)))) +
   (IF(J400="Yes", 0, IF(H400="-",AA400,AA400+AA400*VLOOKUP(H400,BUFFERS_BY_TYPE,2,FALSE))))*VLOOKUP($S$5, SALES_CALL_SCALE_ARRAY, 2,FALSE),0.25)</f>
        <v>22</v>
      </c>
      <c r="T400" s="158"/>
      <c r="U400" s="21">
        <v>0.2</v>
      </c>
      <c r="V400" s="21">
        <v>0.6</v>
      </c>
      <c r="W400" s="21">
        <v>0.2</v>
      </c>
      <c r="X400" s="156">
        <v>0.25</v>
      </c>
      <c r="Y400" s="157">
        <f>CEILING((IF(P400=AS_DEV_EFFORT, DEV_EFFORT*Q400%,
                           IF(P400=AS_DURATION_EFFORT, (MANUAL_DURATION*5)*Q400%,
                                    (IF(Q400&lt;=1,X400,
                                          IF(SUM(U400:W400)=0,(Q400*X400),
                                               (((Q400*U400)*(X400+(X400*EXTRA_FOR_H)))+
                                               ((Q400*V400)*X400)+
                                               ((Q400*W400)*(X400-(X400*LESS_FOR_L)))
                                    )*IF(R400=0,1,R400))))))+Z400), 0.25)</f>
        <v>22</v>
      </c>
      <c r="Z400" s="22">
        <v>-1.6259999999999999</v>
      </c>
      <c r="AA400" s="157">
        <f>Y400+Y400*VLOOKUP(I400,EXTRAS_ARRAY,2,FALSE)</f>
        <v>22</v>
      </c>
      <c r="AB400" s="20"/>
      <c r="AC400" s="34"/>
      <c r="AD400" s="23" t="str">
        <f>IF(J400&lt;&gt;"Yes",
IF(S400&lt;=0,"Error: Effort value is not defined or is invalid.",
IF(AND(SUM(U400:W400)&gt;0,SUM(U400:W400)&lt;&gt;1),"Error: Complexity % distribution should sum to 100%.",
IF(AND(P400=AS_DEV_EFFORT,X400&lt;&gt;0),"Error: PDs should not be defined when defining as dev effort %.",
IF(AND(P400=AS_DURATION_EFFORT,X400&lt;&gt;0),"Error: PDs should not be defined when defining as duration effort %.","")))))</f>
        <v/>
      </c>
    </row>
    <row r="401" spans="1:30" s="9" customFormat="1" ht="7.5" hidden="1" customHeight="1" outlineLevel="2" x14ac:dyDescent="0.35">
      <c r="A401" s="86" t="s">
        <v>132</v>
      </c>
      <c r="B401" s="15"/>
      <c r="C401" s="72"/>
      <c r="D401" s="72"/>
      <c r="E401" s="72"/>
      <c r="F401" s="72"/>
      <c r="M401" s="252"/>
      <c r="T401" s="15"/>
      <c r="X401" s="15"/>
      <c r="AB401" s="10"/>
      <c r="AC401" s="10"/>
      <c r="AD401" s="10"/>
    </row>
    <row r="402" spans="1:30" s="14" customFormat="1" ht="15.5" outlineLevel="1" collapsed="1" x14ac:dyDescent="0.35">
      <c r="A402" s="86" t="s">
        <v>100</v>
      </c>
      <c r="B402" s="18"/>
      <c r="C402" s="77"/>
      <c r="D402" s="77"/>
      <c r="E402" s="77"/>
      <c r="F402" s="76"/>
      <c r="G402" s="29"/>
      <c r="H402" s="29"/>
      <c r="I402" s="29"/>
      <c r="J402" s="29"/>
      <c r="K402" s="29"/>
      <c r="L402" s="17">
        <f ca="1">LOOKUP(1000,INDIRECT("L1:"&amp;CELL("address",INDIRECT("R[-1]C",FALSE))))+1</f>
        <v>4</v>
      </c>
      <c r="M402" s="303" t="s">
        <v>456</v>
      </c>
      <c r="N402" s="303"/>
      <c r="O402" s="5"/>
      <c r="P402" s="30"/>
      <c r="Q402" s="30"/>
      <c r="R402" s="30"/>
      <c r="S402" s="30"/>
      <c r="T402" s="155">
        <f>IF($S$6="Exclude", SUMIFS(S403:S408, J403:J408, "&lt;&gt;Yes", G403:G408, "&lt;&gt;Yes"), SUMIFS(S403:S408, J403:J408, "&lt;&gt;Yes"))</f>
        <v>17</v>
      </c>
      <c r="U402" s="30"/>
      <c r="V402" s="30"/>
      <c r="W402" s="30"/>
      <c r="X402" s="31"/>
      <c r="Y402" s="32"/>
      <c r="Z402" s="32"/>
      <c r="AA402" s="32"/>
      <c r="AB402" s="219"/>
      <c r="AC402" s="33"/>
      <c r="AD402" s="23" t="str">
        <f>IF(M402="", "Error: Task name cannot be empty.", "")</f>
        <v/>
      </c>
    </row>
    <row r="403" spans="1:30" s="12" customFormat="1" ht="1.5" hidden="1" customHeight="1" outlineLevel="2" x14ac:dyDescent="0.35">
      <c r="A403" s="86" t="s">
        <v>101</v>
      </c>
      <c r="B403" s="18"/>
      <c r="C403" s="77"/>
      <c r="D403" s="77"/>
      <c r="E403" s="77"/>
      <c r="F403" s="76"/>
      <c r="G403" s="29"/>
      <c r="H403" s="29"/>
      <c r="I403" s="29"/>
      <c r="J403" s="29"/>
      <c r="K403" s="29"/>
      <c r="L403" s="163">
        <f ca="1">L402</f>
        <v>4</v>
      </c>
      <c r="M403" s="164" t="s">
        <v>105</v>
      </c>
      <c r="N403" s="161"/>
      <c r="O403" s="162"/>
      <c r="P403" s="30"/>
      <c r="Q403" s="30"/>
      <c r="R403" s="30"/>
      <c r="S403" s="30"/>
      <c r="T403" s="155"/>
      <c r="U403" s="30"/>
      <c r="V403" s="30"/>
      <c r="W403" s="30"/>
      <c r="X403" s="31"/>
      <c r="Y403" s="32"/>
      <c r="Z403" s="32"/>
      <c r="AA403" s="32"/>
      <c r="AB403" s="33"/>
      <c r="AC403" s="33"/>
      <c r="AD403" s="23"/>
    </row>
    <row r="404" spans="1:30" ht="58" hidden="1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 t="str">
        <f ca="1">IFERROR(OFFSET(M404,-1,,1,1)+0.1,OFFSET(M404,-1,-1,1,1)&amp;".1")</f>
        <v>4.1</v>
      </c>
      <c r="N404" s="20" t="s">
        <v>937</v>
      </c>
      <c r="O404" s="20"/>
      <c r="P404" s="20" t="s">
        <v>457</v>
      </c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5</v>
      </c>
      <c r="T404" s="158"/>
      <c r="U404" s="21">
        <v>0</v>
      </c>
      <c r="V404" s="21">
        <v>1</v>
      </c>
      <c r="W404" s="21">
        <v>0</v>
      </c>
      <c r="X404" s="156">
        <v>5</v>
      </c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5</v>
      </c>
      <c r="Z404" s="22"/>
      <c r="AA404" s="157">
        <f>Y404+Y404*VLOOKUP(I404,EXTRAS_ARRAY,2,FALSE)</f>
        <v>5</v>
      </c>
      <c r="AB404" s="20"/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/>
      </c>
    </row>
    <row r="405" spans="1:30" ht="58" hidden="1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4.1999999999999993</v>
      </c>
      <c r="N405" s="20" t="s">
        <v>938</v>
      </c>
      <c r="O405" s="20"/>
      <c r="P405" s="20" t="s">
        <v>454</v>
      </c>
      <c r="Q405" s="134">
        <f>Total_Test_Cases * 15%</f>
        <v>18</v>
      </c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4</v>
      </c>
      <c r="T405" s="158"/>
      <c r="U405" s="21">
        <v>0</v>
      </c>
      <c r="V405" s="21">
        <v>1</v>
      </c>
      <c r="W405" s="21">
        <v>0</v>
      </c>
      <c r="X405" s="156">
        <v>0.3</v>
      </c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4</v>
      </c>
      <c r="Z405" s="22">
        <v>-1.401</v>
      </c>
      <c r="AA405" s="157">
        <f>Y405+Y405*VLOOKUP(I405,EXTRAS_ARRAY,2,FALSE)</f>
        <v>4</v>
      </c>
      <c r="AB405" s="20" t="s">
        <v>488</v>
      </c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/>
      </c>
    </row>
    <row r="406" spans="1:30" ht="72.5" hidden="1" outlineLevel="2" x14ac:dyDescent="0.35">
      <c r="A406" s="86" t="s">
        <v>0</v>
      </c>
      <c r="B406" s="18"/>
      <c r="C406" s="78"/>
      <c r="D406" s="78"/>
      <c r="E406" s="78"/>
      <c r="F406" s="79"/>
      <c r="G406" s="19" t="s">
        <v>23</v>
      </c>
      <c r="H406" s="19" t="s">
        <v>23</v>
      </c>
      <c r="I406" s="20" t="s">
        <v>23</v>
      </c>
      <c r="J406" s="19" t="s">
        <v>23</v>
      </c>
      <c r="K406" s="35"/>
      <c r="L406" s="19"/>
      <c r="M406" s="263">
        <f ca="1">IFERROR(OFFSET(M406,-1,,1,1)+0.1,OFFSET(M406,-1,-1,1,1)&amp;".1")</f>
        <v>4.2999999999999989</v>
      </c>
      <c r="N406" s="20" t="s">
        <v>939</v>
      </c>
      <c r="O406" s="20"/>
      <c r="P406" s="20" t="s">
        <v>454</v>
      </c>
      <c r="Q406" s="134">
        <f>Total_Test_Cases * 15%</f>
        <v>18</v>
      </c>
      <c r="R406" s="127">
        <v>3</v>
      </c>
      <c r="S406" s="157">
        <f>CEILING((IF(J406="Yes", 0, IF(H406="-",AA406,AA406+AA406*VLOOKUP(H406,BUFFERS_BY_TYPE,2,FALSE)))) +
   (IF(J406="Yes", 0, IF(H406="-",AA406,AA406+AA406*VLOOKUP(H406,BUFFERS_BY_TYPE,2,FALSE))))*VLOOKUP($S$5, SALES_CALL_SCALE_ARRAY, 2,FALSE),0.25)</f>
        <v>4</v>
      </c>
      <c r="T406" s="158"/>
      <c r="U406" s="21">
        <v>0</v>
      </c>
      <c r="V406" s="21">
        <v>1</v>
      </c>
      <c r="W406" s="21">
        <v>0</v>
      </c>
      <c r="X406" s="156">
        <v>0.1</v>
      </c>
      <c r="Y406" s="157">
        <f>CEILING((IF(P406=AS_DEV_EFFORT, DEV_EFFORT*Q406%,
                           IF(P406=AS_DURATION_EFFORT, (MANUAL_DURATION*5)*Q406%,
                                    (IF(Q406&lt;=1,X406,
                                          IF(SUM(U406:W406)=0,(Q406*X406),
                                               (((Q406*U406)*(X406+(X406*EXTRA_FOR_H)))+
                                               ((Q406*V406)*X406)+
                                               ((Q406*W406)*(X406-(X406*LESS_FOR_L)))
                                    )*IF(R406=0,1,R406))))))+Z406), 0.25)</f>
        <v>4</v>
      </c>
      <c r="Z406" s="22">
        <v>-1.401</v>
      </c>
      <c r="AA406" s="157">
        <f>Y406+Y406*VLOOKUP(I406,EXTRAS_ARRAY,2,FALSE)</f>
        <v>4</v>
      </c>
      <c r="AB406" s="20"/>
      <c r="AC406" s="34"/>
      <c r="AD406" s="23" t="str">
        <f>IF(J406&lt;&gt;"Yes",
IF(S406&lt;=0,"Error: Effort value is not defined or is invalid.",
IF(AND(SUM(U406:W406)&gt;0,SUM(U406:W406)&lt;&gt;1),"Error: Complexity % distribution should sum to 100%.",
IF(AND(P406=AS_DEV_EFFORT,X406&lt;&gt;0),"Error: PDs should not be defined when defining as dev effort %.",
IF(AND(P406=AS_DURATION_EFFORT,X406&lt;&gt;0),"Error: PDs should not be defined when defining as duration effort %.","")))))</f>
        <v/>
      </c>
    </row>
    <row r="407" spans="1:30" ht="72.5" hidden="1" outlineLevel="2" x14ac:dyDescent="0.35">
      <c r="A407" s="86" t="s">
        <v>0</v>
      </c>
      <c r="B407" s="18"/>
      <c r="C407" s="78"/>
      <c r="D407" s="78"/>
      <c r="E407" s="78"/>
      <c r="F407" s="79"/>
      <c r="G407" s="19" t="s">
        <v>23</v>
      </c>
      <c r="H407" s="19" t="s">
        <v>23</v>
      </c>
      <c r="I407" s="20" t="s">
        <v>23</v>
      </c>
      <c r="J407" s="19" t="s">
        <v>23</v>
      </c>
      <c r="K407" s="35"/>
      <c r="L407" s="19"/>
      <c r="M407" s="263">
        <f ca="1">IFERROR(OFFSET(M407,-1,,1,1)+0.1,OFFSET(M407,-1,-1,1,1)&amp;".1")</f>
        <v>4.3999999999999986</v>
      </c>
      <c r="N407" s="20" t="s">
        <v>940</v>
      </c>
      <c r="O407" s="20"/>
      <c r="P407" s="20"/>
      <c r="Q407" s="134"/>
      <c r="R407" s="127"/>
      <c r="S407" s="157">
        <f>CEILING((IF(J407="Yes", 0, IF(H407="-",AA407,AA407+AA407*VLOOKUP(H407,BUFFERS_BY_TYPE,2,FALSE)))) +
   (IF(J407="Yes", 0, IF(H407="-",AA407,AA407+AA407*VLOOKUP(H407,BUFFERS_BY_TYPE,2,FALSE))))*VLOOKUP($S$5, SALES_CALL_SCALE_ARRAY, 2,FALSE),0.25)</f>
        <v>4</v>
      </c>
      <c r="T407" s="158"/>
      <c r="U407" s="21">
        <v>0</v>
      </c>
      <c r="V407" s="21">
        <v>1</v>
      </c>
      <c r="W407" s="21">
        <v>0</v>
      </c>
      <c r="X407" s="156">
        <v>4</v>
      </c>
      <c r="Y407" s="157">
        <f>CEILING((IF(P407=AS_DEV_EFFORT, DEV_EFFORT*Q407%,
                           IF(P407=AS_DURATION_EFFORT, (MANUAL_DURATION*5)*Q407%,
                                    (IF(Q407&lt;=1,X407,
                                          IF(SUM(U407:W407)=0,(Q407*X407),
                                               (((Q407*U407)*(X407+(X407*EXTRA_FOR_H)))+
                                               ((Q407*V407)*X407)+
                                               ((Q407*W407)*(X407-(X407*LESS_FOR_L)))
                                    )*IF(R407=0,1,R407))))))+Z407), 0.25)</f>
        <v>4</v>
      </c>
      <c r="Z407" s="22"/>
      <c r="AA407" s="157">
        <f>Y407+Y407*VLOOKUP(I407,EXTRAS_ARRAY,2,FALSE)</f>
        <v>4</v>
      </c>
      <c r="AB407" s="20"/>
      <c r="AC407" s="34"/>
      <c r="AD407" s="23" t="str">
        <f>IF(J407&lt;&gt;"Yes",
IF(S407&lt;=0,"Error: Effort value is not defined or is invalid.",
IF(AND(SUM(U407:W407)&gt;0,SUM(U407:W407)&lt;&gt;1),"Error: Complexity % distribution should sum to 100%.",
IF(AND(P407=AS_DEV_EFFORT,X407&lt;&gt;0),"Error: PDs should not be defined when defining as dev effort %.",
IF(AND(P407=AS_DURATION_EFFORT,X407&lt;&gt;0),"Error: PDs should not be defined when defining as duration effort %.","")))))</f>
        <v/>
      </c>
    </row>
    <row r="408" spans="1:30" s="9" customFormat="1" ht="7.5" hidden="1" customHeight="1" outlineLevel="2" x14ac:dyDescent="0.35">
      <c r="A408" s="86" t="s">
        <v>132</v>
      </c>
      <c r="B408" s="15"/>
      <c r="C408" s="72"/>
      <c r="D408" s="72"/>
      <c r="E408" s="72"/>
      <c r="F408" s="72"/>
      <c r="M408" s="252"/>
      <c r="T408" s="15"/>
      <c r="X408" s="15"/>
      <c r="AB408" s="10"/>
      <c r="AC408" s="10"/>
      <c r="AD408" s="10"/>
    </row>
    <row r="409" spans="1:30" s="14" customFormat="1" ht="15.5" outlineLevel="1" x14ac:dyDescent="0.35">
      <c r="A409" s="86" t="s">
        <v>100</v>
      </c>
      <c r="B409" s="18"/>
      <c r="C409" s="77"/>
      <c r="D409" s="77"/>
      <c r="E409" s="77"/>
      <c r="F409" s="76"/>
      <c r="G409" s="29"/>
      <c r="H409" s="29"/>
      <c r="I409" s="29"/>
      <c r="J409" s="29"/>
      <c r="K409" s="29"/>
      <c r="L409" s="17">
        <f ca="1">LOOKUP(1000,INDIRECT("L1:"&amp;CELL("address",INDIRECT("R[-1]C",FALSE))))+1</f>
        <v>5</v>
      </c>
      <c r="M409" s="303" t="s">
        <v>458</v>
      </c>
      <c r="N409" s="303"/>
      <c r="O409" s="5"/>
      <c r="P409" s="30"/>
      <c r="Q409" s="30"/>
      <c r="R409" s="30"/>
      <c r="S409" s="30"/>
      <c r="T409" s="155">
        <f>IF($S$6="Exclude", SUMIFS(S410:S416, J410:J416, "&lt;&gt;Yes", G410:G416, "&lt;&gt;Yes"), SUMIFS(S410:S416, J410:J416, "&lt;&gt;Yes"))</f>
        <v>10</v>
      </c>
      <c r="U409" s="30"/>
      <c r="V409" s="30"/>
      <c r="W409" s="30"/>
      <c r="X409" s="31"/>
      <c r="Y409" s="32"/>
      <c r="Z409" s="32"/>
      <c r="AA409" s="32"/>
      <c r="AB409" s="219"/>
      <c r="AC409" s="33"/>
      <c r="AD409" s="23" t="str">
        <f>IF(M409="", "Error: Task name cannot be empty.", "")</f>
        <v/>
      </c>
    </row>
    <row r="410" spans="1:30" s="12" customFormat="1" ht="1.5" customHeight="1" outlineLevel="2" x14ac:dyDescent="0.35">
      <c r="A410" s="86" t="s">
        <v>101</v>
      </c>
      <c r="B410" s="18"/>
      <c r="C410" s="77"/>
      <c r="D410" s="77"/>
      <c r="E410" s="77"/>
      <c r="F410" s="76"/>
      <c r="G410" s="29"/>
      <c r="H410" s="29"/>
      <c r="I410" s="29"/>
      <c r="J410" s="29"/>
      <c r="K410" s="29"/>
      <c r="L410" s="163">
        <f ca="1">L409</f>
        <v>5</v>
      </c>
      <c r="M410" s="164" t="s">
        <v>105</v>
      </c>
      <c r="N410" s="161"/>
      <c r="O410" s="162"/>
      <c r="P410" s="30"/>
      <c r="Q410" s="30"/>
      <c r="R410" s="30"/>
      <c r="S410" s="30"/>
      <c r="T410" s="155"/>
      <c r="U410" s="30"/>
      <c r="V410" s="30"/>
      <c r="W410" s="30"/>
      <c r="X410" s="31"/>
      <c r="Y410" s="32"/>
      <c r="Z410" s="32"/>
      <c r="AA410" s="32"/>
      <c r="AB410" s="33"/>
      <c r="AC410" s="33"/>
      <c r="AD410" s="23"/>
    </row>
    <row r="411" spans="1:30" ht="58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 t="str">
        <f t="shared" ref="M411:M414" ca="1" si="60">IFERROR(OFFSET(M411,-1,,1,1)+0.1,OFFSET(M411,-1,-1,1,1)&amp;".1")</f>
        <v>5.1</v>
      </c>
      <c r="N411" s="20" t="s">
        <v>941</v>
      </c>
      <c r="O411" s="20"/>
      <c r="P411" s="20" t="s">
        <v>489</v>
      </c>
      <c r="Q411" s="134">
        <f>Total_Screens</f>
        <v>18</v>
      </c>
      <c r="R411" s="127">
        <v>3</v>
      </c>
      <c r="S411" s="157">
        <f t="shared" ref="S411:S414" si="61">CEILING((IF(J411="Yes", 0, IF(H411="-",AA411,AA411+AA411*VLOOKUP(H411,BUFFERS_BY_TYPE,2,FALSE)))) +
   (IF(J411="Yes", 0, IF(H411="-",AA411,AA411+AA411*VLOOKUP(H411,BUFFERS_BY_TYPE,2,FALSE))))*VLOOKUP($S$5, SALES_CALL_SCALE_ARRAY, 2,FALSE),0.25)</f>
        <v>2.5</v>
      </c>
      <c r="T411" s="158"/>
      <c r="U411" s="21">
        <v>0</v>
      </c>
      <c r="V411" s="21">
        <v>1</v>
      </c>
      <c r="W411" s="21">
        <v>0</v>
      </c>
      <c r="X411" s="156">
        <v>0.05</v>
      </c>
      <c r="Y411" s="157">
        <f t="shared" ref="Y411:Y414" si="62">CEILING((IF(P411=AS_DEV_EFFORT, DEV_EFFORT*Q411%,
                           IF(P411=AS_DURATION_EFFORT, (MANUAL_DURATION*5)*Q411%,
                                    (IF(Q411&lt;=1,X411,
                                          IF(SUM(U411:W411)=0,(Q411*X411),
                                               (((Q411*U411)*(X411+(X411*EXTRA_FOR_H)))+
                                               ((Q411*V411)*X411)+
                                               ((Q411*W411)*(X411-(X411*LESS_FOR_L)))
                                    )*IF(R411=0,1,R411))))))+Z411), 0.25)</f>
        <v>2.5</v>
      </c>
      <c r="Z411" s="22">
        <v>-0.20100000000000001</v>
      </c>
      <c r="AA411" s="157">
        <f t="shared" ref="AA411:AA414" si="63">Y411+Y411*VLOOKUP(I411,EXTRAS_ARRAY,2,FALSE)</f>
        <v>2.5</v>
      </c>
      <c r="AB411" s="20"/>
      <c r="AC411" s="34"/>
      <c r="AD411" s="23" t="str">
        <f t="shared" ref="AD411:AD414" si="64">IF(J411&lt;&gt;"Yes",
IF(S411&lt;=0,"Error: Effort value is not defined or is invalid.",
IF(AND(SUM(U411:W411)&gt;0,SUM(U411:W411)&lt;&gt;1),"Error: Complexity % distribution should sum to 100%.",
IF(AND(P411=AS_DEV_EFFORT,X411&lt;&gt;0),"Error: PDs should not be defined when defining as dev effort %.",
IF(AND(P411=AS_DURATION_EFFORT,X411&lt;&gt;0),"Error: PDs should not be defined when defining as duration effort %.","")))))</f>
        <v/>
      </c>
    </row>
    <row r="412" spans="1:30" ht="58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t="shared" ca="1" si="60"/>
        <v>5.1999999999999993</v>
      </c>
      <c r="N412" s="20" t="s">
        <v>942</v>
      </c>
      <c r="O412" s="20"/>
      <c r="P412" s="20" t="s">
        <v>490</v>
      </c>
      <c r="Q412" s="134">
        <f>Total_Screens</f>
        <v>18</v>
      </c>
      <c r="R412" s="127">
        <v>3</v>
      </c>
      <c r="S412" s="157">
        <f t="shared" si="61"/>
        <v>2.5</v>
      </c>
      <c r="T412" s="158"/>
      <c r="U412" s="21">
        <v>0</v>
      </c>
      <c r="V412" s="21">
        <v>1</v>
      </c>
      <c r="W412" s="21">
        <v>0</v>
      </c>
      <c r="X412" s="156">
        <v>0.05</v>
      </c>
      <c r="Y412" s="157">
        <f t="shared" si="62"/>
        <v>2.5</v>
      </c>
      <c r="Z412" s="22">
        <v>-0.20100000000000001</v>
      </c>
      <c r="AA412" s="157">
        <f t="shared" si="63"/>
        <v>2.5</v>
      </c>
      <c r="AB412" s="20"/>
      <c r="AC412" s="34"/>
      <c r="AD412" s="23" t="str">
        <f t="shared" si="64"/>
        <v/>
      </c>
    </row>
    <row r="413" spans="1:30" ht="58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6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t="shared" ca="1" si="60"/>
        <v>5.2999999999999989</v>
      </c>
      <c r="N413" s="20" t="s">
        <v>943</v>
      </c>
      <c r="O413" s="20"/>
      <c r="P413" s="20" t="s">
        <v>493</v>
      </c>
      <c r="Q413" s="134"/>
      <c r="R413" s="127"/>
      <c r="S413" s="157">
        <f t="shared" si="61"/>
        <v>2.5</v>
      </c>
      <c r="T413" s="158"/>
      <c r="U413" s="21">
        <v>0</v>
      </c>
      <c r="V413" s="21">
        <v>1</v>
      </c>
      <c r="W413" s="21">
        <v>0</v>
      </c>
      <c r="X413" s="156">
        <v>2.5</v>
      </c>
      <c r="Y413" s="157">
        <f t="shared" si="62"/>
        <v>2.5</v>
      </c>
      <c r="Z413" s="22"/>
      <c r="AA413" s="157">
        <f t="shared" si="63"/>
        <v>2.5</v>
      </c>
      <c r="AB413" s="20"/>
      <c r="AC413" s="34"/>
      <c r="AD413" s="23" t="str">
        <f t="shared" si="64"/>
        <v/>
      </c>
    </row>
    <row r="414" spans="1:30" ht="72.5" outlineLevel="2" x14ac:dyDescent="0.35">
      <c r="A414" s="86" t="s">
        <v>0</v>
      </c>
      <c r="B414" s="18"/>
      <c r="C414" s="78"/>
      <c r="D414" s="78"/>
      <c r="E414" s="78"/>
      <c r="F414" s="79"/>
      <c r="G414" s="19" t="s">
        <v>6</v>
      </c>
      <c r="H414" s="19" t="s">
        <v>23</v>
      </c>
      <c r="I414" s="20" t="s">
        <v>23</v>
      </c>
      <c r="J414" s="19" t="s">
        <v>23</v>
      </c>
      <c r="K414" s="35"/>
      <c r="L414" s="19"/>
      <c r="M414" s="263">
        <f t="shared" ca="1" si="60"/>
        <v>5.3999999999999986</v>
      </c>
      <c r="N414" s="20" t="s">
        <v>944</v>
      </c>
      <c r="O414" s="20"/>
      <c r="P414" s="20" t="s">
        <v>493</v>
      </c>
      <c r="Q414" s="134"/>
      <c r="R414" s="127"/>
      <c r="S414" s="157">
        <f t="shared" si="61"/>
        <v>2.5</v>
      </c>
      <c r="T414" s="158"/>
      <c r="U414" s="21">
        <v>0</v>
      </c>
      <c r="V414" s="21">
        <v>1</v>
      </c>
      <c r="W414" s="21">
        <v>0</v>
      </c>
      <c r="X414" s="156">
        <v>2.5</v>
      </c>
      <c r="Y414" s="157">
        <f t="shared" si="62"/>
        <v>2.5</v>
      </c>
      <c r="Z414" s="22"/>
      <c r="AA414" s="157">
        <f t="shared" si="63"/>
        <v>2.5</v>
      </c>
      <c r="AB414" s="20"/>
      <c r="AC414" s="34"/>
      <c r="AD414" s="23" t="str">
        <f t="shared" si="64"/>
        <v/>
      </c>
    </row>
    <row r="415" spans="1:30" ht="58" outlineLevel="2" x14ac:dyDescent="0.35">
      <c r="A415" s="86" t="s">
        <v>0</v>
      </c>
      <c r="B415" s="18"/>
      <c r="C415" s="78"/>
      <c r="D415" s="78"/>
      <c r="E415" s="78"/>
      <c r="F415" s="79"/>
      <c r="G415" s="19" t="s">
        <v>23</v>
      </c>
      <c r="H415" s="19" t="s">
        <v>23</v>
      </c>
      <c r="I415" s="20" t="s">
        <v>23</v>
      </c>
      <c r="J415" s="19" t="s">
        <v>23</v>
      </c>
      <c r="K415" s="35"/>
      <c r="L415" s="19"/>
      <c r="M415" s="263">
        <f ca="1">IFERROR(OFFSET(M415,-1,,1,1)+0.1,OFFSET(M415,-1,-1,1,1)&amp;".1")</f>
        <v>5.4999999999999982</v>
      </c>
      <c r="N415" s="20" t="s">
        <v>438</v>
      </c>
      <c r="O415" s="20"/>
      <c r="P415" s="20"/>
      <c r="Q415" s="134"/>
      <c r="R415" s="127"/>
      <c r="S415" s="157">
        <f>CEILING((IF(J415="Yes", 0, IF(H415="-",AA415,AA415+AA415*VLOOKUP(H415,BUFFERS_BY_TYPE,2,FALSE)))) +
   (IF(J415="Yes", 0, IF(H415="-",AA415,AA415+AA415*VLOOKUP(H415,BUFFERS_BY_TYPE,2,FALSE))))*VLOOKUP($S$5, SALES_CALL_SCALE_ARRAY, 2,FALSE),0.25)</f>
        <v>0</v>
      </c>
      <c r="T415" s="158"/>
      <c r="U415" s="21">
        <v>0</v>
      </c>
      <c r="V415" s="21">
        <v>1</v>
      </c>
      <c r="W415" s="21">
        <v>0</v>
      </c>
      <c r="X415" s="156"/>
      <c r="Y415" s="157">
        <f>CEILING((IF(P415=AS_DEV_EFFORT, DEV_EFFORT*Q415%,
                           IF(P415=AS_DURATION_EFFORT, (MANUAL_DURATION*5)*Q415%,
                                    (IF(Q415&lt;=1,X415,
                                          IF(SUM(U415:W415)=0,(Q415*X415),
                                               (((Q415*U415)*(X415+(X415*EXTRA_FOR_H)))+
                                               ((Q415*V415)*X415)+
                                               ((Q415*W415)*(X415-(X415*LESS_FOR_L)))
                                    )*IF(R415=0,1,R415))))))+Z415), 0.25)</f>
        <v>0</v>
      </c>
      <c r="Z415" s="22"/>
      <c r="AA415" s="157">
        <f>Y415+Y415*VLOOKUP(I415,EXTRAS_ARRAY,2,FALSE)</f>
        <v>0</v>
      </c>
      <c r="AB415" s="20" t="s">
        <v>440</v>
      </c>
      <c r="AC415" s="34"/>
      <c r="AD415" s="23" t="str">
        <f>IF(J415&lt;&gt;"Yes",
IF(S415&lt;=0,"Error: Effort value is not defined or is invalid.",
IF(AND(SUM(U415:W415)&gt;0,SUM(U415:W415)&lt;&gt;1),"Error: Complexity % distribution should sum to 100%.",
IF(AND(P415=AS_DEV_EFFORT,X415&lt;&gt;0),"Error: PDs should not be defined when defining as dev effort %.",
IF(AND(P415=AS_DURATION_EFFORT,X415&lt;&gt;0),"Error: PDs should not be defined when defining as duration effort %.","")))))</f>
        <v>Error: Effort value is not defined or is invalid.</v>
      </c>
    </row>
    <row r="416" spans="1:30" s="9" customFormat="1" ht="7.5" customHeight="1" outlineLevel="2" x14ac:dyDescent="0.35">
      <c r="A416" s="86" t="s">
        <v>132</v>
      </c>
      <c r="B416" s="15"/>
      <c r="C416" s="72"/>
      <c r="D416" s="72"/>
      <c r="E416" s="72"/>
      <c r="F416" s="72"/>
      <c r="M416" s="252"/>
      <c r="T416" s="15"/>
      <c r="X416" s="15"/>
      <c r="AB416" s="10"/>
      <c r="AC416" s="10"/>
      <c r="AD416" s="10"/>
    </row>
    <row r="417" spans="1:30" s="9" customFormat="1" ht="3" customHeight="1" outlineLevel="1" x14ac:dyDescent="0.35">
      <c r="A417" s="86" t="s">
        <v>102</v>
      </c>
      <c r="C417" s="72"/>
      <c r="D417" s="72"/>
      <c r="E417" s="72"/>
      <c r="F417" s="72"/>
      <c r="G417" s="25"/>
      <c r="H417" s="25"/>
      <c r="I417" s="25"/>
      <c r="J417" s="25"/>
      <c r="K417" s="25"/>
      <c r="L417" s="56"/>
      <c r="M417" s="264"/>
      <c r="N417" s="57"/>
      <c r="O417" s="57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7"/>
      <c r="AC417" s="57"/>
      <c r="AD417" s="10"/>
    </row>
    <row r="418" spans="1:30" s="14" customFormat="1" ht="18.5" x14ac:dyDescent="0.35">
      <c r="A418" s="86" t="s">
        <v>98</v>
      </c>
      <c r="B418" s="12"/>
      <c r="C418" s="73"/>
      <c r="D418" s="73"/>
      <c r="E418" s="73"/>
      <c r="F418" s="72"/>
      <c r="G418" s="52"/>
      <c r="H418" s="52"/>
      <c r="I418" s="52"/>
      <c r="J418" s="52"/>
      <c r="K418" s="52"/>
      <c r="L418" s="52" t="s">
        <v>71</v>
      </c>
      <c r="M418" s="261" t="s">
        <v>75</v>
      </c>
      <c r="N418" s="53"/>
      <c r="O418" s="54"/>
      <c r="P418" s="55"/>
      <c r="Q418" s="55"/>
      <c r="R418" s="55"/>
      <c r="S418" s="304">
        <f>CEILING(SUMIF(J419:J445, "&lt;&gt;Yes", T419:T445),1)</f>
        <v>120</v>
      </c>
      <c r="T418" s="304"/>
      <c r="U418" s="55"/>
      <c r="V418" s="55"/>
      <c r="W418" s="55"/>
      <c r="X418" s="55"/>
      <c r="Y418" s="55"/>
      <c r="Z418" s="55"/>
      <c r="AA418" s="55"/>
      <c r="AB418" s="55"/>
      <c r="AC418" s="55"/>
      <c r="AD418" s="13"/>
    </row>
    <row r="419" spans="1:30" s="9" customFormat="1" ht="3" customHeight="1" outlineLevel="1" x14ac:dyDescent="0.35">
      <c r="A419" s="86" t="s">
        <v>99</v>
      </c>
      <c r="B419" s="15"/>
      <c r="C419" s="72"/>
      <c r="D419" s="72"/>
      <c r="E419" s="72"/>
      <c r="F419" s="72"/>
      <c r="G419" s="25"/>
      <c r="H419" s="25"/>
      <c r="I419" s="25"/>
      <c r="J419" s="25"/>
      <c r="K419" s="25"/>
      <c r="L419" s="26">
        <v>0</v>
      </c>
      <c r="M419" s="262"/>
      <c r="N419" s="25"/>
      <c r="O419" s="25"/>
      <c r="P419" s="25"/>
      <c r="Q419" s="25"/>
      <c r="R419" s="25"/>
      <c r="S419" s="25"/>
      <c r="T419" s="27"/>
      <c r="U419" s="25"/>
      <c r="V419" s="25"/>
      <c r="W419" s="25"/>
      <c r="X419" s="27"/>
      <c r="Y419" s="25"/>
      <c r="Z419" s="25"/>
      <c r="AA419" s="25"/>
      <c r="AB419" s="28"/>
      <c r="AC419" s="28"/>
      <c r="AD419" s="10"/>
    </row>
    <row r="420" spans="1:30" s="14" customFormat="1" ht="15.5" outlineLevel="1" collapsed="1" x14ac:dyDescent="0.35">
      <c r="A420" s="86" t="s">
        <v>100</v>
      </c>
      <c r="B420" s="18"/>
      <c r="C420" s="77"/>
      <c r="D420" s="77"/>
      <c r="E420" s="77"/>
      <c r="F420" s="76"/>
      <c r="G420" s="29"/>
      <c r="H420" s="29"/>
      <c r="I420" s="29"/>
      <c r="J420" s="29"/>
      <c r="K420" s="29"/>
      <c r="L420" s="17">
        <f ca="1">LOOKUP(1000,INDIRECT("L1:"&amp;CELL("address",INDIRECT("R[-1]C",FALSE))))+1</f>
        <v>1</v>
      </c>
      <c r="M420" s="303" t="s">
        <v>460</v>
      </c>
      <c r="N420" s="303"/>
      <c r="O420" s="5"/>
      <c r="P420" s="30"/>
      <c r="Q420" s="30"/>
      <c r="R420" s="30"/>
      <c r="S420" s="30"/>
      <c r="T420" s="155">
        <f>IF($S$6="Exclude", SUMIFS(S421:S424, J421:J424, "&lt;&gt;Yes", G421:G424, "&lt;&gt;Yes"), SUMIFS(S421:S424, J421:J424, "&lt;&gt;Yes"))</f>
        <v>15</v>
      </c>
      <c r="U420" s="30"/>
      <c r="V420" s="30"/>
      <c r="W420" s="30"/>
      <c r="X420" s="31"/>
      <c r="Y420" s="32"/>
      <c r="Z420" s="32"/>
      <c r="AA420" s="32"/>
      <c r="AB420" s="219"/>
      <c r="AC420" s="33"/>
      <c r="AD420" s="23" t="str">
        <f>IF(M420="", "Error: Task name cannot be empty.", "")</f>
        <v/>
      </c>
    </row>
    <row r="421" spans="1:30" s="12" customFormat="1" ht="1.5" hidden="1" customHeight="1" outlineLevel="2" x14ac:dyDescent="0.35">
      <c r="A421" s="86" t="s">
        <v>101</v>
      </c>
      <c r="B421" s="18"/>
      <c r="C421" s="77"/>
      <c r="D421" s="77"/>
      <c r="E421" s="77"/>
      <c r="F421" s="76"/>
      <c r="G421" s="29"/>
      <c r="H421" s="29"/>
      <c r="I421" s="29"/>
      <c r="J421" s="29"/>
      <c r="K421" s="29"/>
      <c r="L421" s="163">
        <f ca="1">L420</f>
        <v>1</v>
      </c>
      <c r="M421" s="164" t="s">
        <v>105</v>
      </c>
      <c r="N421" s="161"/>
      <c r="O421" s="162"/>
      <c r="P421" s="30"/>
      <c r="Q421" s="30"/>
      <c r="R421" s="30"/>
      <c r="S421" s="30"/>
      <c r="T421" s="155"/>
      <c r="U421" s="30"/>
      <c r="V421" s="30"/>
      <c r="W421" s="30"/>
      <c r="X421" s="31"/>
      <c r="Y421" s="32"/>
      <c r="Z421" s="32"/>
      <c r="AA421" s="32"/>
      <c r="AB421" s="33"/>
      <c r="AC421" s="33"/>
      <c r="AD421" s="23"/>
    </row>
    <row r="422" spans="1:30" ht="116" hidden="1" outlineLevel="2" x14ac:dyDescent="0.35">
      <c r="A422" s="86" t="s">
        <v>0</v>
      </c>
      <c r="B422" s="18"/>
      <c r="C422" s="78"/>
      <c r="D422" s="78"/>
      <c r="E422" s="78"/>
      <c r="F422" s="79"/>
      <c r="G422" s="19" t="s">
        <v>23</v>
      </c>
      <c r="H422" s="19" t="s">
        <v>23</v>
      </c>
      <c r="I422" s="20" t="s">
        <v>23</v>
      </c>
      <c r="J422" s="19" t="s">
        <v>23</v>
      </c>
      <c r="K422" s="35"/>
      <c r="L422" s="19"/>
      <c r="M422" s="263" t="str">
        <f ca="1">IFERROR(OFFSET(M422,-1,,1,1)+0.1,OFFSET(M422,-1,-1,1,1)&amp;".1")</f>
        <v>1.1</v>
      </c>
      <c r="N422" s="20" t="s">
        <v>958</v>
      </c>
      <c r="O422" s="20"/>
      <c r="P422" s="20" t="s">
        <v>463</v>
      </c>
      <c r="Q422" s="134"/>
      <c r="R422" s="127"/>
      <c r="S422" s="157">
        <f>CEILING((IF(J422="Yes", 0, IF(H422="-",AA422,AA422+AA422*VLOOKUP(H422,BUFFERS_BY_TYPE,2,FALSE)))) +
   (IF(J422="Yes", 0, IF(H422="-",AA422,AA422+AA422*VLOOKUP(H422,BUFFERS_BY_TYPE,2,FALSE))))*VLOOKUP($S$5, SALES_CALL_SCALE_ARRAY, 2,FALSE),0.25)</f>
        <v>7.5</v>
      </c>
      <c r="T422" s="158"/>
      <c r="U422" s="21">
        <v>0</v>
      </c>
      <c r="V422" s="21">
        <v>1</v>
      </c>
      <c r="W422" s="21">
        <v>0</v>
      </c>
      <c r="X422" s="156">
        <v>7.5</v>
      </c>
      <c r="Y422" s="157">
        <f>CEILING((IF(P422=AS_DEV_EFFORT, DEV_EFFORT*Q422%,
                           IF(P422=AS_DURATION_EFFORT, (MANUAL_DURATION*5)*Q422%,
                                    (IF(Q422&lt;=1,X422,
                                          IF(SUM(U422:W422)=0,(Q422*X422),
                                               (((Q422*U422)*(X422+(X422*EXTRA_FOR_H)))+
                                               ((Q422*V422)*X422)+
                                               ((Q422*W422)*(X422-(X422*LESS_FOR_L)))
                                    )*IF(R422=0,1,R422))))))+Z422), 0.25)</f>
        <v>7.5</v>
      </c>
      <c r="Z422" s="22"/>
      <c r="AA422" s="157">
        <f>Y422+Y422*VLOOKUP(I422,EXTRAS_ARRAY,2,FALSE)</f>
        <v>7.5</v>
      </c>
      <c r="AB422" s="20"/>
      <c r="AC422" s="34"/>
      <c r="AD422" s="23" t="str">
        <f>IF(J422&lt;&gt;"Yes",
IF(S422&lt;=0,"Error: Effort value is not defined or is invalid.",
IF(AND(SUM(U422:W422)&gt;0,SUM(U422:W422)&lt;&gt;1),"Error: Complexity % distribution should sum to 100%.",
IF(AND(P422=AS_DEV_EFFORT,X422&lt;&gt;0),"Error: PDs should not be defined when defining as dev effort %.",
IF(AND(P422=AS_DURATION_EFFORT,X422&lt;&gt;0),"Error: PDs should not be defined when defining as duration effort %.","")))))</f>
        <v/>
      </c>
    </row>
    <row r="423" spans="1:30" ht="87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>
        <f ca="1">IFERROR(OFFSET(M423,-1,,1,1)+0.1,OFFSET(M423,-1,-1,1,1)&amp;".1")</f>
        <v>1.2000000000000002</v>
      </c>
      <c r="N423" s="20" t="s">
        <v>959</v>
      </c>
      <c r="O423" s="20"/>
      <c r="P423" s="20" t="s">
        <v>462</v>
      </c>
      <c r="Q423" s="134"/>
      <c r="R423" s="127"/>
      <c r="S423" s="157">
        <f>CEILING((IF(J423="Yes", 0, IF(H423="-",AA423,AA423+AA423*VLOOKUP(H423,BUFFERS_BY_TYPE,2,FALSE)))) +
   (IF(J423="Yes", 0, IF(H423="-",AA423,AA423+AA423*VLOOKUP(H423,BUFFERS_BY_TYPE,2,FALSE))))*VLOOKUP($S$5, SALES_CALL_SCALE_ARRAY, 2,FALSE),0.25)</f>
        <v>7.5</v>
      </c>
      <c r="T423" s="158"/>
      <c r="U423" s="21">
        <v>0</v>
      </c>
      <c r="V423" s="21">
        <v>1</v>
      </c>
      <c r="W423" s="21">
        <v>0</v>
      </c>
      <c r="X423" s="156">
        <v>7.5</v>
      </c>
      <c r="Y423" s="157">
        <f>CEILING((IF(P423=AS_DEV_EFFORT, DEV_EFFORT*Q423%,
                           IF(P423=AS_DURATION_EFFORT, (MANUAL_DURATION*5)*Q423%,
                                    (IF(Q423&lt;=1,X423,
                                          IF(SUM(U423:W423)=0,(Q423*X423),
                                               (((Q423*U423)*(X423+(X423*EXTRA_FOR_H)))+
                                               ((Q423*V423)*X423)+
                                               ((Q423*W423)*(X423-(X423*LESS_FOR_L)))
                                    )*IF(R423=0,1,R423))))))+Z423), 0.25)</f>
        <v>7.5</v>
      </c>
      <c r="Z423" s="22"/>
      <c r="AA423" s="157">
        <f>Y423+Y423*VLOOKUP(I423,EXTRAS_ARRAY,2,FALSE)</f>
        <v>7.5</v>
      </c>
      <c r="AB423" s="20"/>
      <c r="AC423" s="34"/>
      <c r="AD423" s="23" t="str">
        <f>IF(J423&lt;&gt;"Yes",
IF(S423&lt;=0,"Error: Effort value is not defined or is invalid.",
IF(AND(SUM(U423:W423)&gt;0,SUM(U423:W423)&lt;&gt;1),"Error: Complexity % distribution should sum to 100%.",
IF(AND(P423=AS_DEV_EFFORT,X423&lt;&gt;0),"Error: PDs should not be defined when defining as dev effort %.",
IF(AND(P423=AS_DURATION_EFFORT,X423&lt;&gt;0),"Error: PDs should not be defined when defining as duration effort %.","")))))</f>
        <v/>
      </c>
    </row>
    <row r="424" spans="1:30" s="9" customFormat="1" ht="7.5" hidden="1" customHeight="1" outlineLevel="2" x14ac:dyDescent="0.35">
      <c r="A424" s="86" t="s">
        <v>132</v>
      </c>
      <c r="B424" s="15"/>
      <c r="C424" s="72"/>
      <c r="D424" s="72"/>
      <c r="E424" s="72"/>
      <c r="F424" s="72"/>
      <c r="M424" s="252"/>
      <c r="T424" s="15"/>
      <c r="X424" s="15"/>
      <c r="AB424" s="10"/>
      <c r="AC424" s="10"/>
      <c r="AD424" s="10"/>
    </row>
    <row r="425" spans="1:30" s="14" customFormat="1" ht="15.5" outlineLevel="1" collapsed="1" x14ac:dyDescent="0.35">
      <c r="A425" s="86" t="s">
        <v>100</v>
      </c>
      <c r="B425" s="18"/>
      <c r="C425" s="77"/>
      <c r="D425" s="77"/>
      <c r="E425" s="77"/>
      <c r="F425" s="76"/>
      <c r="G425" s="29"/>
      <c r="H425" s="29"/>
      <c r="I425" s="29"/>
      <c r="J425" s="29"/>
      <c r="K425" s="29"/>
      <c r="L425" s="17">
        <f ca="1">LOOKUP(1000,INDIRECT("L1:"&amp;CELL("address",INDIRECT("R[-1]C",FALSE))))+1</f>
        <v>2</v>
      </c>
      <c r="M425" s="303" t="s">
        <v>461</v>
      </c>
      <c r="N425" s="303"/>
      <c r="O425" s="5"/>
      <c r="P425" s="30"/>
      <c r="Q425" s="30"/>
      <c r="R425" s="30"/>
      <c r="S425" s="30"/>
      <c r="T425" s="155">
        <f>IF($S$6="Exclude", SUMIFS(S426:S430, J426:J430, "&lt;&gt;Yes", G426:G430, "&lt;&gt;Yes"), SUMIFS(S426:S430, J426:J430, "&lt;&gt;Yes"))</f>
        <v>55</v>
      </c>
      <c r="U425" s="30"/>
      <c r="V425" s="30"/>
      <c r="W425" s="30"/>
      <c r="X425" s="31"/>
      <c r="Y425" s="32"/>
      <c r="Z425" s="32"/>
      <c r="AA425" s="32"/>
      <c r="AB425" s="219"/>
      <c r="AC425" s="33"/>
      <c r="AD425" s="23" t="str">
        <f>IF(M425="", "Error: Task name cannot be empty.", "")</f>
        <v/>
      </c>
    </row>
    <row r="426" spans="1:30" s="12" customFormat="1" ht="1.5" hidden="1" customHeight="1" outlineLevel="2" x14ac:dyDescent="0.35">
      <c r="A426" s="86" t="s">
        <v>101</v>
      </c>
      <c r="B426" s="18"/>
      <c r="C426" s="77"/>
      <c r="D426" s="77"/>
      <c r="E426" s="77"/>
      <c r="F426" s="76"/>
      <c r="G426" s="29"/>
      <c r="H426" s="29"/>
      <c r="I426" s="29"/>
      <c r="J426" s="29"/>
      <c r="K426" s="29"/>
      <c r="L426" s="163">
        <f ca="1">L425</f>
        <v>2</v>
      </c>
      <c r="M426" s="164" t="s">
        <v>105</v>
      </c>
      <c r="N426" s="161"/>
      <c r="O426" s="162"/>
      <c r="P426" s="30"/>
      <c r="Q426" s="30"/>
      <c r="R426" s="30"/>
      <c r="S426" s="30"/>
      <c r="T426" s="155"/>
      <c r="U426" s="30"/>
      <c r="V426" s="30"/>
      <c r="W426" s="30"/>
      <c r="X426" s="31"/>
      <c r="Y426" s="32"/>
      <c r="Z426" s="32"/>
      <c r="AA426" s="32"/>
      <c r="AB426" s="33"/>
      <c r="AC426" s="33"/>
      <c r="AD426" s="23"/>
    </row>
    <row r="427" spans="1:30" ht="87" hidden="1" outlineLevel="2" x14ac:dyDescent="0.35">
      <c r="A427" s="86" t="s">
        <v>0</v>
      </c>
      <c r="B427" s="18"/>
      <c r="C427" s="78"/>
      <c r="D427" s="78"/>
      <c r="E427" s="78"/>
      <c r="F427" s="79"/>
      <c r="G427" s="19" t="s">
        <v>23</v>
      </c>
      <c r="H427" s="19" t="s">
        <v>23</v>
      </c>
      <c r="I427" s="20" t="s">
        <v>23</v>
      </c>
      <c r="J427" s="19" t="s">
        <v>23</v>
      </c>
      <c r="K427" s="35"/>
      <c r="L427" s="19"/>
      <c r="M427" s="263" t="str">
        <f ca="1">IFERROR(OFFSET(M427,-1,,1,1)+0.1,OFFSET(M427,-1,-1,1,1)&amp;".1")</f>
        <v>2.1</v>
      </c>
      <c r="N427" s="20" t="s">
        <v>960</v>
      </c>
      <c r="O427" s="20"/>
      <c r="P427" s="20"/>
      <c r="Q427" s="134"/>
      <c r="R427" s="127"/>
      <c r="S427" s="157">
        <f>CEILING((IF(J427="Yes", 0, IF(H427="-",AA427,AA427+AA427*VLOOKUP(H427,BUFFERS_BY_TYPE,2,FALSE)))) +
   (IF(J427="Yes", 0, IF(H427="-",AA427,AA427+AA427*VLOOKUP(H427,BUFFERS_BY_TYPE,2,FALSE))))*VLOOKUP($S$5, SALES_CALL_SCALE_ARRAY, 2,FALSE),0.25)</f>
        <v>20</v>
      </c>
      <c r="T427" s="158"/>
      <c r="U427" s="21">
        <v>0</v>
      </c>
      <c r="V427" s="21">
        <v>1</v>
      </c>
      <c r="W427" s="21">
        <v>0</v>
      </c>
      <c r="X427" s="156">
        <v>20</v>
      </c>
      <c r="Y427" s="157">
        <f>CEILING((IF(P427=AS_DEV_EFFORT, DEV_EFFORT*Q427%,
                           IF(P427=AS_DURATION_EFFORT, (MANUAL_DURATION*5)*Q427%,
                                    (IF(Q427&lt;=1,X427,
                                          IF(SUM(U427:W427)=0,(Q427*X427),
                                               (((Q427*U427)*(X427+(X427*EXTRA_FOR_H)))+
                                               ((Q427*V427)*X427)+
                                               ((Q427*W427)*(X427-(X427*LESS_FOR_L)))
                                    )*IF(R427=0,1,R427))))))+Z427), 0.25)</f>
        <v>20</v>
      </c>
      <c r="Z427" s="22"/>
      <c r="AA427" s="157">
        <f>Y427+Y427*VLOOKUP(I427,EXTRAS_ARRAY,2,FALSE)</f>
        <v>20</v>
      </c>
      <c r="AB427" s="20"/>
      <c r="AC427" s="34"/>
      <c r="AD427" s="23" t="str">
        <f>IF(J427&lt;&gt;"Yes",
IF(S427&lt;=0,"Error: Effort value is not defined or is invalid.",
IF(AND(SUM(U427:W427)&gt;0,SUM(U427:W427)&lt;&gt;1),"Error: Complexity % distribution should sum to 100%.",
IF(AND(P427=AS_DEV_EFFORT,X427&lt;&gt;0),"Error: PDs should not be defined when defining as dev effort %.",
IF(AND(P427=AS_DURATION_EFFORT,X427&lt;&gt;0),"Error: PDs should not be defined when defining as duration effort %.","")))))</f>
        <v/>
      </c>
    </row>
    <row r="428" spans="1:30" ht="87" hidden="1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>
        <f ca="1">IFERROR(OFFSET(M428,-1,,1,1)+0.1,OFFSET(M428,-1,-1,1,1)&amp;".1")</f>
        <v>2.2000000000000002</v>
      </c>
      <c r="N428" s="20" t="s">
        <v>961</v>
      </c>
      <c r="O428" s="20"/>
      <c r="P428" s="20" t="s">
        <v>968</v>
      </c>
      <c r="Q428" s="134"/>
      <c r="R428" s="127"/>
      <c r="S428" s="157">
        <f>CEILING((IF(J428="Yes", 0, IF(H428="-",AA428,AA428+AA428*VLOOKUP(H428,BUFFERS_BY_TYPE,2,FALSE)))) +
   (IF(J428="Yes", 0, IF(H428="-",AA428,AA428+AA428*VLOOKUP(H428,BUFFERS_BY_TYPE,2,FALSE))))*VLOOKUP($S$5, SALES_CALL_SCALE_ARRAY, 2,FALSE),0.25)</f>
        <v>20</v>
      </c>
      <c r="T428" s="158"/>
      <c r="U428" s="21">
        <v>0</v>
      </c>
      <c r="V428" s="21">
        <v>1</v>
      </c>
      <c r="W428" s="21">
        <v>0</v>
      </c>
      <c r="X428" s="156">
        <v>20</v>
      </c>
      <c r="Y428" s="157">
        <f>CEILING((IF(P428=AS_DEV_EFFORT, DEV_EFFORT*Q428%,
                           IF(P428=AS_DURATION_EFFORT, (MANUAL_DURATION*5)*Q428%,
                                    (IF(Q428&lt;=1,X428,
                                          IF(SUM(U428:W428)=0,(Q428*X428),
                                               (((Q428*U428)*(X428+(X428*EXTRA_FOR_H)))+
                                               ((Q428*V428)*X428)+
                                               ((Q428*W428)*(X428-(X428*LESS_FOR_L)))
                                    )*IF(R428=0,1,R428))))))+Z428), 0.25)</f>
        <v>20</v>
      </c>
      <c r="Z428" s="22"/>
      <c r="AA428" s="157">
        <f>Y428+Y428*VLOOKUP(I428,EXTRAS_ARRAY,2,FALSE)</f>
        <v>20</v>
      </c>
      <c r="AB428" s="20"/>
      <c r="AC428" s="34"/>
      <c r="AD428" s="23" t="str">
        <f>IF(J428&lt;&gt;"Yes",
IF(S428&lt;=0,"Error: Effort value is not defined or is invalid.",
IF(AND(SUM(U428:W428)&gt;0,SUM(U428:W428)&lt;&gt;1),"Error: Complexity % distribution should sum to 100%.",
IF(AND(P428=AS_DEV_EFFORT,X428&lt;&gt;0),"Error: PDs should not be defined when defining as dev effort %.",
IF(AND(P428=AS_DURATION_EFFORT,X428&lt;&gt;0),"Error: PDs should not be defined when defining as duration effort %.","")))))</f>
        <v/>
      </c>
    </row>
    <row r="429" spans="1:30" ht="87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>
        <f ca="1">IFERROR(OFFSET(M429,-1,,1,1)+0.1,OFFSET(M429,-1,-1,1,1)&amp;".1")</f>
        <v>2.3000000000000003</v>
      </c>
      <c r="N429" s="20" t="s">
        <v>1159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15</v>
      </c>
      <c r="T429" s="158"/>
      <c r="U429" s="21">
        <v>0</v>
      </c>
      <c r="V429" s="21">
        <v>1</v>
      </c>
      <c r="W429" s="21">
        <v>0</v>
      </c>
      <c r="X429" s="156">
        <v>15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15</v>
      </c>
      <c r="Z429" s="22"/>
      <c r="AA429" s="157">
        <f>Y429+Y429*VLOOKUP(I429,EXTRAS_ARRAY,2,FALSE)</f>
        <v>15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s="9" customFormat="1" ht="7.5" hidden="1" customHeight="1" outlineLevel="2" x14ac:dyDescent="0.35">
      <c r="A430" s="86" t="s">
        <v>132</v>
      </c>
      <c r="B430" s="15"/>
      <c r="C430" s="72"/>
      <c r="D430" s="72"/>
      <c r="E430" s="72"/>
      <c r="F430" s="72"/>
      <c r="M430" s="252"/>
      <c r="T430" s="15"/>
      <c r="X430" s="15"/>
      <c r="AB430" s="10"/>
      <c r="AC430" s="10"/>
      <c r="AD430" s="10"/>
    </row>
    <row r="431" spans="1:30" s="14" customFormat="1" ht="15.5" outlineLevel="1" collapsed="1" x14ac:dyDescent="0.35">
      <c r="A431" s="86" t="s">
        <v>100</v>
      </c>
      <c r="B431" s="18"/>
      <c r="C431" s="77"/>
      <c r="D431" s="77"/>
      <c r="E431" s="77"/>
      <c r="F431" s="76"/>
      <c r="G431" s="29"/>
      <c r="H431" s="29"/>
      <c r="I431" s="29"/>
      <c r="J431" s="29"/>
      <c r="K431" s="29"/>
      <c r="L431" s="17">
        <f ca="1">LOOKUP(1000,INDIRECT("L1:"&amp;CELL("address",INDIRECT("R[-1]C",FALSE))))+1</f>
        <v>3</v>
      </c>
      <c r="M431" s="303" t="s">
        <v>464</v>
      </c>
      <c r="N431" s="303"/>
      <c r="O431" s="5"/>
      <c r="P431" s="30"/>
      <c r="Q431" s="30"/>
      <c r="R431" s="30"/>
      <c r="S431" s="30"/>
      <c r="T431" s="155">
        <f>IF($S$6="Exclude", SUMIFS(S432:S437, J432:J437, "&lt;&gt;Yes", G432:G437, "&lt;&gt;Yes"), SUMIFS(S432:S437, J432:J437, "&lt;&gt;Yes"))</f>
        <v>25</v>
      </c>
      <c r="U431" s="30"/>
      <c r="V431" s="30"/>
      <c r="W431" s="30"/>
      <c r="X431" s="31"/>
      <c r="Y431" s="32"/>
      <c r="Z431" s="32"/>
      <c r="AA431" s="32"/>
      <c r="AB431" s="219"/>
      <c r="AC431" s="33"/>
      <c r="AD431" s="23" t="str">
        <f>IF(M431="", "Error: Task name cannot be empty.", "")</f>
        <v/>
      </c>
    </row>
    <row r="432" spans="1:30" s="12" customFormat="1" ht="1.5" hidden="1" customHeight="1" outlineLevel="2" x14ac:dyDescent="0.35">
      <c r="A432" s="86" t="s">
        <v>101</v>
      </c>
      <c r="B432" s="18"/>
      <c r="C432" s="77"/>
      <c r="D432" s="77"/>
      <c r="E432" s="77"/>
      <c r="F432" s="76"/>
      <c r="G432" s="29"/>
      <c r="H432" s="29"/>
      <c r="I432" s="29"/>
      <c r="J432" s="29"/>
      <c r="K432" s="29"/>
      <c r="L432" s="163">
        <f ca="1">L431</f>
        <v>3</v>
      </c>
      <c r="M432" s="164" t="s">
        <v>105</v>
      </c>
      <c r="N432" s="161"/>
      <c r="O432" s="162"/>
      <c r="P432" s="30"/>
      <c r="Q432" s="30"/>
      <c r="R432" s="30"/>
      <c r="S432" s="30"/>
      <c r="T432" s="155"/>
      <c r="U432" s="30"/>
      <c r="V432" s="30"/>
      <c r="W432" s="30"/>
      <c r="X432" s="31"/>
      <c r="Y432" s="32"/>
      <c r="Z432" s="32"/>
      <c r="AA432" s="32"/>
      <c r="AB432" s="33"/>
      <c r="AC432" s="33"/>
      <c r="AD432" s="23"/>
    </row>
    <row r="433" spans="1:30" ht="72.5" hidden="1" outlineLevel="2" x14ac:dyDescent="0.35">
      <c r="A433" s="86" t="s">
        <v>0</v>
      </c>
      <c r="B433" s="18"/>
      <c r="C433" s="78"/>
      <c r="D433" s="78"/>
      <c r="E433" s="78"/>
      <c r="F433" s="79"/>
      <c r="G433" s="19" t="s">
        <v>23</v>
      </c>
      <c r="H433" s="19" t="s">
        <v>23</v>
      </c>
      <c r="I433" s="20" t="s">
        <v>23</v>
      </c>
      <c r="J433" s="19" t="s">
        <v>23</v>
      </c>
      <c r="K433" s="35"/>
      <c r="L433" s="19"/>
      <c r="M433" s="263" t="str">
        <f ca="1">IFERROR(OFFSET(M433,-1,,1,1)+0.1,OFFSET(M433,-1,-1,1,1)&amp;".1")</f>
        <v>3.1</v>
      </c>
      <c r="N433" s="20" t="s">
        <v>962</v>
      </c>
      <c r="O433" s="20"/>
      <c r="P433" s="20"/>
      <c r="Q433" s="134"/>
      <c r="R433" s="127"/>
      <c r="S433" s="157">
        <f>CEILING((IF(J433="Yes", 0, IF(H433="-",AA433,AA433+AA433*VLOOKUP(H433,BUFFERS_BY_TYPE,2,FALSE)))) +
   (IF(J433="Yes", 0, IF(H433="-",AA433,AA433+AA433*VLOOKUP(H433,BUFFERS_BY_TYPE,2,FALSE))))*VLOOKUP($S$5, SALES_CALL_SCALE_ARRAY, 2,FALSE),0.25)</f>
        <v>8</v>
      </c>
      <c r="T433" s="158"/>
      <c r="U433" s="21">
        <v>0</v>
      </c>
      <c r="V433" s="21">
        <v>1</v>
      </c>
      <c r="W433" s="21">
        <v>0</v>
      </c>
      <c r="X433" s="156">
        <v>8</v>
      </c>
      <c r="Y433" s="157">
        <f>CEILING((IF(P433=AS_DEV_EFFORT, DEV_EFFORT*Q433%,
                           IF(P433=AS_DURATION_EFFORT, (MANUAL_DURATION*5)*Q433%,
                                    (IF(Q433&lt;=1,X433,
                                          IF(SUM(U433:W433)=0,(Q433*X433),
                                               (((Q433*U433)*(X433+(X433*EXTRA_FOR_H)))+
                                               ((Q433*V433)*X433)+
                                               ((Q433*W433)*(X433-(X433*LESS_FOR_L)))
                                    )*IF(R433=0,1,R433))))))+Z433), 0.25)</f>
        <v>8</v>
      </c>
      <c r="Z433" s="22"/>
      <c r="AA433" s="157">
        <f>Y433+Y433*VLOOKUP(I433,EXTRAS_ARRAY,2,FALSE)</f>
        <v>8</v>
      </c>
      <c r="AB433" s="20"/>
      <c r="AC433" s="34"/>
      <c r="AD433" s="23" t="str">
        <f>IF(J433&lt;&gt;"Yes",
IF(S433&lt;=0,"Error: Effort value is not defined or is invalid.",
IF(AND(SUM(U433:W433)&gt;0,SUM(U433:W433)&lt;&gt;1),"Error: Complexity % distribution should sum to 100%.",
IF(AND(P433=AS_DEV_EFFORT,X433&lt;&gt;0),"Error: PDs should not be defined when defining as dev effort %.",
IF(AND(P433=AS_DURATION_EFFORT,X433&lt;&gt;0),"Error: PDs should not be defined when defining as duration effort %.","")))))</f>
        <v/>
      </c>
    </row>
    <row r="434" spans="1:30" ht="58" hidden="1" outlineLevel="2" x14ac:dyDescent="0.35">
      <c r="A434" s="86" t="s">
        <v>0</v>
      </c>
      <c r="B434" s="18"/>
      <c r="C434" s="78"/>
      <c r="D434" s="78"/>
      <c r="E434" s="78"/>
      <c r="F434" s="79"/>
      <c r="G434" s="19" t="s">
        <v>23</v>
      </c>
      <c r="H434" s="19" t="s">
        <v>23</v>
      </c>
      <c r="I434" s="20" t="s">
        <v>23</v>
      </c>
      <c r="J434" s="19" t="s">
        <v>23</v>
      </c>
      <c r="K434" s="35"/>
      <c r="L434" s="19"/>
      <c r="M434" s="263">
        <f ca="1">IFERROR(OFFSET(M434,-1,,1,1)+0.1,OFFSET(M434,-1,-1,1,1)&amp;".1")</f>
        <v>3.2</v>
      </c>
      <c r="N434" s="20" t="s">
        <v>438</v>
      </c>
      <c r="O434" s="20"/>
      <c r="P434" s="20"/>
      <c r="Q434" s="134"/>
      <c r="R434" s="127"/>
      <c r="S434" s="157">
        <f>CEILING((IF(J434="Yes", 0, IF(H434="-",AA434,AA434+AA434*VLOOKUP(H434,BUFFERS_BY_TYPE,2,FALSE)))) +
   (IF(J434="Yes", 0, IF(H434="-",AA434,AA434+AA434*VLOOKUP(H434,BUFFERS_BY_TYPE,2,FALSE))))*VLOOKUP($S$5, SALES_CALL_SCALE_ARRAY, 2,FALSE),0.25)</f>
        <v>0</v>
      </c>
      <c r="T434" s="158"/>
      <c r="U434" s="21">
        <v>0</v>
      </c>
      <c r="V434" s="21">
        <v>1</v>
      </c>
      <c r="W434" s="21">
        <v>0</v>
      </c>
      <c r="X434" s="156"/>
      <c r="Y434" s="157">
        <f>CEILING((IF(P434=AS_DEV_EFFORT, DEV_EFFORT*Q434%,
                           IF(P434=AS_DURATION_EFFORT, (MANUAL_DURATION*5)*Q434%,
                                    (IF(Q434&lt;=1,X434,
                                          IF(SUM(U434:W434)=0,(Q434*X434),
                                               (((Q434*U434)*(X434+(X434*EXTRA_FOR_H)))+
                                               ((Q434*V434)*X434)+
                                               ((Q434*W434)*(X434-(X434*LESS_FOR_L)))
                                    )*IF(R434=0,1,R434))))))+Z434), 0.25)</f>
        <v>0</v>
      </c>
      <c r="Z434" s="22"/>
      <c r="AA434" s="157">
        <f>Y434+Y434*VLOOKUP(I434,EXTRAS_ARRAY,2,FALSE)</f>
        <v>0</v>
      </c>
      <c r="AB434" s="20" t="s">
        <v>440</v>
      </c>
      <c r="AC434" s="34"/>
      <c r="AD434" s="23" t="str">
        <f>IF(J434&lt;&gt;"Yes",
IF(S434&lt;=0,"Error: Effort value is not defined or is invalid.",
IF(AND(SUM(U434:W434)&gt;0,SUM(U434:W434)&lt;&gt;1),"Error: Complexity % distribution should sum to 100%.",
IF(AND(P434=AS_DEV_EFFORT,X434&lt;&gt;0),"Error: PDs should not be defined when defining as dev effort %.",
IF(AND(P434=AS_DURATION_EFFORT,X434&lt;&gt;0),"Error: PDs should not be defined when defining as duration effort %.","")))))</f>
        <v>Error: Effort value is not defined or is invalid.</v>
      </c>
    </row>
    <row r="435" spans="1:30" ht="116" hidden="1" outlineLevel="2" x14ac:dyDescent="0.35">
      <c r="A435" s="86" t="s">
        <v>0</v>
      </c>
      <c r="B435" s="18"/>
      <c r="C435" s="78"/>
      <c r="D435" s="78"/>
      <c r="E435" s="78"/>
      <c r="F435" s="79"/>
      <c r="G435" s="19" t="s">
        <v>23</v>
      </c>
      <c r="H435" s="19" t="s">
        <v>23</v>
      </c>
      <c r="I435" s="20" t="s">
        <v>23</v>
      </c>
      <c r="J435" s="19" t="s">
        <v>23</v>
      </c>
      <c r="K435" s="35"/>
      <c r="L435" s="19"/>
      <c r="M435" s="263">
        <f ca="1">IFERROR(OFFSET(M435,-1,,1,1)+0.1,OFFSET(M435,-1,-1,1,1)&amp;".1")</f>
        <v>3.3000000000000003</v>
      </c>
      <c r="N435" s="20" t="s">
        <v>963</v>
      </c>
      <c r="O435" s="20"/>
      <c r="P435" s="20"/>
      <c r="Q435" s="134">
        <v>1</v>
      </c>
      <c r="R435" s="127"/>
      <c r="S435" s="157">
        <f>CEILING((IF(J435="Yes", 0, IF(H435="-",AA435,AA435+AA435*VLOOKUP(H435,BUFFERS_BY_TYPE,2,FALSE)))) +
   (IF(J435="Yes", 0, IF(H435="-",AA435,AA435+AA435*VLOOKUP(H435,BUFFERS_BY_TYPE,2,FALSE))))*VLOOKUP($S$5, SALES_CALL_SCALE_ARRAY, 2,FALSE),0.25)</f>
        <v>9</v>
      </c>
      <c r="T435" s="158"/>
      <c r="U435" s="21">
        <v>0</v>
      </c>
      <c r="V435" s="21">
        <v>1</v>
      </c>
      <c r="W435" s="21">
        <v>0</v>
      </c>
      <c r="X435" s="156">
        <v>9</v>
      </c>
      <c r="Y435" s="157">
        <f>CEILING((IF(P435=AS_DEV_EFFORT, DEV_EFFORT*Q435%,
                           IF(P435=AS_DURATION_EFFORT, (MANUAL_DURATION*5)*Q435%,
                                    (IF(Q435&lt;=1,X435,
                                          IF(SUM(U435:W435)=0,(Q435*X435),
                                               (((Q435*U435)*(X435+(X435*EXTRA_FOR_H)))+
                                               ((Q435*V435)*X435)+
                                               ((Q435*W435)*(X435-(X435*LESS_FOR_L)))
                                    )*IF(R435=0,1,R435))))))+Z435), 0.25)</f>
        <v>9</v>
      </c>
      <c r="Z435" s="22"/>
      <c r="AA435" s="157">
        <f>Y435+Y435*VLOOKUP(I435,EXTRAS_ARRAY,2,FALSE)</f>
        <v>9</v>
      </c>
      <c r="AB435" s="20"/>
      <c r="AC435" s="34"/>
      <c r="AD435" s="23" t="str">
        <f>IF(J435&lt;&gt;"Yes",
IF(S435&lt;=0,"Error: Effort value is not defined or is invalid.",
IF(AND(SUM(U435:W435)&gt;0,SUM(U435:W435)&lt;&gt;1),"Error: Complexity % distribution should sum to 100%.",
IF(AND(P435=AS_DEV_EFFORT,X435&lt;&gt;0),"Error: PDs should not be defined when defining as dev effort %.",
IF(AND(P435=AS_DURATION_EFFORT,X435&lt;&gt;0),"Error: PDs should not be defined when defining as duration effort %.","")))))</f>
        <v/>
      </c>
    </row>
    <row r="436" spans="1:30" ht="101.5" hidden="1" outlineLevel="2" x14ac:dyDescent="0.35">
      <c r="A436" s="86" t="s">
        <v>0</v>
      </c>
      <c r="B436" s="18"/>
      <c r="C436" s="78"/>
      <c r="D436" s="78"/>
      <c r="E436" s="78"/>
      <c r="F436" s="79"/>
      <c r="G436" s="19" t="s">
        <v>23</v>
      </c>
      <c r="H436" s="19" t="s">
        <v>23</v>
      </c>
      <c r="I436" s="20" t="s">
        <v>23</v>
      </c>
      <c r="J436" s="19" t="s">
        <v>23</v>
      </c>
      <c r="K436" s="35"/>
      <c r="L436" s="19"/>
      <c r="M436" s="263">
        <f ca="1">IFERROR(OFFSET(M436,-1,,1,1)+0.1,OFFSET(M436,-1,-1,1,1)&amp;".1")</f>
        <v>3.4000000000000004</v>
      </c>
      <c r="N436" s="20" t="s">
        <v>1160</v>
      </c>
      <c r="O436" s="20"/>
      <c r="P436" s="20"/>
      <c r="Q436" s="134"/>
      <c r="R436" s="127"/>
      <c r="S436" s="157">
        <f>CEILING((IF(J436="Yes", 0, IF(H436="-",AA436,AA436+AA436*VLOOKUP(H436,BUFFERS_BY_TYPE,2,FALSE)))) +
   (IF(J436="Yes", 0, IF(H436="-",AA436,AA436+AA436*VLOOKUP(H436,BUFFERS_BY_TYPE,2,FALSE))))*VLOOKUP($S$5, SALES_CALL_SCALE_ARRAY, 2,FALSE),0.25)</f>
        <v>8</v>
      </c>
      <c r="T436" s="158"/>
      <c r="U436" s="21">
        <v>0</v>
      </c>
      <c r="V436" s="21">
        <v>1</v>
      </c>
      <c r="W436" s="21">
        <v>0</v>
      </c>
      <c r="X436" s="156">
        <v>8</v>
      </c>
      <c r="Y436" s="157">
        <f>CEILING((IF(P436=AS_DEV_EFFORT, DEV_EFFORT*Q436%,
                           IF(P436=AS_DURATION_EFFORT, (MANUAL_DURATION*5)*Q436%,
                                    (IF(Q436&lt;=1,X436,
                                          IF(SUM(U436:W436)=0,(Q436*X436),
                                               (((Q436*U436)*(X436+(X436*EXTRA_FOR_H)))+
                                               ((Q436*V436)*X436)+
                                               ((Q436*W436)*(X436-(X436*LESS_FOR_L)))
                                    )*IF(R436=0,1,R436))))))+Z436), 0.25)</f>
        <v>8</v>
      </c>
      <c r="Z436" s="22"/>
      <c r="AA436" s="157">
        <f>Y436+Y436*VLOOKUP(I436,EXTRAS_ARRAY,2,FALSE)</f>
        <v>8</v>
      </c>
      <c r="AB436" s="20" t="s">
        <v>1161</v>
      </c>
      <c r="AC436" s="34"/>
      <c r="AD436" s="23" t="str">
        <f>IF(J436&lt;&gt;"Yes",
IF(S436&lt;=0,"Error: Effort value is not defined or is invalid.",
IF(AND(SUM(U436:W436)&gt;0,SUM(U436:W436)&lt;&gt;1),"Error: Complexity % distribution should sum to 100%.",
IF(AND(P436=AS_DEV_EFFORT,X436&lt;&gt;0),"Error: PDs should not be defined when defining as dev effort %.",
IF(AND(P436=AS_DURATION_EFFORT,X436&lt;&gt;0),"Error: PDs should not be defined when defining as duration effort %.","")))))</f>
        <v/>
      </c>
    </row>
    <row r="437" spans="1:30" s="9" customFormat="1" ht="7.5" hidden="1" customHeight="1" outlineLevel="2" x14ac:dyDescent="0.35">
      <c r="A437" s="86" t="s">
        <v>132</v>
      </c>
      <c r="B437" s="15"/>
      <c r="C437" s="72"/>
      <c r="D437" s="72"/>
      <c r="E437" s="72"/>
      <c r="F437" s="72"/>
      <c r="M437" s="252"/>
      <c r="T437" s="15"/>
      <c r="X437" s="15"/>
      <c r="AB437" s="10"/>
      <c r="AC437" s="10"/>
      <c r="AD437" s="10"/>
    </row>
    <row r="438" spans="1:30" s="14" customFormat="1" ht="15.5" outlineLevel="1" collapsed="1" x14ac:dyDescent="0.35">
      <c r="A438" s="86" t="s">
        <v>100</v>
      </c>
      <c r="B438" s="18"/>
      <c r="C438" s="77"/>
      <c r="D438" s="77"/>
      <c r="E438" s="77"/>
      <c r="F438" s="76"/>
      <c r="G438" s="29"/>
      <c r="H438" s="29"/>
      <c r="I438" s="29"/>
      <c r="J438" s="29"/>
      <c r="K438" s="29"/>
      <c r="L438" s="17">
        <f ca="1">LOOKUP(1000,INDIRECT("L1:"&amp;CELL("address",INDIRECT("R[-1]C",FALSE))))+1</f>
        <v>4</v>
      </c>
      <c r="M438" s="303" t="s">
        <v>465</v>
      </c>
      <c r="N438" s="303"/>
      <c r="O438" s="5"/>
      <c r="P438" s="30"/>
      <c r="Q438" s="30"/>
      <c r="R438" s="30"/>
      <c r="S438" s="30"/>
      <c r="T438" s="155">
        <f>IF($S$6="Exclude", SUMIFS(S439:S444, J439:J444, "&lt;&gt;Yes", G439:G444, "&lt;&gt;Yes"), SUMIFS(S439:S444, J439:J444, "&lt;&gt;Yes"))</f>
        <v>25</v>
      </c>
      <c r="U438" s="30"/>
      <c r="V438" s="30"/>
      <c r="W438" s="30"/>
      <c r="X438" s="31"/>
      <c r="Y438" s="32"/>
      <c r="Z438" s="32"/>
      <c r="AA438" s="32"/>
      <c r="AB438" s="219"/>
      <c r="AC438" s="33"/>
      <c r="AD438" s="23" t="str">
        <f>IF(M438="", "Error: Task name cannot be empty.", "")</f>
        <v/>
      </c>
    </row>
    <row r="439" spans="1:30" s="12" customFormat="1" ht="1.5" hidden="1" customHeight="1" outlineLevel="2" x14ac:dyDescent="0.35">
      <c r="A439" s="86" t="s">
        <v>101</v>
      </c>
      <c r="B439" s="18"/>
      <c r="C439" s="77"/>
      <c r="D439" s="77"/>
      <c r="E439" s="77"/>
      <c r="F439" s="76"/>
      <c r="G439" s="29"/>
      <c r="H439" s="29"/>
      <c r="I439" s="29"/>
      <c r="J439" s="29"/>
      <c r="K439" s="29"/>
      <c r="L439" s="163">
        <f ca="1">L438</f>
        <v>4</v>
      </c>
      <c r="M439" s="164" t="s">
        <v>105</v>
      </c>
      <c r="N439" s="161"/>
      <c r="O439" s="162"/>
      <c r="P439" s="30"/>
      <c r="Q439" s="30"/>
      <c r="R439" s="30"/>
      <c r="S439" s="30"/>
      <c r="T439" s="155"/>
      <c r="U439" s="30"/>
      <c r="V439" s="30"/>
      <c r="W439" s="30"/>
      <c r="X439" s="31"/>
      <c r="Y439" s="32"/>
      <c r="Z439" s="32"/>
      <c r="AA439" s="32"/>
      <c r="AB439" s="33"/>
      <c r="AC439" s="33"/>
      <c r="AD439" s="23"/>
    </row>
    <row r="440" spans="1:30" ht="72.5" hidden="1" outlineLevel="2" x14ac:dyDescent="0.35">
      <c r="A440" s="86" t="s">
        <v>0</v>
      </c>
      <c r="B440" s="18"/>
      <c r="C440" s="78"/>
      <c r="D440" s="78"/>
      <c r="E440" s="78"/>
      <c r="F440" s="79"/>
      <c r="G440" s="19" t="s">
        <v>23</v>
      </c>
      <c r="H440" s="19" t="s">
        <v>23</v>
      </c>
      <c r="I440" s="20" t="s">
        <v>23</v>
      </c>
      <c r="J440" s="19" t="s">
        <v>23</v>
      </c>
      <c r="K440" s="35"/>
      <c r="L440" s="19"/>
      <c r="M440" s="263" t="str">
        <f ca="1">IFERROR(OFFSET(M440,-1,,1,1)+0.1,OFFSET(M440,-1,-1,1,1)&amp;".1")</f>
        <v>4.1</v>
      </c>
      <c r="N440" s="20" t="s">
        <v>964</v>
      </c>
      <c r="O440" s="20"/>
      <c r="P440" s="20"/>
      <c r="Q440" s="134"/>
      <c r="R440" s="127"/>
      <c r="S440" s="157">
        <f>CEILING((IF(J440="Yes", 0, IF(H440="-",AA440,AA440+AA440*VLOOKUP(H440,BUFFERS_BY_TYPE,2,FALSE)))) +
   (IF(J440="Yes", 0, IF(H440="-",AA440,AA440+AA440*VLOOKUP(H440,BUFFERS_BY_TYPE,2,FALSE))))*VLOOKUP($S$5, SALES_CALL_SCALE_ARRAY, 2,FALSE),0.25)</f>
        <v>6</v>
      </c>
      <c r="T440" s="158"/>
      <c r="U440" s="21">
        <v>0</v>
      </c>
      <c r="V440" s="21">
        <v>1</v>
      </c>
      <c r="W440" s="21">
        <v>0</v>
      </c>
      <c r="X440" s="156">
        <v>6</v>
      </c>
      <c r="Y440" s="157">
        <f>CEILING((IF(P440=AS_DEV_EFFORT, DEV_EFFORT*Q440%,
                           IF(P440=AS_DURATION_EFFORT, (MANUAL_DURATION*5)*Q440%,
                                    (IF(Q440&lt;=1,X440,
                                          IF(SUM(U440:W440)=0,(Q440*X440),
                                               (((Q440*U440)*(X440+(X440*EXTRA_FOR_H)))+
                                               ((Q440*V440)*X440)+
                                               ((Q440*W440)*(X440-(X440*LESS_FOR_L)))
                                    )*IF(R440=0,1,R440))))))+Z440), 0.25)</f>
        <v>6</v>
      </c>
      <c r="Z440" s="22"/>
      <c r="AA440" s="157">
        <f>Y440+Y440*VLOOKUP(I440,EXTRAS_ARRAY,2,FALSE)</f>
        <v>6</v>
      </c>
      <c r="AB440" s="20"/>
      <c r="AC440" s="34"/>
      <c r="AD440" s="23" t="str">
        <f>IF(J440&lt;&gt;"Yes",
IF(S440&lt;=0,"Error: Effort value is not defined or is invalid.",
IF(AND(SUM(U440:W440)&gt;0,SUM(U440:W440)&lt;&gt;1),"Error: Complexity % distribution should sum to 100%.",
IF(AND(P440=AS_DEV_EFFORT,X440&lt;&gt;0),"Error: PDs should not be defined when defining as dev effort %.",
IF(AND(P440=AS_DURATION_EFFORT,X440&lt;&gt;0),"Error: PDs should not be defined when defining as duration effort %.","")))))</f>
        <v/>
      </c>
    </row>
    <row r="441" spans="1:30" ht="72.5" hidden="1" outlineLevel="2" x14ac:dyDescent="0.35">
      <c r="A441" s="86" t="s">
        <v>0</v>
      </c>
      <c r="B441" s="18"/>
      <c r="C441" s="78"/>
      <c r="D441" s="78"/>
      <c r="E441" s="78"/>
      <c r="F441" s="79"/>
      <c r="G441" s="19" t="s">
        <v>23</v>
      </c>
      <c r="H441" s="19" t="s">
        <v>23</v>
      </c>
      <c r="I441" s="20" t="s">
        <v>23</v>
      </c>
      <c r="J441" s="19" t="s">
        <v>23</v>
      </c>
      <c r="K441" s="35"/>
      <c r="L441" s="19"/>
      <c r="M441" s="263">
        <f ca="1">IFERROR(OFFSET(M441,-1,,1,1)+0.1,OFFSET(M441,-1,-1,1,1)&amp;".1")</f>
        <v>4.1999999999999993</v>
      </c>
      <c r="N441" s="20" t="s">
        <v>965</v>
      </c>
      <c r="O441" s="20"/>
      <c r="P441" s="20"/>
      <c r="Q441" s="134"/>
      <c r="R441" s="127"/>
      <c r="S441" s="157">
        <f>CEILING((IF(J441="Yes", 0, IF(H441="-",AA441,AA441+AA441*VLOOKUP(H441,BUFFERS_BY_TYPE,2,FALSE)))) +
   (IF(J441="Yes", 0, IF(H441="-",AA441,AA441+AA441*VLOOKUP(H441,BUFFERS_BY_TYPE,2,FALSE))))*VLOOKUP($S$5, SALES_CALL_SCALE_ARRAY, 2,FALSE),0.25)</f>
        <v>6</v>
      </c>
      <c r="T441" s="158"/>
      <c r="U441" s="21">
        <v>0</v>
      </c>
      <c r="V441" s="21">
        <v>1</v>
      </c>
      <c r="W441" s="21">
        <v>0</v>
      </c>
      <c r="X441" s="156">
        <v>6</v>
      </c>
      <c r="Y441" s="157">
        <f>CEILING((IF(P441=AS_DEV_EFFORT, DEV_EFFORT*Q441%,
                           IF(P441=AS_DURATION_EFFORT, (MANUAL_DURATION*5)*Q441%,
                                    (IF(Q441&lt;=1,X441,
                                          IF(SUM(U441:W441)=0,(Q441*X441),
                                               (((Q441*U441)*(X441+(X441*EXTRA_FOR_H)))+
                                               ((Q441*V441)*X441)+
                                               ((Q441*W441)*(X441-(X441*LESS_FOR_L)))
                                    )*IF(R441=0,1,R441))))))+Z441), 0.25)</f>
        <v>6</v>
      </c>
      <c r="Z441" s="22"/>
      <c r="AA441" s="157">
        <f>Y441+Y441*VLOOKUP(I441,EXTRAS_ARRAY,2,FALSE)</f>
        <v>6</v>
      </c>
      <c r="AB441" s="20"/>
      <c r="AC441" s="34"/>
      <c r="AD441" s="23" t="str">
        <f>IF(J441&lt;&gt;"Yes",
IF(S441&lt;=0,"Error: Effort value is not defined or is invalid.",
IF(AND(SUM(U441:W441)&gt;0,SUM(U441:W441)&lt;&gt;1),"Error: Complexity % distribution should sum to 100%.",
IF(AND(P441=AS_DEV_EFFORT,X441&lt;&gt;0),"Error: PDs should not be defined when defining as dev effort %.",
IF(AND(P441=AS_DURATION_EFFORT,X441&lt;&gt;0),"Error: PDs should not be defined when defining as duration effort %.","")))))</f>
        <v/>
      </c>
    </row>
    <row r="442" spans="1:30" ht="87" hidden="1" outlineLevel="2" x14ac:dyDescent="0.35">
      <c r="A442" s="86" t="s">
        <v>0</v>
      </c>
      <c r="B442" s="18"/>
      <c r="C442" s="78"/>
      <c r="D442" s="78"/>
      <c r="E442" s="78"/>
      <c r="F442" s="79"/>
      <c r="G442" s="19" t="s">
        <v>23</v>
      </c>
      <c r="H442" s="19" t="s">
        <v>23</v>
      </c>
      <c r="I442" s="20" t="s">
        <v>23</v>
      </c>
      <c r="J442" s="19" t="s">
        <v>23</v>
      </c>
      <c r="K442" s="35"/>
      <c r="L442" s="19"/>
      <c r="M442" s="263">
        <f ca="1">IFERROR(OFFSET(M442,-1,,1,1)+0.1,OFFSET(M442,-1,-1,1,1)&amp;".1")</f>
        <v>4.2999999999999989</v>
      </c>
      <c r="N442" s="20" t="s">
        <v>966</v>
      </c>
      <c r="O442" s="20"/>
      <c r="P442" s="20"/>
      <c r="Q442" s="134"/>
      <c r="R442" s="127"/>
      <c r="S442" s="157">
        <f>CEILING((IF(J442="Yes", 0, IF(H442="-",AA442,AA442+AA442*VLOOKUP(H442,BUFFERS_BY_TYPE,2,FALSE)))) +
   (IF(J442="Yes", 0, IF(H442="-",AA442,AA442+AA442*VLOOKUP(H442,BUFFERS_BY_TYPE,2,FALSE))))*VLOOKUP($S$5, SALES_CALL_SCALE_ARRAY, 2,FALSE),0.25)</f>
        <v>7</v>
      </c>
      <c r="T442" s="158"/>
      <c r="U442" s="21">
        <v>0</v>
      </c>
      <c r="V442" s="21">
        <v>1</v>
      </c>
      <c r="W442" s="21">
        <v>0</v>
      </c>
      <c r="X442" s="156">
        <v>7</v>
      </c>
      <c r="Y442" s="157">
        <f>CEILING((IF(P442=AS_DEV_EFFORT, DEV_EFFORT*Q442%,
                           IF(P442=AS_DURATION_EFFORT, (MANUAL_DURATION*5)*Q442%,
                                    (IF(Q442&lt;=1,X442,
                                          IF(SUM(U442:W442)=0,(Q442*X442),
                                               (((Q442*U442)*(X442+(X442*EXTRA_FOR_H)))+
                                               ((Q442*V442)*X442)+
                                               ((Q442*W442)*(X442-(X442*LESS_FOR_L)))
                                    )*IF(R442=0,1,R442))))))+Z442), 0.25)</f>
        <v>7</v>
      </c>
      <c r="Z442" s="22"/>
      <c r="AA442" s="157">
        <f>Y442+Y442*VLOOKUP(I442,EXTRAS_ARRAY,2,FALSE)</f>
        <v>7</v>
      </c>
      <c r="AB442" s="20"/>
      <c r="AC442" s="34"/>
      <c r="AD442" s="23" t="str">
        <f>IF(J442&lt;&gt;"Yes",
IF(S442&lt;=0,"Error: Effort value is not defined or is invalid.",
IF(AND(SUM(U442:W442)&gt;0,SUM(U442:W442)&lt;&gt;1),"Error: Complexity % distribution should sum to 100%.",
IF(AND(P442=AS_DEV_EFFORT,X442&lt;&gt;0),"Error: PDs should not be defined when defining as dev effort %.",
IF(AND(P442=AS_DURATION_EFFORT,X442&lt;&gt;0),"Error: PDs should not be defined when defining as duration effort %.","")))))</f>
        <v/>
      </c>
    </row>
    <row r="443" spans="1:30" ht="72.5" hidden="1" outlineLevel="2" x14ac:dyDescent="0.35">
      <c r="A443" s="86" t="s">
        <v>0</v>
      </c>
      <c r="B443" s="18"/>
      <c r="C443" s="78"/>
      <c r="D443" s="78"/>
      <c r="E443" s="78"/>
      <c r="F443" s="79"/>
      <c r="G443" s="19" t="s">
        <v>23</v>
      </c>
      <c r="H443" s="19" t="s">
        <v>23</v>
      </c>
      <c r="I443" s="20" t="s">
        <v>23</v>
      </c>
      <c r="J443" s="19" t="s">
        <v>23</v>
      </c>
      <c r="K443" s="35"/>
      <c r="L443" s="19"/>
      <c r="M443" s="263">
        <f ca="1">IFERROR(OFFSET(M443,-1,,1,1)+0.1,OFFSET(M443,-1,-1,1,1)&amp;".1")</f>
        <v>4.3999999999999986</v>
      </c>
      <c r="N443" s="20" t="s">
        <v>967</v>
      </c>
      <c r="O443" s="20"/>
      <c r="P443" s="20"/>
      <c r="Q443" s="134"/>
      <c r="R443" s="127"/>
      <c r="S443" s="157">
        <f>CEILING((IF(J443="Yes", 0, IF(H443="-",AA443,AA443+AA443*VLOOKUP(H443,BUFFERS_BY_TYPE,2,FALSE)))) +
   (IF(J443="Yes", 0, IF(H443="-",AA443,AA443+AA443*VLOOKUP(H443,BUFFERS_BY_TYPE,2,FALSE))))*VLOOKUP($S$5, SALES_CALL_SCALE_ARRAY, 2,FALSE),0.25)</f>
        <v>6</v>
      </c>
      <c r="T443" s="158"/>
      <c r="U443" s="21">
        <v>0</v>
      </c>
      <c r="V443" s="21">
        <v>1</v>
      </c>
      <c r="W443" s="21">
        <v>0</v>
      </c>
      <c r="X443" s="156">
        <v>6</v>
      </c>
      <c r="Y443" s="157">
        <f>CEILING((IF(P443=AS_DEV_EFFORT, DEV_EFFORT*Q443%,
                           IF(P443=AS_DURATION_EFFORT, (MANUAL_DURATION*5)*Q443%,
                                    (IF(Q443&lt;=1,X443,
                                          IF(SUM(U443:W443)=0,(Q443*X443),
                                               (((Q443*U443)*(X443+(X443*EXTRA_FOR_H)))+
                                               ((Q443*V443)*X443)+
                                               ((Q443*W443)*(X443-(X443*LESS_FOR_L)))
                                    )*IF(R443=0,1,R443))))))+Z443), 0.25)</f>
        <v>6</v>
      </c>
      <c r="Z443" s="22"/>
      <c r="AA443" s="157">
        <f>Y443+Y443*VLOOKUP(I443,EXTRAS_ARRAY,2,FALSE)</f>
        <v>6</v>
      </c>
      <c r="AB443" s="20"/>
      <c r="AC443" s="34"/>
      <c r="AD443" s="23" t="str">
        <f>IF(J443&lt;&gt;"Yes",
IF(S443&lt;=0,"Error: Effort value is not defined or is invalid.",
IF(AND(SUM(U443:W443)&gt;0,SUM(U443:W443)&lt;&gt;1),"Error: Complexity % distribution should sum to 100%.",
IF(AND(P443=AS_DEV_EFFORT,X443&lt;&gt;0),"Error: PDs should not be defined when defining as dev effort %.",
IF(AND(P443=AS_DURATION_EFFORT,X443&lt;&gt;0),"Error: PDs should not be defined when defining as duration effort %.","")))))</f>
        <v/>
      </c>
    </row>
    <row r="444" spans="1:30" s="9" customFormat="1" ht="7.5" hidden="1" customHeight="1" outlineLevel="2" x14ac:dyDescent="0.35">
      <c r="A444" s="86" t="s">
        <v>132</v>
      </c>
      <c r="B444" s="15"/>
      <c r="C444" s="72"/>
      <c r="D444" s="72"/>
      <c r="E444" s="72"/>
      <c r="F444" s="72"/>
      <c r="M444" s="252"/>
      <c r="T444" s="15"/>
      <c r="X444" s="15"/>
      <c r="AB444" s="10"/>
      <c r="AC444" s="10"/>
      <c r="AD444" s="10"/>
    </row>
    <row r="445" spans="1:30" s="9" customFormat="1" ht="3" customHeight="1" outlineLevel="1" x14ac:dyDescent="0.35">
      <c r="A445" s="86" t="s">
        <v>102</v>
      </c>
      <c r="C445" s="72"/>
      <c r="D445" s="72"/>
      <c r="E445" s="72"/>
      <c r="F445" s="72"/>
      <c r="G445" s="25"/>
      <c r="H445" s="25"/>
      <c r="I445" s="25"/>
      <c r="J445" s="25"/>
      <c r="K445" s="25"/>
      <c r="L445" s="56"/>
      <c r="M445" s="264"/>
      <c r="N445" s="57"/>
      <c r="O445" s="57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7"/>
      <c r="AC445" s="57"/>
      <c r="AD445" s="10"/>
    </row>
    <row r="446" spans="1:30" s="14" customFormat="1" ht="18.5" collapsed="1" x14ac:dyDescent="0.35">
      <c r="A446" s="86" t="s">
        <v>98</v>
      </c>
      <c r="B446" s="12"/>
      <c r="C446" s="73"/>
      <c r="D446" s="73"/>
      <c r="E446" s="73"/>
      <c r="F446" s="72"/>
      <c r="G446" s="52"/>
      <c r="H446" s="52"/>
      <c r="I446" s="52"/>
      <c r="J446" s="52"/>
      <c r="K446" s="52"/>
      <c r="L446" s="52" t="s">
        <v>83</v>
      </c>
      <c r="M446" s="261" t="s">
        <v>76</v>
      </c>
      <c r="N446" s="53"/>
      <c r="O446" s="54"/>
      <c r="P446" s="55"/>
      <c r="Q446" s="55"/>
      <c r="R446" s="55"/>
      <c r="S446" s="317">
        <f>CEILING(SUMIF(J447:J452, "&lt;&gt;Yes", T447:T452),1)</f>
        <v>70</v>
      </c>
      <c r="T446" s="317"/>
      <c r="U446" s="55"/>
      <c r="V446" s="55"/>
      <c r="W446" s="55"/>
      <c r="X446" s="55"/>
      <c r="Y446" s="55"/>
      <c r="Z446" s="55"/>
      <c r="AA446" s="55"/>
      <c r="AB446" s="55"/>
      <c r="AC446" s="55"/>
      <c r="AD446" s="13"/>
    </row>
    <row r="447" spans="1:30" s="9" customFormat="1" ht="3" hidden="1" customHeight="1" outlineLevel="1" x14ac:dyDescent="0.35">
      <c r="A447" s="86" t="s">
        <v>99</v>
      </c>
      <c r="B447" s="15"/>
      <c r="C447" s="72"/>
      <c r="D447" s="72"/>
      <c r="E447" s="72"/>
      <c r="F447" s="72"/>
      <c r="G447" s="25"/>
      <c r="H447" s="25"/>
      <c r="I447" s="25"/>
      <c r="J447" s="25"/>
      <c r="K447" s="25"/>
      <c r="L447" s="26">
        <v>0</v>
      </c>
      <c r="M447" s="262"/>
      <c r="N447" s="25"/>
      <c r="O447" s="25"/>
      <c r="P447" s="25"/>
      <c r="Q447" s="25"/>
      <c r="R447" s="25"/>
      <c r="S447" s="25"/>
      <c r="T447" s="27"/>
      <c r="U447" s="25"/>
      <c r="V447" s="25"/>
      <c r="W447" s="25"/>
      <c r="X447" s="27"/>
      <c r="Y447" s="25"/>
      <c r="Z447" s="25"/>
      <c r="AA447" s="25"/>
      <c r="AB447" s="28"/>
      <c r="AC447" s="28"/>
      <c r="AD447" s="10"/>
    </row>
    <row r="448" spans="1:30" s="14" customFormat="1" ht="15.5" hidden="1" outlineLevel="1" collapsed="1" x14ac:dyDescent="0.35">
      <c r="A448" s="86" t="s">
        <v>100</v>
      </c>
      <c r="B448" s="18"/>
      <c r="C448" s="77"/>
      <c r="D448" s="77"/>
      <c r="E448" s="77"/>
      <c r="F448" s="76"/>
      <c r="G448" s="29"/>
      <c r="H448" s="29"/>
      <c r="I448" s="29"/>
      <c r="J448" s="29"/>
      <c r="K448" s="29"/>
      <c r="L448" s="17">
        <f ca="1">LOOKUP(1000,INDIRECT("L1:"&amp;CELL("address",INDIRECT("R[-1]C",FALSE))))+1</f>
        <v>1</v>
      </c>
      <c r="M448" s="303" t="s">
        <v>471</v>
      </c>
      <c r="N448" s="303"/>
      <c r="O448" s="5"/>
      <c r="P448" s="30"/>
      <c r="Q448" s="30"/>
      <c r="R448" s="30"/>
      <c r="S448" s="30"/>
      <c r="T448" s="155">
        <f>IF($S$6="Exclude", SUMIFS(S449:S451, J449:J451, "&lt;&gt;Yes", G449:G451, "&lt;&gt;Yes"), SUMIFS(S449:S451, J449:J451, "&lt;&gt;Yes"))</f>
        <v>69.25</v>
      </c>
      <c r="U448" s="30"/>
      <c r="V448" s="30"/>
      <c r="W448" s="30"/>
      <c r="X448" s="31"/>
      <c r="Y448" s="32"/>
      <c r="Z448" s="32"/>
      <c r="AA448" s="32"/>
      <c r="AB448" s="219"/>
      <c r="AC448" s="33"/>
      <c r="AD448" s="23" t="str">
        <f>IF(M448="", "Error: Task name cannot be empty.", "")</f>
        <v/>
      </c>
    </row>
    <row r="449" spans="1:30" s="12" customFormat="1" ht="1.5" hidden="1" customHeight="1" outlineLevel="2" x14ac:dyDescent="0.35">
      <c r="A449" s="86" t="s">
        <v>101</v>
      </c>
      <c r="B449" s="18"/>
      <c r="C449" s="77"/>
      <c r="D449" s="77"/>
      <c r="E449" s="77"/>
      <c r="F449" s="76"/>
      <c r="G449" s="29"/>
      <c r="H449" s="29"/>
      <c r="I449" s="29"/>
      <c r="J449" s="29"/>
      <c r="K449" s="29"/>
      <c r="L449" s="163">
        <f ca="1">L448</f>
        <v>1</v>
      </c>
      <c r="M449" s="164" t="s">
        <v>105</v>
      </c>
      <c r="N449" s="161"/>
      <c r="O449" s="162"/>
      <c r="P449" s="30"/>
      <c r="Q449" s="30"/>
      <c r="R449" s="30"/>
      <c r="S449" s="30"/>
      <c r="T449" s="155"/>
      <c r="U449" s="30"/>
      <c r="V449" s="30"/>
      <c r="W449" s="30"/>
      <c r="X449" s="31"/>
      <c r="Y449" s="32"/>
      <c r="Z449" s="32"/>
      <c r="AA449" s="32"/>
      <c r="AB449" s="33"/>
      <c r="AC449" s="33"/>
      <c r="AD449" s="23"/>
    </row>
    <row r="450" spans="1:30" ht="15.5" hidden="1" outlineLevel="2" x14ac:dyDescent="0.35">
      <c r="A450" s="86" t="s">
        <v>0</v>
      </c>
      <c r="B450" s="18"/>
      <c r="C450" s="78"/>
      <c r="D450" s="78"/>
      <c r="E450" s="78"/>
      <c r="F450" s="79"/>
      <c r="G450" s="19" t="s">
        <v>23</v>
      </c>
      <c r="H450" s="19" t="s">
        <v>23</v>
      </c>
      <c r="I450" s="20" t="s">
        <v>23</v>
      </c>
      <c r="J450" s="19" t="s">
        <v>23</v>
      </c>
      <c r="K450" s="35"/>
      <c r="L450" s="19"/>
      <c r="M450" s="263" t="str">
        <f ca="1">IFERROR(OFFSET(M450,-1,,1,1)+0.1,OFFSET(M450,-1,-1,1,1)&amp;".1")</f>
        <v>1.1</v>
      </c>
      <c r="N450" s="20" t="s">
        <v>472</v>
      </c>
      <c r="O450" s="20" t="s">
        <v>473</v>
      </c>
      <c r="P450" s="251">
        <v>7.8600000000000003E-2</v>
      </c>
      <c r="Q450" s="134"/>
      <c r="R450" s="127"/>
      <c r="S450" s="157">
        <f>CEILING((IF(J450="Yes", 0, IF(H450="-",AA450,AA450+AA450*VLOOKUP(H450,BUFFERS_BY_TYPE,2,FALSE)))) +
   (IF(J450="Yes", 0, IF(H450="-",AA450,AA450+AA450*VLOOKUP(H450,BUFFERS_BY_TYPE,2,FALSE))))*VLOOKUP($S$5, SALES_CALL_SCALE_ARRAY, 2,FALSE),0.25)</f>
        <v>69.25</v>
      </c>
      <c r="T450" s="158"/>
      <c r="U450" s="21">
        <v>0</v>
      </c>
      <c r="V450" s="21">
        <v>1</v>
      </c>
      <c r="W450" s="21">
        <v>0</v>
      </c>
      <c r="X450" s="156">
        <f>(REQ_EFFORT+DESIGN_EFFORT+DEV_EFFORT+QA_EFFORT+UAT_EFFORT) * P450</f>
        <v>69.089399999999998</v>
      </c>
      <c r="Y450" s="157">
        <f>CEILING((IF(P450=AS_DEV_EFFORT, DEV_EFFORT*Q450%,
                           IF(P450=AS_DURATION_EFFORT, (MANUAL_DURATION*5)*Q450%,
                                    (IF(Q450&lt;=1,X450,
                                          IF(SUM(U450:W450)=0,(Q450*X450),
                                               (((Q450*U450)*(X450+(X450*EXTRA_FOR_H)))+
                                               ((Q450*V450)*X450)+
                                               ((Q450*W450)*(X450-(X450*LESS_FOR_L)))
                                    )*IF(R450=0,1,R450))))))+Z450), 0.25)</f>
        <v>69.25</v>
      </c>
      <c r="Z450" s="22">
        <v>4.4999999999999998E-2</v>
      </c>
      <c r="AA450" s="157">
        <f>Y450+Y450*VLOOKUP(I450,EXTRAS_ARRAY,2,FALSE)</f>
        <v>69.25</v>
      </c>
      <c r="AB450" s="20"/>
      <c r="AC450" s="34"/>
      <c r="AD450" s="23" t="str">
        <f>IF(J450&lt;&gt;"Yes",
IF(S450&lt;=0,"Error: Effort value is not defined or is invalid.",
IF(AND(SUM(U450:W450)&gt;0,SUM(U450:W450)&lt;&gt;1),"Error: Complexity % distribution should sum to 100%.",
IF(AND(P450=AS_DEV_EFFORT,X450&lt;&gt;0),"Error: PDs should not be defined when defining as dev effort %.",
IF(AND(P450=AS_DURATION_EFFORT,X450&lt;&gt;0),"Error: PDs should not be defined when defining as duration effort %.","")))))</f>
        <v/>
      </c>
    </row>
    <row r="451" spans="1:30" s="9" customFormat="1" ht="7.5" hidden="1" customHeight="1" outlineLevel="2" x14ac:dyDescent="0.35">
      <c r="A451" s="86" t="s">
        <v>132</v>
      </c>
      <c r="B451" s="15"/>
      <c r="C451" s="72"/>
      <c r="D451" s="72"/>
      <c r="E451" s="72"/>
      <c r="F451" s="72"/>
      <c r="M451" s="252"/>
      <c r="T451" s="15"/>
      <c r="X451" s="15"/>
      <c r="AB451" s="10"/>
      <c r="AC451" s="10"/>
      <c r="AD451" s="10"/>
    </row>
    <row r="452" spans="1:30" s="9" customFormat="1" ht="3" hidden="1" customHeight="1" outlineLevel="1" x14ac:dyDescent="0.35">
      <c r="A452" s="86" t="s">
        <v>102</v>
      </c>
      <c r="C452" s="72"/>
      <c r="D452" s="72"/>
      <c r="E452" s="72"/>
      <c r="F452" s="72"/>
      <c r="G452" s="25"/>
      <c r="H452" s="25"/>
      <c r="I452" s="25"/>
      <c r="J452" s="25"/>
      <c r="K452" s="25"/>
      <c r="L452" s="56"/>
      <c r="M452" s="264"/>
      <c r="N452" s="57"/>
      <c r="O452" s="57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7"/>
      <c r="AC452" s="57"/>
      <c r="AD452" s="10"/>
    </row>
    <row r="453" spans="1:30" s="9" customFormat="1" ht="20.25" customHeight="1" x14ac:dyDescent="0.35">
      <c r="A453" s="86" t="s">
        <v>103</v>
      </c>
      <c r="C453" s="72"/>
      <c r="D453" s="72"/>
      <c r="E453" s="72"/>
      <c r="F453" s="72"/>
      <c r="G453" s="40"/>
      <c r="H453" s="40"/>
      <c r="I453" s="40"/>
      <c r="J453" s="40"/>
      <c r="K453" s="40"/>
      <c r="L453" s="136"/>
      <c r="M453" s="258"/>
      <c r="N453" s="40"/>
      <c r="O453" s="40"/>
      <c r="P453" s="40"/>
      <c r="Q453" s="40"/>
      <c r="R453" s="40"/>
      <c r="S453" s="318">
        <f>TOTAL_EFFORT</f>
        <v>949</v>
      </c>
      <c r="T453" s="318"/>
      <c r="U453" s="40"/>
      <c r="V453" s="40"/>
      <c r="W453" s="40"/>
      <c r="X453" s="40"/>
      <c r="Y453" s="40"/>
      <c r="Z453" s="40"/>
      <c r="AA453" s="40"/>
      <c r="AB453" s="135"/>
      <c r="AC453" s="40"/>
      <c r="AD453" s="10"/>
    </row>
    <row r="454" spans="1:30" s="9" customFormat="1" x14ac:dyDescent="0.35">
      <c r="A454" s="86"/>
      <c r="C454" s="74"/>
      <c r="D454" s="74"/>
      <c r="E454" s="74"/>
      <c r="F454" s="72"/>
      <c r="M454" s="252"/>
      <c r="N454" s="10"/>
      <c r="O454" s="10"/>
      <c r="AB454" s="10"/>
      <c r="AC454" s="10"/>
      <c r="AD454" s="10"/>
    </row>
    <row r="455" spans="1:30" s="9" customFormat="1" ht="20.25" customHeight="1" x14ac:dyDescent="0.35">
      <c r="A455" s="86"/>
      <c r="C455" s="72"/>
      <c r="D455" s="72"/>
      <c r="E455" s="72"/>
      <c r="F455" s="72"/>
      <c r="G455" s="295" t="s">
        <v>48</v>
      </c>
      <c r="H455" s="295"/>
      <c r="I455" s="165"/>
      <c r="J455" s="40"/>
      <c r="K455" s="40"/>
      <c r="L455" s="36"/>
      <c r="M455" s="265" t="s">
        <v>154</v>
      </c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10"/>
    </row>
    <row r="456" spans="1:30" s="9" customFormat="1" outlineLevel="1" x14ac:dyDescent="0.35">
      <c r="A456" s="86"/>
      <c r="C456" s="74"/>
      <c r="D456" s="74"/>
      <c r="E456" s="74"/>
      <c r="F456" s="72"/>
      <c r="G456" s="25"/>
      <c r="H456" s="25"/>
      <c r="I456" s="25"/>
      <c r="J456" s="25"/>
      <c r="K456" s="25"/>
      <c r="L456" s="25"/>
      <c r="M456" s="262"/>
      <c r="N456" s="28"/>
      <c r="O456" s="28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8"/>
      <c r="AC456" s="28"/>
      <c r="AD456" s="10"/>
    </row>
    <row r="457" spans="1:30" s="9" customFormat="1" ht="15" customHeight="1" outlineLevel="1" x14ac:dyDescent="0.35">
      <c r="A457" s="86"/>
      <c r="C457" s="74"/>
      <c r="D457" s="74"/>
      <c r="E457" s="74"/>
      <c r="F457" s="72"/>
      <c r="G457" s="25"/>
      <c r="H457" s="25"/>
      <c r="I457" s="25"/>
      <c r="J457" s="25"/>
      <c r="K457" s="25"/>
      <c r="L457" s="25"/>
      <c r="M457" s="320" t="s">
        <v>444</v>
      </c>
      <c r="N457" s="320"/>
      <c r="O457" s="320"/>
      <c r="P457" s="320"/>
      <c r="Q457" s="320"/>
      <c r="R457" s="320"/>
      <c r="S457" s="320"/>
      <c r="T457" s="320"/>
      <c r="U457" s="28"/>
      <c r="V457" s="28"/>
      <c r="W457" s="28"/>
      <c r="X457" s="25"/>
      <c r="Y457" s="25"/>
      <c r="Z457" s="25"/>
      <c r="AA457" s="25"/>
      <c r="AB457" s="28"/>
      <c r="AC457" s="28"/>
      <c r="AD457" s="10"/>
    </row>
    <row r="458" spans="1:30" s="9" customFormat="1" outlineLevel="1" x14ac:dyDescent="0.35">
      <c r="A458" s="86"/>
      <c r="C458" s="74"/>
      <c r="D458" s="74"/>
      <c r="E458" s="74"/>
      <c r="F458" s="72"/>
      <c r="G458" s="25"/>
      <c r="H458" s="25"/>
      <c r="I458" s="25"/>
      <c r="J458" s="25"/>
      <c r="K458" s="25"/>
      <c r="L458" s="25"/>
      <c r="M458" s="320"/>
      <c r="N458" s="320"/>
      <c r="O458" s="320"/>
      <c r="P458" s="320"/>
      <c r="Q458" s="320"/>
      <c r="R458" s="320"/>
      <c r="S458" s="320"/>
      <c r="T458" s="320"/>
      <c r="U458" s="28"/>
      <c r="V458" s="28"/>
      <c r="W458" s="28"/>
      <c r="X458" s="25"/>
      <c r="Y458" s="25"/>
      <c r="Z458" s="25"/>
      <c r="AA458" s="25"/>
      <c r="AB458" s="28"/>
      <c r="AC458" s="28"/>
      <c r="AD458" s="10"/>
    </row>
    <row r="459" spans="1:30" s="9" customFormat="1" ht="3.75" customHeight="1" outlineLevel="1" x14ac:dyDescent="0.35">
      <c r="A459" s="86"/>
      <c r="C459" s="74"/>
      <c r="D459" s="74"/>
      <c r="E459" s="74"/>
      <c r="F459" s="72"/>
      <c r="G459" s="25"/>
      <c r="H459" s="25"/>
      <c r="I459" s="25"/>
      <c r="J459" s="25"/>
      <c r="K459" s="25"/>
      <c r="L459" s="25"/>
      <c r="M459" s="262"/>
      <c r="N459" s="28"/>
      <c r="O459" s="28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8"/>
      <c r="AC459" s="28"/>
      <c r="AD459" s="10"/>
    </row>
    <row r="460" spans="1:30" s="9" customFormat="1" ht="15.5" outlineLevel="1" x14ac:dyDescent="0.35">
      <c r="A460" s="86"/>
      <c r="C460" s="74"/>
      <c r="D460" s="74"/>
      <c r="E460" s="74"/>
      <c r="F460" s="72"/>
      <c r="G460" s="25"/>
      <c r="H460" s="25"/>
      <c r="I460" s="25"/>
      <c r="J460" s="25"/>
      <c r="K460" s="25"/>
      <c r="L460" s="25"/>
      <c r="M460" s="266" t="s">
        <v>153</v>
      </c>
      <c r="N460" s="184" t="s">
        <v>3</v>
      </c>
      <c r="O460" s="188" t="s">
        <v>59</v>
      </c>
      <c r="P460" s="187" t="str">
        <f>"Cost ("&amp;CHOSEN_CURRENCY&amp;")"</f>
        <v>Cost (USD)</v>
      </c>
      <c r="Q460" s="25"/>
      <c r="R460" s="220" t="s">
        <v>437</v>
      </c>
      <c r="S460" s="58" t="s">
        <v>443</v>
      </c>
      <c r="T460" s="230" t="s">
        <v>445</v>
      </c>
      <c r="U460" s="25"/>
      <c r="V460" s="25"/>
      <c r="W460" s="25"/>
      <c r="X460" s="25"/>
      <c r="Y460" s="25"/>
      <c r="Z460" s="25"/>
      <c r="AA460" s="25"/>
      <c r="AB460" s="28"/>
      <c r="AC460" s="28"/>
      <c r="AD460" s="10"/>
    </row>
    <row r="461" spans="1:30" s="9" customFormat="1" ht="3" customHeight="1" outlineLevel="1" x14ac:dyDescent="0.35">
      <c r="A461" s="86"/>
      <c r="C461" s="74"/>
      <c r="D461" s="74"/>
      <c r="E461" s="74"/>
      <c r="F461" s="72"/>
      <c r="G461" s="25"/>
      <c r="H461" s="25"/>
      <c r="I461" s="25"/>
      <c r="J461" s="25"/>
      <c r="K461" s="25"/>
      <c r="L461" s="25"/>
      <c r="M461" s="267"/>
      <c r="N461" s="245"/>
      <c r="O461" s="245"/>
      <c r="P461" s="244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8"/>
      <c r="AC461" s="28"/>
      <c r="AD461" s="10"/>
    </row>
    <row r="462" spans="1:30" s="9" customFormat="1" outlineLevel="1" x14ac:dyDescent="0.35">
      <c r="A462" s="86"/>
      <c r="C462" s="74"/>
      <c r="D462" s="74"/>
      <c r="E462" s="74"/>
      <c r="F462" s="72"/>
      <c r="G462" s="25"/>
      <c r="H462" s="25"/>
      <c r="I462" s="25"/>
      <c r="J462" s="25"/>
      <c r="K462" s="25"/>
      <c r="L462" s="25"/>
      <c r="M462" s="262"/>
      <c r="N462" s="28"/>
      <c r="O462" s="28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8"/>
      <c r="AC462" s="28"/>
      <c r="AD462" s="10"/>
    </row>
    <row r="463" spans="1:30" s="9" customFormat="1" ht="29" outlineLevel="1" x14ac:dyDescent="0.35">
      <c r="A463" s="86"/>
      <c r="C463" s="74"/>
      <c r="D463" s="74"/>
      <c r="E463" s="74"/>
      <c r="F463" s="72"/>
      <c r="G463" s="25"/>
      <c r="H463" s="25"/>
      <c r="I463" s="25"/>
      <c r="J463" s="25"/>
      <c r="K463" s="25"/>
      <c r="L463" s="25"/>
      <c r="M463" s="262">
        <v>1</v>
      </c>
      <c r="N463" s="28" t="s">
        <v>987</v>
      </c>
      <c r="O463" s="281">
        <v>14.6</v>
      </c>
      <c r="P463" s="282">
        <v>3270.4</v>
      </c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8"/>
      <c r="AC463" s="28"/>
      <c r="AD463" s="10"/>
    </row>
    <row r="464" spans="1:30" s="284" customFormat="1" outlineLevel="1" x14ac:dyDescent="0.35">
      <c r="A464" s="283"/>
      <c r="C464" s="285"/>
      <c r="D464" s="285"/>
      <c r="E464" s="285"/>
      <c r="F464" s="286"/>
      <c r="G464" s="287"/>
      <c r="H464" s="287"/>
      <c r="I464" s="287"/>
      <c r="J464" s="287"/>
      <c r="K464" s="287"/>
      <c r="L464" s="287"/>
      <c r="M464" s="288" t="s">
        <v>109</v>
      </c>
      <c r="N464" s="289" t="s">
        <v>878</v>
      </c>
      <c r="O464" s="290">
        <v>133.19999999999999</v>
      </c>
      <c r="P464" s="291">
        <v>29836.799999999999</v>
      </c>
      <c r="Q464" s="287"/>
      <c r="R464" s="287"/>
      <c r="S464" s="287"/>
      <c r="T464" s="287"/>
      <c r="U464" s="287"/>
      <c r="V464" s="287"/>
      <c r="W464" s="287"/>
      <c r="X464" s="287"/>
      <c r="Y464" s="287"/>
      <c r="Z464" s="287"/>
      <c r="AA464" s="287"/>
      <c r="AB464" s="289"/>
      <c r="AC464" s="289"/>
      <c r="AD464" s="292"/>
    </row>
    <row r="465" spans="1:30" s="9" customFormat="1" ht="29" outlineLevel="1" x14ac:dyDescent="0.35">
      <c r="A465" s="86"/>
      <c r="C465" s="74"/>
      <c r="D465" s="74"/>
      <c r="E465" s="74"/>
      <c r="F465" s="72"/>
      <c r="G465" s="25"/>
      <c r="H465" s="25"/>
      <c r="I465" s="25"/>
      <c r="J465" s="25"/>
      <c r="K465" s="25"/>
      <c r="L465" s="25"/>
      <c r="M465" s="262">
        <v>2</v>
      </c>
      <c r="N465" s="28" t="s">
        <v>991</v>
      </c>
      <c r="O465" s="281">
        <v>29.2</v>
      </c>
      <c r="P465" s="282">
        <v>6540.8</v>
      </c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8"/>
      <c r="AC465" s="28"/>
      <c r="AD465" s="10"/>
    </row>
    <row r="466" spans="1:30" s="9" customFormat="1" outlineLevel="1" x14ac:dyDescent="0.35">
      <c r="A466" s="86"/>
      <c r="C466" s="74"/>
      <c r="D466" s="74"/>
      <c r="E466" s="74"/>
      <c r="F466" s="72"/>
      <c r="G466" s="25"/>
      <c r="H466" s="25"/>
      <c r="I466" s="25"/>
      <c r="J466" s="25"/>
      <c r="K466" s="25"/>
      <c r="L466" s="25"/>
      <c r="M466" s="262">
        <v>3</v>
      </c>
      <c r="N466" s="28" t="s">
        <v>998</v>
      </c>
      <c r="O466" s="281">
        <v>25.6</v>
      </c>
      <c r="P466" s="282">
        <v>5734.4</v>
      </c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8"/>
      <c r="AC466" s="28"/>
      <c r="AD466" s="10"/>
    </row>
    <row r="467" spans="1:30" s="9" customFormat="1" ht="29" outlineLevel="1" x14ac:dyDescent="0.35">
      <c r="A467" s="86"/>
      <c r="C467" s="74"/>
      <c r="D467" s="74"/>
      <c r="E467" s="74"/>
      <c r="F467" s="72"/>
      <c r="G467" s="25"/>
      <c r="H467" s="25"/>
      <c r="I467" s="25"/>
      <c r="J467" s="25"/>
      <c r="K467" s="25"/>
      <c r="L467" s="25"/>
      <c r="M467" s="262">
        <v>4</v>
      </c>
      <c r="N467" s="28" t="s">
        <v>1006</v>
      </c>
      <c r="O467" s="281">
        <v>32.9</v>
      </c>
      <c r="P467" s="282">
        <v>7369.6</v>
      </c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8"/>
      <c r="AC467" s="28"/>
      <c r="AD467" s="10"/>
    </row>
    <row r="468" spans="1:30" s="9" customFormat="1" outlineLevel="1" x14ac:dyDescent="0.35">
      <c r="A468" s="86"/>
      <c r="C468" s="74"/>
      <c r="D468" s="74"/>
      <c r="E468" s="74"/>
      <c r="F468" s="72"/>
      <c r="G468" s="25"/>
      <c r="H468" s="25"/>
      <c r="I468" s="25"/>
      <c r="J468" s="25"/>
      <c r="K468" s="25"/>
      <c r="L468" s="25"/>
      <c r="M468" s="262">
        <v>5</v>
      </c>
      <c r="N468" s="28" t="s">
        <v>1012</v>
      </c>
      <c r="O468" s="281">
        <v>21.9</v>
      </c>
      <c r="P468" s="282">
        <v>4905.6000000000004</v>
      </c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8"/>
      <c r="AC468" s="28"/>
      <c r="AD468" s="10"/>
    </row>
    <row r="469" spans="1:30" s="9" customFormat="1" ht="29" outlineLevel="1" x14ac:dyDescent="0.35">
      <c r="A469" s="86"/>
      <c r="C469" s="74"/>
      <c r="D469" s="74"/>
      <c r="E469" s="74"/>
      <c r="F469" s="72"/>
      <c r="G469" s="25"/>
      <c r="H469" s="25"/>
      <c r="I469" s="25"/>
      <c r="J469" s="25"/>
      <c r="K469" s="25"/>
      <c r="L469" s="25"/>
      <c r="M469" s="262">
        <v>6</v>
      </c>
      <c r="N469" s="28" t="s">
        <v>1019</v>
      </c>
      <c r="O469" s="281">
        <v>23.7</v>
      </c>
      <c r="P469" s="282">
        <v>5308.8</v>
      </c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8"/>
      <c r="AC469" s="28"/>
      <c r="AD469" s="10"/>
    </row>
    <row r="470" spans="1:30" s="284" customFormat="1" outlineLevel="1" x14ac:dyDescent="0.35">
      <c r="A470" s="283"/>
      <c r="C470" s="285"/>
      <c r="D470" s="285"/>
      <c r="E470" s="285"/>
      <c r="F470" s="286"/>
      <c r="G470" s="287"/>
      <c r="H470" s="287"/>
      <c r="I470" s="287"/>
      <c r="J470" s="287"/>
      <c r="K470" s="287"/>
      <c r="L470" s="287"/>
      <c r="M470" s="288" t="s">
        <v>109</v>
      </c>
      <c r="N470" s="289" t="s">
        <v>1025</v>
      </c>
      <c r="O470" s="290">
        <v>142.4</v>
      </c>
      <c r="P470" s="291">
        <v>31897.599999999999</v>
      </c>
      <c r="Q470" s="287"/>
      <c r="R470" s="287"/>
      <c r="S470" s="287"/>
      <c r="T470" s="287"/>
      <c r="U470" s="287"/>
      <c r="V470" s="287"/>
      <c r="W470" s="287"/>
      <c r="X470" s="287"/>
      <c r="Y470" s="287"/>
      <c r="Z470" s="287"/>
      <c r="AA470" s="287"/>
      <c r="AB470" s="289"/>
      <c r="AC470" s="289"/>
      <c r="AD470" s="292"/>
    </row>
    <row r="471" spans="1:30" s="9" customFormat="1" ht="29" outlineLevel="1" x14ac:dyDescent="0.35">
      <c r="A471" s="86"/>
      <c r="C471" s="74"/>
      <c r="D471" s="74"/>
      <c r="E471" s="74"/>
      <c r="F471" s="72"/>
      <c r="G471" s="25"/>
      <c r="H471" s="25"/>
      <c r="I471" s="25"/>
      <c r="J471" s="25"/>
      <c r="K471" s="25"/>
      <c r="L471" s="25"/>
      <c r="M471" s="262">
        <v>7</v>
      </c>
      <c r="N471" s="28" t="s">
        <v>1026</v>
      </c>
      <c r="O471" s="281">
        <v>32.9</v>
      </c>
      <c r="P471" s="282">
        <v>7369.6</v>
      </c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8"/>
      <c r="AC471" s="28"/>
      <c r="AD471" s="10"/>
    </row>
    <row r="472" spans="1:30" s="9" customFormat="1" ht="29" outlineLevel="1" x14ac:dyDescent="0.35">
      <c r="A472" s="86"/>
      <c r="C472" s="74"/>
      <c r="D472" s="74"/>
      <c r="E472" s="74"/>
      <c r="F472" s="72"/>
      <c r="G472" s="25"/>
      <c r="H472" s="25"/>
      <c r="I472" s="25"/>
      <c r="J472" s="25"/>
      <c r="K472" s="25"/>
      <c r="L472" s="25"/>
      <c r="M472" s="262">
        <v>8</v>
      </c>
      <c r="N472" s="28" t="s">
        <v>1033</v>
      </c>
      <c r="O472" s="281">
        <v>27.4</v>
      </c>
      <c r="P472" s="282">
        <v>6137.6</v>
      </c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8"/>
      <c r="AC472" s="28"/>
      <c r="AD472" s="10"/>
    </row>
    <row r="473" spans="1:30" s="9" customFormat="1" outlineLevel="1" x14ac:dyDescent="0.35">
      <c r="A473" s="86"/>
      <c r="C473" s="74"/>
      <c r="D473" s="74"/>
      <c r="E473" s="74"/>
      <c r="F473" s="72"/>
      <c r="G473" s="25"/>
      <c r="H473" s="25"/>
      <c r="I473" s="25"/>
      <c r="J473" s="25"/>
      <c r="K473" s="25"/>
      <c r="L473" s="25"/>
      <c r="M473" s="262">
        <v>9</v>
      </c>
      <c r="N473" s="28" t="s">
        <v>1040</v>
      </c>
      <c r="O473" s="281">
        <v>27.4</v>
      </c>
      <c r="P473" s="282">
        <v>6137.6</v>
      </c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8"/>
      <c r="AC473" s="28"/>
      <c r="AD473" s="10"/>
    </row>
    <row r="474" spans="1:30" s="9" customFormat="1" ht="29" outlineLevel="1" x14ac:dyDescent="0.35">
      <c r="A474" s="86"/>
      <c r="C474" s="74"/>
      <c r="D474" s="74"/>
      <c r="E474" s="74"/>
      <c r="F474" s="72"/>
      <c r="G474" s="25"/>
      <c r="H474" s="25"/>
      <c r="I474" s="25"/>
      <c r="J474" s="25"/>
      <c r="K474" s="25"/>
      <c r="L474" s="25"/>
      <c r="M474" s="262">
        <v>10</v>
      </c>
      <c r="N474" s="28" t="s">
        <v>1046</v>
      </c>
      <c r="O474" s="281">
        <v>32.9</v>
      </c>
      <c r="P474" s="282">
        <v>7369.6</v>
      </c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8"/>
      <c r="AC474" s="28"/>
      <c r="AD474" s="10"/>
    </row>
    <row r="475" spans="1:30" s="9" customFormat="1" ht="29" outlineLevel="1" x14ac:dyDescent="0.35">
      <c r="A475" s="86"/>
      <c r="C475" s="74"/>
      <c r="D475" s="74"/>
      <c r="E475" s="74"/>
      <c r="F475" s="72"/>
      <c r="G475" s="25"/>
      <c r="H475" s="25"/>
      <c r="I475" s="25"/>
      <c r="J475" s="25"/>
      <c r="K475" s="25"/>
      <c r="L475" s="25"/>
      <c r="M475" s="262">
        <v>11</v>
      </c>
      <c r="N475" s="28" t="s">
        <v>1051</v>
      </c>
      <c r="O475" s="281">
        <v>21.9</v>
      </c>
      <c r="P475" s="282">
        <v>4905.6000000000004</v>
      </c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8"/>
      <c r="AC475" s="28"/>
      <c r="AD475" s="10"/>
    </row>
    <row r="476" spans="1:30" s="284" customFormat="1" outlineLevel="1" x14ac:dyDescent="0.35">
      <c r="A476" s="283"/>
      <c r="C476" s="285"/>
      <c r="D476" s="285"/>
      <c r="E476" s="285"/>
      <c r="F476" s="286"/>
      <c r="G476" s="287"/>
      <c r="H476" s="287"/>
      <c r="I476" s="287"/>
      <c r="J476" s="287"/>
      <c r="K476" s="287"/>
      <c r="L476" s="287"/>
      <c r="M476" s="288" t="s">
        <v>109</v>
      </c>
      <c r="N476" s="289" t="s">
        <v>881</v>
      </c>
      <c r="O476" s="290">
        <v>116.8</v>
      </c>
      <c r="P476" s="291">
        <v>26163.200000000001</v>
      </c>
      <c r="Q476" s="287"/>
      <c r="R476" s="287"/>
      <c r="S476" s="287"/>
      <c r="T476" s="287"/>
      <c r="U476" s="287"/>
      <c r="V476" s="287"/>
      <c r="W476" s="287"/>
      <c r="X476" s="287"/>
      <c r="Y476" s="287"/>
      <c r="Z476" s="287"/>
      <c r="AA476" s="287"/>
      <c r="AB476" s="289"/>
      <c r="AC476" s="289"/>
      <c r="AD476" s="292"/>
    </row>
    <row r="477" spans="1:30" s="9" customFormat="1" outlineLevel="1" x14ac:dyDescent="0.35">
      <c r="A477" s="86"/>
      <c r="C477" s="74"/>
      <c r="D477" s="74"/>
      <c r="E477" s="74"/>
      <c r="F477" s="72"/>
      <c r="G477" s="25"/>
      <c r="H477" s="25"/>
      <c r="I477" s="25"/>
      <c r="J477" s="25"/>
      <c r="K477" s="25"/>
      <c r="L477" s="25"/>
      <c r="M477" s="262">
        <v>12</v>
      </c>
      <c r="N477" s="28" t="s">
        <v>1058</v>
      </c>
      <c r="O477" s="281">
        <v>51.1</v>
      </c>
      <c r="P477" s="282">
        <v>11446.4</v>
      </c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8"/>
      <c r="AC477" s="28"/>
      <c r="AD477" s="10"/>
    </row>
    <row r="478" spans="1:30" s="9" customFormat="1" ht="29" outlineLevel="1" x14ac:dyDescent="0.35">
      <c r="A478" s="86"/>
      <c r="C478" s="74"/>
      <c r="D478" s="74"/>
      <c r="E478" s="74"/>
      <c r="F478" s="72"/>
      <c r="G478" s="25"/>
      <c r="H478" s="25"/>
      <c r="I478" s="25"/>
      <c r="J478" s="25"/>
      <c r="K478" s="25"/>
      <c r="L478" s="25"/>
      <c r="M478" s="262">
        <v>13</v>
      </c>
      <c r="N478" s="28" t="s">
        <v>1065</v>
      </c>
      <c r="O478" s="281">
        <v>40.200000000000003</v>
      </c>
      <c r="P478" s="282">
        <v>9004.7999999999993</v>
      </c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8"/>
      <c r="AC478" s="28"/>
      <c r="AD478" s="10"/>
    </row>
    <row r="479" spans="1:30" s="9" customFormat="1" outlineLevel="1" x14ac:dyDescent="0.35">
      <c r="A479" s="86"/>
      <c r="C479" s="74"/>
      <c r="D479" s="74"/>
      <c r="E479" s="74"/>
      <c r="F479" s="72"/>
      <c r="G479" s="25"/>
      <c r="H479" s="25"/>
      <c r="I479" s="25"/>
      <c r="J479" s="25"/>
      <c r="K479" s="25"/>
      <c r="L479" s="25"/>
      <c r="M479" s="262">
        <v>14</v>
      </c>
      <c r="N479" s="28" t="s">
        <v>1073</v>
      </c>
      <c r="O479" s="281">
        <v>25.6</v>
      </c>
      <c r="P479" s="282">
        <v>5734.4</v>
      </c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8"/>
      <c r="AC479" s="28"/>
      <c r="AD479" s="10"/>
    </row>
    <row r="480" spans="1:30" s="284" customFormat="1" outlineLevel="1" x14ac:dyDescent="0.35">
      <c r="A480" s="283"/>
      <c r="C480" s="285"/>
      <c r="D480" s="285"/>
      <c r="E480" s="285"/>
      <c r="F480" s="286"/>
      <c r="G480" s="287"/>
      <c r="H480" s="287"/>
      <c r="I480" s="287"/>
      <c r="J480" s="287"/>
      <c r="K480" s="287"/>
      <c r="L480" s="287"/>
      <c r="M480" s="288" t="s">
        <v>109</v>
      </c>
      <c r="N480" s="289" t="s">
        <v>882</v>
      </c>
      <c r="O480" s="290">
        <v>120.5</v>
      </c>
      <c r="P480" s="291">
        <v>26992</v>
      </c>
      <c r="Q480" s="287"/>
      <c r="R480" s="287"/>
      <c r="S480" s="287"/>
      <c r="T480" s="287"/>
      <c r="U480" s="287"/>
      <c r="V480" s="287"/>
      <c r="W480" s="287"/>
      <c r="X480" s="287"/>
      <c r="Y480" s="287"/>
      <c r="Z480" s="287"/>
      <c r="AA480" s="287"/>
      <c r="AB480" s="289"/>
      <c r="AC480" s="289"/>
      <c r="AD480" s="292"/>
    </row>
    <row r="481" spans="1:30" s="9" customFormat="1" ht="29" outlineLevel="1" x14ac:dyDescent="0.35">
      <c r="A481" s="86"/>
      <c r="C481" s="74"/>
      <c r="D481" s="74"/>
      <c r="E481" s="74"/>
      <c r="F481" s="72"/>
      <c r="G481" s="25"/>
      <c r="H481" s="25"/>
      <c r="I481" s="25"/>
      <c r="J481" s="25"/>
      <c r="K481" s="25"/>
      <c r="L481" s="25"/>
      <c r="M481" s="262">
        <v>15</v>
      </c>
      <c r="N481" s="28" t="s">
        <v>1080</v>
      </c>
      <c r="O481" s="281">
        <v>25.6</v>
      </c>
      <c r="P481" s="282">
        <v>5734.4</v>
      </c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8"/>
      <c r="AC481" s="28"/>
      <c r="AD481" s="10"/>
    </row>
    <row r="482" spans="1:30" s="9" customFormat="1" outlineLevel="1" x14ac:dyDescent="0.35">
      <c r="A482" s="86"/>
      <c r="C482" s="74"/>
      <c r="D482" s="74"/>
      <c r="E482" s="74"/>
      <c r="F482" s="72"/>
      <c r="G482" s="25"/>
      <c r="H482" s="25"/>
      <c r="I482" s="25"/>
      <c r="J482" s="25"/>
      <c r="K482" s="25"/>
      <c r="L482" s="25"/>
      <c r="M482" s="262">
        <v>16</v>
      </c>
      <c r="N482" s="28" t="s">
        <v>1085</v>
      </c>
      <c r="O482" s="281">
        <v>29.2</v>
      </c>
      <c r="P482" s="282">
        <v>6540.8</v>
      </c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8"/>
      <c r="AC482" s="28"/>
      <c r="AD482" s="10"/>
    </row>
    <row r="483" spans="1:30" s="9" customFormat="1" outlineLevel="1" x14ac:dyDescent="0.35">
      <c r="A483" s="86"/>
      <c r="C483" s="74"/>
      <c r="D483" s="74"/>
      <c r="E483" s="74"/>
      <c r="F483" s="72"/>
      <c r="G483" s="25"/>
      <c r="H483" s="25"/>
      <c r="I483" s="25"/>
      <c r="J483" s="25"/>
      <c r="K483" s="25"/>
      <c r="L483" s="25"/>
      <c r="M483" s="262">
        <v>17</v>
      </c>
      <c r="N483" s="28" t="s">
        <v>1091</v>
      </c>
      <c r="O483" s="281">
        <v>32.9</v>
      </c>
      <c r="P483" s="282">
        <v>7369.6</v>
      </c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8"/>
      <c r="AC483" s="28"/>
      <c r="AD483" s="10"/>
    </row>
    <row r="484" spans="1:30" s="9" customFormat="1" ht="29" outlineLevel="1" x14ac:dyDescent="0.35">
      <c r="A484" s="86"/>
      <c r="C484" s="74"/>
      <c r="D484" s="74"/>
      <c r="E484" s="74"/>
      <c r="F484" s="72"/>
      <c r="G484" s="25"/>
      <c r="H484" s="25"/>
      <c r="I484" s="25"/>
      <c r="J484" s="25"/>
      <c r="K484" s="25"/>
      <c r="L484" s="25"/>
      <c r="M484" s="262">
        <v>18</v>
      </c>
      <c r="N484" s="28" t="s">
        <v>1097</v>
      </c>
      <c r="O484" s="281">
        <v>32.9</v>
      </c>
      <c r="P484" s="282">
        <v>7369.6</v>
      </c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8"/>
      <c r="AC484" s="28"/>
      <c r="AD484" s="10"/>
    </row>
    <row r="485" spans="1:30" s="284" customFormat="1" outlineLevel="1" x14ac:dyDescent="0.35">
      <c r="A485" s="283"/>
      <c r="C485" s="285"/>
      <c r="D485" s="285"/>
      <c r="E485" s="285"/>
      <c r="F485" s="286"/>
      <c r="G485" s="287"/>
      <c r="H485" s="287"/>
      <c r="I485" s="287"/>
      <c r="J485" s="287"/>
      <c r="K485" s="287"/>
      <c r="L485" s="287"/>
      <c r="M485" s="288" t="s">
        <v>109</v>
      </c>
      <c r="N485" s="289" t="s">
        <v>1103</v>
      </c>
      <c r="O485" s="290">
        <v>40.200000000000003</v>
      </c>
      <c r="P485" s="291">
        <v>9004.7999999999993</v>
      </c>
      <c r="Q485" s="287"/>
      <c r="R485" s="287"/>
      <c r="S485" s="287"/>
      <c r="T485" s="287"/>
      <c r="U485" s="287"/>
      <c r="V485" s="287"/>
      <c r="W485" s="287"/>
      <c r="X485" s="287"/>
      <c r="Y485" s="287"/>
      <c r="Z485" s="287"/>
      <c r="AA485" s="287"/>
      <c r="AB485" s="289"/>
      <c r="AC485" s="289"/>
      <c r="AD485" s="292"/>
    </row>
    <row r="486" spans="1:30" s="9" customFormat="1" ht="29" outlineLevel="1" x14ac:dyDescent="0.35">
      <c r="A486" s="86"/>
      <c r="C486" s="74"/>
      <c r="D486" s="74"/>
      <c r="E486" s="74"/>
      <c r="F486" s="72"/>
      <c r="G486" s="25"/>
      <c r="H486" s="25"/>
      <c r="I486" s="25"/>
      <c r="J486" s="25"/>
      <c r="K486" s="25"/>
      <c r="L486" s="25"/>
      <c r="M486" s="262">
        <v>19</v>
      </c>
      <c r="N486" s="28" t="s">
        <v>1104</v>
      </c>
      <c r="O486" s="281">
        <v>25.6</v>
      </c>
      <c r="P486" s="282">
        <v>5734.4</v>
      </c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8"/>
      <c r="AC486" s="28"/>
      <c r="AD486" s="10"/>
    </row>
    <row r="487" spans="1:30" s="9" customFormat="1" outlineLevel="1" x14ac:dyDescent="0.35">
      <c r="A487" s="86"/>
      <c r="C487" s="74"/>
      <c r="D487" s="74"/>
      <c r="E487" s="74"/>
      <c r="F487" s="72"/>
      <c r="G487" s="25"/>
      <c r="H487" s="25"/>
      <c r="I487" s="25"/>
      <c r="J487" s="25"/>
      <c r="K487" s="25"/>
      <c r="L487" s="25"/>
      <c r="M487" s="262">
        <v>20</v>
      </c>
      <c r="N487" s="28" t="s">
        <v>1111</v>
      </c>
      <c r="O487" s="281">
        <v>14.6</v>
      </c>
      <c r="P487" s="282">
        <v>3270.4</v>
      </c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8"/>
      <c r="AC487" s="28"/>
      <c r="AD487" s="10"/>
    </row>
    <row r="488" spans="1:30" s="284" customFormat="1" outlineLevel="1" x14ac:dyDescent="0.35">
      <c r="A488" s="283"/>
      <c r="C488" s="285"/>
      <c r="D488" s="285"/>
      <c r="E488" s="285"/>
      <c r="F488" s="286"/>
      <c r="G488" s="287"/>
      <c r="H488" s="287"/>
      <c r="I488" s="287"/>
      <c r="J488" s="287"/>
      <c r="K488" s="287"/>
      <c r="L488" s="287"/>
      <c r="M488" s="288" t="s">
        <v>109</v>
      </c>
      <c r="N488" s="289" t="s">
        <v>884</v>
      </c>
      <c r="O488" s="290">
        <v>116.8</v>
      </c>
      <c r="P488" s="291">
        <v>26163.200000000001</v>
      </c>
      <c r="Q488" s="287"/>
      <c r="R488" s="287"/>
      <c r="S488" s="287"/>
      <c r="T488" s="287"/>
      <c r="U488" s="287"/>
      <c r="V488" s="287"/>
      <c r="W488" s="287"/>
      <c r="X488" s="287"/>
      <c r="Y488" s="287"/>
      <c r="Z488" s="287"/>
      <c r="AA488" s="287"/>
      <c r="AB488" s="289"/>
      <c r="AC488" s="289"/>
      <c r="AD488" s="292"/>
    </row>
    <row r="489" spans="1:30" s="9" customFormat="1" ht="29" outlineLevel="1" x14ac:dyDescent="0.35">
      <c r="A489" s="86"/>
      <c r="C489" s="74"/>
      <c r="D489" s="74"/>
      <c r="E489" s="74"/>
      <c r="F489" s="72"/>
      <c r="G489" s="25"/>
      <c r="H489" s="25"/>
      <c r="I489" s="25"/>
      <c r="J489" s="25"/>
      <c r="K489" s="25"/>
      <c r="L489" s="25"/>
      <c r="M489" s="262">
        <v>21</v>
      </c>
      <c r="N489" s="28" t="s">
        <v>1115</v>
      </c>
      <c r="O489" s="281">
        <v>25.6</v>
      </c>
      <c r="P489" s="282">
        <v>5734.4</v>
      </c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8"/>
      <c r="AC489" s="28"/>
      <c r="AD489" s="10"/>
    </row>
    <row r="490" spans="1:30" s="9" customFormat="1" outlineLevel="1" x14ac:dyDescent="0.35">
      <c r="A490" s="86"/>
      <c r="C490" s="74"/>
      <c r="D490" s="74"/>
      <c r="E490" s="74"/>
      <c r="F490" s="72"/>
      <c r="G490" s="25"/>
      <c r="H490" s="25"/>
      <c r="I490" s="25"/>
      <c r="J490" s="25"/>
      <c r="K490" s="25"/>
      <c r="L490" s="25"/>
      <c r="M490" s="262">
        <v>22</v>
      </c>
      <c r="N490" s="28" t="s">
        <v>1121</v>
      </c>
      <c r="O490" s="281">
        <v>29.2</v>
      </c>
      <c r="P490" s="282">
        <v>6540.8</v>
      </c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8"/>
      <c r="AC490" s="28"/>
      <c r="AD490" s="10"/>
    </row>
    <row r="491" spans="1:30" s="9" customFormat="1" outlineLevel="1" x14ac:dyDescent="0.35">
      <c r="A491" s="86"/>
      <c r="C491" s="74"/>
      <c r="D491" s="74"/>
      <c r="E491" s="74"/>
      <c r="F491" s="72"/>
      <c r="G491" s="25"/>
      <c r="H491" s="25"/>
      <c r="I491" s="25"/>
      <c r="J491" s="25"/>
      <c r="K491" s="25"/>
      <c r="L491" s="25"/>
      <c r="M491" s="262">
        <v>23</v>
      </c>
      <c r="N491" s="28" t="s">
        <v>1126</v>
      </c>
      <c r="O491" s="281">
        <v>18.3</v>
      </c>
      <c r="P491" s="282">
        <v>4099.2</v>
      </c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8"/>
      <c r="AC491" s="28"/>
      <c r="AD491" s="10"/>
    </row>
    <row r="492" spans="1:30" s="9" customFormat="1" outlineLevel="1" x14ac:dyDescent="0.35">
      <c r="A492" s="86"/>
      <c r="C492" s="74"/>
      <c r="D492" s="74"/>
      <c r="E492" s="74"/>
      <c r="F492" s="72"/>
      <c r="G492" s="25"/>
      <c r="H492" s="25"/>
      <c r="I492" s="25"/>
      <c r="J492" s="25"/>
      <c r="K492" s="25"/>
      <c r="L492" s="25"/>
      <c r="M492" s="262">
        <v>24</v>
      </c>
      <c r="N492" s="28" t="s">
        <v>1129</v>
      </c>
      <c r="O492" s="281">
        <v>18.3</v>
      </c>
      <c r="P492" s="282">
        <v>4099.2</v>
      </c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8"/>
      <c r="AC492" s="28"/>
      <c r="AD492" s="10"/>
    </row>
    <row r="493" spans="1:30" s="9" customFormat="1" ht="29" outlineLevel="1" x14ac:dyDescent="0.35">
      <c r="A493" s="86"/>
      <c r="C493" s="74"/>
      <c r="D493" s="74"/>
      <c r="E493" s="74"/>
      <c r="F493" s="72"/>
      <c r="G493" s="25"/>
      <c r="H493" s="25"/>
      <c r="I493" s="25"/>
      <c r="J493" s="25"/>
      <c r="K493" s="25"/>
      <c r="L493" s="25"/>
      <c r="M493" s="262">
        <v>25</v>
      </c>
      <c r="N493" s="28" t="s">
        <v>1132</v>
      </c>
      <c r="O493" s="281">
        <v>25.6</v>
      </c>
      <c r="P493" s="282">
        <v>5734.4</v>
      </c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8"/>
      <c r="AC493" s="28"/>
      <c r="AD493" s="10"/>
    </row>
    <row r="494" spans="1:30" s="284" customFormat="1" outlineLevel="1" x14ac:dyDescent="0.35">
      <c r="A494" s="283"/>
      <c r="C494" s="285"/>
      <c r="D494" s="285"/>
      <c r="E494" s="285"/>
      <c r="F494" s="286"/>
      <c r="G494" s="287"/>
      <c r="H494" s="287"/>
      <c r="I494" s="287"/>
      <c r="J494" s="287"/>
      <c r="K494" s="287"/>
      <c r="L494" s="287"/>
      <c r="M494" s="288" t="s">
        <v>109</v>
      </c>
      <c r="N494" s="289" t="s">
        <v>885</v>
      </c>
      <c r="O494" s="290">
        <v>239.1</v>
      </c>
      <c r="P494" s="291">
        <v>53558.400000000001</v>
      </c>
      <c r="Q494" s="287"/>
      <c r="R494" s="287"/>
      <c r="S494" s="287"/>
      <c r="T494" s="287"/>
      <c r="U494" s="287"/>
      <c r="V494" s="287"/>
      <c r="W494" s="287"/>
      <c r="X494" s="287"/>
      <c r="Y494" s="287"/>
      <c r="Z494" s="287"/>
      <c r="AA494" s="287"/>
      <c r="AB494" s="289"/>
      <c r="AC494" s="289"/>
      <c r="AD494" s="292"/>
    </row>
    <row r="495" spans="1:30" s="9" customFormat="1" ht="29" outlineLevel="1" x14ac:dyDescent="0.35">
      <c r="A495" s="86"/>
      <c r="C495" s="74"/>
      <c r="D495" s="74"/>
      <c r="E495" s="74"/>
      <c r="F495" s="72"/>
      <c r="G495" s="25"/>
      <c r="H495" s="25"/>
      <c r="I495" s="25"/>
      <c r="J495" s="25"/>
      <c r="K495" s="25"/>
      <c r="L495" s="25"/>
      <c r="M495" s="262">
        <v>26</v>
      </c>
      <c r="N495" s="28" t="s">
        <v>1135</v>
      </c>
      <c r="O495" s="281">
        <v>21.9</v>
      </c>
      <c r="P495" s="282">
        <v>4905.6000000000004</v>
      </c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8"/>
      <c r="AC495" s="28"/>
      <c r="AD495" s="10"/>
    </row>
    <row r="496" spans="1:30" s="9" customFormat="1" ht="29" outlineLevel="1" x14ac:dyDescent="0.35">
      <c r="A496" s="86"/>
      <c r="C496" s="74"/>
      <c r="D496" s="74"/>
      <c r="E496" s="74"/>
      <c r="F496" s="72"/>
      <c r="G496" s="25"/>
      <c r="H496" s="25"/>
      <c r="I496" s="25"/>
      <c r="J496" s="25"/>
      <c r="K496" s="25"/>
      <c r="L496" s="25"/>
      <c r="M496" s="262">
        <v>27</v>
      </c>
      <c r="N496" s="28" t="s">
        <v>1137</v>
      </c>
      <c r="O496" s="281">
        <v>29.2</v>
      </c>
      <c r="P496" s="282">
        <v>6540.8</v>
      </c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8"/>
      <c r="AC496" s="28"/>
      <c r="AD496" s="10"/>
    </row>
    <row r="497" spans="1:30" s="9" customFormat="1" outlineLevel="1" x14ac:dyDescent="0.35">
      <c r="A497" s="86"/>
      <c r="C497" s="74"/>
      <c r="D497" s="74"/>
      <c r="E497" s="74"/>
      <c r="F497" s="72"/>
      <c r="G497" s="25"/>
      <c r="H497" s="25"/>
      <c r="I497" s="25"/>
      <c r="J497" s="25"/>
      <c r="K497" s="25"/>
      <c r="L497" s="25"/>
      <c r="M497" s="262">
        <v>28</v>
      </c>
      <c r="N497" s="28" t="s">
        <v>1143</v>
      </c>
      <c r="O497" s="281">
        <v>54.8</v>
      </c>
      <c r="P497" s="282">
        <v>12275.2</v>
      </c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8"/>
      <c r="AC497" s="28"/>
      <c r="AD497" s="10"/>
    </row>
    <row r="498" spans="1:30" s="9" customFormat="1" outlineLevel="1" x14ac:dyDescent="0.35">
      <c r="A498" s="86"/>
      <c r="C498" s="74"/>
      <c r="D498" s="74"/>
      <c r="E498" s="74"/>
      <c r="F498" s="72"/>
      <c r="G498" s="25"/>
      <c r="H498" s="25"/>
      <c r="I498" s="25"/>
      <c r="J498" s="25"/>
      <c r="K498" s="25"/>
      <c r="L498" s="25"/>
      <c r="M498" s="262">
        <v>29</v>
      </c>
      <c r="N498" s="28" t="s">
        <v>1145</v>
      </c>
      <c r="O498" s="281">
        <v>51.1</v>
      </c>
      <c r="P498" s="282">
        <v>11446.4</v>
      </c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8"/>
      <c r="AC498" s="28"/>
      <c r="AD498" s="10"/>
    </row>
    <row r="499" spans="1:30" s="9" customFormat="1" outlineLevel="1" x14ac:dyDescent="0.35">
      <c r="A499" s="86"/>
      <c r="C499" s="74"/>
      <c r="D499" s="74"/>
      <c r="E499" s="74"/>
      <c r="F499" s="72"/>
      <c r="G499" s="25"/>
      <c r="H499" s="25"/>
      <c r="I499" s="25"/>
      <c r="J499" s="25"/>
      <c r="K499" s="25"/>
      <c r="L499" s="25"/>
      <c r="M499" s="262">
        <v>30</v>
      </c>
      <c r="N499" s="28" t="s">
        <v>1146</v>
      </c>
      <c r="O499" s="281">
        <v>32.9</v>
      </c>
      <c r="P499" s="282">
        <v>7369.6</v>
      </c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8"/>
      <c r="AC499" s="28"/>
      <c r="AD499" s="10"/>
    </row>
    <row r="500" spans="1:30" s="9" customFormat="1" outlineLevel="1" x14ac:dyDescent="0.35">
      <c r="A500" s="86"/>
      <c r="C500" s="74"/>
      <c r="D500" s="74"/>
      <c r="E500" s="74"/>
      <c r="F500" s="72"/>
      <c r="G500" s="25"/>
      <c r="H500" s="25"/>
      <c r="I500" s="25"/>
      <c r="J500" s="25"/>
      <c r="K500" s="25"/>
      <c r="L500" s="25"/>
      <c r="M500" s="262">
        <v>31</v>
      </c>
      <c r="N500" s="28" t="s">
        <v>1147</v>
      </c>
      <c r="O500" s="281">
        <v>27.4</v>
      </c>
      <c r="P500" s="282">
        <v>6137.6</v>
      </c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8"/>
      <c r="AC500" s="28"/>
      <c r="AD500" s="10"/>
    </row>
    <row r="501" spans="1:30" s="9" customFormat="1" outlineLevel="1" x14ac:dyDescent="0.35">
      <c r="A501" s="86"/>
      <c r="C501" s="74"/>
      <c r="D501" s="74"/>
      <c r="E501" s="74"/>
      <c r="F501" s="72"/>
      <c r="G501" s="25"/>
      <c r="H501" s="25"/>
      <c r="I501" s="25"/>
      <c r="J501" s="25"/>
      <c r="K501" s="25"/>
      <c r="L501" s="25"/>
      <c r="M501" s="262">
        <v>32</v>
      </c>
      <c r="N501" s="28" t="s">
        <v>1148</v>
      </c>
      <c r="O501" s="281">
        <v>21.9</v>
      </c>
      <c r="P501" s="282">
        <v>4905.6000000000004</v>
      </c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8"/>
      <c r="AC501" s="28"/>
      <c r="AD501" s="10"/>
    </row>
    <row r="502" spans="1:30" s="284" customFormat="1" outlineLevel="1" x14ac:dyDescent="0.35">
      <c r="A502" s="283"/>
      <c r="C502" s="285"/>
      <c r="D502" s="285"/>
      <c r="E502" s="285"/>
      <c r="F502" s="286"/>
      <c r="G502" s="287"/>
      <c r="H502" s="287"/>
      <c r="I502" s="287"/>
      <c r="J502" s="287"/>
      <c r="K502" s="287"/>
      <c r="L502" s="287"/>
      <c r="M502" s="288" t="s">
        <v>109</v>
      </c>
      <c r="N502" s="289" t="s">
        <v>459</v>
      </c>
      <c r="O502" s="290">
        <v>25.6</v>
      </c>
      <c r="P502" s="291">
        <v>5734.4</v>
      </c>
      <c r="Q502" s="287"/>
      <c r="R502" s="287"/>
      <c r="S502" s="287"/>
      <c r="T502" s="287"/>
      <c r="U502" s="287"/>
      <c r="V502" s="287"/>
      <c r="W502" s="287"/>
      <c r="X502" s="287"/>
      <c r="Y502" s="287"/>
      <c r="Z502" s="287"/>
      <c r="AA502" s="287"/>
      <c r="AB502" s="289"/>
      <c r="AC502" s="289"/>
      <c r="AD502" s="292"/>
    </row>
    <row r="503" spans="1:30" s="9" customFormat="1" outlineLevel="1" x14ac:dyDescent="0.35">
      <c r="A503" s="86"/>
      <c r="C503" s="74"/>
      <c r="D503" s="74"/>
      <c r="E503" s="74"/>
      <c r="F503" s="72"/>
      <c r="G503" s="25"/>
      <c r="H503" s="25"/>
      <c r="I503" s="25"/>
      <c r="J503" s="25"/>
      <c r="K503" s="25"/>
      <c r="L503" s="25"/>
      <c r="M503" s="262">
        <v>33</v>
      </c>
      <c r="N503" s="28" t="s">
        <v>1149</v>
      </c>
      <c r="O503" s="281">
        <v>25.6</v>
      </c>
      <c r="P503" s="282">
        <v>5734.4</v>
      </c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8"/>
      <c r="AC503" s="28"/>
      <c r="AD503" s="10"/>
    </row>
    <row r="504" spans="1:30" s="9" customFormat="1" outlineLevel="1" x14ac:dyDescent="0.35">
      <c r="A504" s="86"/>
      <c r="C504" s="74"/>
      <c r="D504" s="74"/>
      <c r="E504" s="74"/>
      <c r="F504" s="72"/>
      <c r="G504" s="25"/>
      <c r="H504" s="25"/>
      <c r="I504" s="25"/>
      <c r="J504" s="25"/>
      <c r="K504" s="25"/>
      <c r="L504" s="25"/>
      <c r="M504" s="262"/>
      <c r="N504" s="28"/>
      <c r="O504" s="28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8"/>
      <c r="AC504" s="28"/>
      <c r="AD504" s="10"/>
    </row>
    <row r="505" spans="1:30" s="9" customFormat="1" ht="3" customHeight="1" outlineLevel="1" x14ac:dyDescent="0.35">
      <c r="A505" s="86"/>
      <c r="C505" s="74"/>
      <c r="D505" s="74"/>
      <c r="E505" s="74"/>
      <c r="F505" s="72"/>
      <c r="G505" s="25"/>
      <c r="H505" s="25"/>
      <c r="I505" s="25"/>
      <c r="J505" s="25"/>
      <c r="K505" s="25"/>
      <c r="L505" s="25"/>
      <c r="M505" s="267"/>
      <c r="N505" s="245"/>
      <c r="O505" s="245"/>
      <c r="P505" s="244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8"/>
      <c r="AC505" s="28"/>
      <c r="AD505" s="10"/>
    </row>
    <row r="506" spans="1:30" s="9" customFormat="1" outlineLevel="1" x14ac:dyDescent="0.35">
      <c r="A506" s="86"/>
      <c r="C506" s="74"/>
      <c r="D506" s="74"/>
      <c r="E506" s="74"/>
      <c r="F506" s="72"/>
      <c r="G506" s="25"/>
      <c r="H506" s="25"/>
      <c r="I506" s="25"/>
      <c r="J506" s="25"/>
      <c r="K506" s="25"/>
      <c r="L506" s="25"/>
      <c r="M506" s="268"/>
      <c r="N506" s="185"/>
      <c r="O506" s="186">
        <f>TOTAL_EFFORT</f>
        <v>949</v>
      </c>
      <c r="P506" s="186">
        <f>TOTAL_COST</f>
        <v>212576</v>
      </c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8"/>
      <c r="AC506" s="28"/>
      <c r="AD506" s="10"/>
    </row>
    <row r="507" spans="1:30" s="9" customFormat="1" outlineLevel="1" x14ac:dyDescent="0.35">
      <c r="A507" s="86"/>
      <c r="C507" s="74"/>
      <c r="D507" s="74"/>
      <c r="E507" s="74"/>
      <c r="F507" s="72"/>
      <c r="G507" s="25"/>
      <c r="H507" s="25"/>
      <c r="I507" s="25"/>
      <c r="J507" s="25"/>
      <c r="K507" s="25"/>
      <c r="L507" s="25"/>
      <c r="M507" s="262"/>
      <c r="N507" s="28"/>
      <c r="O507" s="28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8"/>
      <c r="AC507" s="28"/>
      <c r="AD507" s="10"/>
    </row>
    <row r="508" spans="1:30" s="9" customFormat="1" ht="20.25" customHeight="1" outlineLevel="1" x14ac:dyDescent="0.35">
      <c r="A508" s="86"/>
      <c r="C508" s="72"/>
      <c r="D508" s="72"/>
      <c r="E508" s="72"/>
      <c r="F508" s="72"/>
      <c r="G508" s="40"/>
      <c r="H508" s="40"/>
      <c r="I508" s="40"/>
      <c r="J508" s="40"/>
      <c r="K508" s="40"/>
      <c r="L508" s="40"/>
      <c r="M508" s="258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10"/>
    </row>
    <row r="509" spans="1:30" ht="15" customHeight="1" x14ac:dyDescent="0.35">
      <c r="F509" s="72"/>
    </row>
    <row r="510" spans="1:30" s="9" customFormat="1" ht="20.25" customHeight="1" x14ac:dyDescent="0.35">
      <c r="A510" s="86"/>
      <c r="C510" s="72"/>
      <c r="D510" s="72"/>
      <c r="E510" s="72"/>
      <c r="F510" s="72"/>
      <c r="G510" s="295" t="s">
        <v>48</v>
      </c>
      <c r="H510" s="295"/>
      <c r="I510" s="165"/>
      <c r="J510" s="40"/>
      <c r="K510" s="40"/>
      <c r="L510" s="36"/>
      <c r="M510" s="265" t="s">
        <v>111</v>
      </c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10"/>
    </row>
    <row r="511" spans="1:30" outlineLevel="1" x14ac:dyDescent="0.35">
      <c r="F511" s="72"/>
      <c r="G511" s="58"/>
      <c r="H511" s="58"/>
      <c r="I511" s="58"/>
      <c r="J511" s="58"/>
      <c r="K511" s="58"/>
      <c r="L511" s="58"/>
      <c r="M511" s="270"/>
      <c r="N511" s="59"/>
      <c r="O511" s="59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9"/>
      <c r="AC511" s="28"/>
    </row>
    <row r="512" spans="1:30" outlineLevel="1" x14ac:dyDescent="0.35">
      <c r="F512" s="72"/>
      <c r="G512" s="58">
        <v>1</v>
      </c>
      <c r="H512" s="58"/>
      <c r="I512" s="58"/>
      <c r="J512" s="58"/>
      <c r="K512" s="58"/>
      <c r="L512" s="58"/>
      <c r="M512" s="270"/>
      <c r="N512" s="59"/>
      <c r="O512" s="59"/>
      <c r="P512" s="58"/>
      <c r="Q512" s="299" t="s">
        <v>79</v>
      </c>
      <c r="R512" s="299"/>
      <c r="S512" s="299"/>
      <c r="T512" s="299"/>
      <c r="U512" s="299"/>
      <c r="V512" s="299"/>
      <c r="W512" s="232"/>
      <c r="X512" s="58"/>
      <c r="Y512" s="58"/>
      <c r="Z512" s="58"/>
      <c r="AA512" s="58"/>
      <c r="AB512" s="59"/>
      <c r="AC512" s="28"/>
    </row>
    <row r="513" spans="2:29" ht="15" customHeight="1" outlineLevel="1" x14ac:dyDescent="0.35">
      <c r="B513" s="9" t="str">
        <f>IF(OR(COUNTBLANK(Q513:W513)&lt;&gt;0,SUM(Q513:W513)=0), ".", "")</f>
        <v/>
      </c>
      <c r="F513" s="72"/>
      <c r="G513" s="58">
        <v>2</v>
      </c>
      <c r="H513" s="58"/>
      <c r="I513" s="58"/>
      <c r="J513" s="58"/>
      <c r="K513" s="58"/>
      <c r="L513" s="58"/>
      <c r="M513" s="270"/>
      <c r="N513" s="59"/>
      <c r="O513" s="297" t="s">
        <v>29</v>
      </c>
      <c r="P513" s="297" t="s">
        <v>94</v>
      </c>
      <c r="Q513" s="50">
        <f t="shared" ref="Q513:V513" si="65">28 * 8</f>
        <v>224</v>
      </c>
      <c r="R513" s="50">
        <f t="shared" si="65"/>
        <v>224</v>
      </c>
      <c r="S513" s="50">
        <f t="shared" si="65"/>
        <v>224</v>
      </c>
      <c r="T513" s="50">
        <f t="shared" si="65"/>
        <v>224</v>
      </c>
      <c r="U513" s="50">
        <f t="shared" si="65"/>
        <v>224</v>
      </c>
      <c r="V513" s="50">
        <f t="shared" si="65"/>
        <v>224</v>
      </c>
      <c r="W513" s="321" t="str">
        <f>CHOSEN_CURRENCY</f>
        <v>USD</v>
      </c>
      <c r="X513" s="297"/>
      <c r="Y513" s="58"/>
      <c r="Z513" s="58"/>
      <c r="AA513" s="58"/>
      <c r="AB513" s="59" t="s">
        <v>1162</v>
      </c>
      <c r="AC513" s="28"/>
    </row>
    <row r="514" spans="2:29" ht="15" customHeight="1" outlineLevel="1" x14ac:dyDescent="0.35">
      <c r="F514" s="72"/>
      <c r="G514" s="58">
        <v>3</v>
      </c>
      <c r="H514" s="58"/>
      <c r="I514" s="58"/>
      <c r="J514" s="58"/>
      <c r="K514" s="58"/>
      <c r="L514" s="58"/>
      <c r="M514" s="270"/>
      <c r="N514" s="59"/>
      <c r="O514" s="298"/>
      <c r="P514" s="298"/>
      <c r="Q514" s="271" t="s">
        <v>8</v>
      </c>
      <c r="R514" s="271" t="s">
        <v>9</v>
      </c>
      <c r="S514" s="271" t="s">
        <v>10</v>
      </c>
      <c r="T514" s="271" t="s">
        <v>12</v>
      </c>
      <c r="U514" s="271" t="s">
        <v>11</v>
      </c>
      <c r="V514" s="272" t="s">
        <v>13</v>
      </c>
      <c r="W514" s="322"/>
      <c r="X514" s="298"/>
      <c r="Y514" s="58"/>
      <c r="Z514" s="58"/>
      <c r="AA514" s="58"/>
      <c r="AB514" s="59" t="s">
        <v>1163</v>
      </c>
      <c r="AC514" s="28"/>
    </row>
    <row r="515" spans="2:29" ht="15" customHeight="1" outlineLevel="1" x14ac:dyDescent="0.35">
      <c r="B515" s="9" t="str">
        <f t="shared" ref="B515:B520" si="66">IF(SUM(Q515:V515)&lt;&gt;1,".","")</f>
        <v/>
      </c>
      <c r="F515" s="72"/>
      <c r="G515" s="58">
        <v>4</v>
      </c>
      <c r="H515" s="58"/>
      <c r="I515" s="58"/>
      <c r="J515" s="58"/>
      <c r="K515" s="58"/>
      <c r="L515" s="62" t="s">
        <v>84</v>
      </c>
      <c r="M515" s="262" t="str">
        <f>$L$12</f>
        <v>A</v>
      </c>
      <c r="N515" s="28" t="str">
        <f>$M$12</f>
        <v>Discovery / Requirement Analysis</v>
      </c>
      <c r="O515" s="60">
        <f>S12</f>
        <v>70</v>
      </c>
      <c r="P515" s="94">
        <f>ROUND(REQ_EFFORT/5,0)</f>
        <v>14</v>
      </c>
      <c r="Q515" s="95">
        <v>0.3</v>
      </c>
      <c r="R515" s="246">
        <v>0.05</v>
      </c>
      <c r="S515" s="42">
        <v>0.1</v>
      </c>
      <c r="T515" s="42">
        <v>0.4</v>
      </c>
      <c r="U515" s="42">
        <v>0.15</v>
      </c>
      <c r="V515" s="43"/>
      <c r="W515" s="323">
        <f t="shared" ref="W515:W520" si="67">(($O515*Q515)*Q$513)+(($O515*R515)*R$513)+(($O515*S515)*S$513)+(($O515*T515)*T$513)+(($O515*U515)*U$513)+(($O515*V515)*V$513)</f>
        <v>15680</v>
      </c>
      <c r="X515" s="324"/>
      <c r="Y515" s="58"/>
      <c r="Z515" s="58"/>
      <c r="AA515" s="58"/>
      <c r="AB515" s="59" t="s">
        <v>1164</v>
      </c>
      <c r="AC515" s="28"/>
    </row>
    <row r="516" spans="2:29" outlineLevel="1" x14ac:dyDescent="0.35">
      <c r="B516" s="9" t="str">
        <f t="shared" si="66"/>
        <v/>
      </c>
      <c r="F516" s="72"/>
      <c r="G516" s="58">
        <v>5</v>
      </c>
      <c r="H516" s="58"/>
      <c r="I516" s="58"/>
      <c r="J516" s="58"/>
      <c r="K516" s="58"/>
      <c r="L516" s="62" t="s">
        <v>85</v>
      </c>
      <c r="M516" s="262" t="str">
        <f>$L$64</f>
        <v>B</v>
      </c>
      <c r="N516" s="28" t="str">
        <f>$M$64</f>
        <v>System Design, Framework and Test Cases</v>
      </c>
      <c r="O516" s="60">
        <f>S64</f>
        <v>73</v>
      </c>
      <c r="P516" s="94">
        <f>ROUND(DESIGN_EFFORT/5,0)</f>
        <v>15</v>
      </c>
      <c r="Q516" s="42"/>
      <c r="R516" s="247">
        <v>0.2</v>
      </c>
      <c r="S516" s="41">
        <v>0.1</v>
      </c>
      <c r="T516" s="42">
        <v>0.7</v>
      </c>
      <c r="U516" s="41"/>
      <c r="V516" s="44"/>
      <c r="W516" s="323">
        <f t="shared" si="67"/>
        <v>16351.999999999998</v>
      </c>
      <c r="X516" s="324"/>
      <c r="Y516" s="58"/>
      <c r="Z516" s="58"/>
      <c r="AA516" s="58"/>
      <c r="AB516" s="59"/>
      <c r="AC516" s="28"/>
    </row>
    <row r="517" spans="2:29" outlineLevel="1" x14ac:dyDescent="0.35">
      <c r="B517" s="9" t="str">
        <f t="shared" si="66"/>
        <v/>
      </c>
      <c r="F517" s="72"/>
      <c r="G517" s="58">
        <v>6</v>
      </c>
      <c r="H517" s="58"/>
      <c r="I517" s="58"/>
      <c r="J517" s="58"/>
      <c r="K517" s="58"/>
      <c r="L517" s="62" t="s">
        <v>87</v>
      </c>
      <c r="M517" s="262" t="str">
        <f>$L$94</f>
        <v>C</v>
      </c>
      <c r="N517" s="28" t="str">
        <f>$M$94</f>
        <v>Development and Unit Testing</v>
      </c>
      <c r="O517" s="60">
        <f>S94</f>
        <v>520</v>
      </c>
      <c r="P517" s="94">
        <f>ROUND(DEV_EFFORT/5,0)</f>
        <v>104</v>
      </c>
      <c r="Q517" s="42">
        <v>0.05</v>
      </c>
      <c r="R517" s="246">
        <v>0.1</v>
      </c>
      <c r="S517" s="41">
        <v>0.05</v>
      </c>
      <c r="T517" s="95">
        <v>0.75</v>
      </c>
      <c r="U517" s="42">
        <v>0.05</v>
      </c>
      <c r="V517" s="44"/>
      <c r="W517" s="323">
        <f t="shared" si="67"/>
        <v>116480</v>
      </c>
      <c r="X517" s="324"/>
      <c r="Y517" s="58"/>
      <c r="Z517" s="58"/>
      <c r="AA517" s="58"/>
      <c r="AB517" s="59"/>
      <c r="AC517" s="28"/>
    </row>
    <row r="518" spans="2:29" outlineLevel="1" x14ac:dyDescent="0.35">
      <c r="B518" s="9" t="str">
        <f t="shared" si="66"/>
        <v/>
      </c>
      <c r="F518" s="72"/>
      <c r="G518" s="58">
        <v>7</v>
      </c>
      <c r="H518" s="58"/>
      <c r="I518" s="58"/>
      <c r="J518" s="58"/>
      <c r="K518" s="58"/>
      <c r="L518" s="62" t="s">
        <v>11</v>
      </c>
      <c r="M518" s="262" t="str">
        <f>$L$381</f>
        <v>D</v>
      </c>
      <c r="N518" s="28" t="str">
        <f>$M$381</f>
        <v>System Testing and Stabilization</v>
      </c>
      <c r="O518" s="60">
        <f>S381</f>
        <v>96</v>
      </c>
      <c r="P518" s="94">
        <f>ROUND(QA_EFFORT/5,0)</f>
        <v>19</v>
      </c>
      <c r="Q518" s="42">
        <v>0.05</v>
      </c>
      <c r="R518" s="246">
        <v>0.05</v>
      </c>
      <c r="S518" s="41">
        <v>0.05</v>
      </c>
      <c r="T518" s="41">
        <v>0.55000000000000004</v>
      </c>
      <c r="U518" s="95">
        <v>0.3</v>
      </c>
      <c r="V518" s="44"/>
      <c r="W518" s="323">
        <f t="shared" si="67"/>
        <v>21504</v>
      </c>
      <c r="X518" s="324"/>
      <c r="Y518" s="58"/>
      <c r="Z518" s="58"/>
      <c r="AA518" s="58"/>
      <c r="AB518" s="59"/>
      <c r="AC518" s="28"/>
    </row>
    <row r="519" spans="2:29" outlineLevel="1" x14ac:dyDescent="0.35">
      <c r="B519" s="9" t="str">
        <f t="shared" si="66"/>
        <v/>
      </c>
      <c r="F519" s="72"/>
      <c r="G519" s="58">
        <v>8</v>
      </c>
      <c r="H519" s="58"/>
      <c r="I519" s="58"/>
      <c r="J519" s="58"/>
      <c r="K519" s="58"/>
      <c r="L519" s="62" t="s">
        <v>86</v>
      </c>
      <c r="M519" s="262" t="str">
        <f>$L$418</f>
        <v>E</v>
      </c>
      <c r="N519" s="28" t="str">
        <f>$M$418</f>
        <v>Deployment, UAT and Documentation</v>
      </c>
      <c r="O519" s="60">
        <f>S418</f>
        <v>120</v>
      </c>
      <c r="P519" s="94">
        <f>ROUND(UAT_EFFORT/5,0)</f>
        <v>24</v>
      </c>
      <c r="Q519" s="42">
        <v>0.25</v>
      </c>
      <c r="R519" s="246">
        <v>0.05</v>
      </c>
      <c r="S519" s="41">
        <v>0.1</v>
      </c>
      <c r="T519" s="95">
        <v>0.45</v>
      </c>
      <c r="U519" s="41">
        <v>0.15</v>
      </c>
      <c r="V519" s="44"/>
      <c r="W519" s="323">
        <f t="shared" si="67"/>
        <v>26880</v>
      </c>
      <c r="X519" s="324"/>
      <c r="Y519" s="58"/>
      <c r="Z519" s="58"/>
      <c r="AA519" s="58"/>
      <c r="AB519" s="59"/>
      <c r="AC519" s="28"/>
    </row>
    <row r="520" spans="2:29" outlineLevel="1" x14ac:dyDescent="0.35">
      <c r="B520" s="9" t="str">
        <f t="shared" si="66"/>
        <v/>
      </c>
      <c r="F520" s="72"/>
      <c r="G520" s="58">
        <v>9</v>
      </c>
      <c r="H520" s="58"/>
      <c r="I520" s="58"/>
      <c r="J520" s="58"/>
      <c r="K520" s="58"/>
      <c r="L520" s="62" t="s">
        <v>76</v>
      </c>
      <c r="M520" s="262" t="str">
        <f>$L$446</f>
        <v>F</v>
      </c>
      <c r="N520" s="28" t="str">
        <f>$M$446</f>
        <v>Others</v>
      </c>
      <c r="O520" s="60">
        <f>S446</f>
        <v>70</v>
      </c>
      <c r="P520" s="94">
        <f>ROUND(OTHER_EFFORT/5,0)</f>
        <v>14</v>
      </c>
      <c r="Q520" s="42"/>
      <c r="R520" s="246">
        <v>0.2</v>
      </c>
      <c r="S520" s="95">
        <v>0.8</v>
      </c>
      <c r="T520" s="42"/>
      <c r="U520" s="42"/>
      <c r="V520" s="44"/>
      <c r="W520" s="325">
        <f t="shared" si="67"/>
        <v>15680</v>
      </c>
      <c r="X520" s="326"/>
      <c r="Y520" s="58"/>
      <c r="Z520" s="58"/>
      <c r="AA520" s="58"/>
      <c r="AB520" s="59"/>
      <c r="AC520" s="28"/>
    </row>
    <row r="521" spans="2:29" ht="21" outlineLevel="1" x14ac:dyDescent="0.35">
      <c r="F521" s="72"/>
      <c r="G521" s="58">
        <v>10</v>
      </c>
      <c r="H521" s="58"/>
      <c r="I521" s="58"/>
      <c r="J521" s="58"/>
      <c r="K521" s="58"/>
      <c r="L521" s="58"/>
      <c r="M521" s="270"/>
      <c r="N521" s="59"/>
      <c r="O521" s="238">
        <f>SUM(O515:O520)</f>
        <v>949</v>
      </c>
      <c r="P521" s="239">
        <f>SUM(P515:P520)</f>
        <v>190</v>
      </c>
      <c r="Q521" s="328" t="s">
        <v>116</v>
      </c>
      <c r="R521" s="328"/>
      <c r="S521" s="328"/>
      <c r="T521" s="328"/>
      <c r="U521" s="328"/>
      <c r="V521" s="328"/>
      <c r="W521" s="327">
        <f>SUM(W515:W520)</f>
        <v>212576</v>
      </c>
      <c r="X521" s="327"/>
      <c r="Y521" s="58"/>
      <c r="Z521" s="58"/>
      <c r="AA521" s="58"/>
      <c r="AB521" s="59"/>
      <c r="AC521" s="28"/>
    </row>
    <row r="522" spans="2:29" outlineLevel="1" x14ac:dyDescent="0.35">
      <c r="F522" s="72"/>
      <c r="G522" s="58"/>
      <c r="H522" s="58"/>
      <c r="I522" s="58"/>
      <c r="J522" s="58"/>
      <c r="K522" s="58"/>
      <c r="L522" s="58"/>
      <c r="M522" s="270"/>
      <c r="N522" s="59"/>
      <c r="O522" s="59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9"/>
      <c r="AC522" s="28"/>
    </row>
    <row r="523" spans="2:29" ht="15" customHeight="1" outlineLevel="1" x14ac:dyDescent="0.35">
      <c r="F523" s="72"/>
      <c r="G523" s="58"/>
      <c r="H523" s="58"/>
      <c r="I523" s="58"/>
      <c r="J523" s="58"/>
      <c r="K523" s="58"/>
      <c r="L523" s="58"/>
      <c r="M523" s="270"/>
      <c r="N523" s="59"/>
      <c r="O523" s="59"/>
      <c r="P523" s="58"/>
      <c r="Q523" s="296" t="s">
        <v>114</v>
      </c>
      <c r="R523" s="296"/>
      <c r="S523" s="296"/>
      <c r="T523" s="296"/>
      <c r="U523" s="296"/>
      <c r="V523" s="296"/>
      <c r="W523" s="329" t="s">
        <v>446</v>
      </c>
      <c r="X523" s="329"/>
      <c r="Y523" s="58"/>
      <c r="Z523" s="58"/>
      <c r="AA523" s="58"/>
      <c r="AB523" s="59"/>
      <c r="AC523" s="28"/>
    </row>
    <row r="524" spans="2:29" ht="15" customHeight="1" outlineLevel="1" x14ac:dyDescent="0.35">
      <c r="F524" s="72"/>
      <c r="G524" s="58"/>
      <c r="H524" s="58"/>
      <c r="I524" s="58"/>
      <c r="J524" s="58"/>
      <c r="K524" s="58"/>
      <c r="L524" s="58"/>
      <c r="M524" s="262"/>
      <c r="N524" s="28"/>
      <c r="O524" s="97" t="s">
        <v>112</v>
      </c>
      <c r="P524" s="98" t="s">
        <v>113</v>
      </c>
      <c r="Q524" s="271" t="s">
        <v>8</v>
      </c>
      <c r="R524" s="271" t="s">
        <v>9</v>
      </c>
      <c r="S524" s="271" t="s">
        <v>10</v>
      </c>
      <c r="T524" s="271" t="s">
        <v>12</v>
      </c>
      <c r="U524" s="271" t="s">
        <v>11</v>
      </c>
      <c r="V524" s="272" t="s">
        <v>13</v>
      </c>
      <c r="W524" s="329"/>
      <c r="X524" s="329"/>
      <c r="Y524" s="58"/>
      <c r="Z524" s="93"/>
      <c r="AA524" s="93"/>
      <c r="AB524" s="93"/>
      <c r="AC524" s="93"/>
    </row>
    <row r="525" spans="2:29" ht="15" customHeight="1" outlineLevel="1" x14ac:dyDescent="0.35">
      <c r="F525" s="72"/>
      <c r="G525" s="58"/>
      <c r="H525" s="58"/>
      <c r="I525" s="58"/>
      <c r="J525" s="58"/>
      <c r="K525" s="58"/>
      <c r="L525" s="58"/>
      <c r="M525" s="262" t="str">
        <f>$L$12</f>
        <v>A</v>
      </c>
      <c r="N525" s="28" t="str">
        <f>$M$12</f>
        <v>Discovery / Requirement Analysis</v>
      </c>
      <c r="O525" s="102">
        <v>46328</v>
      </c>
      <c r="P525" s="99">
        <f>O525+(((P515*REQ_BA_PERCENT)/REQ_BA_COUNT)*7)</f>
        <v>46357.4</v>
      </c>
      <c r="Q525" s="96">
        <v>1</v>
      </c>
      <c r="R525" s="203">
        <v>0.2</v>
      </c>
      <c r="S525" s="92">
        <v>0.3</v>
      </c>
      <c r="T525" s="92">
        <v>1.5</v>
      </c>
      <c r="U525" s="92">
        <v>0.5</v>
      </c>
      <c r="V525" s="51"/>
      <c r="W525" s="236">
        <v>0</v>
      </c>
      <c r="X525" s="58"/>
      <c r="Y525" s="319" t="s">
        <v>1165</v>
      </c>
      <c r="Z525" s="319"/>
      <c r="AA525" s="319"/>
      <c r="AB525" s="59"/>
      <c r="AC525" s="28"/>
    </row>
    <row r="526" spans="2:29" outlineLevel="1" x14ac:dyDescent="0.35">
      <c r="F526" s="72"/>
      <c r="G526" s="58"/>
      <c r="H526" s="58"/>
      <c r="I526" s="58"/>
      <c r="J526" s="58"/>
      <c r="K526" s="58"/>
      <c r="L526" s="58"/>
      <c r="M526" s="262" t="str">
        <f>$L$64</f>
        <v>B</v>
      </c>
      <c r="N526" s="28" t="str">
        <f>$M$64</f>
        <v>System Design, Framework and Test Cases</v>
      </c>
      <c r="O526" s="100">
        <f>O525+((P525-O525)*W525)+1</f>
        <v>46329</v>
      </c>
      <c r="P526" s="99">
        <f>O526+(((P516*DESIGN_TA_PERCENT)/DESIGN_TA_COUNT)*7)</f>
        <v>46359</v>
      </c>
      <c r="Q526" s="92"/>
      <c r="R526" s="204">
        <v>0.7</v>
      </c>
      <c r="S526" s="92">
        <v>0.4</v>
      </c>
      <c r="T526" s="92">
        <v>2.5</v>
      </c>
      <c r="U526" s="92"/>
      <c r="V526" s="51"/>
      <c r="W526" s="237">
        <v>0.85</v>
      </c>
      <c r="X526" s="58"/>
      <c r="Y526" s="319"/>
      <c r="Z526" s="319"/>
      <c r="AA526" s="319"/>
      <c r="AB526" s="59"/>
      <c r="AC526" s="28"/>
    </row>
    <row r="527" spans="2:29" outlineLevel="1" x14ac:dyDescent="0.35">
      <c r="F527" s="72"/>
      <c r="G527" s="58"/>
      <c r="H527" s="58"/>
      <c r="I527" s="58"/>
      <c r="J527" s="58"/>
      <c r="K527" s="58"/>
      <c r="L527" s="58"/>
      <c r="M527" s="262" t="str">
        <f>$L$94</f>
        <v>C</v>
      </c>
      <c r="N527" s="28" t="str">
        <f>$M$94</f>
        <v>Development and Unit Testing</v>
      </c>
      <c r="O527" s="100">
        <f>O526+((P526-O526)*W526)+1</f>
        <v>46355.5</v>
      </c>
      <c r="P527" s="99">
        <f>O527+(((P517*DEV_DEV_PERCENT)/DEV_DEV_COUNT)*7)</f>
        <v>46499.184210526313</v>
      </c>
      <c r="Q527" s="92">
        <v>0.3</v>
      </c>
      <c r="R527" s="203">
        <v>0.5</v>
      </c>
      <c r="S527" s="92">
        <v>0.3</v>
      </c>
      <c r="T527" s="96">
        <v>3.8</v>
      </c>
      <c r="U527" s="92">
        <v>0.3</v>
      </c>
      <c r="V527" s="51"/>
      <c r="W527" s="236">
        <v>0.75</v>
      </c>
      <c r="X527" s="58"/>
      <c r="Y527" s="319"/>
      <c r="Z527" s="319"/>
      <c r="AA527" s="319"/>
      <c r="AB527" s="59"/>
      <c r="AC527" s="28"/>
    </row>
    <row r="528" spans="2:29" outlineLevel="1" x14ac:dyDescent="0.35">
      <c r="F528" s="72"/>
      <c r="G528" s="58"/>
      <c r="H528" s="58"/>
      <c r="I528" s="58"/>
      <c r="J528" s="58"/>
      <c r="K528" s="58"/>
      <c r="L528" s="58"/>
      <c r="M528" s="262" t="str">
        <f>$L$381</f>
        <v>D</v>
      </c>
      <c r="N528" s="28" t="str">
        <f>$M$381</f>
        <v>System Testing and Stabilization</v>
      </c>
      <c r="O528" s="100">
        <f>O527+((P527-O527)*W527)+1</f>
        <v>46464.263157894733</v>
      </c>
      <c r="P528" s="99">
        <f>O528+(((P518*TESTING_QA_PERCENT)/TESTING_QA_COUNT)*7)</f>
        <v>46504.163157894734</v>
      </c>
      <c r="Q528" s="92">
        <v>0.1</v>
      </c>
      <c r="R528" s="203">
        <v>0.2</v>
      </c>
      <c r="S528" s="92">
        <v>0.2</v>
      </c>
      <c r="T528" s="92">
        <v>1.7</v>
      </c>
      <c r="U528" s="96">
        <v>1</v>
      </c>
      <c r="V528" s="233"/>
      <c r="W528" s="236">
        <v>0.3</v>
      </c>
      <c r="X528" s="58"/>
      <c r="Y528" s="319"/>
      <c r="Z528" s="319"/>
      <c r="AA528" s="319"/>
      <c r="AB528" s="59"/>
      <c r="AC528" s="28"/>
    </row>
    <row r="529" spans="1:30" outlineLevel="1" x14ac:dyDescent="0.35">
      <c r="F529" s="72"/>
      <c r="G529" s="58"/>
      <c r="H529" s="58"/>
      <c r="I529" s="58"/>
      <c r="J529" s="58"/>
      <c r="K529" s="58"/>
      <c r="L529" s="58"/>
      <c r="M529" s="262" t="str">
        <f>$L$418</f>
        <v>E</v>
      </c>
      <c r="N529" s="28" t="str">
        <f>$M$418</f>
        <v>Deployment, UAT and Documentation</v>
      </c>
      <c r="O529" s="100">
        <f>O528+((P528-O528)*W528)+1</f>
        <v>46477.233157894734</v>
      </c>
      <c r="P529" s="99">
        <f>O529+(((P519*UAT_DEV_PERCENT)/UAT_DEV_COUNT)*7)</f>
        <v>46571.733157894734</v>
      </c>
      <c r="Q529" s="92">
        <v>0.4</v>
      </c>
      <c r="R529" s="203">
        <v>0.1</v>
      </c>
      <c r="S529" s="92">
        <v>0.2</v>
      </c>
      <c r="T529" s="96">
        <v>0.8</v>
      </c>
      <c r="U529" s="92">
        <v>0.3</v>
      </c>
      <c r="V529" s="51"/>
      <c r="W529" s="236">
        <v>0.15</v>
      </c>
      <c r="X529" s="58"/>
      <c r="Y529" s="319"/>
      <c r="Z529" s="319"/>
      <c r="AA529" s="319"/>
      <c r="AB529" s="59"/>
      <c r="AC529" s="28"/>
    </row>
    <row r="530" spans="1:30" outlineLevel="1" x14ac:dyDescent="0.35">
      <c r="F530" s="72"/>
      <c r="G530" s="58"/>
      <c r="H530" s="58"/>
      <c r="I530" s="58"/>
      <c r="J530" s="58"/>
      <c r="K530" s="58"/>
      <c r="L530" s="58"/>
      <c r="M530" s="262" t="str">
        <f>$L$446</f>
        <v>F</v>
      </c>
      <c r="N530" s="28" t="str">
        <f>$M$446</f>
        <v>Others</v>
      </c>
      <c r="O530" s="101">
        <f>O529+((P529-O529)*W529)+1</f>
        <v>46492.408157894737</v>
      </c>
      <c r="P530" s="108">
        <f>O530+(((P520*OTHER_TL_PERCENT)/OTHER_TL_COUNT)*7)</f>
        <v>46570.808157894739</v>
      </c>
      <c r="Q530" s="109"/>
      <c r="R530" s="205">
        <v>0.3</v>
      </c>
      <c r="S530" s="110">
        <v>1</v>
      </c>
      <c r="T530" s="109"/>
      <c r="U530" s="109"/>
      <c r="V530" s="111"/>
      <c r="W530" s="234"/>
      <c r="X530" s="58"/>
      <c r="Y530" s="58"/>
      <c r="Z530" s="58"/>
      <c r="AA530" s="58"/>
      <c r="AB530" s="59"/>
      <c r="AC530" s="28"/>
    </row>
    <row r="531" spans="1:30" ht="15.5" outlineLevel="1" x14ac:dyDescent="0.35">
      <c r="F531" s="72"/>
      <c r="G531" s="58">
        <v>1</v>
      </c>
      <c r="H531" s="58"/>
      <c r="I531" s="58"/>
      <c r="J531" s="58"/>
      <c r="K531" s="58"/>
      <c r="L531" s="25"/>
      <c r="M531" s="262"/>
      <c r="N531" s="25"/>
      <c r="O531" s="105" t="s">
        <v>118</v>
      </c>
      <c r="P531" s="114">
        <f>NETWORKDAYS(START_DATE,AUTOMATED_END_DATE)/5</f>
        <v>35</v>
      </c>
      <c r="Q531" s="113" t="s">
        <v>94</v>
      </c>
      <c r="R531" s="112"/>
      <c r="S531" s="107" t="s">
        <v>117</v>
      </c>
      <c r="T531" s="305">
        <f>AUTOMATED_END_DATE</f>
        <v>46570.808157894739</v>
      </c>
      <c r="U531" s="305"/>
      <c r="V531" s="235"/>
      <c r="W531" s="235"/>
      <c r="X531" s="235"/>
      <c r="Y531" s="25"/>
      <c r="Z531" s="25"/>
      <c r="AA531" s="25"/>
      <c r="AB531" s="28"/>
      <c r="AC531" s="28"/>
    </row>
    <row r="532" spans="1:30" ht="15.5" outlineLevel="1" x14ac:dyDescent="0.35">
      <c r="F532" s="72"/>
      <c r="G532" s="58">
        <v>2</v>
      </c>
      <c r="H532" s="58"/>
      <c r="I532" s="58"/>
      <c r="J532" s="58"/>
      <c r="K532" s="58"/>
      <c r="L532" s="25"/>
      <c r="M532" s="262"/>
      <c r="N532" s="25"/>
      <c r="O532" s="105" t="s">
        <v>119</v>
      </c>
      <c r="P532" s="114">
        <f>NETWORKDAYS(START_DATE,MANUAL_END_DATE)/5</f>
        <v>35</v>
      </c>
      <c r="Q532" s="113" t="s">
        <v>94</v>
      </c>
      <c r="R532" s="106"/>
      <c r="S532" s="107" t="s">
        <v>117</v>
      </c>
      <c r="T532" s="305">
        <f>MANUAL_END_DATE</f>
        <v>46570</v>
      </c>
      <c r="U532" s="305"/>
      <c r="V532" s="235"/>
      <c r="W532" s="235"/>
      <c r="X532" s="235"/>
      <c r="Y532" s="25"/>
      <c r="Z532" s="25"/>
      <c r="AA532" s="25"/>
      <c r="AB532" s="28"/>
      <c r="AC532" s="28"/>
    </row>
    <row r="533" spans="1:30" ht="15" customHeight="1" outlineLevel="1" x14ac:dyDescent="0.35">
      <c r="F533" s="72"/>
      <c r="G533" s="58"/>
      <c r="H533" s="58"/>
      <c r="I533" s="58"/>
      <c r="J533" s="58"/>
      <c r="K533" s="58"/>
      <c r="L533" s="25"/>
      <c r="M533" s="262"/>
      <c r="N533" s="25"/>
      <c r="O533" s="103"/>
      <c r="P533" s="61"/>
      <c r="Q533" s="104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8"/>
      <c r="AC533" s="28"/>
    </row>
    <row r="534" spans="1:30" outlineLevel="1" x14ac:dyDescent="0.35">
      <c r="F534" s="72"/>
      <c r="G534" s="58">
        <v>3</v>
      </c>
      <c r="H534" s="58"/>
      <c r="I534" s="58"/>
      <c r="J534" s="58"/>
      <c r="K534" s="58"/>
      <c r="L534" s="25"/>
      <c r="M534" s="262"/>
      <c r="N534" s="28"/>
      <c r="O534" s="28"/>
      <c r="P534" s="25"/>
      <c r="Q534" s="25"/>
      <c r="R534" s="25"/>
      <c r="S534" s="69" t="s">
        <v>115</v>
      </c>
      <c r="T534" s="70" t="s">
        <v>92</v>
      </c>
      <c r="U534" s="25"/>
      <c r="V534" s="25"/>
      <c r="W534" s="25"/>
      <c r="X534" s="25"/>
      <c r="Y534" s="25"/>
      <c r="Z534" s="25"/>
      <c r="AA534" s="25"/>
      <c r="AB534" s="28"/>
      <c r="AC534" s="28"/>
    </row>
    <row r="535" spans="1:30" outlineLevel="1" x14ac:dyDescent="0.35">
      <c r="F535" s="72"/>
      <c r="G535" s="58"/>
      <c r="H535" s="58"/>
      <c r="I535" s="58"/>
      <c r="J535" s="58"/>
      <c r="K535" s="58"/>
      <c r="L535" s="25"/>
      <c r="M535" s="262"/>
      <c r="N535" s="28"/>
      <c r="O535" s="28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8"/>
      <c r="AC535" s="28"/>
    </row>
    <row r="536" spans="1:30" s="9" customFormat="1" ht="20.25" customHeight="1" outlineLevel="1" x14ac:dyDescent="0.35">
      <c r="A536" s="86"/>
      <c r="C536" s="72"/>
      <c r="D536" s="72"/>
      <c r="E536" s="72"/>
      <c r="F536" s="72"/>
      <c r="G536" s="40"/>
      <c r="H536" s="40"/>
      <c r="I536" s="40"/>
      <c r="J536" s="40"/>
      <c r="K536" s="40"/>
      <c r="L536" s="40"/>
      <c r="M536" s="258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10"/>
    </row>
    <row r="537" spans="1:30" s="9" customFormat="1" x14ac:dyDescent="0.35">
      <c r="A537" s="86"/>
      <c r="C537" s="74"/>
      <c r="D537" s="74"/>
      <c r="E537" s="74"/>
      <c r="F537" s="72"/>
      <c r="M537" s="252"/>
      <c r="N537" s="10"/>
      <c r="O537" s="10"/>
      <c r="AB537" s="10"/>
      <c r="AC537" s="10"/>
      <c r="AD537" s="10"/>
    </row>
    <row r="538" spans="1:30" s="9" customFormat="1" ht="20.25" customHeight="1" x14ac:dyDescent="0.35">
      <c r="A538" s="86"/>
      <c r="C538" s="72"/>
      <c r="D538" s="72"/>
      <c r="E538" s="72"/>
      <c r="F538" s="72"/>
      <c r="G538" s="295" t="s">
        <v>48</v>
      </c>
      <c r="H538" s="295"/>
      <c r="I538" s="165"/>
      <c r="J538" s="40"/>
      <c r="K538" s="40"/>
      <c r="L538" s="36"/>
      <c r="M538" s="265" t="s">
        <v>185</v>
      </c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200" t="str">
        <f>TEMPLATE_NAME&amp;" "&amp;TEMPLATE_VER</f>
        <v>AG Estimation Template -  Version 2.0.4</v>
      </c>
      <c r="AC538" s="36"/>
      <c r="AD538" s="10"/>
    </row>
    <row r="539" spans="1:30" s="9" customFormat="1" outlineLevel="1" x14ac:dyDescent="0.35">
      <c r="A539" s="86"/>
      <c r="C539" s="74"/>
      <c r="D539" s="74"/>
      <c r="E539" s="74"/>
      <c r="F539" s="72"/>
      <c r="G539" s="25"/>
      <c r="H539" s="25"/>
      <c r="I539" s="25"/>
      <c r="J539" s="25"/>
      <c r="K539" s="25"/>
      <c r="L539" s="25"/>
      <c r="M539" s="262"/>
      <c r="N539" s="28"/>
      <c r="O539" s="28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8"/>
      <c r="AC539" s="28"/>
      <c r="AD539" s="10"/>
    </row>
    <row r="540" spans="1:30" s="9" customFormat="1" ht="15" customHeight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/>
      <c r="N540" s="132" t="s">
        <v>130</v>
      </c>
      <c r="O540" s="28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8"/>
      <c r="AC540" s="28"/>
      <c r="AD540" s="10"/>
    </row>
    <row r="541" spans="1:30" s="9" customFormat="1" ht="14.25" customHeight="1" outlineLevel="1" x14ac:dyDescent="0.35">
      <c r="A541" s="86"/>
      <c r="C541" s="72"/>
      <c r="D541" s="72"/>
      <c r="E541" s="72"/>
      <c r="F541" s="72"/>
      <c r="G541" s="25"/>
      <c r="H541" s="25"/>
      <c r="I541" s="25"/>
      <c r="J541" s="25"/>
      <c r="K541" s="25"/>
      <c r="L541" s="25"/>
      <c r="M541" s="262"/>
      <c r="N541" s="146" t="s">
        <v>5</v>
      </c>
      <c r="O541" s="145" t="s">
        <v>1166</v>
      </c>
      <c r="P541" s="172"/>
      <c r="Q541" s="172"/>
      <c r="R541" s="145"/>
      <c r="S541" s="172"/>
      <c r="T541" s="172"/>
      <c r="U541" s="172"/>
      <c r="V541" s="172"/>
      <c r="W541" s="172"/>
      <c r="X541" s="25"/>
      <c r="Y541" s="25"/>
      <c r="Z541" s="25"/>
      <c r="AA541" s="25"/>
      <c r="AB541" s="25"/>
      <c r="AC541" s="28"/>
      <c r="AD541" s="10"/>
    </row>
    <row r="542" spans="1:30" s="9" customFormat="1" ht="14.25" customHeight="1" outlineLevel="1" x14ac:dyDescent="0.35">
      <c r="A542" s="86"/>
      <c r="C542" s="72"/>
      <c r="D542" s="72"/>
      <c r="E542" s="72"/>
      <c r="F542" s="72"/>
      <c r="G542" s="25"/>
      <c r="H542" s="25"/>
      <c r="I542" s="25"/>
      <c r="J542" s="25"/>
      <c r="K542" s="25"/>
      <c r="L542" s="25"/>
      <c r="M542" s="262"/>
      <c r="N542" s="146" t="s">
        <v>30</v>
      </c>
      <c r="O542" s="145" t="s">
        <v>762</v>
      </c>
      <c r="P542" s="172"/>
      <c r="Q542" s="172"/>
      <c r="R542" s="172"/>
      <c r="S542" s="172"/>
      <c r="T542" s="172"/>
      <c r="U542" s="172"/>
      <c r="V542" s="172"/>
      <c r="W542" s="172"/>
      <c r="X542" s="25"/>
      <c r="Y542" s="25"/>
      <c r="Z542" s="25"/>
      <c r="AA542" s="25"/>
      <c r="AB542" s="25"/>
      <c r="AC542" s="28"/>
      <c r="AD542" s="10"/>
    </row>
    <row r="543" spans="1:30" s="9" customFormat="1" ht="14.25" customHeight="1" outlineLevel="1" x14ac:dyDescent="0.35">
      <c r="A543" s="86"/>
      <c r="C543" s="72"/>
      <c r="D543" s="72"/>
      <c r="E543" s="72"/>
      <c r="F543" s="72"/>
      <c r="G543" s="25"/>
      <c r="H543" s="25"/>
      <c r="I543" s="25"/>
      <c r="J543" s="25"/>
      <c r="K543" s="25"/>
      <c r="L543" s="25"/>
      <c r="M543" s="262"/>
      <c r="N543" s="146" t="s">
        <v>36</v>
      </c>
      <c r="O543" s="145" t="s">
        <v>41</v>
      </c>
      <c r="P543" s="172"/>
      <c r="Q543" s="172"/>
      <c r="R543" s="172"/>
      <c r="S543" s="130"/>
      <c r="T543" s="130"/>
      <c r="U543" s="130"/>
      <c r="V543" s="172"/>
      <c r="W543" s="172"/>
      <c r="X543" s="25"/>
      <c r="Y543" s="25"/>
      <c r="Z543" s="25"/>
      <c r="AA543" s="25"/>
      <c r="AB543" s="25"/>
      <c r="AC543" s="28"/>
      <c r="AD543" s="10"/>
    </row>
    <row r="544" spans="1:30" s="9" customFormat="1" ht="14.25" customHeight="1" outlineLevel="1" x14ac:dyDescent="0.35">
      <c r="A544" s="86"/>
      <c r="C544" s="72"/>
      <c r="D544" s="72"/>
      <c r="E544" s="72"/>
      <c r="F544" s="72"/>
      <c r="G544" s="25"/>
      <c r="H544" s="25"/>
      <c r="I544" s="25"/>
      <c r="J544" s="25"/>
      <c r="K544" s="25"/>
      <c r="L544" s="25"/>
      <c r="M544" s="262"/>
      <c r="N544" s="146" t="s">
        <v>31</v>
      </c>
      <c r="O544" s="145" t="s">
        <v>32</v>
      </c>
      <c r="P544" s="172"/>
      <c r="Q544" s="172"/>
      <c r="R544" s="172"/>
      <c r="S544" s="130"/>
      <c r="T544" s="130"/>
      <c r="U544" s="130"/>
      <c r="V544" s="172"/>
      <c r="W544" s="172"/>
      <c r="X544" s="25"/>
      <c r="Y544" s="25"/>
      <c r="Z544" s="25"/>
      <c r="AA544" s="25"/>
      <c r="AB544" s="25"/>
      <c r="AC544" s="28"/>
      <c r="AD544" s="10"/>
    </row>
    <row r="545" spans="1:30" s="9" customFormat="1" ht="14.25" customHeight="1" outlineLevel="1" x14ac:dyDescent="0.35">
      <c r="A545" s="86"/>
      <c r="C545" s="72"/>
      <c r="D545" s="72"/>
      <c r="E545" s="72"/>
      <c r="F545" s="72"/>
      <c r="G545" s="25"/>
      <c r="H545" s="25"/>
      <c r="I545" s="25"/>
      <c r="J545" s="25"/>
      <c r="K545" s="25"/>
      <c r="L545" s="25"/>
      <c r="M545" s="262"/>
      <c r="N545" s="146" t="s">
        <v>56</v>
      </c>
      <c r="O545" s="145" t="s">
        <v>969</v>
      </c>
      <c r="P545" s="172"/>
      <c r="Q545" s="172"/>
      <c r="R545" s="172"/>
      <c r="S545" s="130"/>
      <c r="T545" s="130"/>
      <c r="U545" s="130"/>
      <c r="V545" s="172"/>
      <c r="W545" s="172"/>
      <c r="X545" s="25"/>
      <c r="Y545" s="25"/>
      <c r="Z545" s="25"/>
      <c r="AA545" s="25"/>
      <c r="AB545" s="25"/>
      <c r="AC545" s="28"/>
      <c r="AD545" s="10"/>
    </row>
    <row r="546" spans="1:30" s="9" customFormat="1" ht="14.25" customHeight="1" outlineLevel="1" x14ac:dyDescent="0.35">
      <c r="A546" s="86"/>
      <c r="C546" s="72"/>
      <c r="D546" s="72"/>
      <c r="E546" s="72"/>
      <c r="F546" s="72"/>
      <c r="G546" s="25"/>
      <c r="H546" s="25"/>
      <c r="I546" s="25"/>
      <c r="J546" s="25"/>
      <c r="K546" s="25"/>
      <c r="L546" s="25"/>
      <c r="M546" s="262"/>
      <c r="N546" s="146" t="s">
        <v>67</v>
      </c>
      <c r="O546" s="145" t="s">
        <v>23</v>
      </c>
      <c r="P546" s="172"/>
      <c r="Q546" s="172"/>
      <c r="R546" s="145"/>
      <c r="S546" s="130"/>
      <c r="T546" s="130"/>
      <c r="U546" s="130"/>
      <c r="V546" s="172"/>
      <c r="W546" s="172"/>
      <c r="X546" s="25"/>
      <c r="Y546" s="25"/>
      <c r="Z546" s="25"/>
      <c r="AA546" s="25"/>
      <c r="AB546" s="25"/>
      <c r="AC546" s="28"/>
      <c r="AD546" s="10"/>
    </row>
    <row r="547" spans="1:30" s="9" customFormat="1" ht="14.25" customHeight="1" outlineLevel="1" x14ac:dyDescent="0.35">
      <c r="A547" s="86"/>
      <c r="C547" s="72"/>
      <c r="D547" s="72"/>
      <c r="E547" s="72"/>
      <c r="F547" s="72"/>
      <c r="G547" s="25"/>
      <c r="H547" s="25"/>
      <c r="I547" s="25"/>
      <c r="J547" s="25"/>
      <c r="K547" s="25"/>
      <c r="L547" s="25"/>
      <c r="M547" s="262"/>
      <c r="N547" s="146" t="s">
        <v>4</v>
      </c>
      <c r="O547" s="145" t="s">
        <v>18</v>
      </c>
      <c r="P547" s="172"/>
      <c r="Q547" s="172"/>
      <c r="R547" s="172"/>
      <c r="S547" s="130"/>
      <c r="T547" s="130"/>
      <c r="U547" s="130"/>
      <c r="V547" s="172"/>
      <c r="W547" s="172"/>
      <c r="X547" s="25"/>
      <c r="Y547" s="25"/>
      <c r="Z547" s="25"/>
      <c r="AA547" s="25"/>
      <c r="AB547" s="25"/>
      <c r="AC547" s="28"/>
      <c r="AD547" s="10"/>
    </row>
    <row r="548" spans="1:30" s="9" customFormat="1" ht="14.25" customHeight="1" outlineLevel="1" x14ac:dyDescent="0.35">
      <c r="A548" s="86"/>
      <c r="C548" s="72"/>
      <c r="D548" s="72"/>
      <c r="E548" s="72"/>
      <c r="F548" s="72"/>
      <c r="G548" s="25"/>
      <c r="H548" s="25"/>
      <c r="I548" s="25"/>
      <c r="J548" s="25"/>
      <c r="K548" s="25"/>
      <c r="L548" s="25"/>
      <c r="M548" s="262"/>
      <c r="N548" s="146" t="s">
        <v>26</v>
      </c>
      <c r="O548" s="145" t="s">
        <v>25</v>
      </c>
      <c r="P548" s="172"/>
      <c r="Q548" s="172"/>
      <c r="R548" s="172"/>
      <c r="S548" s="130"/>
      <c r="T548" s="130"/>
      <c r="U548" s="130"/>
      <c r="V548" s="172"/>
      <c r="W548" s="172"/>
      <c r="X548" s="25"/>
      <c r="Y548" s="25"/>
      <c r="Z548" s="25"/>
      <c r="AA548" s="25"/>
      <c r="AB548" s="25"/>
      <c r="AC548" s="28"/>
      <c r="AD548" s="10"/>
    </row>
    <row r="549" spans="1:30" s="9" customFormat="1" ht="14.25" customHeight="1" outlineLevel="1" x14ac:dyDescent="0.35">
      <c r="A549" s="86"/>
      <c r="C549" s="72"/>
      <c r="D549" s="72"/>
      <c r="E549" s="72"/>
      <c r="F549" s="72"/>
      <c r="G549" s="25"/>
      <c r="H549" s="25"/>
      <c r="I549" s="25"/>
      <c r="J549" s="25"/>
      <c r="K549" s="25"/>
      <c r="L549" s="25"/>
      <c r="M549" s="262"/>
      <c r="N549" s="146"/>
      <c r="O549" s="25"/>
      <c r="P549" s="25"/>
      <c r="Q549" s="25"/>
      <c r="R549" s="25"/>
      <c r="S549" s="129"/>
      <c r="T549" s="129"/>
      <c r="U549" s="129"/>
      <c r="V549" s="129"/>
      <c r="W549" s="129"/>
      <c r="X549" s="25"/>
      <c r="Y549" s="25"/>
      <c r="Z549" s="25"/>
      <c r="AA549" s="25"/>
      <c r="AB549" s="129"/>
      <c r="AC549" s="28"/>
      <c r="AD549" s="10"/>
    </row>
    <row r="550" spans="1:30" s="9" customFormat="1" ht="15" customHeight="1" outlineLevel="1" x14ac:dyDescent="0.35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/>
      <c r="N550" s="300" t="str">
        <f>"Total effort is "&amp;TEXT(TOTAL_EFFORT,"##,##,###")&amp;" PDs. How much up or down it can safely be without being way off?"</f>
        <v>Total effort is 949 PDs. How much up or down it can safely be without being way off?</v>
      </c>
      <c r="O550" s="132" t="s">
        <v>128</v>
      </c>
      <c r="P550" s="132" t="s">
        <v>129</v>
      </c>
      <c r="Q550" s="25"/>
      <c r="R550" s="25"/>
      <c r="S550" s="129"/>
      <c r="T550" s="129"/>
      <c r="U550" s="129"/>
      <c r="V550" s="129"/>
      <c r="W550" s="129"/>
      <c r="X550" s="25"/>
      <c r="Y550" s="25"/>
      <c r="Z550" s="25"/>
      <c r="AA550" s="25"/>
      <c r="AB550" s="28"/>
      <c r="AC550" s="28"/>
      <c r="AD550" s="10"/>
    </row>
    <row r="551" spans="1:30" s="9" customFormat="1" ht="15" customHeight="1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/>
      <c r="N551" s="300"/>
      <c r="O551" s="141">
        <v>-0.2</v>
      </c>
      <c r="P551" s="142">
        <v>0.2</v>
      </c>
      <c r="Q551" s="25"/>
      <c r="R551" s="25"/>
      <c r="S551" s="129"/>
      <c r="T551" s="129"/>
      <c r="U551" s="129"/>
      <c r="V551" s="129"/>
      <c r="W551" s="129"/>
      <c r="X551" s="25"/>
      <c r="Y551" s="25"/>
      <c r="Z551" s="25"/>
      <c r="AA551" s="25"/>
      <c r="AB551" s="28"/>
      <c r="AC551" s="28"/>
      <c r="AD551" s="10"/>
    </row>
    <row r="552" spans="1:30" s="9" customFormat="1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/>
      <c r="N552" s="300"/>
      <c r="O552" s="28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8"/>
      <c r="AC552" s="28"/>
      <c r="AD552" s="10"/>
    </row>
    <row r="553" spans="1:30" s="9" customFormat="1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/>
      <c r="N553" s="149" t="s">
        <v>447</v>
      </c>
      <c r="O553" s="129"/>
      <c r="P553" s="150" t="s">
        <v>96</v>
      </c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8"/>
      <c r="AC553" s="28"/>
      <c r="AD553" s="10"/>
    </row>
    <row r="554" spans="1:30" s="9" customFormat="1" outlineLevel="1" x14ac:dyDescent="0.35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/>
      <c r="N554" s="240" t="s">
        <v>156</v>
      </c>
      <c r="O554" s="25"/>
      <c r="P554" s="148" t="s">
        <v>78</v>
      </c>
      <c r="Q554" s="131" t="s">
        <v>190</v>
      </c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8"/>
      <c r="AD554" s="10"/>
    </row>
    <row r="555" spans="1:30" s="9" customFormat="1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/>
      <c r="N555" s="240" t="s">
        <v>169</v>
      </c>
      <c r="O555" s="25"/>
      <c r="P555" s="148" t="s">
        <v>97</v>
      </c>
      <c r="Q555" s="131" t="s">
        <v>189</v>
      </c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8"/>
      <c r="AD555" s="10"/>
    </row>
    <row r="556" spans="1:30" s="9" customFormat="1" outlineLevel="1" x14ac:dyDescent="0.35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/>
      <c r="N556" s="240" t="s">
        <v>170</v>
      </c>
      <c r="O556" s="25"/>
      <c r="P556" s="25"/>
      <c r="Q556" s="25"/>
      <c r="R556" s="25"/>
      <c r="S556" s="25"/>
      <c r="T556" s="25"/>
      <c r="U556" s="148"/>
      <c r="V556" s="25"/>
      <c r="W556" s="25"/>
      <c r="X556" s="25"/>
      <c r="Y556" s="25"/>
      <c r="Z556" s="25"/>
      <c r="AA556" s="25"/>
      <c r="AB556" s="25"/>
      <c r="AC556" s="28"/>
      <c r="AD556" s="10"/>
    </row>
    <row r="557" spans="1:30" s="9" customFormat="1" ht="15" customHeight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/>
      <c r="N557" s="240" t="s">
        <v>171</v>
      </c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8"/>
      <c r="AD557" s="10"/>
    </row>
    <row r="558" spans="1:30" s="9" customFormat="1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40" t="s">
        <v>172</v>
      </c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8"/>
      <c r="AD558" s="10"/>
    </row>
    <row r="559" spans="1:30" s="9" customFormat="1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/>
      <c r="N559" s="240" t="s">
        <v>173</v>
      </c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8"/>
      <c r="AD559" s="10"/>
    </row>
    <row r="560" spans="1:30" s="9" customFormat="1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/>
      <c r="N560" s="240" t="s">
        <v>174</v>
      </c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8"/>
      <c r="AD560" s="10"/>
    </row>
    <row r="561" spans="1:30" s="9" customFormat="1" outlineLevel="1" x14ac:dyDescent="0.35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40" t="s">
        <v>155</v>
      </c>
      <c r="O561" s="28"/>
      <c r="P561" s="131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8"/>
      <c r="AD561" s="10"/>
    </row>
    <row r="562" spans="1:30" s="9" customFormat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40" t="s">
        <v>158</v>
      </c>
      <c r="O562" s="28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8"/>
      <c r="AD562" s="10"/>
    </row>
    <row r="563" spans="1:30" s="9" customFormat="1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/>
      <c r="N563" s="240" t="s">
        <v>160</v>
      </c>
      <c r="O563" s="28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8"/>
      <c r="AD563" s="10"/>
    </row>
    <row r="564" spans="1:30" s="9" customFormat="1" outlineLevel="1" x14ac:dyDescent="0.35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/>
      <c r="N564" s="240" t="s">
        <v>159</v>
      </c>
      <c r="O564" s="28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8"/>
      <c r="AD564" s="10"/>
    </row>
    <row r="565" spans="1:30" s="9" customFormat="1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240" t="s">
        <v>161</v>
      </c>
      <c r="O565" s="28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8"/>
      <c r="AD565" s="10"/>
    </row>
    <row r="566" spans="1:30" s="9" customFormat="1" outlineLevel="1" x14ac:dyDescent="0.35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/>
      <c r="N566" s="240" t="s">
        <v>162</v>
      </c>
      <c r="O566" s="28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8"/>
      <c r="AD566" s="10"/>
    </row>
    <row r="567" spans="1:30" s="9" customFormat="1" outlineLevel="1" x14ac:dyDescent="0.35">
      <c r="A567" s="86"/>
      <c r="C567" s="74"/>
      <c r="D567" s="74"/>
      <c r="E567" s="74"/>
      <c r="F567" s="72"/>
      <c r="G567" s="25"/>
      <c r="H567" s="25"/>
      <c r="I567" s="25"/>
      <c r="J567" s="25"/>
      <c r="K567" s="25"/>
      <c r="L567" s="25"/>
      <c r="M567" s="262"/>
      <c r="N567" s="240" t="s">
        <v>163</v>
      </c>
      <c r="O567" s="28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8"/>
      <c r="AD567" s="10"/>
    </row>
    <row r="568" spans="1:30" s="9" customFormat="1" outlineLevel="1" x14ac:dyDescent="0.35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/>
      <c r="N568" s="240" t="s">
        <v>157</v>
      </c>
      <c r="O568" s="28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8"/>
      <c r="AD568" s="10"/>
    </row>
    <row r="569" spans="1:30" s="9" customFormat="1" outlineLevel="1" x14ac:dyDescent="0.35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/>
      <c r="N569" s="240" t="s">
        <v>164</v>
      </c>
      <c r="O569" s="28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8"/>
      <c r="AD569" s="10"/>
    </row>
    <row r="570" spans="1:30" s="9" customFormat="1" outlineLevel="1" x14ac:dyDescent="0.35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/>
      <c r="N570" s="240" t="s">
        <v>165</v>
      </c>
      <c r="O570" s="28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8"/>
      <c r="AD570" s="10"/>
    </row>
    <row r="571" spans="1:30" s="9" customFormat="1" outlineLevel="1" x14ac:dyDescent="0.35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/>
      <c r="N571" s="240" t="s">
        <v>166</v>
      </c>
      <c r="O571" s="28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8"/>
      <c r="AD571" s="10"/>
    </row>
    <row r="572" spans="1:30" s="9" customFormat="1" outlineLevel="1" x14ac:dyDescent="0.35">
      <c r="A572" s="86"/>
      <c r="C572" s="74"/>
      <c r="D572" s="74"/>
      <c r="E572" s="74"/>
      <c r="F572" s="72"/>
      <c r="G572" s="25"/>
      <c r="H572" s="25"/>
      <c r="I572" s="25"/>
      <c r="J572" s="25"/>
      <c r="K572" s="25"/>
      <c r="L572" s="25"/>
      <c r="M572" s="262"/>
      <c r="N572" s="240" t="s">
        <v>167</v>
      </c>
      <c r="O572" s="28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8"/>
      <c r="AD572" s="10"/>
    </row>
    <row r="573" spans="1:30" s="9" customFormat="1" outlineLevel="1" x14ac:dyDescent="0.35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/>
      <c r="N573" s="240" t="s">
        <v>168</v>
      </c>
      <c r="O573" s="28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8"/>
      <c r="AD573" s="10"/>
    </row>
    <row r="574" spans="1:30" s="9" customFormat="1" outlineLevel="1" x14ac:dyDescent="0.35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/>
      <c r="N574" s="129"/>
      <c r="O574" s="28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8"/>
      <c r="AD574" s="10"/>
    </row>
    <row r="575" spans="1:30" s="9" customFormat="1" ht="15" customHeight="1" outlineLevel="1" x14ac:dyDescent="0.3">
      <c r="A575" s="86"/>
      <c r="C575" s="74"/>
      <c r="D575" s="74"/>
      <c r="E575" s="74"/>
      <c r="F575" s="72"/>
      <c r="G575" s="25"/>
      <c r="H575" s="25"/>
      <c r="I575" s="25"/>
      <c r="J575" s="25"/>
      <c r="K575" s="25"/>
      <c r="L575" s="25"/>
      <c r="M575" s="262"/>
      <c r="N575" s="153" t="s">
        <v>77</v>
      </c>
      <c r="O575" s="153" t="s">
        <v>144</v>
      </c>
      <c r="P575" s="25"/>
      <c r="Q575" s="171"/>
      <c r="R575" s="171"/>
      <c r="S575" s="25"/>
      <c r="T575" s="25"/>
      <c r="U575" s="25"/>
      <c r="V575" s="25"/>
      <c r="W575" s="25"/>
      <c r="X575" s="25"/>
      <c r="Y575" s="25"/>
      <c r="Z575" s="25"/>
      <c r="AA575" s="25"/>
      <c r="AB575" s="28"/>
      <c r="AC575" s="28"/>
      <c r="AD575" s="10"/>
    </row>
    <row r="576" spans="1:30" s="9" customFormat="1" ht="15" customHeight="1" outlineLevel="1" x14ac:dyDescent="0.35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/>
      <c r="N576" s="147" t="s">
        <v>65</v>
      </c>
      <c r="O576" s="152">
        <v>0.5</v>
      </c>
      <c r="P576" s="301" t="s">
        <v>140</v>
      </c>
      <c r="Q576" s="301"/>
      <c r="R576" s="301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outlineLevel="1" x14ac:dyDescent="0.35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/>
      <c r="N577" s="147" t="s">
        <v>66</v>
      </c>
      <c r="O577" s="152">
        <v>0.25</v>
      </c>
      <c r="P577" s="301"/>
      <c r="Q577" s="301"/>
      <c r="R577" s="301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outlineLevel="1" x14ac:dyDescent="0.35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/>
      <c r="N578" s="28"/>
      <c r="O578" s="28"/>
      <c r="P578" s="301"/>
      <c r="Q578" s="301"/>
      <c r="R578" s="301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5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/>
      <c r="N579" s="28"/>
      <c r="O579" s="28"/>
      <c r="P579" s="301"/>
      <c r="Q579" s="301"/>
      <c r="R579" s="301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outlineLevel="1" x14ac:dyDescent="0.3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/>
      <c r="N580" s="149" t="s">
        <v>133</v>
      </c>
      <c r="O580" s="153" t="s">
        <v>144</v>
      </c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9" customFormat="1" outlineLevel="1" x14ac:dyDescent="0.35">
      <c r="A581" s="86"/>
      <c r="C581" s="74"/>
      <c r="D581" s="74"/>
      <c r="E581" s="74"/>
      <c r="F581" s="72"/>
      <c r="G581" s="25"/>
      <c r="H581" s="25"/>
      <c r="I581" s="25"/>
      <c r="J581" s="25"/>
      <c r="K581" s="25"/>
      <c r="L581" s="25"/>
      <c r="M581" s="262"/>
      <c r="N581" s="248" t="s">
        <v>23</v>
      </c>
      <c r="O581" s="249">
        <v>0</v>
      </c>
      <c r="P581" s="301" t="s">
        <v>141</v>
      </c>
      <c r="Q581" s="301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8"/>
      <c r="AC581" s="28"/>
      <c r="AD581" s="10"/>
    </row>
    <row r="582" spans="1:30" s="9" customFormat="1" ht="15" customHeight="1" outlineLevel="1" x14ac:dyDescent="0.35">
      <c r="A582" s="86"/>
      <c r="C582" s="74"/>
      <c r="D582" s="74"/>
      <c r="E582" s="74"/>
      <c r="F582" s="72"/>
      <c r="G582" s="25"/>
      <c r="H582" s="25"/>
      <c r="I582" s="25"/>
      <c r="J582" s="25"/>
      <c r="K582" s="25"/>
      <c r="L582" s="25"/>
      <c r="M582" s="262"/>
      <c r="N582" s="248" t="s">
        <v>134</v>
      </c>
      <c r="O582" s="249">
        <v>0.25</v>
      </c>
      <c r="P582" s="301"/>
      <c r="Q582" s="301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8"/>
      <c r="AC582" s="28"/>
      <c r="AD582" s="10"/>
    </row>
    <row r="583" spans="1:30" s="9" customFormat="1" outlineLevel="1" x14ac:dyDescent="0.35">
      <c r="A583" s="86"/>
      <c r="C583" s="74"/>
      <c r="D583" s="74"/>
      <c r="E583" s="74"/>
      <c r="F583" s="72"/>
      <c r="G583" s="25"/>
      <c r="H583" s="25"/>
      <c r="I583" s="25"/>
      <c r="J583" s="25"/>
      <c r="K583" s="25"/>
      <c r="L583" s="25"/>
      <c r="M583" s="262"/>
      <c r="N583" s="248" t="s">
        <v>135</v>
      </c>
      <c r="O583" s="250">
        <v>0.1</v>
      </c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8"/>
      <c r="AC583" s="28"/>
      <c r="AD583" s="10"/>
    </row>
    <row r="584" spans="1:30" s="9" customFormat="1" outlineLevel="1" x14ac:dyDescent="0.35">
      <c r="A584" s="86"/>
      <c r="C584" s="74"/>
      <c r="D584" s="74"/>
      <c r="E584" s="74"/>
      <c r="F584" s="72"/>
      <c r="G584" s="25"/>
      <c r="H584" s="25"/>
      <c r="I584" s="25"/>
      <c r="J584" s="25"/>
      <c r="K584" s="25"/>
      <c r="L584" s="25"/>
      <c r="M584" s="262"/>
      <c r="N584" s="248" t="s">
        <v>136</v>
      </c>
      <c r="O584" s="250">
        <v>0</v>
      </c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8"/>
      <c r="AC584" s="28"/>
      <c r="AD584" s="10"/>
    </row>
    <row r="585" spans="1:30" s="9" customFormat="1" outlineLevel="1" x14ac:dyDescent="0.35">
      <c r="A585" s="86"/>
      <c r="C585" s="74"/>
      <c r="D585" s="74"/>
      <c r="E585" s="74"/>
      <c r="F585" s="72"/>
      <c r="G585" s="25"/>
      <c r="H585" s="25"/>
      <c r="I585" s="25"/>
      <c r="J585" s="25"/>
      <c r="K585" s="25"/>
      <c r="L585" s="25"/>
      <c r="M585" s="262"/>
      <c r="N585" s="248" t="s">
        <v>137</v>
      </c>
      <c r="O585" s="250">
        <v>0</v>
      </c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8"/>
      <c r="AC585" s="28"/>
      <c r="AD585" s="10"/>
    </row>
    <row r="586" spans="1:30" s="9" customFormat="1" outlineLevel="1" x14ac:dyDescent="0.35">
      <c r="A586" s="86"/>
      <c r="C586" s="74"/>
      <c r="D586" s="74"/>
      <c r="E586" s="74"/>
      <c r="F586" s="72"/>
      <c r="G586" s="25"/>
      <c r="H586" s="25"/>
      <c r="I586" s="25"/>
      <c r="J586" s="25"/>
      <c r="K586" s="25"/>
      <c r="L586" s="25"/>
      <c r="M586" s="262"/>
      <c r="N586" s="248" t="s">
        <v>138</v>
      </c>
      <c r="O586" s="250">
        <v>0</v>
      </c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8"/>
      <c r="AC586" s="28"/>
      <c r="AD586" s="10"/>
    </row>
    <row r="587" spans="1:30" s="9" customFormat="1" outlineLevel="1" x14ac:dyDescent="0.35">
      <c r="A587" s="86"/>
      <c r="C587" s="74"/>
      <c r="D587" s="74"/>
      <c r="E587" s="74"/>
      <c r="F587" s="72"/>
      <c r="G587" s="25"/>
      <c r="H587" s="25"/>
      <c r="I587" s="25"/>
      <c r="J587" s="25"/>
      <c r="K587" s="25"/>
      <c r="L587" s="25"/>
      <c r="M587" s="262"/>
      <c r="N587" s="28"/>
      <c r="O587" s="28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8"/>
      <c r="AC587" s="28"/>
      <c r="AD587" s="10"/>
    </row>
    <row r="588" spans="1:30" s="9" customFormat="1" outlineLevel="1" x14ac:dyDescent="0.3">
      <c r="A588" s="86"/>
      <c r="C588" s="74"/>
      <c r="D588" s="74"/>
      <c r="E588" s="74"/>
      <c r="F588" s="72"/>
      <c r="G588" s="25"/>
      <c r="H588" s="25"/>
      <c r="I588" s="25"/>
      <c r="J588" s="25"/>
      <c r="K588" s="25"/>
      <c r="L588" s="25"/>
      <c r="M588" s="262"/>
      <c r="N588" s="149" t="s">
        <v>142</v>
      </c>
      <c r="O588" s="153" t="s">
        <v>144</v>
      </c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8"/>
      <c r="AC588" s="28"/>
      <c r="AD588" s="10"/>
    </row>
    <row r="589" spans="1:30" s="9" customFormat="1" ht="15" customHeight="1" outlineLevel="1" x14ac:dyDescent="0.35">
      <c r="A589" s="86"/>
      <c r="C589" s="74"/>
      <c r="D589" s="74"/>
      <c r="E589" s="74"/>
      <c r="F589" s="72"/>
      <c r="G589" s="25"/>
      <c r="H589" s="25"/>
      <c r="I589" s="25"/>
      <c r="J589" s="25"/>
      <c r="K589" s="25"/>
      <c r="L589" s="25"/>
      <c r="M589" s="262"/>
      <c r="N589" s="147" t="str">
        <f>Lists!B46</f>
        <v>Low</v>
      </c>
      <c r="O589" s="152">
        <v>0.1</v>
      </c>
      <c r="P589" s="301" t="s">
        <v>143</v>
      </c>
      <c r="Q589" s="301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8"/>
      <c r="AC589" s="28"/>
      <c r="AD589" s="10"/>
    </row>
    <row r="590" spans="1:30" s="9" customFormat="1" outlineLevel="1" x14ac:dyDescent="0.35">
      <c r="A590" s="86"/>
      <c r="C590" s="74"/>
      <c r="D590" s="74"/>
      <c r="E590" s="74"/>
      <c r="F590" s="72"/>
      <c r="G590" s="25"/>
      <c r="H590" s="25"/>
      <c r="I590" s="25"/>
      <c r="J590" s="25"/>
      <c r="K590" s="25"/>
      <c r="L590" s="25"/>
      <c r="M590" s="262"/>
      <c r="N590" s="147" t="str">
        <f>Lists!B47</f>
        <v>Medium</v>
      </c>
      <c r="O590" s="152">
        <v>0.15</v>
      </c>
      <c r="P590" s="301"/>
      <c r="Q590" s="301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8"/>
      <c r="AC590" s="28"/>
      <c r="AD590" s="10"/>
    </row>
    <row r="591" spans="1:30" s="9" customFormat="1" outlineLevel="1" x14ac:dyDescent="0.35">
      <c r="A591" s="86"/>
      <c r="C591" s="74"/>
      <c r="D591" s="74"/>
      <c r="E591" s="74"/>
      <c r="F591" s="72"/>
      <c r="G591" s="25"/>
      <c r="H591" s="25"/>
      <c r="I591" s="25"/>
      <c r="J591" s="25"/>
      <c r="K591" s="25"/>
      <c r="L591" s="25"/>
      <c r="M591" s="262"/>
      <c r="N591" s="147" t="str">
        <f>Lists!B48</f>
        <v>High</v>
      </c>
      <c r="O591" s="152">
        <v>0.2</v>
      </c>
      <c r="P591" s="301"/>
      <c r="Q591" s="301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8"/>
      <c r="AC591" s="28"/>
      <c r="AD591" s="10"/>
    </row>
    <row r="592" spans="1:30" s="9" customFormat="1" outlineLevel="1" x14ac:dyDescent="0.35">
      <c r="A592" s="86"/>
      <c r="C592" s="74"/>
      <c r="D592" s="74"/>
      <c r="E592" s="74"/>
      <c r="F592" s="72"/>
      <c r="G592" s="25"/>
      <c r="H592" s="25"/>
      <c r="I592" s="25"/>
      <c r="J592" s="25"/>
      <c r="K592" s="25"/>
      <c r="L592" s="25"/>
      <c r="M592" s="262"/>
      <c r="N592" s="28"/>
      <c r="O592" s="28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8"/>
      <c r="AC592" s="28"/>
      <c r="AD592" s="10"/>
    </row>
    <row r="593" spans="1:30" s="9" customFormat="1" ht="20.25" customHeight="1" outlineLevel="1" x14ac:dyDescent="0.35">
      <c r="A593" s="86"/>
      <c r="C593" s="72"/>
      <c r="D593" s="72"/>
      <c r="E593" s="72"/>
      <c r="F593" s="72"/>
      <c r="G593" s="40"/>
      <c r="H593" s="40"/>
      <c r="I593" s="40"/>
      <c r="J593" s="40"/>
      <c r="K593" s="40"/>
      <c r="L593" s="40"/>
      <c r="M593" s="258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10"/>
    </row>
    <row r="594" spans="1:30" x14ac:dyDescent="0.35">
      <c r="F594" s="72"/>
    </row>
    <row r="658" spans="1:30" s="9" customFormat="1" ht="20.25" customHeight="1" x14ac:dyDescent="0.35">
      <c r="A658" s="86"/>
      <c r="C658" s="72"/>
      <c r="D658" s="72"/>
      <c r="E658" s="72"/>
      <c r="F658" s="72"/>
      <c r="G658" s="295" t="s">
        <v>48</v>
      </c>
      <c r="H658" s="295"/>
      <c r="I658" s="165"/>
      <c r="J658" s="40"/>
      <c r="K658" s="40"/>
      <c r="L658" s="36"/>
      <c r="M658" s="265" t="s">
        <v>125</v>
      </c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10"/>
    </row>
    <row r="659" spans="1:30" hidden="1" x14ac:dyDescent="0.35"/>
    <row r="660" spans="1:30" s="14" customFormat="1" ht="18.5" hidden="1" collapsed="1" x14ac:dyDescent="0.35">
      <c r="A660" s="86" t="s">
        <v>98</v>
      </c>
      <c r="B660" s="18"/>
      <c r="C660" s="75"/>
      <c r="D660" s="75"/>
      <c r="E660" s="75"/>
      <c r="F660" s="75"/>
      <c r="G660" s="52"/>
      <c r="H660" s="52"/>
      <c r="I660" s="52"/>
      <c r="J660" s="52"/>
      <c r="K660" s="52"/>
      <c r="L660" s="52" t="s">
        <v>105</v>
      </c>
      <c r="M660" s="261" t="s">
        <v>106</v>
      </c>
      <c r="N660" s="53"/>
      <c r="O660" s="54"/>
      <c r="P660" s="55"/>
      <c r="Q660" s="55"/>
      <c r="R660" s="55"/>
      <c r="S660" s="304">
        <f>CEILING(SUMIFS(T661:T666, J661:J666, "&lt;&gt;Yes", A661:A666,"T1"),1)</f>
        <v>0</v>
      </c>
      <c r="T660" s="304"/>
      <c r="U660" s="55"/>
      <c r="V660" s="55"/>
      <c r="W660" s="55"/>
      <c r="X660" s="55"/>
      <c r="Y660" s="55"/>
      <c r="Z660" s="55"/>
      <c r="AA660" s="55"/>
      <c r="AB660" s="55"/>
      <c r="AC660" s="55"/>
      <c r="AD660" s="23" t="str">
        <f>IF(M660="", "Section name cannot be empty.", "")</f>
        <v/>
      </c>
    </row>
    <row r="661" spans="1:30" s="9" customFormat="1" ht="1.5" hidden="1" customHeight="1" outlineLevel="1" x14ac:dyDescent="0.35">
      <c r="A661" s="86" t="s">
        <v>99</v>
      </c>
      <c r="B661" s="15"/>
      <c r="C661" s="72"/>
      <c r="D661" s="72"/>
      <c r="E661" s="72"/>
      <c r="F661" s="72"/>
      <c r="G661" s="25"/>
      <c r="H661" s="25"/>
      <c r="I661" s="25"/>
      <c r="J661" s="25"/>
      <c r="K661" s="25"/>
      <c r="L661" s="26">
        <v>0</v>
      </c>
      <c r="M661" s="262"/>
      <c r="N661" s="25"/>
      <c r="O661" s="25"/>
      <c r="P661" s="25"/>
      <c r="Q661" s="25"/>
      <c r="R661" s="25"/>
      <c r="S661" s="25"/>
      <c r="T661" s="27"/>
      <c r="U661" s="25"/>
      <c r="V661" s="25"/>
      <c r="W661" s="25"/>
      <c r="X661" s="27"/>
      <c r="Y661" s="25"/>
      <c r="Z661" s="25"/>
      <c r="AA661" s="25"/>
      <c r="AB661" s="28"/>
      <c r="AC661" s="28"/>
      <c r="AD661" s="10"/>
    </row>
    <row r="662" spans="1:30" s="14" customFormat="1" ht="15.5" hidden="1" outlineLevel="1" x14ac:dyDescent="0.35">
      <c r="A662" s="86" t="s">
        <v>100</v>
      </c>
      <c r="B662" s="18"/>
      <c r="C662" s="77"/>
      <c r="D662" s="77"/>
      <c r="E662" s="77"/>
      <c r="F662" s="76"/>
      <c r="G662" s="29"/>
      <c r="H662" s="29"/>
      <c r="I662" s="29"/>
      <c r="J662" s="29"/>
      <c r="K662" s="29"/>
      <c r="L662" s="17">
        <f ca="1">LOOKUP(1000,INDIRECT("L1:"&amp;CELL("address",INDIRECT("R[-1]C",FALSE))))+1</f>
        <v>1</v>
      </c>
      <c r="M662" s="303" t="s">
        <v>108</v>
      </c>
      <c r="N662" s="303"/>
      <c r="O662" s="5"/>
      <c r="P662" s="30"/>
      <c r="Q662" s="30"/>
      <c r="R662" s="30"/>
      <c r="S662" s="30"/>
      <c r="T662" s="155">
        <f>IF($S$6="Exclude", SUMIFS(S663:S665, J663:J665, "&lt;&gt;Yes", G663:G665, "&lt;&gt;Yes"), SUMIFS(S663:S665, J663:J665, "&lt;&gt;Yes"))</f>
        <v>0</v>
      </c>
      <c r="U662" s="30"/>
      <c r="V662" s="30"/>
      <c r="W662" s="30"/>
      <c r="X662" s="31"/>
      <c r="Y662" s="32"/>
      <c r="Z662" s="32"/>
      <c r="AA662" s="32"/>
      <c r="AB662" s="219" t="s">
        <v>439</v>
      </c>
      <c r="AC662" s="33"/>
      <c r="AD662" s="23" t="str">
        <f>IF(M662="", "Error: Task name cannot be empty.", "")</f>
        <v/>
      </c>
    </row>
    <row r="663" spans="1:30" s="12" customFormat="1" ht="1.5" hidden="1" customHeight="1" outlineLevel="2" x14ac:dyDescent="0.35">
      <c r="A663" s="86" t="s">
        <v>101</v>
      </c>
      <c r="B663" s="18"/>
      <c r="C663" s="77"/>
      <c r="D663" s="77"/>
      <c r="E663" s="77"/>
      <c r="F663" s="76"/>
      <c r="G663" s="29"/>
      <c r="H663" s="29"/>
      <c r="I663" s="29"/>
      <c r="J663" s="29"/>
      <c r="K663" s="29"/>
      <c r="L663" s="163">
        <f ca="1">L662</f>
        <v>1</v>
      </c>
      <c r="M663" s="164" t="s">
        <v>105</v>
      </c>
      <c r="N663" s="161"/>
      <c r="O663" s="162"/>
      <c r="P663" s="30"/>
      <c r="Q663" s="30"/>
      <c r="R663" s="30"/>
      <c r="S663" s="30"/>
      <c r="T663" s="155"/>
      <c r="U663" s="30"/>
      <c r="V663" s="30"/>
      <c r="W663" s="30"/>
      <c r="X663" s="31"/>
      <c r="Y663" s="32"/>
      <c r="Z663" s="32"/>
      <c r="AA663" s="32"/>
      <c r="AB663" s="33"/>
      <c r="AC663" s="33"/>
      <c r="AD663" s="23"/>
    </row>
    <row r="664" spans="1:30" ht="58" hidden="1" outlineLevel="2" x14ac:dyDescent="0.35">
      <c r="A664" s="86" t="s">
        <v>0</v>
      </c>
      <c r="B664" s="18"/>
      <c r="C664" s="78"/>
      <c r="D664" s="78"/>
      <c r="E664" s="78"/>
      <c r="F664" s="79"/>
      <c r="G664" s="19" t="s">
        <v>23</v>
      </c>
      <c r="H664" s="19" t="s">
        <v>23</v>
      </c>
      <c r="I664" s="20" t="s">
        <v>23</v>
      </c>
      <c r="J664" s="19" t="s">
        <v>23</v>
      </c>
      <c r="K664" s="35"/>
      <c r="L664" s="19"/>
      <c r="M664" s="263" t="str">
        <f ca="1">IFERROR(OFFSET(M664,-1,,1,1)+0.1,OFFSET(M664,-1,-1,1,1)&amp;".1")</f>
        <v>1.1</v>
      </c>
      <c r="N664" s="20" t="s">
        <v>438</v>
      </c>
      <c r="O664" s="20"/>
      <c r="P664" s="20"/>
      <c r="Q664" s="134"/>
      <c r="R664" s="127"/>
      <c r="S664" s="157">
        <f>CEILING((IF(J664="Yes", 0, IF(H664="-",AA664,AA664+AA664*VLOOKUP(H664,BUFFERS_BY_TYPE,2,FALSE)))) +
   (IF(J664="Yes", 0, IF(H664="-",AA664,AA664+AA664*VLOOKUP(H664,BUFFERS_BY_TYPE,2,FALSE))))*VLOOKUP($S$5, SALES_CALL_SCALE_ARRAY, 2,FALSE),0.25)</f>
        <v>0</v>
      </c>
      <c r="T664" s="158"/>
      <c r="U664" s="21">
        <v>0</v>
      </c>
      <c r="V664" s="21">
        <v>1</v>
      </c>
      <c r="W664" s="21">
        <v>0</v>
      </c>
      <c r="X664" s="156"/>
      <c r="Y664" s="157">
        <f>CEILING((IF(P664=AS_DEV_EFFORT, DEV_EFFORT*Q664%,
                           IF(P664=AS_DURATION_EFFORT, (MANUAL_DURATION*5)*Q664%,
                                    (IF(Q664&lt;=1,X664,
                                          IF(SUM(U664:W664)=0,(Q664*X664),
                                               (((Q664*U664)*(X664+(X664*EXTRA_FOR_H)))+
                                               ((Q664*V664)*X664)+
                                               ((Q664*W664)*(X664-(X664*LESS_FOR_L)))
                                    )*IF(R664=0,1,R664))))))+Z664), 0.25)</f>
        <v>0</v>
      </c>
      <c r="Z664" s="22"/>
      <c r="AA664" s="157">
        <f>Y664+Y664*VLOOKUP(I664,EXTRAS_ARRAY,2,FALSE)</f>
        <v>0</v>
      </c>
      <c r="AB664" s="20" t="s">
        <v>440</v>
      </c>
      <c r="AC664" s="34"/>
      <c r="AD664" s="23" t="str">
        <f>IF(J664&lt;&gt;"Yes",
IF(S664&lt;=0,"Error: Effort value is not defined or is invalid.",
IF(AND(SUM(U664:W664)&gt;0,SUM(U664:W664)&lt;&gt;1),"Error: Complexity % distribution should sum to 100%.",
IF(AND(P664=AS_DEV_EFFORT,X664&lt;&gt;0),"Error: PDs should not be defined when defining as dev effort %.",
IF(AND(P664=AS_DURATION_EFFORT,X664&lt;&gt;0),"Error: PDs should not be defined when defining as duration effort %.","")))))</f>
        <v>Error: Effort value is not defined or is invalid.</v>
      </c>
    </row>
    <row r="665" spans="1:30" s="9" customFormat="1" ht="7.5" hidden="1" customHeight="1" outlineLevel="2" x14ac:dyDescent="0.35">
      <c r="A665" s="86" t="s">
        <v>132</v>
      </c>
      <c r="B665" s="15"/>
      <c r="C665" s="72"/>
      <c r="D665" s="72"/>
      <c r="E665" s="72"/>
      <c r="F665" s="72"/>
      <c r="M665" s="252"/>
      <c r="T665" s="15"/>
      <c r="X665" s="15"/>
      <c r="AB665" s="10"/>
      <c r="AC665" s="10"/>
      <c r="AD665" s="10"/>
    </row>
    <row r="666" spans="1:30" s="9" customFormat="1" ht="1.5" hidden="1" customHeight="1" outlineLevel="1" x14ac:dyDescent="0.35">
      <c r="A666" s="86" t="s">
        <v>102</v>
      </c>
      <c r="C666" s="72"/>
      <c r="D666" s="72"/>
      <c r="E666" s="72"/>
      <c r="F666" s="72"/>
      <c r="G666" s="25"/>
      <c r="H666" s="25"/>
      <c r="I666" s="25"/>
      <c r="J666" s="25"/>
      <c r="K666" s="25"/>
      <c r="L666" s="56"/>
      <c r="M666" s="264"/>
      <c r="N666" s="57"/>
      <c r="O666" s="57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7"/>
      <c r="AC666" s="57"/>
      <c r="AD666" s="10"/>
    </row>
    <row r="667" spans="1:30" hidden="1" collapsed="1" x14ac:dyDescent="0.35"/>
    <row r="668" spans="1:30" s="14" customFormat="1" ht="15.5" hidden="1" outlineLevel="1" x14ac:dyDescent="0.35">
      <c r="A668" s="86" t="s">
        <v>107</v>
      </c>
      <c r="B668" s="18"/>
      <c r="C668" s="77"/>
      <c r="D668" s="77"/>
      <c r="E668" s="77"/>
      <c r="F668" s="76"/>
      <c r="G668" s="170"/>
      <c r="H668" s="170"/>
      <c r="I668" s="170"/>
      <c r="J668" s="170"/>
      <c r="K668" s="170"/>
      <c r="L668" s="85" t="s">
        <v>109</v>
      </c>
      <c r="M668" s="302" t="s">
        <v>124</v>
      </c>
      <c r="N668" s="302"/>
      <c r="O668" s="80"/>
      <c r="P668" s="81"/>
      <c r="Q668" s="81"/>
      <c r="R668" s="81"/>
      <c r="S668" s="293">
        <f>SUMGROUP(ROW(), "T")</f>
        <v>0</v>
      </c>
      <c r="T668" s="293"/>
      <c r="U668" s="294"/>
      <c r="V668" s="294"/>
      <c r="W668" s="294"/>
      <c r="X668" s="82"/>
      <c r="Y668" s="83"/>
      <c r="Z668" s="83"/>
      <c r="AA668" s="83"/>
      <c r="AB668" s="221"/>
      <c r="AC668" s="84"/>
      <c r="AD668" s="23" t="str">
        <f>IF(M668="", "Error: Module name cannot be empty.", "")</f>
        <v/>
      </c>
    </row>
    <row r="669" spans="1:30" hidden="1" x14ac:dyDescent="0.35"/>
    <row r="670" spans="1:30" s="9" customFormat="1" ht="20.25" customHeight="1" x14ac:dyDescent="0.35">
      <c r="A670" s="86"/>
      <c r="C670" s="72"/>
      <c r="D670" s="72"/>
      <c r="E670" s="72"/>
      <c r="F670" s="72"/>
      <c r="G670" s="40"/>
      <c r="H670" s="40"/>
      <c r="I670" s="40"/>
      <c r="J670" s="40"/>
      <c r="K670" s="40"/>
      <c r="L670" s="40"/>
      <c r="M670" s="258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10"/>
    </row>
  </sheetData>
  <sheetProtection algorithmName="SHA-512" hashValue="kT2LuE91pHhB39/P8AyVt7Ko442LgxPHXsoSOdNE8NqU4CkHNWVnfCQt/L4vxnf9CsmATAZmK1bQeWR7+D3/pQ==" saltValue="vRHQXMhmS5FjgEGZUYcbng==" spinCount="100000" sheet="1" objects="1" scenarios="1"/>
  <dataConsolidate/>
  <mergeCells count="134">
    <mergeCell ref="S223:T223"/>
    <mergeCell ref="U223:W223"/>
    <mergeCell ref="U196:W196"/>
    <mergeCell ref="M206:N206"/>
    <mergeCell ref="M131:N131"/>
    <mergeCell ref="M173:N173"/>
    <mergeCell ref="U256:W256"/>
    <mergeCell ref="M265:N265"/>
    <mergeCell ref="M272:N272"/>
    <mergeCell ref="M271:N271"/>
    <mergeCell ref="S271:T271"/>
    <mergeCell ref="U271:W271"/>
    <mergeCell ref="M232:N232"/>
    <mergeCell ref="M240:N240"/>
    <mergeCell ref="M248:N248"/>
    <mergeCell ref="M257:N257"/>
    <mergeCell ref="M256:N256"/>
    <mergeCell ref="M147:N147"/>
    <mergeCell ref="S373:T373"/>
    <mergeCell ref="M384:N384"/>
    <mergeCell ref="M383:N383"/>
    <mergeCell ref="S383:T383"/>
    <mergeCell ref="M312:N312"/>
    <mergeCell ref="U383:W383"/>
    <mergeCell ref="U373:W373"/>
    <mergeCell ref="U301:W301"/>
    <mergeCell ref="M96:N96"/>
    <mergeCell ref="M301:N301"/>
    <mergeCell ref="M302:N302"/>
    <mergeCell ref="M157:N157"/>
    <mergeCell ref="S156:T156"/>
    <mergeCell ref="U156:W156"/>
    <mergeCell ref="M165:N165"/>
    <mergeCell ref="M103:N103"/>
    <mergeCell ref="M102:N102"/>
    <mergeCell ref="S102:T102"/>
    <mergeCell ref="U102:W102"/>
    <mergeCell ref="M113:N113"/>
    <mergeCell ref="M123:N123"/>
    <mergeCell ref="M215:N215"/>
    <mergeCell ref="M224:N224"/>
    <mergeCell ref="M223:N223"/>
    <mergeCell ref="M26:N26"/>
    <mergeCell ref="M33:N33"/>
    <mergeCell ref="M41:N41"/>
    <mergeCell ref="M47:N47"/>
    <mergeCell ref="M56:N56"/>
    <mergeCell ref="M425:N425"/>
    <mergeCell ref="M431:N431"/>
    <mergeCell ref="M438:N438"/>
    <mergeCell ref="M402:N402"/>
    <mergeCell ref="M409:N409"/>
    <mergeCell ref="M420:N420"/>
    <mergeCell ref="M397:N397"/>
    <mergeCell ref="M390:N390"/>
    <mergeCell ref="M374:N374"/>
    <mergeCell ref="M373:N373"/>
    <mergeCell ref="M139:N139"/>
    <mergeCell ref="M156:N156"/>
    <mergeCell ref="M181:N181"/>
    <mergeCell ref="M188:N188"/>
    <mergeCell ref="M197:N197"/>
    <mergeCell ref="M196:N196"/>
    <mergeCell ref="M280:N280"/>
    <mergeCell ref="M286:N286"/>
    <mergeCell ref="M389:N389"/>
    <mergeCell ref="Y525:AA529"/>
    <mergeCell ref="U10:W10"/>
    <mergeCell ref="M457:T458"/>
    <mergeCell ref="W513:X514"/>
    <mergeCell ref="W515:X515"/>
    <mergeCell ref="W516:X516"/>
    <mergeCell ref="W517:X517"/>
    <mergeCell ref="W518:X518"/>
    <mergeCell ref="W519:X519"/>
    <mergeCell ref="W520:X520"/>
    <mergeCell ref="W521:X521"/>
    <mergeCell ref="Q521:V521"/>
    <mergeCell ref="M14:N14"/>
    <mergeCell ref="M66:N66"/>
    <mergeCell ref="W523:X524"/>
    <mergeCell ref="S11:T11"/>
    <mergeCell ref="M363:N363"/>
    <mergeCell ref="M291:N291"/>
    <mergeCell ref="M296:N296"/>
    <mergeCell ref="M20:N20"/>
    <mergeCell ref="M71:N71"/>
    <mergeCell ref="M75:N75"/>
    <mergeCell ref="M82:N82"/>
    <mergeCell ref="S64:T64"/>
    <mergeCell ref="C2:F9"/>
    <mergeCell ref="C10:F10"/>
    <mergeCell ref="G9:J9"/>
    <mergeCell ref="G455:H455"/>
    <mergeCell ref="C11:F11"/>
    <mergeCell ref="C12:E12"/>
    <mergeCell ref="G3:J3"/>
    <mergeCell ref="J5:K5"/>
    <mergeCell ref="AB5:AB6"/>
    <mergeCell ref="P10:R10"/>
    <mergeCell ref="S12:T12"/>
    <mergeCell ref="S94:T94"/>
    <mergeCell ref="S381:T381"/>
    <mergeCell ref="S418:T418"/>
    <mergeCell ref="S301:T301"/>
    <mergeCell ref="S196:T196"/>
    <mergeCell ref="S256:T256"/>
    <mergeCell ref="M448:N448"/>
    <mergeCell ref="S446:T446"/>
    <mergeCell ref="S453:T453"/>
    <mergeCell ref="M322:N322"/>
    <mergeCell ref="M335:N335"/>
    <mergeCell ref="M346:N346"/>
    <mergeCell ref="M355:N355"/>
    <mergeCell ref="S389:T389"/>
    <mergeCell ref="U389:W389"/>
    <mergeCell ref="G510:H510"/>
    <mergeCell ref="U668:W668"/>
    <mergeCell ref="Q523:V523"/>
    <mergeCell ref="P513:P514"/>
    <mergeCell ref="G538:H538"/>
    <mergeCell ref="G658:H658"/>
    <mergeCell ref="Q512:V512"/>
    <mergeCell ref="O513:O514"/>
    <mergeCell ref="N550:N552"/>
    <mergeCell ref="P576:R579"/>
    <mergeCell ref="P581:Q582"/>
    <mergeCell ref="P589:Q591"/>
    <mergeCell ref="M668:N668"/>
    <mergeCell ref="M662:N662"/>
    <mergeCell ref="S660:T660"/>
    <mergeCell ref="S668:T668"/>
    <mergeCell ref="T532:U532"/>
    <mergeCell ref="T531:U531"/>
  </mergeCells>
  <conditionalFormatting sqref="B515">
    <cfRule type="cellIs" dxfId="2782" priority="12624" operator="equal">
      <formula>"."</formula>
    </cfRule>
  </conditionalFormatting>
  <conditionalFormatting sqref="C512:E512 C531:E534">
    <cfRule type="expression" dxfId="2781" priority="12504">
      <formula>$H512&lt;&gt;""</formula>
    </cfRule>
  </conditionalFormatting>
  <conditionalFormatting sqref="C513:E521">
    <cfRule type="expression" dxfId="2780" priority="12502">
      <formula>$H513&lt;&gt;""</formula>
    </cfRule>
  </conditionalFormatting>
  <conditionalFormatting sqref="B513">
    <cfRule type="cellIs" dxfId="2779" priority="12498" operator="equal">
      <formula>"."</formula>
    </cfRule>
  </conditionalFormatting>
  <conditionalFormatting sqref="B664">
    <cfRule type="expression" dxfId="2778" priority="12393">
      <formula>AD664&lt;&gt;""</formula>
    </cfRule>
  </conditionalFormatting>
  <conditionalFormatting sqref="Z664">
    <cfRule type="cellIs" dxfId="2777" priority="12391" operator="greaterThan">
      <formula>0</formula>
    </cfRule>
    <cfRule type="cellIs" dxfId="2776" priority="12392" operator="lessThan">
      <formula>0</formula>
    </cfRule>
  </conditionalFormatting>
  <conditionalFormatting sqref="S664">
    <cfRule type="cellIs" dxfId="2775" priority="12390" operator="lessThan">
      <formula>0</formula>
    </cfRule>
  </conditionalFormatting>
  <conditionalFormatting sqref="T662:T663">
    <cfRule type="expression" dxfId="2774" priority="12394">
      <formula>#REF!="Yes"</formula>
    </cfRule>
  </conditionalFormatting>
  <conditionalFormatting sqref="P664">
    <cfRule type="cellIs" dxfId="2773" priority="12387" operator="equal">
      <formula>AS_DURATION_EFFORT</formula>
    </cfRule>
    <cfRule type="cellIs" dxfId="2772" priority="12388" operator="equal">
      <formula>AS_DEV_EFFORT</formula>
    </cfRule>
  </conditionalFormatting>
  <conditionalFormatting sqref="S668">
    <cfRule type="expression" dxfId="2771" priority="12203">
      <formula>#REF!="Yes"</formula>
    </cfRule>
  </conditionalFormatting>
  <conditionalFormatting sqref="B660">
    <cfRule type="expression" dxfId="2770" priority="12195">
      <formula>AD660&lt;&gt;""</formula>
    </cfRule>
  </conditionalFormatting>
  <conditionalFormatting sqref="B662:B663">
    <cfRule type="expression" dxfId="2769" priority="12194">
      <formula>AD662&lt;&gt;""</formula>
    </cfRule>
  </conditionalFormatting>
  <conditionalFormatting sqref="B668">
    <cfRule type="expression" dxfId="2768" priority="12193">
      <formula>AD668&lt;&gt;""</formula>
    </cfRule>
  </conditionalFormatting>
  <conditionalFormatting sqref="L16:AC17 L23:AC24 L28:M28 L35:M35 L43:M43 L49:M49 L58:M58 O28:AC28 O35:AC35 P43:AC43 O49:AC49 P58:AC58 L73:AC73 L68:AC69 L77:AC80 L84:AC91 L60:M61 P60:AC61 N58:O61 L98:AC100 L159:AC163 L167:AC171 L183:AC186 L175:AC179 L190:AC194 L199:AC204 L208:AC213 L217:AC221 L226:AC230 L234:AC238 L242:AC246 L250:AC254 L259:AC263 L267:AC269 L282:AC284 L288:AC289 L274:AC278 L293:AC294 L298:AC299 L304:AC310 L314:AC320 L324:AC333 L337:AC344 L348:AC353 L357:AC361 L365:AC371 L376:AC378 L386:AC387 L392:AC395 L399:AC400 L404:AC407 L440:AC443 L450:AC450 L422:AC423 L427:AC429 L435:AC436 L664:AC664 L411:AC415">
    <cfRule type="expression" dxfId="2767" priority="14482">
      <formula>AND($G16="Yes", $S$6="Exclude")</formula>
    </cfRule>
    <cfRule type="expression" dxfId="2766" priority="14483">
      <formula>$J16="Yes"</formula>
    </cfRule>
  </conditionalFormatting>
  <conditionalFormatting sqref="T5">
    <cfRule type="expression" dxfId="2765" priority="11776">
      <formula>OR($S$5="Reduce by:", $S$5="Increase by:")</formula>
    </cfRule>
  </conditionalFormatting>
  <conditionalFormatting sqref="F664">
    <cfRule type="expression" dxfId="2764" priority="9026">
      <formula>$K664&lt;&gt;""</formula>
    </cfRule>
  </conditionalFormatting>
  <conditionalFormatting sqref="C664">
    <cfRule type="expression" dxfId="2763" priority="8982">
      <formula>$G664&lt;&gt;"-"</formula>
    </cfRule>
  </conditionalFormatting>
  <conditionalFormatting sqref="D664">
    <cfRule type="expression" dxfId="2762" priority="8980">
      <formula>$H664&lt;&gt;"-"</formula>
    </cfRule>
  </conditionalFormatting>
  <conditionalFormatting sqref="E664">
    <cfRule type="expression" dxfId="2761" priority="8979">
      <formula>$I664&lt;&gt;"-"</formula>
    </cfRule>
  </conditionalFormatting>
  <conditionalFormatting sqref="B516">
    <cfRule type="cellIs" dxfId="2760" priority="5423" operator="equal">
      <formula>"."</formula>
    </cfRule>
  </conditionalFormatting>
  <conditionalFormatting sqref="B517">
    <cfRule type="cellIs" dxfId="2759" priority="5422" operator="equal">
      <formula>"."</formula>
    </cfRule>
  </conditionalFormatting>
  <conditionalFormatting sqref="B518">
    <cfRule type="cellIs" dxfId="2758" priority="5421" operator="equal">
      <formula>"."</formula>
    </cfRule>
  </conditionalFormatting>
  <conditionalFormatting sqref="B519">
    <cfRule type="cellIs" dxfId="2757" priority="5420" operator="equal">
      <formula>"."</formula>
    </cfRule>
  </conditionalFormatting>
  <conditionalFormatting sqref="B520">
    <cfRule type="cellIs" dxfId="2756" priority="5419" operator="equal">
      <formula>"."</formula>
    </cfRule>
  </conditionalFormatting>
  <conditionalFormatting sqref="B16">
    <cfRule type="expression" dxfId="2755" priority="5415">
      <formula>AD16&lt;&gt;""</formula>
    </cfRule>
  </conditionalFormatting>
  <conditionalFormatting sqref="Z16">
    <cfRule type="cellIs" dxfId="2754" priority="5413" operator="greaterThan">
      <formula>0</formula>
    </cfRule>
    <cfRule type="cellIs" dxfId="2753" priority="5414" operator="lessThan">
      <formula>0</formula>
    </cfRule>
  </conditionalFormatting>
  <conditionalFormatting sqref="S16">
    <cfRule type="cellIs" dxfId="2752" priority="5412" operator="lessThan">
      <formula>0</formula>
    </cfRule>
  </conditionalFormatting>
  <conditionalFormatting sqref="T14:T15">
    <cfRule type="expression" dxfId="2751" priority="5416">
      <formula>#REF!="Yes"</formula>
    </cfRule>
  </conditionalFormatting>
  <conditionalFormatting sqref="P16">
    <cfRule type="cellIs" dxfId="2750" priority="5410" operator="equal">
      <formula>AS_DURATION_EFFORT</formula>
    </cfRule>
    <cfRule type="cellIs" dxfId="2749" priority="5411" operator="equal">
      <formula>AS_DEV_EFFORT</formula>
    </cfRule>
  </conditionalFormatting>
  <conditionalFormatting sqref="B14:B15">
    <cfRule type="expression" dxfId="2748" priority="5409">
      <formula>AD14&lt;&gt;""</formula>
    </cfRule>
  </conditionalFormatting>
  <conditionalFormatting sqref="F16">
    <cfRule type="expression" dxfId="2747" priority="5408">
      <formula>$K16&lt;&gt;""</formula>
    </cfRule>
  </conditionalFormatting>
  <conditionalFormatting sqref="C16">
    <cfRule type="expression" dxfId="2746" priority="5407">
      <formula>$G16&lt;&gt;"-"</formula>
    </cfRule>
  </conditionalFormatting>
  <conditionalFormatting sqref="D16">
    <cfRule type="expression" dxfId="2745" priority="5406">
      <formula>$H16&lt;&gt;"-"</formula>
    </cfRule>
  </conditionalFormatting>
  <conditionalFormatting sqref="E16">
    <cfRule type="expression" dxfId="2744" priority="5405">
      <formula>$I16&lt;&gt;"-"</formula>
    </cfRule>
  </conditionalFormatting>
  <conditionalFormatting sqref="B17">
    <cfRule type="expression" dxfId="2743" priority="5402">
      <formula>AD17&lt;&gt;""</formula>
    </cfRule>
  </conditionalFormatting>
  <conditionalFormatting sqref="Z17">
    <cfRule type="cellIs" dxfId="2742" priority="5400" operator="greaterThan">
      <formula>0</formula>
    </cfRule>
    <cfRule type="cellIs" dxfId="2741" priority="5401" operator="lessThan">
      <formula>0</formula>
    </cfRule>
  </conditionalFormatting>
  <conditionalFormatting sqref="S17">
    <cfRule type="cellIs" dxfId="2740" priority="5399" operator="lessThan">
      <formula>0</formula>
    </cfRule>
  </conditionalFormatting>
  <conditionalFormatting sqref="P17">
    <cfRule type="cellIs" dxfId="2739" priority="5397" operator="equal">
      <formula>AS_DURATION_EFFORT</formula>
    </cfRule>
    <cfRule type="cellIs" dxfId="2738" priority="5398" operator="equal">
      <formula>AS_DEV_EFFORT</formula>
    </cfRule>
  </conditionalFormatting>
  <conditionalFormatting sqref="F17">
    <cfRule type="expression" dxfId="2737" priority="5396">
      <formula>$K17&lt;&gt;""</formula>
    </cfRule>
  </conditionalFormatting>
  <conditionalFormatting sqref="C17">
    <cfRule type="expression" dxfId="2736" priority="5395">
      <formula>$G17&lt;&gt;"-"</formula>
    </cfRule>
  </conditionalFormatting>
  <conditionalFormatting sqref="D17">
    <cfRule type="expression" dxfId="2735" priority="5394">
      <formula>$H17&lt;&gt;"-"</formula>
    </cfRule>
  </conditionalFormatting>
  <conditionalFormatting sqref="E17">
    <cfRule type="expression" dxfId="2734" priority="5393">
      <formula>$I17&lt;&gt;"-"</formula>
    </cfRule>
  </conditionalFormatting>
  <conditionalFormatting sqref="B68">
    <cfRule type="expression" dxfId="2733" priority="5389">
      <formula>AD68&lt;&gt;""</formula>
    </cfRule>
  </conditionalFormatting>
  <conditionalFormatting sqref="Z68">
    <cfRule type="cellIs" dxfId="2732" priority="5387" operator="greaterThan">
      <formula>0</formula>
    </cfRule>
    <cfRule type="cellIs" dxfId="2731" priority="5388" operator="lessThan">
      <formula>0</formula>
    </cfRule>
  </conditionalFormatting>
  <conditionalFormatting sqref="S68">
    <cfRule type="cellIs" dxfId="2730" priority="5386" operator="lessThan">
      <formula>0</formula>
    </cfRule>
  </conditionalFormatting>
  <conditionalFormatting sqref="T66:T67">
    <cfRule type="expression" dxfId="2729" priority="5390">
      <formula>#REF!="Yes"</formula>
    </cfRule>
  </conditionalFormatting>
  <conditionalFormatting sqref="P68">
    <cfRule type="cellIs" dxfId="2728" priority="5384" operator="equal">
      <formula>AS_DURATION_EFFORT</formula>
    </cfRule>
    <cfRule type="cellIs" dxfId="2727" priority="5385" operator="equal">
      <formula>AS_DEV_EFFORT</formula>
    </cfRule>
  </conditionalFormatting>
  <conditionalFormatting sqref="B66:B67">
    <cfRule type="expression" dxfId="2726" priority="5383">
      <formula>AD66&lt;&gt;""</formula>
    </cfRule>
  </conditionalFormatting>
  <conditionalFormatting sqref="F68">
    <cfRule type="expression" dxfId="2725" priority="5382">
      <formula>$K68&lt;&gt;""</formula>
    </cfRule>
  </conditionalFormatting>
  <conditionalFormatting sqref="C68">
    <cfRule type="expression" dxfId="2724" priority="5381">
      <formula>$G68&lt;&gt;"-"</formula>
    </cfRule>
  </conditionalFormatting>
  <conditionalFormatting sqref="D68">
    <cfRule type="expression" dxfId="2723" priority="5380">
      <formula>$H68&lt;&gt;"-"</formula>
    </cfRule>
  </conditionalFormatting>
  <conditionalFormatting sqref="E68">
    <cfRule type="expression" dxfId="2722" priority="5379">
      <formula>$I68&lt;&gt;"-"</formula>
    </cfRule>
  </conditionalFormatting>
  <conditionalFormatting sqref="B98">
    <cfRule type="expression" dxfId="2721" priority="5319">
      <formula>AD98&lt;&gt;""</formula>
    </cfRule>
  </conditionalFormatting>
  <conditionalFormatting sqref="Z98">
    <cfRule type="cellIs" dxfId="2720" priority="5317" operator="greaterThan">
      <formula>0</formula>
    </cfRule>
    <cfRule type="cellIs" dxfId="2719" priority="5318" operator="lessThan">
      <formula>0</formula>
    </cfRule>
  </conditionalFormatting>
  <conditionalFormatting sqref="S98">
    <cfRule type="cellIs" dxfId="2718" priority="5316" operator="lessThan">
      <formula>0</formula>
    </cfRule>
  </conditionalFormatting>
  <conditionalFormatting sqref="T96:T97">
    <cfRule type="expression" dxfId="2717" priority="5320">
      <formula>#REF!="Yes"</formula>
    </cfRule>
  </conditionalFormatting>
  <conditionalFormatting sqref="P98">
    <cfRule type="cellIs" dxfId="2716" priority="5314" operator="equal">
      <formula>AS_DURATION_EFFORT</formula>
    </cfRule>
    <cfRule type="cellIs" dxfId="2715" priority="5315" operator="equal">
      <formula>AS_DEV_EFFORT</formula>
    </cfRule>
  </conditionalFormatting>
  <conditionalFormatting sqref="B96:B97">
    <cfRule type="expression" dxfId="2714" priority="5313">
      <formula>AD96&lt;&gt;""</formula>
    </cfRule>
  </conditionalFormatting>
  <conditionalFormatting sqref="F98">
    <cfRule type="expression" dxfId="2713" priority="5312">
      <formula>$K98&lt;&gt;""</formula>
    </cfRule>
  </conditionalFormatting>
  <conditionalFormatting sqref="C98">
    <cfRule type="expression" dxfId="2712" priority="5311">
      <formula>$G98&lt;&gt;"-"</formula>
    </cfRule>
  </conditionalFormatting>
  <conditionalFormatting sqref="D98">
    <cfRule type="expression" dxfId="2711" priority="5310">
      <formula>$H98&lt;&gt;"-"</formula>
    </cfRule>
  </conditionalFormatting>
  <conditionalFormatting sqref="E98">
    <cfRule type="expression" dxfId="2710" priority="5309">
      <formula>$I98&lt;&gt;"-"</formula>
    </cfRule>
  </conditionalFormatting>
  <conditionalFormatting sqref="B23">
    <cfRule type="expression" dxfId="2709" priority="5257">
      <formula>AD23&lt;&gt;""</formula>
    </cfRule>
  </conditionalFormatting>
  <conditionalFormatting sqref="Z23">
    <cfRule type="cellIs" dxfId="2708" priority="5255" operator="greaterThan">
      <formula>0</formula>
    </cfRule>
    <cfRule type="cellIs" dxfId="2707" priority="5256" operator="lessThan">
      <formula>0</formula>
    </cfRule>
  </conditionalFormatting>
  <conditionalFormatting sqref="S23">
    <cfRule type="cellIs" dxfId="2706" priority="5254" operator="lessThan">
      <formula>0</formula>
    </cfRule>
  </conditionalFormatting>
  <conditionalFormatting sqref="T20:T21">
    <cfRule type="expression" dxfId="2705" priority="5258">
      <formula>#REF!="Yes"</formula>
    </cfRule>
  </conditionalFormatting>
  <conditionalFormatting sqref="P23">
    <cfRule type="cellIs" dxfId="2704" priority="5252" operator="equal">
      <formula>AS_DURATION_EFFORT</formula>
    </cfRule>
    <cfRule type="cellIs" dxfId="2703" priority="5253" operator="equal">
      <formula>AS_DEV_EFFORT</formula>
    </cfRule>
  </conditionalFormatting>
  <conditionalFormatting sqref="B20:B21">
    <cfRule type="expression" dxfId="2702" priority="5251">
      <formula>AD20&lt;&gt;""</formula>
    </cfRule>
  </conditionalFormatting>
  <conditionalFormatting sqref="F23">
    <cfRule type="expression" dxfId="2701" priority="5250">
      <formula>$K23&lt;&gt;""</formula>
    </cfRule>
  </conditionalFormatting>
  <conditionalFormatting sqref="C23">
    <cfRule type="expression" dxfId="2700" priority="5249">
      <formula>$G23&lt;&gt;"-"</formula>
    </cfRule>
  </conditionalFormatting>
  <conditionalFormatting sqref="D23">
    <cfRule type="expression" dxfId="2699" priority="5248">
      <formula>$H23&lt;&gt;"-"</formula>
    </cfRule>
  </conditionalFormatting>
  <conditionalFormatting sqref="E23">
    <cfRule type="expression" dxfId="2698" priority="5247">
      <formula>$I23&lt;&gt;"-"</formula>
    </cfRule>
  </conditionalFormatting>
  <conditionalFormatting sqref="B24">
    <cfRule type="expression" dxfId="2697" priority="5244">
      <formula>AD24&lt;&gt;""</formula>
    </cfRule>
  </conditionalFormatting>
  <conditionalFormatting sqref="Z24">
    <cfRule type="cellIs" dxfId="2696" priority="5242" operator="greaterThan">
      <formula>0</formula>
    </cfRule>
    <cfRule type="cellIs" dxfId="2695" priority="5243" operator="lessThan">
      <formula>0</formula>
    </cfRule>
  </conditionalFormatting>
  <conditionalFormatting sqref="S24">
    <cfRule type="cellIs" dxfId="2694" priority="5241" operator="lessThan">
      <formula>0</formula>
    </cfRule>
  </conditionalFormatting>
  <conditionalFormatting sqref="P24">
    <cfRule type="cellIs" dxfId="2693" priority="5239" operator="equal">
      <formula>AS_DURATION_EFFORT</formula>
    </cfRule>
    <cfRule type="cellIs" dxfId="2692" priority="5240" operator="equal">
      <formula>AS_DEV_EFFORT</formula>
    </cfRule>
  </conditionalFormatting>
  <conditionalFormatting sqref="F24">
    <cfRule type="expression" dxfId="2691" priority="5238">
      <formula>$K24&lt;&gt;""</formula>
    </cfRule>
  </conditionalFormatting>
  <conditionalFormatting sqref="C24">
    <cfRule type="expression" dxfId="2690" priority="5237">
      <formula>$G24&lt;&gt;"-"</formula>
    </cfRule>
  </conditionalFormatting>
  <conditionalFormatting sqref="D24">
    <cfRule type="expression" dxfId="2689" priority="5236">
      <formula>$H24&lt;&gt;"-"</formula>
    </cfRule>
  </conditionalFormatting>
  <conditionalFormatting sqref="E24">
    <cfRule type="expression" dxfId="2688" priority="5235">
      <formula>$I24&lt;&gt;"-"</formula>
    </cfRule>
  </conditionalFormatting>
  <conditionalFormatting sqref="B73">
    <cfRule type="expression" dxfId="2687" priority="5181">
      <formula>AD73&lt;&gt;""</formula>
    </cfRule>
  </conditionalFormatting>
  <conditionalFormatting sqref="Z73">
    <cfRule type="cellIs" dxfId="2686" priority="5179" operator="greaterThan">
      <formula>0</formula>
    </cfRule>
    <cfRule type="cellIs" dxfId="2685" priority="5180" operator="lessThan">
      <formula>0</formula>
    </cfRule>
  </conditionalFormatting>
  <conditionalFormatting sqref="S73">
    <cfRule type="cellIs" dxfId="2684" priority="5178" operator="lessThan">
      <formula>0</formula>
    </cfRule>
  </conditionalFormatting>
  <conditionalFormatting sqref="T71:T72">
    <cfRule type="expression" dxfId="2683" priority="5182">
      <formula>#REF!="Yes"</formula>
    </cfRule>
  </conditionalFormatting>
  <conditionalFormatting sqref="P73">
    <cfRule type="cellIs" dxfId="2682" priority="5176" operator="equal">
      <formula>AS_DURATION_EFFORT</formula>
    </cfRule>
    <cfRule type="cellIs" dxfId="2681" priority="5177" operator="equal">
      <formula>AS_DEV_EFFORT</formula>
    </cfRule>
  </conditionalFormatting>
  <conditionalFormatting sqref="B71:B72">
    <cfRule type="expression" dxfId="2680" priority="5175">
      <formula>AD71&lt;&gt;""</formula>
    </cfRule>
  </conditionalFormatting>
  <conditionalFormatting sqref="F73">
    <cfRule type="expression" dxfId="2679" priority="5174">
      <formula>$K73&lt;&gt;""</formula>
    </cfRule>
  </conditionalFormatting>
  <conditionalFormatting sqref="C73">
    <cfRule type="expression" dxfId="2678" priority="5173">
      <formula>$G73&lt;&gt;"-"</formula>
    </cfRule>
  </conditionalFormatting>
  <conditionalFormatting sqref="D73">
    <cfRule type="expression" dxfId="2677" priority="5172">
      <formula>$H73&lt;&gt;"-"</formula>
    </cfRule>
  </conditionalFormatting>
  <conditionalFormatting sqref="E73">
    <cfRule type="expression" dxfId="2676" priority="5171">
      <formula>$I73&lt;&gt;"-"</formula>
    </cfRule>
  </conditionalFormatting>
  <conditionalFormatting sqref="B77">
    <cfRule type="expression" dxfId="2675" priority="5167">
      <formula>AD77&lt;&gt;""</formula>
    </cfRule>
  </conditionalFormatting>
  <conditionalFormatting sqref="Z77">
    <cfRule type="cellIs" dxfId="2674" priority="5165" operator="greaterThan">
      <formula>0</formula>
    </cfRule>
    <cfRule type="cellIs" dxfId="2673" priority="5166" operator="lessThan">
      <formula>0</formula>
    </cfRule>
  </conditionalFormatting>
  <conditionalFormatting sqref="S77">
    <cfRule type="cellIs" dxfId="2672" priority="5164" operator="lessThan">
      <formula>0</formula>
    </cfRule>
  </conditionalFormatting>
  <conditionalFormatting sqref="T75:T76">
    <cfRule type="expression" dxfId="2671" priority="5168">
      <formula>#REF!="Yes"</formula>
    </cfRule>
  </conditionalFormatting>
  <conditionalFormatting sqref="P77">
    <cfRule type="cellIs" dxfId="2670" priority="5162" operator="equal">
      <formula>AS_DURATION_EFFORT</formula>
    </cfRule>
    <cfRule type="cellIs" dxfId="2669" priority="5163" operator="equal">
      <formula>AS_DEV_EFFORT</formula>
    </cfRule>
  </conditionalFormatting>
  <conditionalFormatting sqref="B75:B76">
    <cfRule type="expression" dxfId="2668" priority="5161">
      <formula>AD75&lt;&gt;""</formula>
    </cfRule>
  </conditionalFormatting>
  <conditionalFormatting sqref="F77">
    <cfRule type="expression" dxfId="2667" priority="5160">
      <formula>$K77&lt;&gt;""</formula>
    </cfRule>
  </conditionalFormatting>
  <conditionalFormatting sqref="C77">
    <cfRule type="expression" dxfId="2666" priority="5159">
      <formula>$G77&lt;&gt;"-"</formula>
    </cfRule>
  </conditionalFormatting>
  <conditionalFormatting sqref="D77">
    <cfRule type="expression" dxfId="2665" priority="5158">
      <formula>$H77&lt;&gt;"-"</formula>
    </cfRule>
  </conditionalFormatting>
  <conditionalFormatting sqref="E77">
    <cfRule type="expression" dxfId="2664" priority="5157">
      <formula>$I77&lt;&gt;"-"</formula>
    </cfRule>
  </conditionalFormatting>
  <conditionalFormatting sqref="B84">
    <cfRule type="expression" dxfId="2663" priority="5153">
      <formula>AD84&lt;&gt;""</formula>
    </cfRule>
  </conditionalFormatting>
  <conditionalFormatting sqref="Z84">
    <cfRule type="cellIs" dxfId="2662" priority="5151" operator="greaterThan">
      <formula>0</formula>
    </cfRule>
    <cfRule type="cellIs" dxfId="2661" priority="5152" operator="lessThan">
      <formula>0</formula>
    </cfRule>
  </conditionalFormatting>
  <conditionalFormatting sqref="S84">
    <cfRule type="cellIs" dxfId="2660" priority="5150" operator="lessThan">
      <formula>0</formula>
    </cfRule>
  </conditionalFormatting>
  <conditionalFormatting sqref="T82:T83">
    <cfRule type="expression" dxfId="2659" priority="5154">
      <formula>#REF!="Yes"</formula>
    </cfRule>
  </conditionalFormatting>
  <conditionalFormatting sqref="P84">
    <cfRule type="cellIs" dxfId="2658" priority="5148" operator="equal">
      <formula>AS_DURATION_EFFORT</formula>
    </cfRule>
    <cfRule type="cellIs" dxfId="2657" priority="5149" operator="equal">
      <formula>AS_DEV_EFFORT</formula>
    </cfRule>
  </conditionalFormatting>
  <conditionalFormatting sqref="B82:B83">
    <cfRule type="expression" dxfId="2656" priority="5147">
      <formula>AD82&lt;&gt;""</formula>
    </cfRule>
  </conditionalFormatting>
  <conditionalFormatting sqref="F84">
    <cfRule type="expression" dxfId="2655" priority="5146">
      <formula>$K84&lt;&gt;""</formula>
    </cfRule>
  </conditionalFormatting>
  <conditionalFormatting sqref="C84">
    <cfRule type="expression" dxfId="2654" priority="5145">
      <formula>$G84&lt;&gt;"-"</formula>
    </cfRule>
  </conditionalFormatting>
  <conditionalFormatting sqref="D84">
    <cfRule type="expression" dxfId="2653" priority="5144">
      <formula>$H84&lt;&gt;"-"</formula>
    </cfRule>
  </conditionalFormatting>
  <conditionalFormatting sqref="E84">
    <cfRule type="expression" dxfId="2652" priority="5143">
      <formula>$I84&lt;&gt;"-"</formula>
    </cfRule>
  </conditionalFormatting>
  <conditionalFormatting sqref="B69">
    <cfRule type="expression" dxfId="2651" priority="5112">
      <formula>AD69&lt;&gt;""</formula>
    </cfRule>
  </conditionalFormatting>
  <conditionalFormatting sqref="Z69">
    <cfRule type="cellIs" dxfId="2650" priority="5110" operator="greaterThan">
      <formula>0</formula>
    </cfRule>
    <cfRule type="cellIs" dxfId="2649" priority="5111" operator="lessThan">
      <formula>0</formula>
    </cfRule>
  </conditionalFormatting>
  <conditionalFormatting sqref="S69">
    <cfRule type="cellIs" dxfId="2648" priority="5109" operator="lessThan">
      <formula>0</formula>
    </cfRule>
  </conditionalFormatting>
  <conditionalFormatting sqref="P69">
    <cfRule type="cellIs" dxfId="2647" priority="5107" operator="equal">
      <formula>AS_DURATION_EFFORT</formula>
    </cfRule>
    <cfRule type="cellIs" dxfId="2646" priority="5108" operator="equal">
      <formula>AS_DEV_EFFORT</formula>
    </cfRule>
  </conditionalFormatting>
  <conditionalFormatting sqref="F69">
    <cfRule type="expression" dxfId="2645" priority="5106">
      <formula>$K69&lt;&gt;""</formula>
    </cfRule>
  </conditionalFormatting>
  <conditionalFormatting sqref="C69">
    <cfRule type="expression" dxfId="2644" priority="5105">
      <formula>$G69&lt;&gt;"-"</formula>
    </cfRule>
  </conditionalFormatting>
  <conditionalFormatting sqref="D69">
    <cfRule type="expression" dxfId="2643" priority="5104">
      <formula>$H69&lt;&gt;"-"</formula>
    </cfRule>
  </conditionalFormatting>
  <conditionalFormatting sqref="E69">
    <cfRule type="expression" dxfId="2642" priority="5103">
      <formula>$I69&lt;&gt;"-"</formula>
    </cfRule>
  </conditionalFormatting>
  <conditionalFormatting sqref="B78">
    <cfRule type="expression" dxfId="2641" priority="5100">
      <formula>AD78&lt;&gt;""</formula>
    </cfRule>
  </conditionalFormatting>
  <conditionalFormatting sqref="Z78">
    <cfRule type="cellIs" dxfId="2640" priority="5098" operator="greaterThan">
      <formula>0</formula>
    </cfRule>
    <cfRule type="cellIs" dxfId="2639" priority="5099" operator="lessThan">
      <formula>0</formula>
    </cfRule>
  </conditionalFormatting>
  <conditionalFormatting sqref="S78">
    <cfRule type="cellIs" dxfId="2638" priority="5097" operator="lessThan">
      <formula>0</formula>
    </cfRule>
  </conditionalFormatting>
  <conditionalFormatting sqref="P78">
    <cfRule type="cellIs" dxfId="2637" priority="5095" operator="equal">
      <formula>AS_DURATION_EFFORT</formula>
    </cfRule>
    <cfRule type="cellIs" dxfId="2636" priority="5096" operator="equal">
      <formula>AS_DEV_EFFORT</formula>
    </cfRule>
  </conditionalFormatting>
  <conditionalFormatting sqref="F78">
    <cfRule type="expression" dxfId="2635" priority="5094">
      <formula>$K78&lt;&gt;""</formula>
    </cfRule>
  </conditionalFormatting>
  <conditionalFormatting sqref="C78">
    <cfRule type="expression" dxfId="2634" priority="5093">
      <formula>$G78&lt;&gt;"-"</formula>
    </cfRule>
  </conditionalFormatting>
  <conditionalFormatting sqref="D78">
    <cfRule type="expression" dxfId="2633" priority="5092">
      <formula>$H78&lt;&gt;"-"</formula>
    </cfRule>
  </conditionalFormatting>
  <conditionalFormatting sqref="E78">
    <cfRule type="expression" dxfId="2632" priority="5091">
      <formula>$I78&lt;&gt;"-"</formula>
    </cfRule>
  </conditionalFormatting>
  <conditionalFormatting sqref="B79">
    <cfRule type="expression" dxfId="2631" priority="5088">
      <formula>AD79&lt;&gt;""</formula>
    </cfRule>
  </conditionalFormatting>
  <conditionalFormatting sqref="Z79">
    <cfRule type="cellIs" dxfId="2630" priority="5086" operator="greaterThan">
      <formula>0</formula>
    </cfRule>
    <cfRule type="cellIs" dxfId="2629" priority="5087" operator="lessThan">
      <formula>0</formula>
    </cfRule>
  </conditionalFormatting>
  <conditionalFormatting sqref="S79">
    <cfRule type="cellIs" dxfId="2628" priority="5085" operator="lessThan">
      <formula>0</formula>
    </cfRule>
  </conditionalFormatting>
  <conditionalFormatting sqref="P79">
    <cfRule type="cellIs" dxfId="2627" priority="5083" operator="equal">
      <formula>AS_DURATION_EFFORT</formula>
    </cfRule>
    <cfRule type="cellIs" dxfId="2626" priority="5084" operator="equal">
      <formula>AS_DEV_EFFORT</formula>
    </cfRule>
  </conditionalFormatting>
  <conditionalFormatting sqref="F79">
    <cfRule type="expression" dxfId="2625" priority="5082">
      <formula>$K79&lt;&gt;""</formula>
    </cfRule>
  </conditionalFormatting>
  <conditionalFormatting sqref="C79">
    <cfRule type="expression" dxfId="2624" priority="5081">
      <formula>$G79&lt;&gt;"-"</formula>
    </cfRule>
  </conditionalFormatting>
  <conditionalFormatting sqref="D79">
    <cfRule type="expression" dxfId="2623" priority="5080">
      <formula>$H79&lt;&gt;"-"</formula>
    </cfRule>
  </conditionalFormatting>
  <conditionalFormatting sqref="E79">
    <cfRule type="expression" dxfId="2622" priority="5079">
      <formula>$I79&lt;&gt;"-"</formula>
    </cfRule>
  </conditionalFormatting>
  <conditionalFormatting sqref="B80">
    <cfRule type="expression" dxfId="2621" priority="5076">
      <formula>AD80&lt;&gt;""</formula>
    </cfRule>
  </conditionalFormatting>
  <conditionalFormatting sqref="Z80">
    <cfRule type="cellIs" dxfId="2620" priority="5074" operator="greaterThan">
      <formula>0</formula>
    </cfRule>
    <cfRule type="cellIs" dxfId="2619" priority="5075" operator="lessThan">
      <formula>0</formula>
    </cfRule>
  </conditionalFormatting>
  <conditionalFormatting sqref="S80">
    <cfRule type="cellIs" dxfId="2618" priority="5073" operator="lessThan">
      <formula>0</formula>
    </cfRule>
  </conditionalFormatting>
  <conditionalFormatting sqref="P80">
    <cfRule type="cellIs" dxfId="2617" priority="5071" operator="equal">
      <formula>AS_DURATION_EFFORT</formula>
    </cfRule>
    <cfRule type="cellIs" dxfId="2616" priority="5072" operator="equal">
      <formula>AS_DEV_EFFORT</formula>
    </cfRule>
  </conditionalFormatting>
  <conditionalFormatting sqref="F80">
    <cfRule type="expression" dxfId="2615" priority="5070">
      <formula>$K80&lt;&gt;""</formula>
    </cfRule>
  </conditionalFormatting>
  <conditionalFormatting sqref="C80">
    <cfRule type="expression" dxfId="2614" priority="5069">
      <formula>$G80&lt;&gt;"-"</formula>
    </cfRule>
  </conditionalFormatting>
  <conditionalFormatting sqref="D80">
    <cfRule type="expression" dxfId="2613" priority="5068">
      <formula>$H80&lt;&gt;"-"</formula>
    </cfRule>
  </conditionalFormatting>
  <conditionalFormatting sqref="E80">
    <cfRule type="expression" dxfId="2612" priority="5067">
      <formula>$I80&lt;&gt;"-"</formula>
    </cfRule>
  </conditionalFormatting>
  <conditionalFormatting sqref="B91">
    <cfRule type="expression" dxfId="2611" priority="5028">
      <formula>AD91&lt;&gt;""</formula>
    </cfRule>
  </conditionalFormatting>
  <conditionalFormatting sqref="Z91">
    <cfRule type="cellIs" dxfId="2610" priority="5026" operator="greaterThan">
      <formula>0</formula>
    </cfRule>
    <cfRule type="cellIs" dxfId="2609" priority="5027" operator="lessThan">
      <formula>0</formula>
    </cfRule>
  </conditionalFormatting>
  <conditionalFormatting sqref="S91">
    <cfRule type="cellIs" dxfId="2608" priority="5025" operator="lessThan">
      <formula>0</formula>
    </cfRule>
  </conditionalFormatting>
  <conditionalFormatting sqref="P91">
    <cfRule type="cellIs" dxfId="2607" priority="5023" operator="equal">
      <formula>AS_DURATION_EFFORT</formula>
    </cfRule>
    <cfRule type="cellIs" dxfId="2606" priority="5024" operator="equal">
      <formula>AS_DEV_EFFORT</formula>
    </cfRule>
  </conditionalFormatting>
  <conditionalFormatting sqref="F91">
    <cfRule type="expression" dxfId="2605" priority="5022">
      <formula>$K91&lt;&gt;""</formula>
    </cfRule>
  </conditionalFormatting>
  <conditionalFormatting sqref="C91">
    <cfRule type="expression" dxfId="2604" priority="5021">
      <formula>$G91&lt;&gt;"-"</formula>
    </cfRule>
  </conditionalFormatting>
  <conditionalFormatting sqref="D91">
    <cfRule type="expression" dxfId="2603" priority="5020">
      <formula>$H91&lt;&gt;"-"</formula>
    </cfRule>
  </conditionalFormatting>
  <conditionalFormatting sqref="E91">
    <cfRule type="expression" dxfId="2602" priority="5019">
      <formula>$I91&lt;&gt;"-"</formula>
    </cfRule>
  </conditionalFormatting>
  <conditionalFormatting sqref="B90">
    <cfRule type="expression" dxfId="2601" priority="5016">
      <formula>AD90&lt;&gt;""</formula>
    </cfRule>
  </conditionalFormatting>
  <conditionalFormatting sqref="Z90">
    <cfRule type="cellIs" dxfId="2600" priority="5014" operator="greaterThan">
      <formula>0</formula>
    </cfRule>
    <cfRule type="cellIs" dxfId="2599" priority="5015" operator="lessThan">
      <formula>0</formula>
    </cfRule>
  </conditionalFormatting>
  <conditionalFormatting sqref="S90">
    <cfRule type="cellIs" dxfId="2598" priority="5013" operator="lessThan">
      <formula>0</formula>
    </cfRule>
  </conditionalFormatting>
  <conditionalFormatting sqref="P90">
    <cfRule type="cellIs" dxfId="2597" priority="5011" operator="equal">
      <formula>AS_DURATION_EFFORT</formula>
    </cfRule>
    <cfRule type="cellIs" dxfId="2596" priority="5012" operator="equal">
      <formula>AS_DEV_EFFORT</formula>
    </cfRule>
  </conditionalFormatting>
  <conditionalFormatting sqref="F90">
    <cfRule type="expression" dxfId="2595" priority="5010">
      <formula>$K90&lt;&gt;""</formula>
    </cfRule>
  </conditionalFormatting>
  <conditionalFormatting sqref="C90">
    <cfRule type="expression" dxfId="2594" priority="5009">
      <formula>$G90&lt;&gt;"-"</formula>
    </cfRule>
  </conditionalFormatting>
  <conditionalFormatting sqref="D90">
    <cfRule type="expression" dxfId="2593" priority="5008">
      <formula>$H90&lt;&gt;"-"</formula>
    </cfRule>
  </conditionalFormatting>
  <conditionalFormatting sqref="E90">
    <cfRule type="expression" dxfId="2592" priority="5007">
      <formula>$I90&lt;&gt;"-"</formula>
    </cfRule>
  </conditionalFormatting>
  <conditionalFormatting sqref="B89">
    <cfRule type="expression" dxfId="2591" priority="5004">
      <formula>AD89&lt;&gt;""</formula>
    </cfRule>
  </conditionalFormatting>
  <conditionalFormatting sqref="Z89">
    <cfRule type="cellIs" dxfId="2590" priority="5002" operator="greaterThan">
      <formula>0</formula>
    </cfRule>
    <cfRule type="cellIs" dxfId="2589" priority="5003" operator="lessThan">
      <formula>0</formula>
    </cfRule>
  </conditionalFormatting>
  <conditionalFormatting sqref="S89">
    <cfRule type="cellIs" dxfId="2588" priority="5001" operator="lessThan">
      <formula>0</formula>
    </cfRule>
  </conditionalFormatting>
  <conditionalFormatting sqref="P89">
    <cfRule type="cellIs" dxfId="2587" priority="4999" operator="equal">
      <formula>AS_DURATION_EFFORT</formula>
    </cfRule>
    <cfRule type="cellIs" dxfId="2586" priority="5000" operator="equal">
      <formula>AS_DEV_EFFORT</formula>
    </cfRule>
  </conditionalFormatting>
  <conditionalFormatting sqref="F89">
    <cfRule type="expression" dxfId="2585" priority="4998">
      <formula>$K89&lt;&gt;""</formula>
    </cfRule>
  </conditionalFormatting>
  <conditionalFormatting sqref="C89">
    <cfRule type="expression" dxfId="2584" priority="4997">
      <formula>$G89&lt;&gt;"-"</formula>
    </cfRule>
  </conditionalFormatting>
  <conditionalFormatting sqref="D89">
    <cfRule type="expression" dxfId="2583" priority="4996">
      <formula>$H89&lt;&gt;"-"</formula>
    </cfRule>
  </conditionalFormatting>
  <conditionalFormatting sqref="E89">
    <cfRule type="expression" dxfId="2582" priority="4995">
      <formula>$I89&lt;&gt;"-"</formula>
    </cfRule>
  </conditionalFormatting>
  <conditionalFormatting sqref="B88">
    <cfRule type="expression" dxfId="2581" priority="4992">
      <formula>AD88&lt;&gt;""</formula>
    </cfRule>
  </conditionalFormatting>
  <conditionalFormatting sqref="Z88">
    <cfRule type="cellIs" dxfId="2580" priority="4990" operator="greaterThan">
      <formula>0</formula>
    </cfRule>
    <cfRule type="cellIs" dxfId="2579" priority="4991" operator="lessThan">
      <formula>0</formula>
    </cfRule>
  </conditionalFormatting>
  <conditionalFormatting sqref="S88">
    <cfRule type="cellIs" dxfId="2578" priority="4989" operator="lessThan">
      <formula>0</formula>
    </cfRule>
  </conditionalFormatting>
  <conditionalFormatting sqref="P88">
    <cfRule type="cellIs" dxfId="2577" priority="4987" operator="equal">
      <formula>AS_DURATION_EFFORT</formula>
    </cfRule>
    <cfRule type="cellIs" dxfId="2576" priority="4988" operator="equal">
      <formula>AS_DEV_EFFORT</formula>
    </cfRule>
  </conditionalFormatting>
  <conditionalFormatting sqref="F88">
    <cfRule type="expression" dxfId="2575" priority="4986">
      <formula>$K88&lt;&gt;""</formula>
    </cfRule>
  </conditionalFormatting>
  <conditionalFormatting sqref="C88">
    <cfRule type="expression" dxfId="2574" priority="4985">
      <formula>$G88&lt;&gt;"-"</formula>
    </cfRule>
  </conditionalFormatting>
  <conditionalFormatting sqref="D88">
    <cfRule type="expression" dxfId="2573" priority="4984">
      <formula>$H88&lt;&gt;"-"</formula>
    </cfRule>
  </conditionalFormatting>
  <conditionalFormatting sqref="E88">
    <cfRule type="expression" dxfId="2572" priority="4983">
      <formula>$I88&lt;&gt;"-"</formula>
    </cfRule>
  </conditionalFormatting>
  <conditionalFormatting sqref="B87">
    <cfRule type="expression" dxfId="2571" priority="4980">
      <formula>AD87&lt;&gt;""</formula>
    </cfRule>
  </conditionalFormatting>
  <conditionalFormatting sqref="Z87">
    <cfRule type="cellIs" dxfId="2570" priority="4978" operator="greaterThan">
      <formula>0</formula>
    </cfRule>
    <cfRule type="cellIs" dxfId="2569" priority="4979" operator="lessThan">
      <formula>0</formula>
    </cfRule>
  </conditionalFormatting>
  <conditionalFormatting sqref="S87">
    <cfRule type="cellIs" dxfId="2568" priority="4977" operator="lessThan">
      <formula>0</formula>
    </cfRule>
  </conditionalFormatting>
  <conditionalFormatting sqref="P87">
    <cfRule type="cellIs" dxfId="2567" priority="4975" operator="equal">
      <formula>AS_DURATION_EFFORT</formula>
    </cfRule>
    <cfRule type="cellIs" dxfId="2566" priority="4976" operator="equal">
      <formula>AS_DEV_EFFORT</formula>
    </cfRule>
  </conditionalFormatting>
  <conditionalFormatting sqref="F87">
    <cfRule type="expression" dxfId="2565" priority="4974">
      <formula>$K87&lt;&gt;""</formula>
    </cfRule>
  </conditionalFormatting>
  <conditionalFormatting sqref="C87">
    <cfRule type="expression" dxfId="2564" priority="4973">
      <formula>$G87&lt;&gt;"-"</formula>
    </cfRule>
  </conditionalFormatting>
  <conditionalFormatting sqref="D87">
    <cfRule type="expression" dxfId="2563" priority="4972">
      <formula>$H87&lt;&gt;"-"</formula>
    </cfRule>
  </conditionalFormatting>
  <conditionalFormatting sqref="E87">
    <cfRule type="expression" dxfId="2562" priority="4971">
      <formula>$I87&lt;&gt;"-"</formula>
    </cfRule>
  </conditionalFormatting>
  <conditionalFormatting sqref="B86">
    <cfRule type="expression" dxfId="2561" priority="4968">
      <formula>AD86&lt;&gt;""</formula>
    </cfRule>
  </conditionalFormatting>
  <conditionalFormatting sqref="Z86">
    <cfRule type="cellIs" dxfId="2560" priority="4966" operator="greaterThan">
      <formula>0</formula>
    </cfRule>
    <cfRule type="cellIs" dxfId="2559" priority="4967" operator="lessThan">
      <formula>0</formula>
    </cfRule>
  </conditionalFormatting>
  <conditionalFormatting sqref="S86">
    <cfRule type="cellIs" dxfId="2558" priority="4965" operator="lessThan">
      <formula>0</formula>
    </cfRule>
  </conditionalFormatting>
  <conditionalFormatting sqref="P86">
    <cfRule type="cellIs" dxfId="2557" priority="4963" operator="equal">
      <formula>AS_DURATION_EFFORT</formula>
    </cfRule>
    <cfRule type="cellIs" dxfId="2556" priority="4964" operator="equal">
      <formula>AS_DEV_EFFORT</formula>
    </cfRule>
  </conditionalFormatting>
  <conditionalFormatting sqref="F86">
    <cfRule type="expression" dxfId="2555" priority="4962">
      <formula>$K86&lt;&gt;""</formula>
    </cfRule>
  </conditionalFormatting>
  <conditionalFormatting sqref="C86">
    <cfRule type="expression" dxfId="2554" priority="4961">
      <formula>$G86&lt;&gt;"-"</formula>
    </cfRule>
  </conditionalFormatting>
  <conditionalFormatting sqref="D86">
    <cfRule type="expression" dxfId="2553" priority="4960">
      <formula>$H86&lt;&gt;"-"</formula>
    </cfRule>
  </conditionalFormatting>
  <conditionalFormatting sqref="E86">
    <cfRule type="expression" dxfId="2552" priority="4959">
      <formula>$I86&lt;&gt;"-"</formula>
    </cfRule>
  </conditionalFormatting>
  <conditionalFormatting sqref="B85">
    <cfRule type="expression" dxfId="2551" priority="4956">
      <formula>AD85&lt;&gt;""</formula>
    </cfRule>
  </conditionalFormatting>
  <conditionalFormatting sqref="Z85">
    <cfRule type="cellIs" dxfId="2550" priority="4954" operator="greaterThan">
      <formula>0</formula>
    </cfRule>
    <cfRule type="cellIs" dxfId="2549" priority="4955" operator="lessThan">
      <formula>0</formula>
    </cfRule>
  </conditionalFormatting>
  <conditionalFormatting sqref="S85">
    <cfRule type="cellIs" dxfId="2548" priority="4953" operator="lessThan">
      <formula>0</formula>
    </cfRule>
  </conditionalFormatting>
  <conditionalFormatting sqref="P85">
    <cfRule type="cellIs" dxfId="2547" priority="4951" operator="equal">
      <formula>AS_DURATION_EFFORT</formula>
    </cfRule>
    <cfRule type="cellIs" dxfId="2546" priority="4952" operator="equal">
      <formula>AS_DEV_EFFORT</formula>
    </cfRule>
  </conditionalFormatting>
  <conditionalFormatting sqref="F85">
    <cfRule type="expression" dxfId="2545" priority="4950">
      <formula>$K85&lt;&gt;""</formula>
    </cfRule>
  </conditionalFormatting>
  <conditionalFormatting sqref="C85">
    <cfRule type="expression" dxfId="2544" priority="4949">
      <formula>$G85&lt;&gt;"-"</formula>
    </cfRule>
  </conditionalFormatting>
  <conditionalFormatting sqref="D85">
    <cfRule type="expression" dxfId="2543" priority="4948">
      <formula>$H85&lt;&gt;"-"</formula>
    </cfRule>
  </conditionalFormatting>
  <conditionalFormatting sqref="E85">
    <cfRule type="expression" dxfId="2542" priority="4947">
      <formula>$I85&lt;&gt;"-"</formula>
    </cfRule>
  </conditionalFormatting>
  <conditionalFormatting sqref="B100">
    <cfRule type="expression" dxfId="2541" priority="4896">
      <formula>AD100&lt;&gt;""</formula>
    </cfRule>
  </conditionalFormatting>
  <conditionalFormatting sqref="Z100">
    <cfRule type="cellIs" dxfId="2540" priority="4894" operator="greaterThan">
      <formula>0</formula>
    </cfRule>
    <cfRule type="cellIs" dxfId="2539" priority="4895" operator="lessThan">
      <formula>0</formula>
    </cfRule>
  </conditionalFormatting>
  <conditionalFormatting sqref="S100">
    <cfRule type="cellIs" dxfId="2538" priority="4893" operator="lessThan">
      <formula>0</formula>
    </cfRule>
  </conditionalFormatting>
  <conditionalFormatting sqref="P100">
    <cfRule type="cellIs" dxfId="2537" priority="4891" operator="equal">
      <formula>AS_DURATION_EFFORT</formula>
    </cfRule>
    <cfRule type="cellIs" dxfId="2536" priority="4892" operator="equal">
      <formula>AS_DEV_EFFORT</formula>
    </cfRule>
  </conditionalFormatting>
  <conditionalFormatting sqref="F100">
    <cfRule type="expression" dxfId="2535" priority="4890">
      <formula>$K100&lt;&gt;""</formula>
    </cfRule>
  </conditionalFormatting>
  <conditionalFormatting sqref="C100">
    <cfRule type="expression" dxfId="2534" priority="4889">
      <formula>$G100&lt;&gt;"-"</formula>
    </cfRule>
  </conditionalFormatting>
  <conditionalFormatting sqref="D100">
    <cfRule type="expression" dxfId="2533" priority="4888">
      <formula>$H100&lt;&gt;"-"</formula>
    </cfRule>
  </conditionalFormatting>
  <conditionalFormatting sqref="E100">
    <cfRule type="expression" dxfId="2532" priority="4887">
      <formula>$I100&lt;&gt;"-"</formula>
    </cfRule>
  </conditionalFormatting>
  <conditionalFormatting sqref="B99">
    <cfRule type="expression" dxfId="2531" priority="4884">
      <formula>AD99&lt;&gt;""</formula>
    </cfRule>
  </conditionalFormatting>
  <conditionalFormatting sqref="Z99">
    <cfRule type="cellIs" dxfId="2530" priority="4882" operator="greaterThan">
      <formula>0</formula>
    </cfRule>
    <cfRule type="cellIs" dxfId="2529" priority="4883" operator="lessThan">
      <formula>0</formula>
    </cfRule>
  </conditionalFormatting>
  <conditionalFormatting sqref="S99">
    <cfRule type="cellIs" dxfId="2528" priority="4881" operator="lessThan">
      <formula>0</formula>
    </cfRule>
  </conditionalFormatting>
  <conditionalFormatting sqref="P99">
    <cfRule type="cellIs" dxfId="2527" priority="4879" operator="equal">
      <formula>AS_DURATION_EFFORT</formula>
    </cfRule>
    <cfRule type="cellIs" dxfId="2526" priority="4880" operator="equal">
      <formula>AS_DEV_EFFORT</formula>
    </cfRule>
  </conditionalFormatting>
  <conditionalFormatting sqref="F99">
    <cfRule type="expression" dxfId="2525" priority="4878">
      <formula>$K99&lt;&gt;""</formula>
    </cfRule>
  </conditionalFormatting>
  <conditionalFormatting sqref="C99">
    <cfRule type="expression" dxfId="2524" priority="4877">
      <formula>$G99&lt;&gt;"-"</formula>
    </cfRule>
  </conditionalFormatting>
  <conditionalFormatting sqref="D99">
    <cfRule type="expression" dxfId="2523" priority="4876">
      <formula>$H99&lt;&gt;"-"</formula>
    </cfRule>
  </conditionalFormatting>
  <conditionalFormatting sqref="E99">
    <cfRule type="expression" dxfId="2522" priority="4875">
      <formula>$I99&lt;&gt;"-"</formula>
    </cfRule>
  </conditionalFormatting>
  <conditionalFormatting sqref="B399">
    <cfRule type="expression" dxfId="2521" priority="4779">
      <formula>AD399&lt;&gt;""</formula>
    </cfRule>
  </conditionalFormatting>
  <conditionalFormatting sqref="Z399">
    <cfRule type="cellIs" dxfId="2520" priority="4777" operator="greaterThan">
      <formula>0</formula>
    </cfRule>
    <cfRule type="cellIs" dxfId="2519" priority="4778" operator="lessThan">
      <formula>0</formula>
    </cfRule>
  </conditionalFormatting>
  <conditionalFormatting sqref="S399">
    <cfRule type="cellIs" dxfId="2518" priority="4776" operator="lessThan">
      <formula>0</formula>
    </cfRule>
  </conditionalFormatting>
  <conditionalFormatting sqref="T397:T398">
    <cfRule type="expression" dxfId="2517" priority="4780">
      <formula>#REF!="Yes"</formula>
    </cfRule>
  </conditionalFormatting>
  <conditionalFormatting sqref="P399">
    <cfRule type="cellIs" dxfId="2516" priority="4774" operator="equal">
      <formula>AS_DURATION_EFFORT</formula>
    </cfRule>
    <cfRule type="cellIs" dxfId="2515" priority="4775" operator="equal">
      <formula>AS_DEV_EFFORT</formula>
    </cfRule>
  </conditionalFormatting>
  <conditionalFormatting sqref="B397:B398">
    <cfRule type="expression" dxfId="2514" priority="4773">
      <formula>AD397&lt;&gt;""</formula>
    </cfRule>
  </conditionalFormatting>
  <conditionalFormatting sqref="F399">
    <cfRule type="expression" dxfId="2513" priority="4772">
      <formula>$K399&lt;&gt;""</formula>
    </cfRule>
  </conditionalFormatting>
  <conditionalFormatting sqref="C399">
    <cfRule type="expression" dxfId="2512" priority="4771">
      <formula>$G399&lt;&gt;"-"</formula>
    </cfRule>
  </conditionalFormatting>
  <conditionalFormatting sqref="D399">
    <cfRule type="expression" dxfId="2511" priority="4770">
      <formula>$H399&lt;&gt;"-"</formula>
    </cfRule>
  </conditionalFormatting>
  <conditionalFormatting sqref="E399">
    <cfRule type="expression" dxfId="2510" priority="4769">
      <formula>$I399&lt;&gt;"-"</formula>
    </cfRule>
  </conditionalFormatting>
  <conditionalFormatting sqref="B400">
    <cfRule type="expression" dxfId="2509" priority="4766">
      <formula>AD400&lt;&gt;""</formula>
    </cfRule>
  </conditionalFormatting>
  <conditionalFormatting sqref="Z400">
    <cfRule type="cellIs" dxfId="2508" priority="4764" operator="greaterThan">
      <formula>0</formula>
    </cfRule>
    <cfRule type="cellIs" dxfId="2507" priority="4765" operator="lessThan">
      <formula>0</formula>
    </cfRule>
  </conditionalFormatting>
  <conditionalFormatting sqref="S400">
    <cfRule type="cellIs" dxfId="2506" priority="4763" operator="lessThan">
      <formula>0</formula>
    </cfRule>
  </conditionalFormatting>
  <conditionalFormatting sqref="F400">
    <cfRule type="expression" dxfId="2505" priority="4760">
      <formula>$K400&lt;&gt;""</formula>
    </cfRule>
  </conditionalFormatting>
  <conditionalFormatting sqref="C400">
    <cfRule type="expression" dxfId="2504" priority="4759">
      <formula>$G400&lt;&gt;"-"</formula>
    </cfRule>
  </conditionalFormatting>
  <conditionalFormatting sqref="D400">
    <cfRule type="expression" dxfId="2503" priority="4758">
      <formula>$H400&lt;&gt;"-"</formula>
    </cfRule>
  </conditionalFormatting>
  <conditionalFormatting sqref="E400">
    <cfRule type="expression" dxfId="2502" priority="4757">
      <formula>$I400&lt;&gt;"-"</formula>
    </cfRule>
  </conditionalFormatting>
  <conditionalFormatting sqref="B404">
    <cfRule type="expression" dxfId="2501" priority="4753">
      <formula>AD404&lt;&gt;""</formula>
    </cfRule>
  </conditionalFormatting>
  <conditionalFormatting sqref="Z404">
    <cfRule type="cellIs" dxfId="2500" priority="4751" operator="greaterThan">
      <formula>0</formula>
    </cfRule>
    <cfRule type="cellIs" dxfId="2499" priority="4752" operator="lessThan">
      <formula>0</formula>
    </cfRule>
  </conditionalFormatting>
  <conditionalFormatting sqref="S404">
    <cfRule type="cellIs" dxfId="2498" priority="4750" operator="lessThan">
      <formula>0</formula>
    </cfRule>
  </conditionalFormatting>
  <conditionalFormatting sqref="T402:T403">
    <cfRule type="expression" dxfId="2497" priority="4754">
      <formula>#REF!="Yes"</formula>
    </cfRule>
  </conditionalFormatting>
  <conditionalFormatting sqref="B402:B403">
    <cfRule type="expression" dxfId="2496" priority="4747">
      <formula>AD402&lt;&gt;""</formula>
    </cfRule>
  </conditionalFormatting>
  <conditionalFormatting sqref="F404">
    <cfRule type="expression" dxfId="2495" priority="4746">
      <formula>$K404&lt;&gt;""</formula>
    </cfRule>
  </conditionalFormatting>
  <conditionalFormatting sqref="C404">
    <cfRule type="expression" dxfId="2494" priority="4745">
      <formula>$G404&lt;&gt;"-"</formula>
    </cfRule>
  </conditionalFormatting>
  <conditionalFormatting sqref="D404">
    <cfRule type="expression" dxfId="2493" priority="4744">
      <formula>$H404&lt;&gt;"-"</formula>
    </cfRule>
  </conditionalFormatting>
  <conditionalFormatting sqref="E404">
    <cfRule type="expression" dxfId="2492" priority="4743">
      <formula>$I404&lt;&gt;"-"</formula>
    </cfRule>
  </conditionalFormatting>
  <conditionalFormatting sqref="B405">
    <cfRule type="expression" dxfId="2491" priority="4740">
      <formula>AD405&lt;&gt;""</formula>
    </cfRule>
  </conditionalFormatting>
  <conditionalFormatting sqref="Z405">
    <cfRule type="cellIs" dxfId="2490" priority="4738" operator="greaterThan">
      <formula>0</formula>
    </cfRule>
    <cfRule type="cellIs" dxfId="2489" priority="4739" operator="lessThan">
      <formula>0</formula>
    </cfRule>
  </conditionalFormatting>
  <conditionalFormatting sqref="S405">
    <cfRule type="cellIs" dxfId="2488" priority="4737" operator="lessThan">
      <formula>0</formula>
    </cfRule>
  </conditionalFormatting>
  <conditionalFormatting sqref="P406">
    <cfRule type="cellIs" dxfId="2487" priority="4701" operator="equal">
      <formula>AS_DURATION_EFFORT</formula>
    </cfRule>
    <cfRule type="cellIs" dxfId="2486" priority="4702" operator="equal">
      <formula>AS_DEV_EFFORT</formula>
    </cfRule>
  </conditionalFormatting>
  <conditionalFormatting sqref="F405">
    <cfRule type="expression" dxfId="2485" priority="4734">
      <formula>$K405&lt;&gt;""</formula>
    </cfRule>
  </conditionalFormatting>
  <conditionalFormatting sqref="C405">
    <cfRule type="expression" dxfId="2484" priority="4733">
      <formula>$G405&lt;&gt;"-"</formula>
    </cfRule>
  </conditionalFormatting>
  <conditionalFormatting sqref="D405">
    <cfRule type="expression" dxfId="2483" priority="4732">
      <formula>$H405&lt;&gt;"-"</formula>
    </cfRule>
  </conditionalFormatting>
  <conditionalFormatting sqref="E405">
    <cfRule type="expression" dxfId="2482" priority="4731">
      <formula>$I405&lt;&gt;"-"</formula>
    </cfRule>
  </conditionalFormatting>
  <conditionalFormatting sqref="B407">
    <cfRule type="expression" dxfId="2481" priority="4728">
      <formula>AD407&lt;&gt;""</formula>
    </cfRule>
  </conditionalFormatting>
  <conditionalFormatting sqref="Z407">
    <cfRule type="cellIs" dxfId="2480" priority="4726" operator="greaterThan">
      <formula>0</formula>
    </cfRule>
    <cfRule type="cellIs" dxfId="2479" priority="4727" operator="lessThan">
      <formula>0</formula>
    </cfRule>
  </conditionalFormatting>
  <conditionalFormatting sqref="S407">
    <cfRule type="cellIs" dxfId="2478" priority="4725" operator="lessThan">
      <formula>0</formula>
    </cfRule>
  </conditionalFormatting>
  <conditionalFormatting sqref="P407">
    <cfRule type="cellIs" dxfId="2477" priority="4723" operator="equal">
      <formula>AS_DURATION_EFFORT</formula>
    </cfRule>
    <cfRule type="cellIs" dxfId="2476" priority="4724" operator="equal">
      <formula>AS_DEV_EFFORT</formula>
    </cfRule>
  </conditionalFormatting>
  <conditionalFormatting sqref="F407">
    <cfRule type="expression" dxfId="2475" priority="4722">
      <formula>$K407&lt;&gt;""</formula>
    </cfRule>
  </conditionalFormatting>
  <conditionalFormatting sqref="C407">
    <cfRule type="expression" dxfId="2474" priority="4721">
      <formula>$G407&lt;&gt;"-"</formula>
    </cfRule>
  </conditionalFormatting>
  <conditionalFormatting sqref="D407">
    <cfRule type="expression" dxfId="2473" priority="4720">
      <formula>$H407&lt;&gt;"-"</formula>
    </cfRule>
  </conditionalFormatting>
  <conditionalFormatting sqref="E407">
    <cfRule type="expression" dxfId="2472" priority="4719">
      <formula>$I407&lt;&gt;"-"</formula>
    </cfRule>
  </conditionalFormatting>
  <conditionalFormatting sqref="B406">
    <cfRule type="expression" dxfId="2471" priority="4716">
      <formula>AD406&lt;&gt;""</formula>
    </cfRule>
  </conditionalFormatting>
  <conditionalFormatting sqref="Z406">
    <cfRule type="cellIs" dxfId="2470" priority="4714" operator="greaterThan">
      <formula>0</formula>
    </cfRule>
    <cfRule type="cellIs" dxfId="2469" priority="4715" operator="lessThan">
      <formula>0</formula>
    </cfRule>
  </conditionalFormatting>
  <conditionalFormatting sqref="S406">
    <cfRule type="cellIs" dxfId="2468" priority="4713" operator="lessThan">
      <formula>0</formula>
    </cfRule>
  </conditionalFormatting>
  <conditionalFormatting sqref="P404">
    <cfRule type="cellIs" dxfId="2467" priority="4703" operator="equal">
      <formula>AS_DURATION_EFFORT</formula>
    </cfRule>
    <cfRule type="cellIs" dxfId="2466" priority="4704" operator="equal">
      <formula>AS_DEV_EFFORT</formula>
    </cfRule>
  </conditionalFormatting>
  <conditionalFormatting sqref="F406">
    <cfRule type="expression" dxfId="2465" priority="4710">
      <formula>$K406&lt;&gt;""</formula>
    </cfRule>
  </conditionalFormatting>
  <conditionalFormatting sqref="C406">
    <cfRule type="expression" dxfId="2464" priority="4709">
      <formula>$G406&lt;&gt;"-"</formula>
    </cfRule>
  </conditionalFormatting>
  <conditionalFormatting sqref="D406">
    <cfRule type="expression" dxfId="2463" priority="4708">
      <formula>$H406&lt;&gt;"-"</formula>
    </cfRule>
  </conditionalFormatting>
  <conditionalFormatting sqref="E406">
    <cfRule type="expression" dxfId="2462" priority="4707">
      <formula>$I406&lt;&gt;"-"</formula>
    </cfRule>
  </conditionalFormatting>
  <conditionalFormatting sqref="P412">
    <cfRule type="cellIs" dxfId="2461" priority="4677" operator="equal">
      <formula>AS_DURATION_EFFORT</formula>
    </cfRule>
    <cfRule type="cellIs" dxfId="2460" priority="4678" operator="equal">
      <formula>AS_DEV_EFFORT</formula>
    </cfRule>
  </conditionalFormatting>
  <conditionalFormatting sqref="P405:P406">
    <cfRule type="cellIs" dxfId="2459" priority="4699" operator="equal">
      <formula>AS_DURATION_EFFORT</formula>
    </cfRule>
    <cfRule type="cellIs" dxfId="2458" priority="4700" operator="equal">
      <formula>AS_DEV_EFFORT</formula>
    </cfRule>
  </conditionalFormatting>
  <conditionalFormatting sqref="T409:T410">
    <cfRule type="expression" dxfId="2457" priority="4696">
      <formula>#REF!="Yes"</formula>
    </cfRule>
  </conditionalFormatting>
  <conditionalFormatting sqref="B409:B410">
    <cfRule type="expression" dxfId="2456" priority="4689">
      <formula>AD409&lt;&gt;""</formula>
    </cfRule>
  </conditionalFormatting>
  <conditionalFormatting sqref="B412">
    <cfRule type="expression" dxfId="2455" priority="4682">
      <formula>AD412&lt;&gt;""</formula>
    </cfRule>
  </conditionalFormatting>
  <conditionalFormatting sqref="Z412">
    <cfRule type="cellIs" dxfId="2454" priority="4680" operator="greaterThan">
      <formula>0</formula>
    </cfRule>
    <cfRule type="cellIs" dxfId="2453" priority="4681" operator="lessThan">
      <formula>0</formula>
    </cfRule>
  </conditionalFormatting>
  <conditionalFormatting sqref="S412">
    <cfRule type="cellIs" dxfId="2452" priority="4679" operator="lessThan">
      <formula>0</formula>
    </cfRule>
  </conditionalFormatting>
  <conditionalFormatting sqref="P411">
    <cfRule type="cellIs" dxfId="2451" priority="4665" operator="equal">
      <formula>AS_DURATION_EFFORT</formula>
    </cfRule>
    <cfRule type="cellIs" dxfId="2450" priority="4666" operator="equal">
      <formula>AS_DEV_EFFORT</formula>
    </cfRule>
  </conditionalFormatting>
  <conditionalFormatting sqref="F412">
    <cfRule type="expression" dxfId="2449" priority="4676">
      <formula>$K412&lt;&gt;""</formula>
    </cfRule>
  </conditionalFormatting>
  <conditionalFormatting sqref="C412">
    <cfRule type="expression" dxfId="2448" priority="4675">
      <formula>$G412&lt;&gt;"-"</formula>
    </cfRule>
  </conditionalFormatting>
  <conditionalFormatting sqref="D412">
    <cfRule type="expression" dxfId="2447" priority="4674">
      <formula>$H412&lt;&gt;"-"</formula>
    </cfRule>
  </conditionalFormatting>
  <conditionalFormatting sqref="E412">
    <cfRule type="expression" dxfId="2446" priority="4673">
      <formula>$I412&lt;&gt;"-"</formula>
    </cfRule>
  </conditionalFormatting>
  <conditionalFormatting sqref="B411">
    <cfRule type="expression" dxfId="2445" priority="4670">
      <formula>AD411&lt;&gt;""</formula>
    </cfRule>
  </conditionalFormatting>
  <conditionalFormatting sqref="Z411">
    <cfRule type="cellIs" dxfId="2444" priority="4668" operator="greaterThan">
      <formula>0</formula>
    </cfRule>
    <cfRule type="cellIs" dxfId="2443" priority="4669" operator="lessThan">
      <formula>0</formula>
    </cfRule>
  </conditionalFormatting>
  <conditionalFormatting sqref="S411">
    <cfRule type="cellIs" dxfId="2442" priority="4667" operator="lessThan">
      <formula>0</formula>
    </cfRule>
  </conditionalFormatting>
  <conditionalFormatting sqref="F411">
    <cfRule type="expression" dxfId="2441" priority="4664">
      <formula>$K411&lt;&gt;""</formula>
    </cfRule>
  </conditionalFormatting>
  <conditionalFormatting sqref="C411">
    <cfRule type="expression" dxfId="2440" priority="4663">
      <formula>$G411&lt;&gt;"-"</formula>
    </cfRule>
  </conditionalFormatting>
  <conditionalFormatting sqref="D411">
    <cfRule type="expression" dxfId="2439" priority="4662">
      <formula>$H411&lt;&gt;"-"</formula>
    </cfRule>
  </conditionalFormatting>
  <conditionalFormatting sqref="E411">
    <cfRule type="expression" dxfId="2438" priority="4661">
      <formula>$I411&lt;&gt;"-"</formula>
    </cfRule>
  </conditionalFormatting>
  <conditionalFormatting sqref="B422">
    <cfRule type="expression" dxfId="2437" priority="4617">
      <formula>AD422&lt;&gt;""</formula>
    </cfRule>
  </conditionalFormatting>
  <conditionalFormatting sqref="Z422">
    <cfRule type="cellIs" dxfId="2436" priority="4615" operator="greaterThan">
      <formula>0</formula>
    </cfRule>
    <cfRule type="cellIs" dxfId="2435" priority="4616" operator="lessThan">
      <formula>0</formula>
    </cfRule>
  </conditionalFormatting>
  <conditionalFormatting sqref="S422">
    <cfRule type="cellIs" dxfId="2434" priority="4614" operator="lessThan">
      <formula>0</formula>
    </cfRule>
  </conditionalFormatting>
  <conditionalFormatting sqref="T420:T421">
    <cfRule type="expression" dxfId="2433" priority="4618">
      <formula>#REF!="Yes"</formula>
    </cfRule>
  </conditionalFormatting>
  <conditionalFormatting sqref="P422">
    <cfRule type="cellIs" dxfId="2432" priority="4612" operator="equal">
      <formula>AS_DURATION_EFFORT</formula>
    </cfRule>
    <cfRule type="cellIs" dxfId="2431" priority="4613" operator="equal">
      <formula>AS_DEV_EFFORT</formula>
    </cfRule>
  </conditionalFormatting>
  <conditionalFormatting sqref="B420:B421">
    <cfRule type="expression" dxfId="2430" priority="4611">
      <formula>AD420&lt;&gt;""</formula>
    </cfRule>
  </conditionalFormatting>
  <conditionalFormatting sqref="F422">
    <cfRule type="expression" dxfId="2429" priority="4610">
      <formula>$K422&lt;&gt;""</formula>
    </cfRule>
  </conditionalFormatting>
  <conditionalFormatting sqref="C422">
    <cfRule type="expression" dxfId="2428" priority="4609">
      <formula>$G422&lt;&gt;"-"</formula>
    </cfRule>
  </conditionalFormatting>
  <conditionalFormatting sqref="D422">
    <cfRule type="expression" dxfId="2427" priority="4608">
      <formula>$H422&lt;&gt;"-"</formula>
    </cfRule>
  </conditionalFormatting>
  <conditionalFormatting sqref="E422">
    <cfRule type="expression" dxfId="2426" priority="4607">
      <formula>$I422&lt;&gt;"-"</formula>
    </cfRule>
  </conditionalFormatting>
  <conditionalFormatting sqref="B423">
    <cfRule type="expression" dxfId="2425" priority="4604">
      <formula>AD423&lt;&gt;""</formula>
    </cfRule>
  </conditionalFormatting>
  <conditionalFormatting sqref="Z423">
    <cfRule type="cellIs" dxfId="2424" priority="4602" operator="greaterThan">
      <formula>0</formula>
    </cfRule>
    <cfRule type="cellIs" dxfId="2423" priority="4603" operator="lessThan">
      <formula>0</formula>
    </cfRule>
  </conditionalFormatting>
  <conditionalFormatting sqref="S423">
    <cfRule type="cellIs" dxfId="2422" priority="4601" operator="lessThan">
      <formula>0</formula>
    </cfRule>
  </conditionalFormatting>
  <conditionalFormatting sqref="P423">
    <cfRule type="cellIs" dxfId="2421" priority="4599" operator="equal">
      <formula>AS_DURATION_EFFORT</formula>
    </cfRule>
    <cfRule type="cellIs" dxfId="2420" priority="4600" operator="equal">
      <formula>AS_DEV_EFFORT</formula>
    </cfRule>
  </conditionalFormatting>
  <conditionalFormatting sqref="F423">
    <cfRule type="expression" dxfId="2419" priority="4598">
      <formula>$K423&lt;&gt;""</formula>
    </cfRule>
  </conditionalFormatting>
  <conditionalFormatting sqref="C423">
    <cfRule type="expression" dxfId="2418" priority="4597">
      <formula>$G423&lt;&gt;"-"</formula>
    </cfRule>
  </conditionalFormatting>
  <conditionalFormatting sqref="D423">
    <cfRule type="expression" dxfId="2417" priority="4596">
      <formula>$H423&lt;&gt;"-"</formula>
    </cfRule>
  </conditionalFormatting>
  <conditionalFormatting sqref="E423">
    <cfRule type="expression" dxfId="2416" priority="4595">
      <formula>$I423&lt;&gt;"-"</formula>
    </cfRule>
  </conditionalFormatting>
  <conditionalFormatting sqref="B427">
    <cfRule type="expression" dxfId="2415" priority="4591">
      <formula>AD427&lt;&gt;""</formula>
    </cfRule>
  </conditionalFormatting>
  <conditionalFormatting sqref="Z427">
    <cfRule type="cellIs" dxfId="2414" priority="4589" operator="greaterThan">
      <formula>0</formula>
    </cfRule>
    <cfRule type="cellIs" dxfId="2413" priority="4590" operator="lessThan">
      <formula>0</formula>
    </cfRule>
  </conditionalFormatting>
  <conditionalFormatting sqref="S427">
    <cfRule type="cellIs" dxfId="2412" priority="4588" operator="lessThan">
      <formula>0</formula>
    </cfRule>
  </conditionalFormatting>
  <conditionalFormatting sqref="T425:T426">
    <cfRule type="expression" dxfId="2411" priority="4592">
      <formula>#REF!="Yes"</formula>
    </cfRule>
  </conditionalFormatting>
  <conditionalFormatting sqref="P427">
    <cfRule type="cellIs" dxfId="2410" priority="4586" operator="equal">
      <formula>AS_DURATION_EFFORT</formula>
    </cfRule>
    <cfRule type="cellIs" dxfId="2409" priority="4587" operator="equal">
      <formula>AS_DEV_EFFORT</formula>
    </cfRule>
  </conditionalFormatting>
  <conditionalFormatting sqref="B425:B426">
    <cfRule type="expression" dxfId="2408" priority="4585">
      <formula>AD425&lt;&gt;""</formula>
    </cfRule>
  </conditionalFormatting>
  <conditionalFormatting sqref="F427">
    <cfRule type="expression" dxfId="2407" priority="4584">
      <formula>$K427&lt;&gt;""</formula>
    </cfRule>
  </conditionalFormatting>
  <conditionalFormatting sqref="C427">
    <cfRule type="expression" dxfId="2406" priority="4583">
      <formula>$G427&lt;&gt;"-"</formula>
    </cfRule>
  </conditionalFormatting>
  <conditionalFormatting sqref="D427">
    <cfRule type="expression" dxfId="2405" priority="4582">
      <formula>$H427&lt;&gt;"-"</formula>
    </cfRule>
  </conditionalFormatting>
  <conditionalFormatting sqref="E427">
    <cfRule type="expression" dxfId="2404" priority="4581">
      <formula>$I427&lt;&gt;"-"</formula>
    </cfRule>
  </conditionalFormatting>
  <conditionalFormatting sqref="B435">
    <cfRule type="expression" dxfId="2403" priority="4553">
      <formula>AD435&lt;&gt;""</formula>
    </cfRule>
  </conditionalFormatting>
  <conditionalFormatting sqref="Z435">
    <cfRule type="cellIs" dxfId="2402" priority="4551" operator="greaterThan">
      <formula>0</formula>
    </cfRule>
    <cfRule type="cellIs" dxfId="2401" priority="4552" operator="lessThan">
      <formula>0</formula>
    </cfRule>
  </conditionalFormatting>
  <conditionalFormatting sqref="S435">
    <cfRule type="cellIs" dxfId="2400" priority="4550" operator="lessThan">
      <formula>0</formula>
    </cfRule>
  </conditionalFormatting>
  <conditionalFormatting sqref="T431:T432">
    <cfRule type="expression" dxfId="2399" priority="4554">
      <formula>#REF!="Yes"</formula>
    </cfRule>
  </conditionalFormatting>
  <conditionalFormatting sqref="P435">
    <cfRule type="cellIs" dxfId="2398" priority="4548" operator="equal">
      <formula>AS_DURATION_EFFORT</formula>
    </cfRule>
    <cfRule type="cellIs" dxfId="2397" priority="4549" operator="equal">
      <formula>AS_DEV_EFFORT</formula>
    </cfRule>
  </conditionalFormatting>
  <conditionalFormatting sqref="B431:B432">
    <cfRule type="expression" dxfId="2396" priority="4547">
      <formula>AD431&lt;&gt;""</formula>
    </cfRule>
  </conditionalFormatting>
  <conditionalFormatting sqref="F435">
    <cfRule type="expression" dxfId="2395" priority="4546">
      <formula>$K435&lt;&gt;""</formula>
    </cfRule>
  </conditionalFormatting>
  <conditionalFormatting sqref="C435">
    <cfRule type="expression" dxfId="2394" priority="4545">
      <formula>$G435&lt;&gt;"-"</formula>
    </cfRule>
  </conditionalFormatting>
  <conditionalFormatting sqref="D435">
    <cfRule type="expression" dxfId="2393" priority="4544">
      <formula>$H435&lt;&gt;"-"</formula>
    </cfRule>
  </conditionalFormatting>
  <conditionalFormatting sqref="E435">
    <cfRule type="expression" dxfId="2392" priority="4543">
      <formula>$I435&lt;&gt;"-"</formula>
    </cfRule>
  </conditionalFormatting>
  <conditionalFormatting sqref="B440">
    <cfRule type="expression" dxfId="2391" priority="4527">
      <formula>AD440&lt;&gt;""</formula>
    </cfRule>
  </conditionalFormatting>
  <conditionalFormatting sqref="Z440">
    <cfRule type="cellIs" dxfId="2390" priority="4525" operator="greaterThan">
      <formula>0</formula>
    </cfRule>
    <cfRule type="cellIs" dxfId="2389" priority="4526" operator="lessThan">
      <formula>0</formula>
    </cfRule>
  </conditionalFormatting>
  <conditionalFormatting sqref="S440">
    <cfRule type="cellIs" dxfId="2388" priority="4524" operator="lessThan">
      <formula>0</formula>
    </cfRule>
  </conditionalFormatting>
  <conditionalFormatting sqref="T438:T439">
    <cfRule type="expression" dxfId="2387" priority="4528">
      <formula>#REF!="Yes"</formula>
    </cfRule>
  </conditionalFormatting>
  <conditionalFormatting sqref="P440">
    <cfRule type="cellIs" dxfId="2386" priority="4522" operator="equal">
      <formula>AS_DURATION_EFFORT</formula>
    </cfRule>
    <cfRule type="cellIs" dxfId="2385" priority="4523" operator="equal">
      <formula>AS_DEV_EFFORT</formula>
    </cfRule>
  </conditionalFormatting>
  <conditionalFormatting sqref="B438:B439">
    <cfRule type="expression" dxfId="2384" priority="4521">
      <formula>AD438&lt;&gt;""</formula>
    </cfRule>
  </conditionalFormatting>
  <conditionalFormatting sqref="F440">
    <cfRule type="expression" dxfId="2383" priority="4520">
      <formula>$K440&lt;&gt;""</formula>
    </cfRule>
  </conditionalFormatting>
  <conditionalFormatting sqref="C440">
    <cfRule type="expression" dxfId="2382" priority="4519">
      <formula>$G440&lt;&gt;"-"</formula>
    </cfRule>
  </conditionalFormatting>
  <conditionalFormatting sqref="D440">
    <cfRule type="expression" dxfId="2381" priority="4518">
      <formula>$H440&lt;&gt;"-"</formula>
    </cfRule>
  </conditionalFormatting>
  <conditionalFormatting sqref="E440">
    <cfRule type="expression" dxfId="2380" priority="4517">
      <formula>$I440&lt;&gt;"-"</formula>
    </cfRule>
  </conditionalFormatting>
  <conditionalFormatting sqref="B443">
    <cfRule type="expression" dxfId="2379" priority="4514">
      <formula>AD443&lt;&gt;""</formula>
    </cfRule>
  </conditionalFormatting>
  <conditionalFormatting sqref="Z443">
    <cfRule type="cellIs" dxfId="2378" priority="4512" operator="greaterThan">
      <formula>0</formula>
    </cfRule>
    <cfRule type="cellIs" dxfId="2377" priority="4513" operator="lessThan">
      <formula>0</formula>
    </cfRule>
  </conditionalFormatting>
  <conditionalFormatting sqref="S443">
    <cfRule type="cellIs" dxfId="2376" priority="4511" operator="lessThan">
      <formula>0</formula>
    </cfRule>
  </conditionalFormatting>
  <conditionalFormatting sqref="P443">
    <cfRule type="cellIs" dxfId="2375" priority="4509" operator="equal">
      <formula>AS_DURATION_EFFORT</formula>
    </cfRule>
    <cfRule type="cellIs" dxfId="2374" priority="4510" operator="equal">
      <formula>AS_DEV_EFFORT</formula>
    </cfRule>
  </conditionalFormatting>
  <conditionalFormatting sqref="F443">
    <cfRule type="expression" dxfId="2373" priority="4508">
      <formula>$K443&lt;&gt;""</formula>
    </cfRule>
  </conditionalFormatting>
  <conditionalFormatting sqref="C443">
    <cfRule type="expression" dxfId="2372" priority="4507">
      <formula>$G443&lt;&gt;"-"</formula>
    </cfRule>
  </conditionalFormatting>
  <conditionalFormatting sqref="D443">
    <cfRule type="expression" dxfId="2371" priority="4506">
      <formula>$H443&lt;&gt;"-"</formula>
    </cfRule>
  </conditionalFormatting>
  <conditionalFormatting sqref="E443">
    <cfRule type="expression" dxfId="2370" priority="4505">
      <formula>$I443&lt;&gt;"-"</formula>
    </cfRule>
  </conditionalFormatting>
  <conditionalFormatting sqref="B442">
    <cfRule type="expression" dxfId="2369" priority="4502">
      <formula>AD442&lt;&gt;""</formula>
    </cfRule>
  </conditionalFormatting>
  <conditionalFormatting sqref="Z442">
    <cfRule type="cellIs" dxfId="2368" priority="4500" operator="greaterThan">
      <formula>0</formula>
    </cfRule>
    <cfRule type="cellIs" dxfId="2367" priority="4501" operator="lessThan">
      <formula>0</formula>
    </cfRule>
  </conditionalFormatting>
  <conditionalFormatting sqref="S442">
    <cfRule type="cellIs" dxfId="2366" priority="4499" operator="lessThan">
      <formula>0</formula>
    </cfRule>
  </conditionalFormatting>
  <conditionalFormatting sqref="P442">
    <cfRule type="cellIs" dxfId="2365" priority="4497" operator="equal">
      <formula>AS_DURATION_EFFORT</formula>
    </cfRule>
    <cfRule type="cellIs" dxfId="2364" priority="4498" operator="equal">
      <formula>AS_DEV_EFFORT</formula>
    </cfRule>
  </conditionalFormatting>
  <conditionalFormatting sqref="F442">
    <cfRule type="expression" dxfId="2363" priority="4496">
      <formula>$K442&lt;&gt;""</formula>
    </cfRule>
  </conditionalFormatting>
  <conditionalFormatting sqref="C442">
    <cfRule type="expression" dxfId="2362" priority="4495">
      <formula>$G442&lt;&gt;"-"</formula>
    </cfRule>
  </conditionalFormatting>
  <conditionalFormatting sqref="D442">
    <cfRule type="expression" dxfId="2361" priority="4494">
      <formula>$H442&lt;&gt;"-"</formula>
    </cfRule>
  </conditionalFormatting>
  <conditionalFormatting sqref="E442">
    <cfRule type="expression" dxfId="2360" priority="4493">
      <formula>$I442&lt;&gt;"-"</formula>
    </cfRule>
  </conditionalFormatting>
  <conditionalFormatting sqref="B441">
    <cfRule type="expression" dxfId="2359" priority="4490">
      <formula>AD441&lt;&gt;""</formula>
    </cfRule>
  </conditionalFormatting>
  <conditionalFormatting sqref="Z441">
    <cfRule type="cellIs" dxfId="2358" priority="4488" operator="greaterThan">
      <formula>0</formula>
    </cfRule>
    <cfRule type="cellIs" dxfId="2357" priority="4489" operator="lessThan">
      <formula>0</formula>
    </cfRule>
  </conditionalFormatting>
  <conditionalFormatting sqref="S441">
    <cfRule type="cellIs" dxfId="2356" priority="4487" operator="lessThan">
      <formula>0</formula>
    </cfRule>
  </conditionalFormatting>
  <conditionalFormatting sqref="P441">
    <cfRule type="cellIs" dxfId="2355" priority="4485" operator="equal">
      <formula>AS_DURATION_EFFORT</formula>
    </cfRule>
    <cfRule type="cellIs" dxfId="2354" priority="4486" operator="equal">
      <formula>AS_DEV_EFFORT</formula>
    </cfRule>
  </conditionalFormatting>
  <conditionalFormatting sqref="F441">
    <cfRule type="expression" dxfId="2353" priority="4484">
      <formula>$K441&lt;&gt;""</formula>
    </cfRule>
  </conditionalFormatting>
  <conditionalFormatting sqref="C441">
    <cfRule type="expression" dxfId="2352" priority="4483">
      <formula>$G441&lt;&gt;"-"</formula>
    </cfRule>
  </conditionalFormatting>
  <conditionalFormatting sqref="D441">
    <cfRule type="expression" dxfId="2351" priority="4482">
      <formula>$H441&lt;&gt;"-"</formula>
    </cfRule>
  </conditionalFormatting>
  <conditionalFormatting sqref="E441">
    <cfRule type="expression" dxfId="2350" priority="4481">
      <formula>$I441&lt;&gt;"-"</formula>
    </cfRule>
  </conditionalFormatting>
  <conditionalFormatting sqref="B450">
    <cfRule type="expression" dxfId="2349" priority="4471">
      <formula>AD450&lt;&gt;""</formula>
    </cfRule>
  </conditionalFormatting>
  <conditionalFormatting sqref="Z450">
    <cfRule type="cellIs" dxfId="2348" priority="4469" operator="greaterThan">
      <formula>0</formula>
    </cfRule>
    <cfRule type="cellIs" dxfId="2347" priority="4470" operator="lessThan">
      <formula>0</formula>
    </cfRule>
  </conditionalFormatting>
  <conditionalFormatting sqref="S450">
    <cfRule type="cellIs" dxfId="2346" priority="4468" operator="lessThan">
      <formula>0</formula>
    </cfRule>
  </conditionalFormatting>
  <conditionalFormatting sqref="T448:T449">
    <cfRule type="expression" dxfId="2345" priority="4472">
      <formula>#REF!="Yes"</formula>
    </cfRule>
  </conditionalFormatting>
  <conditionalFormatting sqref="P450">
    <cfRule type="cellIs" dxfId="2344" priority="4466" operator="equal">
      <formula>AS_DURATION_EFFORT</formula>
    </cfRule>
    <cfRule type="cellIs" dxfId="2343" priority="4467" operator="equal">
      <formula>AS_DEV_EFFORT</formula>
    </cfRule>
  </conditionalFormatting>
  <conditionalFormatting sqref="B448:B449">
    <cfRule type="expression" dxfId="2342" priority="4465">
      <formula>AD448&lt;&gt;""</formula>
    </cfRule>
  </conditionalFormatting>
  <conditionalFormatting sqref="F450">
    <cfRule type="expression" dxfId="2341" priority="4464">
      <formula>$K450&lt;&gt;""</formula>
    </cfRule>
  </conditionalFormatting>
  <conditionalFormatting sqref="C450">
    <cfRule type="expression" dxfId="2340" priority="4463">
      <formula>$G450&lt;&gt;"-"</formula>
    </cfRule>
  </conditionalFormatting>
  <conditionalFormatting sqref="D450">
    <cfRule type="expression" dxfId="2339" priority="4462">
      <formula>$H450&lt;&gt;"-"</formula>
    </cfRule>
  </conditionalFormatting>
  <conditionalFormatting sqref="E450">
    <cfRule type="expression" dxfId="2338" priority="4461">
      <formula>$I450&lt;&gt;"-"</formula>
    </cfRule>
  </conditionalFormatting>
  <conditionalFormatting sqref="B18">
    <cfRule type="expression" dxfId="2337" priority="3518">
      <formula>AD18&lt;&gt;""</formula>
    </cfRule>
  </conditionalFormatting>
  <conditionalFormatting sqref="Z18">
    <cfRule type="cellIs" dxfId="2336" priority="3516" operator="greaterThan">
      <formula>0</formula>
    </cfRule>
    <cfRule type="cellIs" dxfId="2335" priority="3517" operator="lessThan">
      <formula>0</formula>
    </cfRule>
  </conditionalFormatting>
  <conditionalFormatting sqref="S18">
    <cfRule type="cellIs" dxfId="2334" priority="3515" operator="lessThan">
      <formula>0</formula>
    </cfRule>
  </conditionalFormatting>
  <conditionalFormatting sqref="L18:M18 O18 R18:AC18">
    <cfRule type="expression" dxfId="2333" priority="3519">
      <formula>AND($G18="Yes", $S$6="Exclude")</formula>
    </cfRule>
    <cfRule type="expression" dxfId="2332" priority="3520">
      <formula>$J18="Yes"</formula>
    </cfRule>
  </conditionalFormatting>
  <conditionalFormatting sqref="F18">
    <cfRule type="expression" dxfId="2331" priority="3512">
      <formula>$K18&lt;&gt;""</formula>
    </cfRule>
  </conditionalFormatting>
  <conditionalFormatting sqref="C18">
    <cfRule type="expression" dxfId="2330" priority="3511">
      <formula>$G18&lt;&gt;"-"</formula>
    </cfRule>
  </conditionalFormatting>
  <conditionalFormatting sqref="D18">
    <cfRule type="expression" dxfId="2329" priority="3510">
      <formula>$H18&lt;&gt;"-"</formula>
    </cfRule>
  </conditionalFormatting>
  <conditionalFormatting sqref="E18">
    <cfRule type="expression" dxfId="2328" priority="3509">
      <formula>$I18&lt;&gt;"-"</formula>
    </cfRule>
  </conditionalFormatting>
  <conditionalFormatting sqref="B28">
    <cfRule type="expression" dxfId="2327" priority="3505">
      <formula>AD28&lt;&gt;""</formula>
    </cfRule>
  </conditionalFormatting>
  <conditionalFormatting sqref="Z28">
    <cfRule type="cellIs" dxfId="2326" priority="3503" operator="greaterThan">
      <formula>0</formula>
    </cfRule>
    <cfRule type="cellIs" dxfId="2325" priority="3504" operator="lessThan">
      <formula>0</formula>
    </cfRule>
  </conditionalFormatting>
  <conditionalFormatting sqref="S28">
    <cfRule type="cellIs" dxfId="2324" priority="3502" operator="lessThan">
      <formula>0</formula>
    </cfRule>
  </conditionalFormatting>
  <conditionalFormatting sqref="T26:T27">
    <cfRule type="expression" dxfId="2323" priority="3506">
      <formula>#REF!="Yes"</formula>
    </cfRule>
  </conditionalFormatting>
  <conditionalFormatting sqref="P28">
    <cfRule type="cellIs" dxfId="2322" priority="3500" operator="equal">
      <formula>AS_DURATION_EFFORT</formula>
    </cfRule>
    <cfRule type="cellIs" dxfId="2321" priority="3501" operator="equal">
      <formula>AS_DEV_EFFORT</formula>
    </cfRule>
  </conditionalFormatting>
  <conditionalFormatting sqref="B26:B27">
    <cfRule type="expression" dxfId="2320" priority="3499">
      <formula>AD26&lt;&gt;""</formula>
    </cfRule>
  </conditionalFormatting>
  <conditionalFormatting sqref="F28">
    <cfRule type="expression" dxfId="2319" priority="3498">
      <formula>$K28&lt;&gt;""</formula>
    </cfRule>
  </conditionalFormatting>
  <conditionalFormatting sqref="C28">
    <cfRule type="expression" dxfId="2318" priority="3497">
      <formula>$G28&lt;&gt;"-"</formula>
    </cfRule>
  </conditionalFormatting>
  <conditionalFormatting sqref="D28">
    <cfRule type="expression" dxfId="2317" priority="3496">
      <formula>$H28&lt;&gt;"-"</formula>
    </cfRule>
  </conditionalFormatting>
  <conditionalFormatting sqref="E28">
    <cfRule type="expression" dxfId="2316" priority="3495">
      <formula>$I28&lt;&gt;"-"</formula>
    </cfRule>
  </conditionalFormatting>
  <conditionalFormatting sqref="B35">
    <cfRule type="expression" dxfId="2315" priority="3491">
      <formula>AD35&lt;&gt;""</formula>
    </cfRule>
  </conditionalFormatting>
  <conditionalFormatting sqref="Z35">
    <cfRule type="cellIs" dxfId="2314" priority="3489" operator="greaterThan">
      <formula>0</formula>
    </cfRule>
    <cfRule type="cellIs" dxfId="2313" priority="3490" operator="lessThan">
      <formula>0</formula>
    </cfRule>
  </conditionalFormatting>
  <conditionalFormatting sqref="S35">
    <cfRule type="cellIs" dxfId="2312" priority="3488" operator="lessThan">
      <formula>0</formula>
    </cfRule>
  </conditionalFormatting>
  <conditionalFormatting sqref="T33:T34">
    <cfRule type="expression" dxfId="2311" priority="3492">
      <formula>#REF!="Yes"</formula>
    </cfRule>
  </conditionalFormatting>
  <conditionalFormatting sqref="P35">
    <cfRule type="cellIs" dxfId="2310" priority="3486" operator="equal">
      <formula>AS_DURATION_EFFORT</formula>
    </cfRule>
    <cfRule type="cellIs" dxfId="2309" priority="3487" operator="equal">
      <formula>AS_DEV_EFFORT</formula>
    </cfRule>
  </conditionalFormatting>
  <conditionalFormatting sqref="B33:B34">
    <cfRule type="expression" dxfId="2308" priority="3485">
      <formula>AD33&lt;&gt;""</formula>
    </cfRule>
  </conditionalFormatting>
  <conditionalFormatting sqref="F35">
    <cfRule type="expression" dxfId="2307" priority="3484">
      <formula>$K35&lt;&gt;""</formula>
    </cfRule>
  </conditionalFormatting>
  <conditionalFormatting sqref="C35">
    <cfRule type="expression" dxfId="2306" priority="3483">
      <formula>$G35&lt;&gt;"-"</formula>
    </cfRule>
  </conditionalFormatting>
  <conditionalFormatting sqref="D35">
    <cfRule type="expression" dxfId="2305" priority="3482">
      <formula>$H35&lt;&gt;"-"</formula>
    </cfRule>
  </conditionalFormatting>
  <conditionalFormatting sqref="E35">
    <cfRule type="expression" dxfId="2304" priority="3481">
      <formula>$I35&lt;&gt;"-"</formula>
    </cfRule>
  </conditionalFormatting>
  <conditionalFormatting sqref="B43">
    <cfRule type="expression" dxfId="2303" priority="3477">
      <formula>AD43&lt;&gt;""</formula>
    </cfRule>
  </conditionalFormatting>
  <conditionalFormatting sqref="Z43">
    <cfRule type="cellIs" dxfId="2302" priority="3475" operator="greaterThan">
      <formula>0</formula>
    </cfRule>
    <cfRule type="cellIs" dxfId="2301" priority="3476" operator="lessThan">
      <formula>0</formula>
    </cfRule>
  </conditionalFormatting>
  <conditionalFormatting sqref="S43">
    <cfRule type="cellIs" dxfId="2300" priority="3474" operator="lessThan">
      <formula>0</formula>
    </cfRule>
  </conditionalFormatting>
  <conditionalFormatting sqref="T41:T42">
    <cfRule type="expression" dxfId="2299" priority="3478">
      <formula>#REF!="Yes"</formula>
    </cfRule>
  </conditionalFormatting>
  <conditionalFormatting sqref="P43">
    <cfRule type="cellIs" dxfId="2298" priority="3472" operator="equal">
      <formula>AS_DURATION_EFFORT</formula>
    </cfRule>
    <cfRule type="cellIs" dxfId="2297" priority="3473" operator="equal">
      <formula>AS_DEV_EFFORT</formula>
    </cfRule>
  </conditionalFormatting>
  <conditionalFormatting sqref="B41:B42">
    <cfRule type="expression" dxfId="2296" priority="3471">
      <formula>AD41&lt;&gt;""</formula>
    </cfRule>
  </conditionalFormatting>
  <conditionalFormatting sqref="F43">
    <cfRule type="expression" dxfId="2295" priority="3470">
      <formula>$K43&lt;&gt;""</formula>
    </cfRule>
  </conditionalFormatting>
  <conditionalFormatting sqref="C43">
    <cfRule type="expression" dxfId="2294" priority="3469">
      <formula>$G43&lt;&gt;"-"</formula>
    </cfRule>
  </conditionalFormatting>
  <conditionalFormatting sqref="D43">
    <cfRule type="expression" dxfId="2293" priority="3468">
      <formula>$H43&lt;&gt;"-"</formula>
    </cfRule>
  </conditionalFormatting>
  <conditionalFormatting sqref="E43">
    <cfRule type="expression" dxfId="2292" priority="3467">
      <formula>$I43&lt;&gt;"-"</formula>
    </cfRule>
  </conditionalFormatting>
  <conditionalFormatting sqref="B49">
    <cfRule type="expression" dxfId="2291" priority="3463">
      <formula>AD49&lt;&gt;""</formula>
    </cfRule>
  </conditionalFormatting>
  <conditionalFormatting sqref="Z49">
    <cfRule type="cellIs" dxfId="2290" priority="3461" operator="greaterThan">
      <formula>0</formula>
    </cfRule>
    <cfRule type="cellIs" dxfId="2289" priority="3462" operator="lessThan">
      <formula>0</formula>
    </cfRule>
  </conditionalFormatting>
  <conditionalFormatting sqref="S49">
    <cfRule type="cellIs" dxfId="2288" priority="3460" operator="lessThan">
      <formula>0</formula>
    </cfRule>
  </conditionalFormatting>
  <conditionalFormatting sqref="T47:T48">
    <cfRule type="expression" dxfId="2287" priority="3464">
      <formula>#REF!="Yes"</formula>
    </cfRule>
  </conditionalFormatting>
  <conditionalFormatting sqref="P49">
    <cfRule type="cellIs" dxfId="2286" priority="3458" operator="equal">
      <formula>AS_DURATION_EFFORT</formula>
    </cfRule>
    <cfRule type="cellIs" dxfId="2285" priority="3459" operator="equal">
      <formula>AS_DEV_EFFORT</formula>
    </cfRule>
  </conditionalFormatting>
  <conditionalFormatting sqref="B47:B48">
    <cfRule type="expression" dxfId="2284" priority="3457">
      <formula>AD47&lt;&gt;""</formula>
    </cfRule>
  </conditionalFormatting>
  <conditionalFormatting sqref="F49">
    <cfRule type="expression" dxfId="2283" priority="3456">
      <formula>$K49&lt;&gt;""</formula>
    </cfRule>
  </conditionalFormatting>
  <conditionalFormatting sqref="C49">
    <cfRule type="expression" dxfId="2282" priority="3455">
      <formula>$G49&lt;&gt;"-"</formula>
    </cfRule>
  </conditionalFormatting>
  <conditionalFormatting sqref="D49">
    <cfRule type="expression" dxfId="2281" priority="3454">
      <formula>$H49&lt;&gt;"-"</formula>
    </cfRule>
  </conditionalFormatting>
  <conditionalFormatting sqref="E49">
    <cfRule type="expression" dxfId="2280" priority="3453">
      <formula>$I49&lt;&gt;"-"</formula>
    </cfRule>
  </conditionalFormatting>
  <conditionalFormatting sqref="B58">
    <cfRule type="expression" dxfId="2279" priority="3449">
      <formula>AD58&lt;&gt;""</formula>
    </cfRule>
  </conditionalFormatting>
  <conditionalFormatting sqref="Z58">
    <cfRule type="cellIs" dxfId="2278" priority="3447" operator="greaterThan">
      <formula>0</formula>
    </cfRule>
    <cfRule type="cellIs" dxfId="2277" priority="3448" operator="lessThan">
      <formula>0</formula>
    </cfRule>
  </conditionalFormatting>
  <conditionalFormatting sqref="S58">
    <cfRule type="cellIs" dxfId="2276" priority="3446" operator="lessThan">
      <formula>0</formula>
    </cfRule>
  </conditionalFormatting>
  <conditionalFormatting sqref="T56:T57">
    <cfRule type="expression" dxfId="2275" priority="3450">
      <formula>#REF!="Yes"</formula>
    </cfRule>
  </conditionalFormatting>
  <conditionalFormatting sqref="P58">
    <cfRule type="cellIs" dxfId="2274" priority="3444" operator="equal">
      <formula>AS_DURATION_EFFORT</formula>
    </cfRule>
    <cfRule type="cellIs" dxfId="2273" priority="3445" operator="equal">
      <formula>AS_DEV_EFFORT</formula>
    </cfRule>
  </conditionalFormatting>
  <conditionalFormatting sqref="B56:B57">
    <cfRule type="expression" dxfId="2272" priority="3443">
      <formula>AD56&lt;&gt;""</formula>
    </cfRule>
  </conditionalFormatting>
  <conditionalFormatting sqref="F58">
    <cfRule type="expression" dxfId="2271" priority="3442">
      <formula>$K58&lt;&gt;""</formula>
    </cfRule>
  </conditionalFormatting>
  <conditionalFormatting sqref="C58">
    <cfRule type="expression" dxfId="2270" priority="3441">
      <formula>$G58&lt;&gt;"-"</formula>
    </cfRule>
  </conditionalFormatting>
  <conditionalFormatting sqref="D58">
    <cfRule type="expression" dxfId="2269" priority="3440">
      <formula>$H58&lt;&gt;"-"</formula>
    </cfRule>
  </conditionalFormatting>
  <conditionalFormatting sqref="E58">
    <cfRule type="expression" dxfId="2268" priority="3439">
      <formula>$I58&lt;&gt;"-"</formula>
    </cfRule>
  </conditionalFormatting>
  <conditionalFormatting sqref="N18">
    <cfRule type="expression" dxfId="2267" priority="3437">
      <formula>AND($G18="Yes", $S$6="Exclude")</formula>
    </cfRule>
    <cfRule type="expression" dxfId="2266" priority="3438">
      <formula>$J18="Yes"</formula>
    </cfRule>
  </conditionalFormatting>
  <conditionalFormatting sqref="P18">
    <cfRule type="cellIs" dxfId="2265" priority="3433" operator="equal">
      <formula>AS_DURATION_EFFORT</formula>
    </cfRule>
    <cfRule type="cellIs" dxfId="2264" priority="3434" operator="equal">
      <formula>AS_DEV_EFFORT</formula>
    </cfRule>
  </conditionalFormatting>
  <conditionalFormatting sqref="P18:Q18">
    <cfRule type="expression" dxfId="2263" priority="3435">
      <formula>AND($G18="Yes", $S$6="Exclude")</formula>
    </cfRule>
    <cfRule type="expression" dxfId="2262" priority="3436">
      <formula>$J18="Yes"</formula>
    </cfRule>
  </conditionalFormatting>
  <conditionalFormatting sqref="B22">
    <cfRule type="expression" dxfId="2261" priority="3430">
      <formula>AD22&lt;&gt;""</formula>
    </cfRule>
  </conditionalFormatting>
  <conditionalFormatting sqref="Z22">
    <cfRule type="cellIs" dxfId="2260" priority="3428" operator="greaterThan">
      <formula>0</formula>
    </cfRule>
    <cfRule type="cellIs" dxfId="2259" priority="3429" operator="lessThan">
      <formula>0</formula>
    </cfRule>
  </conditionalFormatting>
  <conditionalFormatting sqref="S22">
    <cfRule type="cellIs" dxfId="2258" priority="3427" operator="lessThan">
      <formula>0</formula>
    </cfRule>
  </conditionalFormatting>
  <conditionalFormatting sqref="P22">
    <cfRule type="cellIs" dxfId="2257" priority="3425" operator="equal">
      <formula>AS_DURATION_EFFORT</formula>
    </cfRule>
    <cfRule type="cellIs" dxfId="2256" priority="3426" operator="equal">
      <formula>AS_DEV_EFFORT</formula>
    </cfRule>
  </conditionalFormatting>
  <conditionalFormatting sqref="L22:M22 O22:AC22">
    <cfRule type="expression" dxfId="2255" priority="3431">
      <formula>AND($G22="Yes", $S$6="Exclude")</formula>
    </cfRule>
    <cfRule type="expression" dxfId="2254" priority="3432">
      <formula>$J22="Yes"</formula>
    </cfRule>
  </conditionalFormatting>
  <conditionalFormatting sqref="F22">
    <cfRule type="expression" dxfId="2253" priority="3424">
      <formula>$K22&lt;&gt;""</formula>
    </cfRule>
  </conditionalFormatting>
  <conditionalFormatting sqref="C22">
    <cfRule type="expression" dxfId="2252" priority="3423">
      <formula>$G22&lt;&gt;"-"</formula>
    </cfRule>
  </conditionalFormatting>
  <conditionalFormatting sqref="D22">
    <cfRule type="expression" dxfId="2251" priority="3422">
      <formula>$H22&lt;&gt;"-"</formula>
    </cfRule>
  </conditionalFormatting>
  <conditionalFormatting sqref="E22">
    <cfRule type="expression" dxfId="2250" priority="3421">
      <formula>$I22&lt;&gt;"-"</formula>
    </cfRule>
  </conditionalFormatting>
  <conditionalFormatting sqref="N22">
    <cfRule type="expression" dxfId="2249" priority="3419">
      <formula>AND($G22="Yes", $S$6="Exclude")</formula>
    </cfRule>
    <cfRule type="expression" dxfId="2248" priority="3420">
      <formula>$J22="Yes"</formula>
    </cfRule>
  </conditionalFormatting>
  <conditionalFormatting sqref="B31">
    <cfRule type="expression" dxfId="2247" priority="3416">
      <formula>AD31&lt;&gt;""</formula>
    </cfRule>
  </conditionalFormatting>
  <conditionalFormatting sqref="Z31">
    <cfRule type="cellIs" dxfId="2246" priority="3414" operator="greaterThan">
      <formula>0</formula>
    </cfRule>
    <cfRule type="cellIs" dxfId="2245" priority="3415" operator="lessThan">
      <formula>0</formula>
    </cfRule>
  </conditionalFormatting>
  <conditionalFormatting sqref="S31">
    <cfRule type="cellIs" dxfId="2244" priority="3413" operator="lessThan">
      <formula>0</formula>
    </cfRule>
  </conditionalFormatting>
  <conditionalFormatting sqref="P31">
    <cfRule type="cellIs" dxfId="2243" priority="3411" operator="equal">
      <formula>AS_DURATION_EFFORT</formula>
    </cfRule>
    <cfRule type="cellIs" dxfId="2242" priority="3412" operator="equal">
      <formula>AS_DEV_EFFORT</formula>
    </cfRule>
  </conditionalFormatting>
  <conditionalFormatting sqref="L31:M31 O31:AC31">
    <cfRule type="expression" dxfId="2241" priority="3417">
      <formula>AND($G31="Yes", $S$6="Exclude")</formula>
    </cfRule>
    <cfRule type="expression" dxfId="2240" priority="3418">
      <formula>$J31="Yes"</formula>
    </cfRule>
  </conditionalFormatting>
  <conditionalFormatting sqref="F31">
    <cfRule type="expression" dxfId="2239" priority="3410">
      <formula>$K31&lt;&gt;""</formula>
    </cfRule>
  </conditionalFormatting>
  <conditionalFormatting sqref="C31">
    <cfRule type="expression" dxfId="2238" priority="3409">
      <formula>$G31&lt;&gt;"-"</formula>
    </cfRule>
  </conditionalFormatting>
  <conditionalFormatting sqref="D31">
    <cfRule type="expression" dxfId="2237" priority="3408">
      <formula>$H31&lt;&gt;"-"</formula>
    </cfRule>
  </conditionalFormatting>
  <conditionalFormatting sqref="E31">
    <cfRule type="expression" dxfId="2236" priority="3407">
      <formula>$I31&lt;&gt;"-"</formula>
    </cfRule>
  </conditionalFormatting>
  <conditionalFormatting sqref="B30">
    <cfRule type="expression" dxfId="2235" priority="3404">
      <formula>AD30&lt;&gt;""</formula>
    </cfRule>
  </conditionalFormatting>
  <conditionalFormatting sqref="Z30">
    <cfRule type="cellIs" dxfId="2234" priority="3402" operator="greaterThan">
      <formula>0</formula>
    </cfRule>
    <cfRule type="cellIs" dxfId="2233" priority="3403" operator="lessThan">
      <formula>0</formula>
    </cfRule>
  </conditionalFormatting>
  <conditionalFormatting sqref="S30">
    <cfRule type="cellIs" dxfId="2232" priority="3401" operator="lessThan">
      <formula>0</formula>
    </cfRule>
  </conditionalFormatting>
  <conditionalFormatting sqref="P30">
    <cfRule type="cellIs" dxfId="2231" priority="3399" operator="equal">
      <formula>AS_DURATION_EFFORT</formula>
    </cfRule>
    <cfRule type="cellIs" dxfId="2230" priority="3400" operator="equal">
      <formula>AS_DEV_EFFORT</formula>
    </cfRule>
  </conditionalFormatting>
  <conditionalFormatting sqref="L30:M30 P30:AC30">
    <cfRule type="expression" dxfId="2229" priority="3405">
      <formula>AND($G30="Yes", $S$6="Exclude")</formula>
    </cfRule>
    <cfRule type="expression" dxfId="2228" priority="3406">
      <formula>$J30="Yes"</formula>
    </cfRule>
  </conditionalFormatting>
  <conditionalFormatting sqref="F30">
    <cfRule type="expression" dxfId="2227" priority="3398">
      <formula>$K30&lt;&gt;""</formula>
    </cfRule>
  </conditionalFormatting>
  <conditionalFormatting sqref="C30">
    <cfRule type="expression" dxfId="2226" priority="3397">
      <formula>$G30&lt;&gt;"-"</formula>
    </cfRule>
  </conditionalFormatting>
  <conditionalFormatting sqref="D30">
    <cfRule type="expression" dxfId="2225" priority="3396">
      <formula>$H30&lt;&gt;"-"</formula>
    </cfRule>
  </conditionalFormatting>
  <conditionalFormatting sqref="E30">
    <cfRule type="expression" dxfId="2224" priority="3395">
      <formula>$I30&lt;&gt;"-"</formula>
    </cfRule>
  </conditionalFormatting>
  <conditionalFormatting sqref="B29">
    <cfRule type="expression" dxfId="2223" priority="3392">
      <formula>AD29&lt;&gt;""</formula>
    </cfRule>
  </conditionalFormatting>
  <conditionalFormatting sqref="Z29">
    <cfRule type="cellIs" dxfId="2222" priority="3390" operator="greaterThan">
      <formula>0</formula>
    </cfRule>
    <cfRule type="cellIs" dxfId="2221" priority="3391" operator="lessThan">
      <formula>0</formula>
    </cfRule>
  </conditionalFormatting>
  <conditionalFormatting sqref="S29">
    <cfRule type="cellIs" dxfId="2220" priority="3389" operator="lessThan">
      <formula>0</formula>
    </cfRule>
  </conditionalFormatting>
  <conditionalFormatting sqref="P29">
    <cfRule type="cellIs" dxfId="2219" priority="3387" operator="equal">
      <formula>AS_DURATION_EFFORT</formula>
    </cfRule>
    <cfRule type="cellIs" dxfId="2218" priority="3388" operator="equal">
      <formula>AS_DEV_EFFORT</formula>
    </cfRule>
  </conditionalFormatting>
  <conditionalFormatting sqref="L29:M29 P29:AC29">
    <cfRule type="expression" dxfId="2217" priority="3393">
      <formula>AND($G29="Yes", $S$6="Exclude")</formula>
    </cfRule>
    <cfRule type="expression" dxfId="2216" priority="3394">
      <formula>$J29="Yes"</formula>
    </cfRule>
  </conditionalFormatting>
  <conditionalFormatting sqref="F29">
    <cfRule type="expression" dxfId="2215" priority="3386">
      <formula>$K29&lt;&gt;""</formula>
    </cfRule>
  </conditionalFormatting>
  <conditionalFormatting sqref="C29">
    <cfRule type="expression" dxfId="2214" priority="3385">
      <formula>$G29&lt;&gt;"-"</formula>
    </cfRule>
  </conditionalFormatting>
  <conditionalFormatting sqref="D29">
    <cfRule type="expression" dxfId="2213" priority="3384">
      <formula>$H29&lt;&gt;"-"</formula>
    </cfRule>
  </conditionalFormatting>
  <conditionalFormatting sqref="E29">
    <cfRule type="expression" dxfId="2212" priority="3383">
      <formula>$I29&lt;&gt;"-"</formula>
    </cfRule>
  </conditionalFormatting>
  <conditionalFormatting sqref="N30:N31">
    <cfRule type="expression" dxfId="2211" priority="3381">
      <formula>AND($G30="Yes", $S$6="Exclude")</formula>
    </cfRule>
    <cfRule type="expression" dxfId="2210" priority="3382">
      <formula>$J30="Yes"</formula>
    </cfRule>
  </conditionalFormatting>
  <conditionalFormatting sqref="N28">
    <cfRule type="expression" dxfId="2209" priority="3379">
      <formula>AND($G28="Yes", $S$6="Exclude")</formula>
    </cfRule>
    <cfRule type="expression" dxfId="2208" priority="3380">
      <formula>$J28="Yes"</formula>
    </cfRule>
  </conditionalFormatting>
  <conditionalFormatting sqref="N29">
    <cfRule type="expression" dxfId="2207" priority="3377">
      <formula>AND($G29="Yes", $S$6="Exclude")</formula>
    </cfRule>
    <cfRule type="expression" dxfId="2206" priority="3378">
      <formula>$J29="Yes"</formula>
    </cfRule>
  </conditionalFormatting>
  <conditionalFormatting sqref="O30">
    <cfRule type="expression" dxfId="2205" priority="3375">
      <formula>AND($G30="Yes", $S$6="Exclude")</formula>
    </cfRule>
    <cfRule type="expression" dxfId="2204" priority="3376">
      <formula>$J30="Yes"</formula>
    </cfRule>
  </conditionalFormatting>
  <conditionalFormatting sqref="O29">
    <cfRule type="expression" dxfId="2203" priority="3373">
      <formula>AND($G29="Yes", $S$6="Exclude")</formula>
    </cfRule>
    <cfRule type="expression" dxfId="2202" priority="3374">
      <formula>$J29="Yes"</formula>
    </cfRule>
  </conditionalFormatting>
  <conditionalFormatting sqref="B39">
    <cfRule type="expression" dxfId="2201" priority="3370">
      <formula>AD39&lt;&gt;""</formula>
    </cfRule>
  </conditionalFormatting>
  <conditionalFormatting sqref="Z39">
    <cfRule type="cellIs" dxfId="2200" priority="3368" operator="greaterThan">
      <formula>0</formula>
    </cfRule>
    <cfRule type="cellIs" dxfId="2199" priority="3369" operator="lessThan">
      <formula>0</formula>
    </cfRule>
  </conditionalFormatting>
  <conditionalFormatting sqref="S39">
    <cfRule type="cellIs" dxfId="2198" priority="3367" operator="lessThan">
      <formula>0</formula>
    </cfRule>
  </conditionalFormatting>
  <conditionalFormatting sqref="P39">
    <cfRule type="cellIs" dxfId="2197" priority="3365" operator="equal">
      <formula>AS_DURATION_EFFORT</formula>
    </cfRule>
    <cfRule type="cellIs" dxfId="2196" priority="3366" operator="equal">
      <formula>AS_DEV_EFFORT</formula>
    </cfRule>
  </conditionalFormatting>
  <conditionalFormatting sqref="L39:M39 O39:AC39">
    <cfRule type="expression" dxfId="2195" priority="3371">
      <formula>AND($G39="Yes", $S$6="Exclude")</formula>
    </cfRule>
    <cfRule type="expression" dxfId="2194" priority="3372">
      <formula>$J39="Yes"</formula>
    </cfRule>
  </conditionalFormatting>
  <conditionalFormatting sqref="F39">
    <cfRule type="expression" dxfId="2193" priority="3364">
      <formula>$K39&lt;&gt;""</formula>
    </cfRule>
  </conditionalFormatting>
  <conditionalFormatting sqref="C39">
    <cfRule type="expression" dxfId="2192" priority="3363">
      <formula>$G39&lt;&gt;"-"</formula>
    </cfRule>
  </conditionalFormatting>
  <conditionalFormatting sqref="D39">
    <cfRule type="expression" dxfId="2191" priority="3362">
      <formula>$H39&lt;&gt;"-"</formula>
    </cfRule>
  </conditionalFormatting>
  <conditionalFormatting sqref="E39">
    <cfRule type="expression" dxfId="2190" priority="3361">
      <formula>$I39&lt;&gt;"-"</formula>
    </cfRule>
  </conditionalFormatting>
  <conditionalFormatting sqref="B38">
    <cfRule type="expression" dxfId="2189" priority="3358">
      <formula>AD38&lt;&gt;""</formula>
    </cfRule>
  </conditionalFormatting>
  <conditionalFormatting sqref="Z38">
    <cfRule type="cellIs" dxfId="2188" priority="3356" operator="greaterThan">
      <formula>0</formula>
    </cfRule>
    <cfRule type="cellIs" dxfId="2187" priority="3357" operator="lessThan">
      <formula>0</formula>
    </cfRule>
  </conditionalFormatting>
  <conditionalFormatting sqref="S38">
    <cfRule type="cellIs" dxfId="2186" priority="3355" operator="lessThan">
      <formula>0</formula>
    </cfRule>
  </conditionalFormatting>
  <conditionalFormatting sqref="P38">
    <cfRule type="cellIs" dxfId="2185" priority="3353" operator="equal">
      <formula>AS_DURATION_EFFORT</formula>
    </cfRule>
    <cfRule type="cellIs" dxfId="2184" priority="3354" operator="equal">
      <formula>AS_DEV_EFFORT</formula>
    </cfRule>
  </conditionalFormatting>
  <conditionalFormatting sqref="L38:M38 P38:AC38">
    <cfRule type="expression" dxfId="2183" priority="3359">
      <formula>AND($G38="Yes", $S$6="Exclude")</formula>
    </cfRule>
    <cfRule type="expression" dxfId="2182" priority="3360">
      <formula>$J38="Yes"</formula>
    </cfRule>
  </conditionalFormatting>
  <conditionalFormatting sqref="F38">
    <cfRule type="expression" dxfId="2181" priority="3352">
      <formula>$K38&lt;&gt;""</formula>
    </cfRule>
  </conditionalFormatting>
  <conditionalFormatting sqref="C38">
    <cfRule type="expression" dxfId="2180" priority="3351">
      <formula>$G38&lt;&gt;"-"</formula>
    </cfRule>
  </conditionalFormatting>
  <conditionalFormatting sqref="D38">
    <cfRule type="expression" dxfId="2179" priority="3350">
      <formula>$H38&lt;&gt;"-"</formula>
    </cfRule>
  </conditionalFormatting>
  <conditionalFormatting sqref="E38">
    <cfRule type="expression" dxfId="2178" priority="3349">
      <formula>$I38&lt;&gt;"-"</formula>
    </cfRule>
  </conditionalFormatting>
  <conditionalFormatting sqref="B37">
    <cfRule type="expression" dxfId="2177" priority="3346">
      <formula>AD37&lt;&gt;""</formula>
    </cfRule>
  </conditionalFormatting>
  <conditionalFormatting sqref="Z37">
    <cfRule type="cellIs" dxfId="2176" priority="3344" operator="greaterThan">
      <formula>0</formula>
    </cfRule>
    <cfRule type="cellIs" dxfId="2175" priority="3345" operator="lessThan">
      <formula>0</formula>
    </cfRule>
  </conditionalFormatting>
  <conditionalFormatting sqref="S37">
    <cfRule type="cellIs" dxfId="2174" priority="3343" operator="lessThan">
      <formula>0</formula>
    </cfRule>
  </conditionalFormatting>
  <conditionalFormatting sqref="P37">
    <cfRule type="cellIs" dxfId="2173" priority="3341" operator="equal">
      <formula>AS_DURATION_EFFORT</formula>
    </cfRule>
    <cfRule type="cellIs" dxfId="2172" priority="3342" operator="equal">
      <formula>AS_DEV_EFFORT</formula>
    </cfRule>
  </conditionalFormatting>
  <conditionalFormatting sqref="L37:M37 P37:AC37">
    <cfRule type="expression" dxfId="2171" priority="3347">
      <formula>AND($G37="Yes", $S$6="Exclude")</formula>
    </cfRule>
    <cfRule type="expression" dxfId="2170" priority="3348">
      <formula>$J37="Yes"</formula>
    </cfRule>
  </conditionalFormatting>
  <conditionalFormatting sqref="F37">
    <cfRule type="expression" dxfId="2169" priority="3340">
      <formula>$K37&lt;&gt;""</formula>
    </cfRule>
  </conditionalFormatting>
  <conditionalFormatting sqref="C37">
    <cfRule type="expression" dxfId="2168" priority="3339">
      <formula>$G37&lt;&gt;"-"</formula>
    </cfRule>
  </conditionalFormatting>
  <conditionalFormatting sqref="D37">
    <cfRule type="expression" dxfId="2167" priority="3338">
      <formula>$H37&lt;&gt;"-"</formula>
    </cfRule>
  </conditionalFormatting>
  <conditionalFormatting sqref="E37">
    <cfRule type="expression" dxfId="2166" priority="3337">
      <formula>$I37&lt;&gt;"-"</formula>
    </cfRule>
  </conditionalFormatting>
  <conditionalFormatting sqref="B36">
    <cfRule type="expression" dxfId="2165" priority="3334">
      <formula>AD36&lt;&gt;""</formula>
    </cfRule>
  </conditionalFormatting>
  <conditionalFormatting sqref="Z36">
    <cfRule type="cellIs" dxfId="2164" priority="3332" operator="greaterThan">
      <formula>0</formula>
    </cfRule>
    <cfRule type="cellIs" dxfId="2163" priority="3333" operator="lessThan">
      <formula>0</formula>
    </cfRule>
  </conditionalFormatting>
  <conditionalFormatting sqref="S36">
    <cfRule type="cellIs" dxfId="2162" priority="3331" operator="lessThan">
      <formula>0</formula>
    </cfRule>
  </conditionalFormatting>
  <conditionalFormatting sqref="P36">
    <cfRule type="cellIs" dxfId="2161" priority="3329" operator="equal">
      <formula>AS_DURATION_EFFORT</formula>
    </cfRule>
    <cfRule type="cellIs" dxfId="2160" priority="3330" operator="equal">
      <formula>AS_DEV_EFFORT</formula>
    </cfRule>
  </conditionalFormatting>
  <conditionalFormatting sqref="L36:M36 P36:AC36">
    <cfRule type="expression" dxfId="2159" priority="3335">
      <formula>AND($G36="Yes", $S$6="Exclude")</formula>
    </cfRule>
    <cfRule type="expression" dxfId="2158" priority="3336">
      <formula>$J36="Yes"</formula>
    </cfRule>
  </conditionalFormatting>
  <conditionalFormatting sqref="F36">
    <cfRule type="expression" dxfId="2157" priority="3328">
      <formula>$K36&lt;&gt;""</formula>
    </cfRule>
  </conditionalFormatting>
  <conditionalFormatting sqref="C36">
    <cfRule type="expression" dxfId="2156" priority="3327">
      <formula>$G36&lt;&gt;"-"</formula>
    </cfRule>
  </conditionalFormatting>
  <conditionalFormatting sqref="D36">
    <cfRule type="expression" dxfId="2155" priority="3326">
      <formula>$H36&lt;&gt;"-"</formula>
    </cfRule>
  </conditionalFormatting>
  <conditionalFormatting sqref="E36">
    <cfRule type="expression" dxfId="2154" priority="3325">
      <formula>$I36&lt;&gt;"-"</formula>
    </cfRule>
  </conditionalFormatting>
  <conditionalFormatting sqref="N35">
    <cfRule type="expression" dxfId="2153" priority="3323">
      <formula>AND($G35="Yes", $S$6="Exclude")</formula>
    </cfRule>
    <cfRule type="expression" dxfId="2152" priority="3324">
      <formula>$J35="Yes"</formula>
    </cfRule>
  </conditionalFormatting>
  <conditionalFormatting sqref="N38">
    <cfRule type="expression" dxfId="2151" priority="3321">
      <formula>AND($G38="Yes", $S$6="Exclude")</formula>
    </cfRule>
    <cfRule type="expression" dxfId="2150" priority="3322">
      <formula>$J38="Yes"</formula>
    </cfRule>
  </conditionalFormatting>
  <conditionalFormatting sqref="N37">
    <cfRule type="expression" dxfId="2149" priority="3319">
      <formula>AND($G37="Yes", $S$6="Exclude")</formula>
    </cfRule>
    <cfRule type="expression" dxfId="2148" priority="3320">
      <formula>$J37="Yes"</formula>
    </cfRule>
  </conditionalFormatting>
  <conditionalFormatting sqref="N36">
    <cfRule type="expression" dxfId="2147" priority="3317">
      <formula>AND($G36="Yes", $S$6="Exclude")</formula>
    </cfRule>
    <cfRule type="expression" dxfId="2146" priority="3318">
      <formula>$J36="Yes"</formula>
    </cfRule>
  </conditionalFormatting>
  <conditionalFormatting sqref="N39">
    <cfRule type="expression" dxfId="2145" priority="3315">
      <formula>AND($G39="Yes", $S$6="Exclude")</formula>
    </cfRule>
    <cfRule type="expression" dxfId="2144" priority="3316">
      <formula>$J39="Yes"</formula>
    </cfRule>
  </conditionalFormatting>
  <conditionalFormatting sqref="O36">
    <cfRule type="expression" dxfId="2143" priority="3313">
      <formula>AND($G36="Yes", $S$6="Exclude")</formula>
    </cfRule>
    <cfRule type="expression" dxfId="2142" priority="3314">
      <formula>$J36="Yes"</formula>
    </cfRule>
  </conditionalFormatting>
  <conditionalFormatting sqref="O37">
    <cfRule type="expression" dxfId="2141" priority="3311">
      <formula>AND($G37="Yes", $S$6="Exclude")</formula>
    </cfRule>
    <cfRule type="expression" dxfId="2140" priority="3312">
      <formula>$J37="Yes"</formula>
    </cfRule>
  </conditionalFormatting>
  <conditionalFormatting sqref="O38">
    <cfRule type="expression" dxfId="2139" priority="3309">
      <formula>AND($G38="Yes", $S$6="Exclude")</formula>
    </cfRule>
    <cfRule type="expression" dxfId="2138" priority="3310">
      <formula>$J38="Yes"</formula>
    </cfRule>
  </conditionalFormatting>
  <conditionalFormatting sqref="B45">
    <cfRule type="expression" dxfId="2137" priority="3306">
      <formula>AD45&lt;&gt;""</formula>
    </cfRule>
  </conditionalFormatting>
  <conditionalFormatting sqref="Z45">
    <cfRule type="cellIs" dxfId="2136" priority="3304" operator="greaterThan">
      <formula>0</formula>
    </cfRule>
    <cfRule type="cellIs" dxfId="2135" priority="3305" operator="lessThan">
      <formula>0</formula>
    </cfRule>
  </conditionalFormatting>
  <conditionalFormatting sqref="S45">
    <cfRule type="cellIs" dxfId="2134" priority="3303" operator="lessThan">
      <formula>0</formula>
    </cfRule>
  </conditionalFormatting>
  <conditionalFormatting sqref="P45">
    <cfRule type="cellIs" dxfId="2133" priority="3301" operator="equal">
      <formula>AS_DURATION_EFFORT</formula>
    </cfRule>
    <cfRule type="cellIs" dxfId="2132" priority="3302" operator="equal">
      <formula>AS_DEV_EFFORT</formula>
    </cfRule>
  </conditionalFormatting>
  <conditionalFormatting sqref="L45:M45 P45:AC45">
    <cfRule type="expression" dxfId="2131" priority="3307">
      <formula>AND($G45="Yes", $S$6="Exclude")</formula>
    </cfRule>
    <cfRule type="expression" dxfId="2130" priority="3308">
      <formula>$J45="Yes"</formula>
    </cfRule>
  </conditionalFormatting>
  <conditionalFormatting sqref="F45">
    <cfRule type="expression" dxfId="2129" priority="3300">
      <formula>$K45&lt;&gt;""</formula>
    </cfRule>
  </conditionalFormatting>
  <conditionalFormatting sqref="C45">
    <cfRule type="expression" dxfId="2128" priority="3299">
      <formula>$G45&lt;&gt;"-"</formula>
    </cfRule>
  </conditionalFormatting>
  <conditionalFormatting sqref="D45">
    <cfRule type="expression" dxfId="2127" priority="3298">
      <formula>$H45&lt;&gt;"-"</formula>
    </cfRule>
  </conditionalFormatting>
  <conditionalFormatting sqref="E45">
    <cfRule type="expression" dxfId="2126" priority="3297">
      <formula>$I45&lt;&gt;"-"</formula>
    </cfRule>
  </conditionalFormatting>
  <conditionalFormatting sqref="B44">
    <cfRule type="expression" dxfId="2125" priority="3294">
      <formula>AD44&lt;&gt;""</formula>
    </cfRule>
  </conditionalFormatting>
  <conditionalFormatting sqref="Z44">
    <cfRule type="cellIs" dxfId="2124" priority="3292" operator="greaterThan">
      <formula>0</formula>
    </cfRule>
    <cfRule type="cellIs" dxfId="2123" priority="3293" operator="lessThan">
      <formula>0</formula>
    </cfRule>
  </conditionalFormatting>
  <conditionalFormatting sqref="S44">
    <cfRule type="cellIs" dxfId="2122" priority="3291" operator="lessThan">
      <formula>0</formula>
    </cfRule>
  </conditionalFormatting>
  <conditionalFormatting sqref="P44">
    <cfRule type="cellIs" dxfId="2121" priority="3289" operator="equal">
      <formula>AS_DURATION_EFFORT</formula>
    </cfRule>
    <cfRule type="cellIs" dxfId="2120" priority="3290" operator="equal">
      <formula>AS_DEV_EFFORT</formula>
    </cfRule>
  </conditionalFormatting>
  <conditionalFormatting sqref="L44:M44 P44:AC44">
    <cfRule type="expression" dxfId="2119" priority="3295">
      <formula>AND($G44="Yes", $S$6="Exclude")</formula>
    </cfRule>
    <cfRule type="expression" dxfId="2118" priority="3296">
      <formula>$J44="Yes"</formula>
    </cfRule>
  </conditionalFormatting>
  <conditionalFormatting sqref="F44">
    <cfRule type="expression" dxfId="2117" priority="3288">
      <formula>$K44&lt;&gt;""</formula>
    </cfRule>
  </conditionalFormatting>
  <conditionalFormatting sqref="C44">
    <cfRule type="expression" dxfId="2116" priority="3287">
      <formula>$G44&lt;&gt;"-"</formula>
    </cfRule>
  </conditionalFormatting>
  <conditionalFormatting sqref="D44">
    <cfRule type="expression" dxfId="2115" priority="3286">
      <formula>$H44&lt;&gt;"-"</formula>
    </cfRule>
  </conditionalFormatting>
  <conditionalFormatting sqref="E44">
    <cfRule type="expression" dxfId="2114" priority="3285">
      <formula>$I44&lt;&gt;"-"</formula>
    </cfRule>
  </conditionalFormatting>
  <conditionalFormatting sqref="N43:O45">
    <cfRule type="expression" dxfId="2113" priority="3283">
      <formula>AND($G43="Yes", $S$6="Exclude")</formula>
    </cfRule>
    <cfRule type="expression" dxfId="2112" priority="3284">
      <formula>$J43="Yes"</formula>
    </cfRule>
  </conditionalFormatting>
  <conditionalFormatting sqref="P43">
    <cfRule type="cellIs" dxfId="2111" priority="3281" operator="equal">
      <formula>AS_DURATION_EFFORT</formula>
    </cfRule>
    <cfRule type="cellIs" dxfId="2110" priority="3282" operator="equal">
      <formula>AS_DEV_EFFORT</formula>
    </cfRule>
  </conditionalFormatting>
  <conditionalFormatting sqref="B54">
    <cfRule type="expression" dxfId="2109" priority="3278">
      <formula>AD54&lt;&gt;""</formula>
    </cfRule>
  </conditionalFormatting>
  <conditionalFormatting sqref="Z54">
    <cfRule type="cellIs" dxfId="2108" priority="3276" operator="greaterThan">
      <formula>0</formula>
    </cfRule>
    <cfRule type="cellIs" dxfId="2107" priority="3277" operator="lessThan">
      <formula>0</formula>
    </cfRule>
  </conditionalFormatting>
  <conditionalFormatting sqref="S54">
    <cfRule type="cellIs" dxfId="2106" priority="3275" operator="lessThan">
      <formula>0</formula>
    </cfRule>
  </conditionalFormatting>
  <conditionalFormatting sqref="P54">
    <cfRule type="cellIs" dxfId="2105" priority="3273" operator="equal">
      <formula>AS_DURATION_EFFORT</formula>
    </cfRule>
    <cfRule type="cellIs" dxfId="2104" priority="3274" operator="equal">
      <formula>AS_DEV_EFFORT</formula>
    </cfRule>
  </conditionalFormatting>
  <conditionalFormatting sqref="L54:M54 O54:AC54">
    <cfRule type="expression" dxfId="2103" priority="3279">
      <formula>AND($G54="Yes", $S$6="Exclude")</formula>
    </cfRule>
    <cfRule type="expression" dxfId="2102" priority="3280">
      <formula>$J54="Yes"</formula>
    </cfRule>
  </conditionalFormatting>
  <conditionalFormatting sqref="F54">
    <cfRule type="expression" dxfId="2101" priority="3272">
      <formula>$K54&lt;&gt;""</formula>
    </cfRule>
  </conditionalFormatting>
  <conditionalFormatting sqref="C54">
    <cfRule type="expression" dxfId="2100" priority="3271">
      <formula>$G54&lt;&gt;"-"</formula>
    </cfRule>
  </conditionalFormatting>
  <conditionalFormatting sqref="D54">
    <cfRule type="expression" dxfId="2099" priority="3270">
      <formula>$H54&lt;&gt;"-"</formula>
    </cfRule>
  </conditionalFormatting>
  <conditionalFormatting sqref="E54">
    <cfRule type="expression" dxfId="2098" priority="3269">
      <formula>$I54&lt;&gt;"-"</formula>
    </cfRule>
  </conditionalFormatting>
  <conditionalFormatting sqref="B53">
    <cfRule type="expression" dxfId="2097" priority="3266">
      <formula>AD53&lt;&gt;""</formula>
    </cfRule>
  </conditionalFormatting>
  <conditionalFormatting sqref="Z53">
    <cfRule type="cellIs" dxfId="2096" priority="3264" operator="greaterThan">
      <formula>0</formula>
    </cfRule>
    <cfRule type="cellIs" dxfId="2095" priority="3265" operator="lessThan">
      <formula>0</formula>
    </cfRule>
  </conditionalFormatting>
  <conditionalFormatting sqref="S53">
    <cfRule type="cellIs" dxfId="2094" priority="3263" operator="lessThan">
      <formula>0</formula>
    </cfRule>
  </conditionalFormatting>
  <conditionalFormatting sqref="P53">
    <cfRule type="cellIs" dxfId="2093" priority="3261" operator="equal">
      <formula>AS_DURATION_EFFORT</formula>
    </cfRule>
    <cfRule type="cellIs" dxfId="2092" priority="3262" operator="equal">
      <formula>AS_DEV_EFFORT</formula>
    </cfRule>
  </conditionalFormatting>
  <conditionalFormatting sqref="L53:M53 O53:AC53">
    <cfRule type="expression" dxfId="2091" priority="3267">
      <formula>AND($G53="Yes", $S$6="Exclude")</formula>
    </cfRule>
    <cfRule type="expression" dxfId="2090" priority="3268">
      <formula>$J53="Yes"</formula>
    </cfRule>
  </conditionalFormatting>
  <conditionalFormatting sqref="F53">
    <cfRule type="expression" dxfId="2089" priority="3260">
      <formula>$K53&lt;&gt;""</formula>
    </cfRule>
  </conditionalFormatting>
  <conditionalFormatting sqref="C53">
    <cfRule type="expression" dxfId="2088" priority="3259">
      <formula>$G53&lt;&gt;"-"</formula>
    </cfRule>
  </conditionalFormatting>
  <conditionalFormatting sqref="D53">
    <cfRule type="expression" dxfId="2087" priority="3258">
      <formula>$H53&lt;&gt;"-"</formula>
    </cfRule>
  </conditionalFormatting>
  <conditionalFormatting sqref="E53">
    <cfRule type="expression" dxfId="2086" priority="3257">
      <formula>$I53&lt;&gt;"-"</formula>
    </cfRule>
  </conditionalFormatting>
  <conditionalFormatting sqref="B52">
    <cfRule type="expression" dxfId="2085" priority="3254">
      <formula>AD52&lt;&gt;""</formula>
    </cfRule>
  </conditionalFormatting>
  <conditionalFormatting sqref="Z52">
    <cfRule type="cellIs" dxfId="2084" priority="3252" operator="greaterThan">
      <formula>0</formula>
    </cfRule>
    <cfRule type="cellIs" dxfId="2083" priority="3253" operator="lessThan">
      <formula>0</formula>
    </cfRule>
  </conditionalFormatting>
  <conditionalFormatting sqref="S52">
    <cfRule type="cellIs" dxfId="2082" priority="3251" operator="lessThan">
      <formula>0</formula>
    </cfRule>
  </conditionalFormatting>
  <conditionalFormatting sqref="P52">
    <cfRule type="cellIs" dxfId="2081" priority="3249" operator="equal">
      <formula>AS_DURATION_EFFORT</formula>
    </cfRule>
    <cfRule type="cellIs" dxfId="2080" priority="3250" operator="equal">
      <formula>AS_DEV_EFFORT</formula>
    </cfRule>
  </conditionalFormatting>
  <conditionalFormatting sqref="L52:M52 O52:AC52">
    <cfRule type="expression" dxfId="2079" priority="3255">
      <formula>AND($G52="Yes", $S$6="Exclude")</formula>
    </cfRule>
    <cfRule type="expression" dxfId="2078" priority="3256">
      <formula>$J52="Yes"</formula>
    </cfRule>
  </conditionalFormatting>
  <conditionalFormatting sqref="F52">
    <cfRule type="expression" dxfId="2077" priority="3248">
      <formula>$K52&lt;&gt;""</formula>
    </cfRule>
  </conditionalFormatting>
  <conditionalFormatting sqref="C52">
    <cfRule type="expression" dxfId="2076" priority="3247">
      <formula>$G52&lt;&gt;"-"</formula>
    </cfRule>
  </conditionalFormatting>
  <conditionalFormatting sqref="D52">
    <cfRule type="expression" dxfId="2075" priority="3246">
      <formula>$H52&lt;&gt;"-"</formula>
    </cfRule>
  </conditionalFormatting>
  <conditionalFormatting sqref="E52">
    <cfRule type="expression" dxfId="2074" priority="3245">
      <formula>$I52&lt;&gt;"-"</formula>
    </cfRule>
  </conditionalFormatting>
  <conditionalFormatting sqref="B51">
    <cfRule type="expression" dxfId="2073" priority="3242">
      <formula>AD51&lt;&gt;""</formula>
    </cfRule>
  </conditionalFormatting>
  <conditionalFormatting sqref="Z51">
    <cfRule type="cellIs" dxfId="2072" priority="3240" operator="greaterThan">
      <formula>0</formula>
    </cfRule>
    <cfRule type="cellIs" dxfId="2071" priority="3241" operator="lessThan">
      <formula>0</formula>
    </cfRule>
  </conditionalFormatting>
  <conditionalFormatting sqref="S51">
    <cfRule type="cellIs" dxfId="2070" priority="3239" operator="lessThan">
      <formula>0</formula>
    </cfRule>
  </conditionalFormatting>
  <conditionalFormatting sqref="P51">
    <cfRule type="cellIs" dxfId="2069" priority="3237" operator="equal">
      <formula>AS_DURATION_EFFORT</formula>
    </cfRule>
    <cfRule type="cellIs" dxfId="2068" priority="3238" operator="equal">
      <formula>AS_DEV_EFFORT</formula>
    </cfRule>
  </conditionalFormatting>
  <conditionalFormatting sqref="L51:M51 O51:AC51">
    <cfRule type="expression" dxfId="2067" priority="3243">
      <formula>AND($G51="Yes", $S$6="Exclude")</formula>
    </cfRule>
    <cfRule type="expression" dxfId="2066" priority="3244">
      <formula>$J51="Yes"</formula>
    </cfRule>
  </conditionalFormatting>
  <conditionalFormatting sqref="F51">
    <cfRule type="expression" dxfId="2065" priority="3236">
      <formula>$K51&lt;&gt;""</formula>
    </cfRule>
  </conditionalFormatting>
  <conditionalFormatting sqref="C51">
    <cfRule type="expression" dxfId="2064" priority="3235">
      <formula>$G51&lt;&gt;"-"</formula>
    </cfRule>
  </conditionalFormatting>
  <conditionalFormatting sqref="D51">
    <cfRule type="expression" dxfId="2063" priority="3234">
      <formula>$H51&lt;&gt;"-"</formula>
    </cfRule>
  </conditionalFormatting>
  <conditionalFormatting sqref="E51">
    <cfRule type="expression" dxfId="2062" priority="3233">
      <formula>$I51&lt;&gt;"-"</formula>
    </cfRule>
  </conditionalFormatting>
  <conditionalFormatting sqref="B50">
    <cfRule type="expression" dxfId="2061" priority="3230">
      <formula>AD50&lt;&gt;""</formula>
    </cfRule>
  </conditionalFormatting>
  <conditionalFormatting sqref="Z50">
    <cfRule type="cellIs" dxfId="2060" priority="3228" operator="greaterThan">
      <formula>0</formula>
    </cfRule>
    <cfRule type="cellIs" dxfId="2059" priority="3229" operator="lessThan">
      <formula>0</formula>
    </cfRule>
  </conditionalFormatting>
  <conditionalFormatting sqref="S50">
    <cfRule type="cellIs" dxfId="2058" priority="3227" operator="lessThan">
      <formula>0</formula>
    </cfRule>
  </conditionalFormatting>
  <conditionalFormatting sqref="P50">
    <cfRule type="cellIs" dxfId="2057" priority="3225" operator="equal">
      <formula>AS_DURATION_EFFORT</formula>
    </cfRule>
    <cfRule type="cellIs" dxfId="2056" priority="3226" operator="equal">
      <formula>AS_DEV_EFFORT</formula>
    </cfRule>
  </conditionalFormatting>
  <conditionalFormatting sqref="L50:M50 O50:AC50">
    <cfRule type="expression" dxfId="2055" priority="3231">
      <formula>AND($G50="Yes", $S$6="Exclude")</formula>
    </cfRule>
    <cfRule type="expression" dxfId="2054" priority="3232">
      <formula>$J50="Yes"</formula>
    </cfRule>
  </conditionalFormatting>
  <conditionalFormatting sqref="F50">
    <cfRule type="expression" dxfId="2053" priority="3224">
      <formula>$K50&lt;&gt;""</formula>
    </cfRule>
  </conditionalFormatting>
  <conditionalFormatting sqref="C50">
    <cfRule type="expression" dxfId="2052" priority="3223">
      <formula>$G50&lt;&gt;"-"</formula>
    </cfRule>
  </conditionalFormatting>
  <conditionalFormatting sqref="D50">
    <cfRule type="expression" dxfId="2051" priority="3222">
      <formula>$H50&lt;&gt;"-"</formula>
    </cfRule>
  </conditionalFormatting>
  <conditionalFormatting sqref="E50">
    <cfRule type="expression" dxfId="2050" priority="3221">
      <formula>$I50&lt;&gt;"-"</formula>
    </cfRule>
  </conditionalFormatting>
  <conditionalFormatting sqref="N49:N54">
    <cfRule type="expression" dxfId="2049" priority="3219">
      <formula>AND($G49="Yes", $S$6="Exclude")</formula>
    </cfRule>
    <cfRule type="expression" dxfId="2048" priority="3220">
      <formula>$J49="Yes"</formula>
    </cfRule>
  </conditionalFormatting>
  <conditionalFormatting sqref="B61">
    <cfRule type="expression" dxfId="2047" priority="3216">
      <formula>AD61&lt;&gt;""</formula>
    </cfRule>
  </conditionalFormatting>
  <conditionalFormatting sqref="Z61">
    <cfRule type="cellIs" dxfId="2046" priority="3214" operator="greaterThan">
      <formula>0</formula>
    </cfRule>
    <cfRule type="cellIs" dxfId="2045" priority="3215" operator="lessThan">
      <formula>0</formula>
    </cfRule>
  </conditionalFormatting>
  <conditionalFormatting sqref="S61">
    <cfRule type="cellIs" dxfId="2044" priority="3213" operator="lessThan">
      <formula>0</formula>
    </cfRule>
  </conditionalFormatting>
  <conditionalFormatting sqref="P61">
    <cfRule type="cellIs" dxfId="2043" priority="3211" operator="equal">
      <formula>AS_DURATION_EFFORT</formula>
    </cfRule>
    <cfRule type="cellIs" dxfId="2042" priority="3212" operator="equal">
      <formula>AS_DEV_EFFORT</formula>
    </cfRule>
  </conditionalFormatting>
  <conditionalFormatting sqref="F61">
    <cfRule type="expression" dxfId="2041" priority="3210">
      <formula>$K61&lt;&gt;""</formula>
    </cfRule>
  </conditionalFormatting>
  <conditionalFormatting sqref="C61">
    <cfRule type="expression" dxfId="2040" priority="3209">
      <formula>$G61&lt;&gt;"-"</formula>
    </cfRule>
  </conditionalFormatting>
  <conditionalFormatting sqref="D61">
    <cfRule type="expression" dxfId="2039" priority="3208">
      <formula>$H61&lt;&gt;"-"</formula>
    </cfRule>
  </conditionalFormatting>
  <conditionalFormatting sqref="E61">
    <cfRule type="expression" dxfId="2038" priority="3207">
      <formula>$I61&lt;&gt;"-"</formula>
    </cfRule>
  </conditionalFormatting>
  <conditionalFormatting sqref="B60">
    <cfRule type="expression" dxfId="2037" priority="3204">
      <formula>AD60&lt;&gt;""</formula>
    </cfRule>
  </conditionalFormatting>
  <conditionalFormatting sqref="Z60">
    <cfRule type="cellIs" dxfId="2036" priority="3202" operator="greaterThan">
      <formula>0</formula>
    </cfRule>
    <cfRule type="cellIs" dxfId="2035" priority="3203" operator="lessThan">
      <formula>0</formula>
    </cfRule>
  </conditionalFormatting>
  <conditionalFormatting sqref="S60">
    <cfRule type="cellIs" dxfId="2034" priority="3201" operator="lessThan">
      <formula>0</formula>
    </cfRule>
  </conditionalFormatting>
  <conditionalFormatting sqref="P60">
    <cfRule type="cellIs" dxfId="2033" priority="3199" operator="equal">
      <formula>AS_DURATION_EFFORT</formula>
    </cfRule>
    <cfRule type="cellIs" dxfId="2032" priority="3200" operator="equal">
      <formula>AS_DEV_EFFORT</formula>
    </cfRule>
  </conditionalFormatting>
  <conditionalFormatting sqref="F60">
    <cfRule type="expression" dxfId="2031" priority="3198">
      <formula>$K60&lt;&gt;""</formula>
    </cfRule>
  </conditionalFormatting>
  <conditionalFormatting sqref="C60">
    <cfRule type="expression" dxfId="2030" priority="3197">
      <formula>$G60&lt;&gt;"-"</formula>
    </cfRule>
  </conditionalFormatting>
  <conditionalFormatting sqref="D60">
    <cfRule type="expression" dxfId="2029" priority="3196">
      <formula>$H60&lt;&gt;"-"</formula>
    </cfRule>
  </conditionalFormatting>
  <conditionalFormatting sqref="E60">
    <cfRule type="expression" dxfId="2028" priority="3195">
      <formula>$I60&lt;&gt;"-"</formula>
    </cfRule>
  </conditionalFormatting>
  <conditionalFormatting sqref="B59">
    <cfRule type="expression" dxfId="2027" priority="3180">
      <formula>AD59&lt;&gt;""</formula>
    </cfRule>
  </conditionalFormatting>
  <conditionalFormatting sqref="Z59">
    <cfRule type="cellIs" dxfId="2026" priority="3178" operator="greaterThan">
      <formula>0</formula>
    </cfRule>
    <cfRule type="cellIs" dxfId="2025" priority="3179" operator="lessThan">
      <formula>0</formula>
    </cfRule>
  </conditionalFormatting>
  <conditionalFormatting sqref="S59">
    <cfRule type="cellIs" dxfId="2024" priority="3177" operator="lessThan">
      <formula>0</formula>
    </cfRule>
  </conditionalFormatting>
  <conditionalFormatting sqref="P59">
    <cfRule type="cellIs" dxfId="2023" priority="3175" operator="equal">
      <formula>AS_DURATION_EFFORT</formula>
    </cfRule>
    <cfRule type="cellIs" dxfId="2022" priority="3176" operator="equal">
      <formula>AS_DEV_EFFORT</formula>
    </cfRule>
  </conditionalFormatting>
  <conditionalFormatting sqref="L59:M59 P59:AC59">
    <cfRule type="expression" dxfId="2021" priority="3181">
      <formula>AND($G59="Yes", $S$6="Exclude")</formula>
    </cfRule>
    <cfRule type="expression" dxfId="2020" priority="3182">
      <formula>$J59="Yes"</formula>
    </cfRule>
  </conditionalFormatting>
  <conditionalFormatting sqref="F59">
    <cfRule type="expression" dxfId="2019" priority="3174">
      <formula>$K59&lt;&gt;""</formula>
    </cfRule>
  </conditionalFormatting>
  <conditionalFormatting sqref="C59">
    <cfRule type="expression" dxfId="2018" priority="3173">
      <formula>$G59&lt;&gt;"-"</formula>
    </cfRule>
  </conditionalFormatting>
  <conditionalFormatting sqref="D59">
    <cfRule type="expression" dxfId="2017" priority="3172">
      <formula>$H59&lt;&gt;"-"</formula>
    </cfRule>
  </conditionalFormatting>
  <conditionalFormatting sqref="E59">
    <cfRule type="expression" dxfId="2016" priority="3171">
      <formula>$I59&lt;&gt;"-"</formula>
    </cfRule>
  </conditionalFormatting>
  <conditionalFormatting sqref="B376">
    <cfRule type="expression" dxfId="2015" priority="3163">
      <formula>AD376&lt;&gt;""</formula>
    </cfRule>
  </conditionalFormatting>
  <conditionalFormatting sqref="Z376">
    <cfRule type="cellIs" dxfId="2014" priority="3161" operator="greaterThan">
      <formula>0</formula>
    </cfRule>
    <cfRule type="cellIs" dxfId="2013" priority="3162" operator="lessThan">
      <formula>0</formula>
    </cfRule>
  </conditionalFormatting>
  <conditionalFormatting sqref="S376">
    <cfRule type="cellIs" dxfId="2012" priority="3160" operator="lessThan">
      <formula>0</formula>
    </cfRule>
  </conditionalFormatting>
  <conditionalFormatting sqref="T374:T375">
    <cfRule type="expression" dxfId="2011" priority="3164">
      <formula>#REF!="Yes"</formula>
    </cfRule>
  </conditionalFormatting>
  <conditionalFormatting sqref="P376">
    <cfRule type="cellIs" dxfId="2010" priority="3158" operator="equal">
      <formula>AS_DURATION_EFFORT</formula>
    </cfRule>
    <cfRule type="cellIs" dxfId="2009" priority="3159" operator="equal">
      <formula>AS_DEV_EFFORT</formula>
    </cfRule>
  </conditionalFormatting>
  <conditionalFormatting sqref="B374:B375">
    <cfRule type="expression" dxfId="2008" priority="3157">
      <formula>AD374&lt;&gt;""</formula>
    </cfRule>
  </conditionalFormatting>
  <conditionalFormatting sqref="F376">
    <cfRule type="expression" dxfId="2007" priority="3156">
      <formula>$K376&lt;&gt;""</formula>
    </cfRule>
  </conditionalFormatting>
  <conditionalFormatting sqref="C376">
    <cfRule type="expression" dxfId="2006" priority="3155">
      <formula>$G376&lt;&gt;"-"</formula>
    </cfRule>
  </conditionalFormatting>
  <conditionalFormatting sqref="D376">
    <cfRule type="expression" dxfId="2005" priority="3154">
      <formula>$H376&lt;&gt;"-"</formula>
    </cfRule>
  </conditionalFormatting>
  <conditionalFormatting sqref="E376">
    <cfRule type="expression" dxfId="2004" priority="3153">
      <formula>$I376&lt;&gt;"-"</formula>
    </cfRule>
  </conditionalFormatting>
  <conditionalFormatting sqref="B377">
    <cfRule type="expression" dxfId="2003" priority="3148">
      <formula>AD377&lt;&gt;""</formula>
    </cfRule>
  </conditionalFormatting>
  <conditionalFormatting sqref="Z377">
    <cfRule type="cellIs" dxfId="2002" priority="3146" operator="greaterThan">
      <formula>0</formula>
    </cfRule>
    <cfRule type="cellIs" dxfId="2001" priority="3147" operator="lessThan">
      <formula>0</formula>
    </cfRule>
  </conditionalFormatting>
  <conditionalFormatting sqref="S377">
    <cfRule type="cellIs" dxfId="2000" priority="3145" operator="lessThan">
      <formula>0</formula>
    </cfRule>
  </conditionalFormatting>
  <conditionalFormatting sqref="P377">
    <cfRule type="cellIs" dxfId="1999" priority="3143" operator="equal">
      <formula>AS_DURATION_EFFORT</formula>
    </cfRule>
    <cfRule type="cellIs" dxfId="1998" priority="3144" operator="equal">
      <formula>AS_DEV_EFFORT</formula>
    </cfRule>
  </conditionalFormatting>
  <conditionalFormatting sqref="F377">
    <cfRule type="expression" dxfId="1997" priority="3142">
      <formula>$K377&lt;&gt;""</formula>
    </cfRule>
  </conditionalFormatting>
  <conditionalFormatting sqref="C377">
    <cfRule type="expression" dxfId="1996" priority="3141">
      <formula>$G377&lt;&gt;"-"</formula>
    </cfRule>
  </conditionalFormatting>
  <conditionalFormatting sqref="D377">
    <cfRule type="expression" dxfId="1995" priority="3140">
      <formula>$H377&lt;&gt;"-"</formula>
    </cfRule>
  </conditionalFormatting>
  <conditionalFormatting sqref="E377">
    <cfRule type="expression" dxfId="1994" priority="3139">
      <formula>$I377&lt;&gt;"-"</formula>
    </cfRule>
  </conditionalFormatting>
  <conditionalFormatting sqref="B392">
    <cfRule type="expression" dxfId="1993" priority="2737">
      <formula>AD392&lt;&gt;""</formula>
    </cfRule>
  </conditionalFormatting>
  <conditionalFormatting sqref="Z392">
    <cfRule type="cellIs" dxfId="1992" priority="2735" operator="greaterThan">
      <formula>0</formula>
    </cfRule>
    <cfRule type="cellIs" dxfId="1991" priority="2736" operator="lessThan">
      <formula>0</formula>
    </cfRule>
  </conditionalFormatting>
  <conditionalFormatting sqref="S392">
    <cfRule type="cellIs" dxfId="1990" priority="2734" operator="lessThan">
      <formula>0</formula>
    </cfRule>
  </conditionalFormatting>
  <conditionalFormatting sqref="T390:T391">
    <cfRule type="expression" dxfId="1989" priority="2738">
      <formula>#REF!="Yes"</formula>
    </cfRule>
  </conditionalFormatting>
  <conditionalFormatting sqref="P392">
    <cfRule type="cellIs" dxfId="1988" priority="2732" operator="equal">
      <formula>AS_DURATION_EFFORT</formula>
    </cfRule>
    <cfRule type="cellIs" dxfId="1987" priority="2733" operator="equal">
      <formula>AS_DEV_EFFORT</formula>
    </cfRule>
  </conditionalFormatting>
  <conditionalFormatting sqref="B390:B391">
    <cfRule type="expression" dxfId="1986" priority="2731">
      <formula>AD390&lt;&gt;""</formula>
    </cfRule>
  </conditionalFormatting>
  <conditionalFormatting sqref="F392">
    <cfRule type="expression" dxfId="1985" priority="2730">
      <formula>$K392&lt;&gt;""</formula>
    </cfRule>
  </conditionalFormatting>
  <conditionalFormatting sqref="C392">
    <cfRule type="expression" dxfId="1984" priority="2729">
      <formula>$G392&lt;&gt;"-"</formula>
    </cfRule>
  </conditionalFormatting>
  <conditionalFormatting sqref="D392">
    <cfRule type="expression" dxfId="1983" priority="2728">
      <formula>$H392&lt;&gt;"-"</formula>
    </cfRule>
  </conditionalFormatting>
  <conditionalFormatting sqref="E392">
    <cfRule type="expression" dxfId="1982" priority="2727">
      <formula>$I392&lt;&gt;"-"</formula>
    </cfRule>
  </conditionalFormatting>
  <conditionalFormatting sqref="B393">
    <cfRule type="expression" dxfId="1981" priority="2726">
      <formula>AD393&lt;&gt;""</formula>
    </cfRule>
  </conditionalFormatting>
  <conditionalFormatting sqref="Z393">
    <cfRule type="cellIs" dxfId="1980" priority="2724" operator="greaterThan">
      <formula>0</formula>
    </cfRule>
    <cfRule type="cellIs" dxfId="1979" priority="2725" operator="lessThan">
      <formula>0</formula>
    </cfRule>
  </conditionalFormatting>
  <conditionalFormatting sqref="S393">
    <cfRule type="cellIs" dxfId="1978" priority="2723" operator="lessThan">
      <formula>0</formula>
    </cfRule>
  </conditionalFormatting>
  <conditionalFormatting sqref="P393">
    <cfRule type="cellIs" dxfId="1977" priority="2721" operator="equal">
      <formula>AS_DURATION_EFFORT</formula>
    </cfRule>
    <cfRule type="cellIs" dxfId="1976" priority="2722" operator="equal">
      <formula>AS_DEV_EFFORT</formula>
    </cfRule>
  </conditionalFormatting>
  <conditionalFormatting sqref="F393">
    <cfRule type="expression" dxfId="1975" priority="2720">
      <formula>$K393&lt;&gt;""</formula>
    </cfRule>
  </conditionalFormatting>
  <conditionalFormatting sqref="C393">
    <cfRule type="expression" dxfId="1974" priority="2719">
      <formula>$G393&lt;&gt;"-"</formula>
    </cfRule>
  </conditionalFormatting>
  <conditionalFormatting sqref="D393">
    <cfRule type="expression" dxfId="1973" priority="2718">
      <formula>$H393&lt;&gt;"-"</formula>
    </cfRule>
  </conditionalFormatting>
  <conditionalFormatting sqref="E393">
    <cfRule type="expression" dxfId="1972" priority="2717">
      <formula>$I393&lt;&gt;"-"</formula>
    </cfRule>
  </conditionalFormatting>
  <conditionalFormatting sqref="B394">
    <cfRule type="expression" dxfId="1971" priority="2716">
      <formula>AD394&lt;&gt;""</formula>
    </cfRule>
  </conditionalFormatting>
  <conditionalFormatting sqref="Z394">
    <cfRule type="cellIs" dxfId="1970" priority="2714" operator="greaterThan">
      <formula>0</formula>
    </cfRule>
    <cfRule type="cellIs" dxfId="1969" priority="2715" operator="lessThan">
      <formula>0</formula>
    </cfRule>
  </conditionalFormatting>
  <conditionalFormatting sqref="S394">
    <cfRule type="cellIs" dxfId="1968" priority="2713" operator="lessThan">
      <formula>0</formula>
    </cfRule>
  </conditionalFormatting>
  <conditionalFormatting sqref="P394">
    <cfRule type="cellIs" dxfId="1967" priority="2711" operator="equal">
      <formula>AS_DURATION_EFFORT</formula>
    </cfRule>
    <cfRule type="cellIs" dxfId="1966" priority="2712" operator="equal">
      <formula>AS_DEV_EFFORT</formula>
    </cfRule>
  </conditionalFormatting>
  <conditionalFormatting sqref="F394">
    <cfRule type="expression" dxfId="1965" priority="2710">
      <formula>$K394&lt;&gt;""</formula>
    </cfRule>
  </conditionalFormatting>
  <conditionalFormatting sqref="C394">
    <cfRule type="expression" dxfId="1964" priority="2709">
      <formula>$G394&lt;&gt;"-"</formula>
    </cfRule>
  </conditionalFormatting>
  <conditionalFormatting sqref="D394">
    <cfRule type="expression" dxfId="1963" priority="2708">
      <formula>$H394&lt;&gt;"-"</formula>
    </cfRule>
  </conditionalFormatting>
  <conditionalFormatting sqref="E394">
    <cfRule type="expression" dxfId="1962" priority="2707">
      <formula>$I394&lt;&gt;"-"</formula>
    </cfRule>
  </conditionalFormatting>
  <conditionalFormatting sqref="B395">
    <cfRule type="expression" dxfId="1961" priority="2706">
      <formula>AD395&lt;&gt;""</formula>
    </cfRule>
  </conditionalFormatting>
  <conditionalFormatting sqref="Z395">
    <cfRule type="cellIs" dxfId="1960" priority="2704" operator="greaterThan">
      <formula>0</formula>
    </cfRule>
    <cfRule type="cellIs" dxfId="1959" priority="2705" operator="lessThan">
      <formula>0</formula>
    </cfRule>
  </conditionalFormatting>
  <conditionalFormatting sqref="S395">
    <cfRule type="cellIs" dxfId="1958" priority="2703" operator="lessThan">
      <formula>0</formula>
    </cfRule>
  </conditionalFormatting>
  <conditionalFormatting sqref="P395">
    <cfRule type="cellIs" dxfId="1957" priority="2701" operator="equal">
      <formula>AS_DURATION_EFFORT</formula>
    </cfRule>
    <cfRule type="cellIs" dxfId="1956" priority="2702" operator="equal">
      <formula>AS_DEV_EFFORT</formula>
    </cfRule>
  </conditionalFormatting>
  <conditionalFormatting sqref="F395">
    <cfRule type="expression" dxfId="1955" priority="2700">
      <formula>$K395&lt;&gt;""</formula>
    </cfRule>
  </conditionalFormatting>
  <conditionalFormatting sqref="C395">
    <cfRule type="expression" dxfId="1954" priority="2699">
      <formula>$G395&lt;&gt;"-"</formula>
    </cfRule>
  </conditionalFormatting>
  <conditionalFormatting sqref="D395">
    <cfRule type="expression" dxfId="1953" priority="2698">
      <formula>$H395&lt;&gt;"-"</formula>
    </cfRule>
  </conditionalFormatting>
  <conditionalFormatting sqref="E395">
    <cfRule type="expression" dxfId="1952" priority="2697">
      <formula>$I395&lt;&gt;"-"</formula>
    </cfRule>
  </conditionalFormatting>
  <conditionalFormatting sqref="B386">
    <cfRule type="expression" dxfId="1951" priority="2693">
      <formula>AD386&lt;&gt;""</formula>
    </cfRule>
  </conditionalFormatting>
  <conditionalFormatting sqref="Z386">
    <cfRule type="cellIs" dxfId="1950" priority="2691" operator="greaterThan">
      <formula>0</formula>
    </cfRule>
    <cfRule type="cellIs" dxfId="1949" priority="2692" operator="lessThan">
      <formula>0</formula>
    </cfRule>
  </conditionalFormatting>
  <conditionalFormatting sqref="S386">
    <cfRule type="cellIs" dxfId="1948" priority="2690" operator="lessThan">
      <formula>0</formula>
    </cfRule>
  </conditionalFormatting>
  <conditionalFormatting sqref="T384:T385">
    <cfRule type="expression" dxfId="1947" priority="2694">
      <formula>#REF!="Yes"</formula>
    </cfRule>
  </conditionalFormatting>
  <conditionalFormatting sqref="P386">
    <cfRule type="cellIs" dxfId="1946" priority="2688" operator="equal">
      <formula>AS_DURATION_EFFORT</formula>
    </cfRule>
    <cfRule type="cellIs" dxfId="1945" priority="2689" operator="equal">
      <formula>AS_DEV_EFFORT</formula>
    </cfRule>
  </conditionalFormatting>
  <conditionalFormatting sqref="B384:B385">
    <cfRule type="expression" dxfId="1944" priority="2687">
      <formula>AD384&lt;&gt;""</formula>
    </cfRule>
  </conditionalFormatting>
  <conditionalFormatting sqref="F386">
    <cfRule type="expression" dxfId="1943" priority="2686">
      <formula>$K386&lt;&gt;""</formula>
    </cfRule>
  </conditionalFormatting>
  <conditionalFormatting sqref="C386">
    <cfRule type="expression" dxfId="1942" priority="2685">
      <formula>$G386&lt;&gt;"-"</formula>
    </cfRule>
  </conditionalFormatting>
  <conditionalFormatting sqref="D386">
    <cfRule type="expression" dxfId="1941" priority="2684">
      <formula>$H386&lt;&gt;"-"</formula>
    </cfRule>
  </conditionalFormatting>
  <conditionalFormatting sqref="E386">
    <cfRule type="expression" dxfId="1940" priority="2683">
      <formula>$I386&lt;&gt;"-"</formula>
    </cfRule>
  </conditionalFormatting>
  <conditionalFormatting sqref="B387">
    <cfRule type="expression" dxfId="1939" priority="2678">
      <formula>AD387&lt;&gt;""</formula>
    </cfRule>
  </conditionalFormatting>
  <conditionalFormatting sqref="Z387">
    <cfRule type="cellIs" dxfId="1938" priority="2676" operator="greaterThan">
      <formula>0</formula>
    </cfRule>
    <cfRule type="cellIs" dxfId="1937" priority="2677" operator="lessThan">
      <formula>0</formula>
    </cfRule>
  </conditionalFormatting>
  <conditionalFormatting sqref="S387">
    <cfRule type="cellIs" dxfId="1936" priority="2675" operator="lessThan">
      <formula>0</formula>
    </cfRule>
  </conditionalFormatting>
  <conditionalFormatting sqref="F387">
    <cfRule type="expression" dxfId="1935" priority="2672">
      <formula>$K387&lt;&gt;""</formula>
    </cfRule>
  </conditionalFormatting>
  <conditionalFormatting sqref="C387">
    <cfRule type="expression" dxfId="1934" priority="2671">
      <formula>$G387&lt;&gt;"-"</formula>
    </cfRule>
  </conditionalFormatting>
  <conditionalFormatting sqref="D387">
    <cfRule type="expression" dxfId="1933" priority="2670">
      <formula>$H387&lt;&gt;"-"</formula>
    </cfRule>
  </conditionalFormatting>
  <conditionalFormatting sqref="E387">
    <cfRule type="expression" dxfId="1932" priority="2669">
      <formula>$I387&lt;&gt;"-"</formula>
    </cfRule>
  </conditionalFormatting>
  <conditionalFormatting sqref="P387">
    <cfRule type="cellIs" dxfId="1931" priority="2663" operator="equal">
      <formula>AS_DURATION_EFFORT</formula>
    </cfRule>
    <cfRule type="cellIs" dxfId="1930" priority="2664" operator="equal">
      <formula>AS_DEV_EFFORT</formula>
    </cfRule>
  </conditionalFormatting>
  <conditionalFormatting sqref="P400">
    <cfRule type="cellIs" dxfId="1929" priority="2657" operator="equal">
      <formula>AS_DURATION_EFFORT</formula>
    </cfRule>
    <cfRule type="cellIs" dxfId="1928" priority="2658" operator="equal">
      <formula>AS_DEV_EFFORT</formula>
    </cfRule>
  </conditionalFormatting>
  <conditionalFormatting sqref="B413">
    <cfRule type="expression" dxfId="1927" priority="2652">
      <formula>AD413&lt;&gt;""</formula>
    </cfRule>
  </conditionalFormatting>
  <conditionalFormatting sqref="Z413">
    <cfRule type="cellIs" dxfId="1926" priority="2650" operator="greaterThan">
      <formula>0</formula>
    </cfRule>
    <cfRule type="cellIs" dxfId="1925" priority="2651" operator="lessThan">
      <formula>0</formula>
    </cfRule>
  </conditionalFormatting>
  <conditionalFormatting sqref="S413">
    <cfRule type="cellIs" dxfId="1924" priority="2649" operator="lessThan">
      <formula>0</formula>
    </cfRule>
  </conditionalFormatting>
  <conditionalFormatting sqref="P413">
    <cfRule type="cellIs" dxfId="1923" priority="2647" operator="equal">
      <formula>AS_DURATION_EFFORT</formula>
    </cfRule>
    <cfRule type="cellIs" dxfId="1922" priority="2648" operator="equal">
      <formula>AS_DEV_EFFORT</formula>
    </cfRule>
  </conditionalFormatting>
  <conditionalFormatting sqref="F413">
    <cfRule type="expression" dxfId="1921" priority="2646">
      <formula>$K413&lt;&gt;""</formula>
    </cfRule>
  </conditionalFormatting>
  <conditionalFormatting sqref="C413">
    <cfRule type="expression" dxfId="1920" priority="2645">
      <formula>$G413&lt;&gt;"-"</formula>
    </cfRule>
  </conditionalFormatting>
  <conditionalFormatting sqref="D413">
    <cfRule type="expression" dxfId="1919" priority="2644">
      <formula>$H413&lt;&gt;"-"</formula>
    </cfRule>
  </conditionalFormatting>
  <conditionalFormatting sqref="E413">
    <cfRule type="expression" dxfId="1918" priority="2643">
      <formula>$I413&lt;&gt;"-"</formula>
    </cfRule>
  </conditionalFormatting>
  <conditionalFormatting sqref="B414">
    <cfRule type="expression" dxfId="1917" priority="2640">
      <formula>AD414&lt;&gt;""</formula>
    </cfRule>
  </conditionalFormatting>
  <conditionalFormatting sqref="Z414">
    <cfRule type="cellIs" dxfId="1916" priority="2638" operator="greaterThan">
      <formula>0</formula>
    </cfRule>
    <cfRule type="cellIs" dxfId="1915" priority="2639" operator="lessThan">
      <formula>0</formula>
    </cfRule>
  </conditionalFormatting>
  <conditionalFormatting sqref="S414">
    <cfRule type="cellIs" dxfId="1914" priority="2637" operator="lessThan">
      <formula>0</formula>
    </cfRule>
  </conditionalFormatting>
  <conditionalFormatting sqref="P414">
    <cfRule type="cellIs" dxfId="1913" priority="2635" operator="equal">
      <formula>AS_DURATION_EFFORT</formula>
    </cfRule>
    <cfRule type="cellIs" dxfId="1912" priority="2636" operator="equal">
      <formula>AS_DEV_EFFORT</formula>
    </cfRule>
  </conditionalFormatting>
  <conditionalFormatting sqref="F414">
    <cfRule type="expression" dxfId="1911" priority="2634">
      <formula>$K414&lt;&gt;""</formula>
    </cfRule>
  </conditionalFormatting>
  <conditionalFormatting sqref="C414">
    <cfRule type="expression" dxfId="1910" priority="2633">
      <formula>$G414&lt;&gt;"-"</formula>
    </cfRule>
  </conditionalFormatting>
  <conditionalFormatting sqref="D414">
    <cfRule type="expression" dxfId="1909" priority="2632">
      <formula>$H414&lt;&gt;"-"</formula>
    </cfRule>
  </conditionalFormatting>
  <conditionalFormatting sqref="E414">
    <cfRule type="expression" dxfId="1908" priority="2631">
      <formula>$I414&lt;&gt;"-"</formula>
    </cfRule>
  </conditionalFormatting>
  <conditionalFormatting sqref="B306">
    <cfRule type="expression" dxfId="1907" priority="2607">
      <formula>AD306&lt;&gt;""</formula>
    </cfRule>
  </conditionalFormatting>
  <conditionalFormatting sqref="Z306">
    <cfRule type="cellIs" dxfId="1906" priority="2605" operator="greaterThan">
      <formula>0</formula>
    </cfRule>
    <cfRule type="cellIs" dxfId="1905" priority="2606" operator="lessThan">
      <formula>0</formula>
    </cfRule>
  </conditionalFormatting>
  <conditionalFormatting sqref="S306">
    <cfRule type="cellIs" dxfId="1904" priority="2604" operator="lessThan">
      <formula>0</formula>
    </cfRule>
  </conditionalFormatting>
  <conditionalFormatting sqref="T302:T303">
    <cfRule type="expression" dxfId="1903" priority="2608">
      <formula>#REF!="Yes"</formula>
    </cfRule>
  </conditionalFormatting>
  <conditionalFormatting sqref="P306">
    <cfRule type="cellIs" dxfId="1902" priority="2602" operator="equal">
      <formula>AS_DURATION_EFFORT</formula>
    </cfRule>
    <cfRule type="cellIs" dxfId="1901" priority="2603" operator="equal">
      <formula>AS_DEV_EFFORT</formula>
    </cfRule>
  </conditionalFormatting>
  <conditionalFormatting sqref="B302:B303">
    <cfRule type="expression" dxfId="1900" priority="2601">
      <formula>AD302&lt;&gt;""</formula>
    </cfRule>
  </conditionalFormatting>
  <conditionalFormatting sqref="F306">
    <cfRule type="expression" dxfId="1899" priority="2600">
      <formula>$K306&lt;&gt;""</formula>
    </cfRule>
  </conditionalFormatting>
  <conditionalFormatting sqref="C306">
    <cfRule type="expression" dxfId="1898" priority="2599">
      <formula>$G306&lt;&gt;"-"</formula>
    </cfRule>
  </conditionalFormatting>
  <conditionalFormatting sqref="D306">
    <cfRule type="expression" dxfId="1897" priority="2598">
      <formula>$H306&lt;&gt;"-"</formula>
    </cfRule>
  </conditionalFormatting>
  <conditionalFormatting sqref="E306">
    <cfRule type="expression" dxfId="1896" priority="2597">
      <formula>$I306&lt;&gt;"-"</formula>
    </cfRule>
  </conditionalFormatting>
  <conditionalFormatting sqref="B307">
    <cfRule type="expression" dxfId="1895" priority="2562">
      <formula>AD307&lt;&gt;""</formula>
    </cfRule>
  </conditionalFormatting>
  <conditionalFormatting sqref="Z307">
    <cfRule type="cellIs" dxfId="1894" priority="2560" operator="greaterThan">
      <formula>0</formula>
    </cfRule>
    <cfRule type="cellIs" dxfId="1893" priority="2561" operator="lessThan">
      <formula>0</formula>
    </cfRule>
  </conditionalFormatting>
  <conditionalFormatting sqref="S307">
    <cfRule type="cellIs" dxfId="1892" priority="2559" operator="lessThan">
      <formula>0</formula>
    </cfRule>
  </conditionalFormatting>
  <conditionalFormatting sqref="P307">
    <cfRule type="cellIs" dxfId="1891" priority="2557" operator="equal">
      <formula>AS_DURATION_EFFORT</formula>
    </cfRule>
    <cfRule type="cellIs" dxfId="1890" priority="2558" operator="equal">
      <formula>AS_DEV_EFFORT</formula>
    </cfRule>
  </conditionalFormatting>
  <conditionalFormatting sqref="F307">
    <cfRule type="expression" dxfId="1889" priority="2556">
      <formula>$K307&lt;&gt;""</formula>
    </cfRule>
  </conditionalFormatting>
  <conditionalFormatting sqref="C307">
    <cfRule type="expression" dxfId="1888" priority="2555">
      <formula>$G307&lt;&gt;"-"</formula>
    </cfRule>
  </conditionalFormatting>
  <conditionalFormatting sqref="D307">
    <cfRule type="expression" dxfId="1887" priority="2554">
      <formula>$H307&lt;&gt;"-"</formula>
    </cfRule>
  </conditionalFormatting>
  <conditionalFormatting sqref="E307">
    <cfRule type="expression" dxfId="1886" priority="2553">
      <formula>$I307&lt;&gt;"-"</formula>
    </cfRule>
  </conditionalFormatting>
  <conditionalFormatting sqref="B314">
    <cfRule type="expression" dxfId="1885" priority="2539">
      <formula>AD314&lt;&gt;""</formula>
    </cfRule>
  </conditionalFormatting>
  <conditionalFormatting sqref="Z314">
    <cfRule type="cellIs" dxfId="1884" priority="2537" operator="greaterThan">
      <formula>0</formula>
    </cfRule>
    <cfRule type="cellIs" dxfId="1883" priority="2538" operator="lessThan">
      <formula>0</formula>
    </cfRule>
  </conditionalFormatting>
  <conditionalFormatting sqref="S314">
    <cfRule type="cellIs" dxfId="1882" priority="2536" operator="lessThan">
      <formula>0</formula>
    </cfRule>
  </conditionalFormatting>
  <conditionalFormatting sqref="T312:T313">
    <cfRule type="expression" dxfId="1881" priority="2540">
      <formula>#REF!="Yes"</formula>
    </cfRule>
  </conditionalFormatting>
  <conditionalFormatting sqref="P314">
    <cfRule type="cellIs" dxfId="1880" priority="2534" operator="equal">
      <formula>AS_DURATION_EFFORT</formula>
    </cfRule>
    <cfRule type="cellIs" dxfId="1879" priority="2535" operator="equal">
      <formula>AS_DEV_EFFORT</formula>
    </cfRule>
  </conditionalFormatting>
  <conditionalFormatting sqref="B312:B313">
    <cfRule type="expression" dxfId="1878" priority="2533">
      <formula>AD312&lt;&gt;""</formula>
    </cfRule>
  </conditionalFormatting>
  <conditionalFormatting sqref="F314">
    <cfRule type="expression" dxfId="1877" priority="2532">
      <formula>$K314&lt;&gt;""</formula>
    </cfRule>
  </conditionalFormatting>
  <conditionalFormatting sqref="C314">
    <cfRule type="expression" dxfId="1876" priority="2531">
      <formula>$G314&lt;&gt;"-"</formula>
    </cfRule>
  </conditionalFormatting>
  <conditionalFormatting sqref="D314">
    <cfRule type="expression" dxfId="1875" priority="2530">
      <formula>$H314&lt;&gt;"-"</formula>
    </cfRule>
  </conditionalFormatting>
  <conditionalFormatting sqref="E314">
    <cfRule type="expression" dxfId="1874" priority="2529">
      <formula>$I314&lt;&gt;"-"</formula>
    </cfRule>
  </conditionalFormatting>
  <conditionalFormatting sqref="B315">
    <cfRule type="expression" dxfId="1873" priority="2526">
      <formula>AD315&lt;&gt;""</formula>
    </cfRule>
  </conditionalFormatting>
  <conditionalFormatting sqref="Z315">
    <cfRule type="cellIs" dxfId="1872" priority="2524" operator="greaterThan">
      <formula>0</formula>
    </cfRule>
    <cfRule type="cellIs" dxfId="1871" priority="2525" operator="lessThan">
      <formula>0</formula>
    </cfRule>
  </conditionalFormatting>
  <conditionalFormatting sqref="S315">
    <cfRule type="cellIs" dxfId="1870" priority="2523" operator="lessThan">
      <formula>0</formula>
    </cfRule>
  </conditionalFormatting>
  <conditionalFormatting sqref="P315">
    <cfRule type="cellIs" dxfId="1869" priority="2521" operator="equal">
      <formula>AS_DURATION_EFFORT</formula>
    </cfRule>
    <cfRule type="cellIs" dxfId="1868" priority="2522" operator="equal">
      <formula>AS_DEV_EFFORT</formula>
    </cfRule>
  </conditionalFormatting>
  <conditionalFormatting sqref="F315">
    <cfRule type="expression" dxfId="1867" priority="2520">
      <formula>$K315&lt;&gt;""</formula>
    </cfRule>
  </conditionalFormatting>
  <conditionalFormatting sqref="C315">
    <cfRule type="expression" dxfId="1866" priority="2519">
      <formula>$G315&lt;&gt;"-"</formula>
    </cfRule>
  </conditionalFormatting>
  <conditionalFormatting sqref="D315">
    <cfRule type="expression" dxfId="1865" priority="2518">
      <formula>$H315&lt;&gt;"-"</formula>
    </cfRule>
  </conditionalFormatting>
  <conditionalFormatting sqref="E315">
    <cfRule type="expression" dxfId="1864" priority="2517">
      <formula>$I315&lt;&gt;"-"</formula>
    </cfRule>
  </conditionalFormatting>
  <conditionalFormatting sqref="B304">
    <cfRule type="expression" dxfId="1863" priority="2396">
      <formula>AD304&lt;&gt;""</formula>
    </cfRule>
  </conditionalFormatting>
  <conditionalFormatting sqref="Z304">
    <cfRule type="cellIs" dxfId="1862" priority="2394" operator="greaterThan">
      <formula>0</formula>
    </cfRule>
    <cfRule type="cellIs" dxfId="1861" priority="2395" operator="lessThan">
      <formula>0</formula>
    </cfRule>
  </conditionalFormatting>
  <conditionalFormatting sqref="S304">
    <cfRule type="cellIs" dxfId="1860" priority="2393" operator="lessThan">
      <formula>0</formula>
    </cfRule>
  </conditionalFormatting>
  <conditionalFormatting sqref="P304">
    <cfRule type="cellIs" dxfId="1859" priority="2391" operator="equal">
      <formula>AS_DURATION_EFFORT</formula>
    </cfRule>
    <cfRule type="cellIs" dxfId="1858" priority="2392" operator="equal">
      <formula>AS_DEV_EFFORT</formula>
    </cfRule>
  </conditionalFormatting>
  <conditionalFormatting sqref="F304">
    <cfRule type="expression" dxfId="1857" priority="2390">
      <formula>$K304&lt;&gt;""</formula>
    </cfRule>
  </conditionalFormatting>
  <conditionalFormatting sqref="C304">
    <cfRule type="expression" dxfId="1856" priority="2389">
      <formula>$G304&lt;&gt;"-"</formula>
    </cfRule>
  </conditionalFormatting>
  <conditionalFormatting sqref="D304">
    <cfRule type="expression" dxfId="1855" priority="2388">
      <formula>$H304&lt;&gt;"-"</formula>
    </cfRule>
  </conditionalFormatting>
  <conditionalFormatting sqref="E304">
    <cfRule type="expression" dxfId="1854" priority="2387">
      <formula>$I304&lt;&gt;"-"</formula>
    </cfRule>
  </conditionalFormatting>
  <conditionalFormatting sqref="B305">
    <cfRule type="expression" dxfId="1853" priority="2384">
      <formula>AD305&lt;&gt;""</formula>
    </cfRule>
  </conditionalFormatting>
  <conditionalFormatting sqref="Z305">
    <cfRule type="cellIs" dxfId="1852" priority="2382" operator="greaterThan">
      <formula>0</formula>
    </cfRule>
    <cfRule type="cellIs" dxfId="1851" priority="2383" operator="lessThan">
      <formula>0</formula>
    </cfRule>
  </conditionalFormatting>
  <conditionalFormatting sqref="S305">
    <cfRule type="cellIs" dxfId="1850" priority="2381" operator="lessThan">
      <formula>0</formula>
    </cfRule>
  </conditionalFormatting>
  <conditionalFormatting sqref="P305">
    <cfRule type="cellIs" dxfId="1849" priority="2379" operator="equal">
      <formula>AS_DURATION_EFFORT</formula>
    </cfRule>
    <cfRule type="cellIs" dxfId="1848" priority="2380" operator="equal">
      <formula>AS_DEV_EFFORT</formula>
    </cfRule>
  </conditionalFormatting>
  <conditionalFormatting sqref="F305">
    <cfRule type="expression" dxfId="1847" priority="2378">
      <formula>$K305&lt;&gt;""</formula>
    </cfRule>
  </conditionalFormatting>
  <conditionalFormatting sqref="C305">
    <cfRule type="expression" dxfId="1846" priority="2377">
      <formula>$G305&lt;&gt;"-"</formula>
    </cfRule>
  </conditionalFormatting>
  <conditionalFormatting sqref="D305">
    <cfRule type="expression" dxfId="1845" priority="2376">
      <formula>$H305&lt;&gt;"-"</formula>
    </cfRule>
  </conditionalFormatting>
  <conditionalFormatting sqref="E305">
    <cfRule type="expression" dxfId="1844" priority="2375">
      <formula>$I305&lt;&gt;"-"</formula>
    </cfRule>
  </conditionalFormatting>
  <conditionalFormatting sqref="B316">
    <cfRule type="expression" dxfId="1843" priority="2374">
      <formula>AD316&lt;&gt;""</formula>
    </cfRule>
  </conditionalFormatting>
  <conditionalFormatting sqref="Z316">
    <cfRule type="cellIs" dxfId="1842" priority="2372" operator="greaterThan">
      <formula>0</formula>
    </cfRule>
    <cfRule type="cellIs" dxfId="1841" priority="2373" operator="lessThan">
      <formula>0</formula>
    </cfRule>
  </conditionalFormatting>
  <conditionalFormatting sqref="S316">
    <cfRule type="cellIs" dxfId="1840" priority="2371" operator="lessThan">
      <formula>0</formula>
    </cfRule>
  </conditionalFormatting>
  <conditionalFormatting sqref="P316">
    <cfRule type="cellIs" dxfId="1839" priority="2369" operator="equal">
      <formula>AS_DURATION_EFFORT</formula>
    </cfRule>
    <cfRule type="cellIs" dxfId="1838" priority="2370" operator="equal">
      <formula>AS_DEV_EFFORT</formula>
    </cfRule>
  </conditionalFormatting>
  <conditionalFormatting sqref="F316">
    <cfRule type="expression" dxfId="1837" priority="2368">
      <formula>$K316&lt;&gt;""</formula>
    </cfRule>
  </conditionalFormatting>
  <conditionalFormatting sqref="C316">
    <cfRule type="expression" dxfId="1836" priority="2367">
      <formula>$G316&lt;&gt;"-"</formula>
    </cfRule>
  </conditionalFormatting>
  <conditionalFormatting sqref="D316">
    <cfRule type="expression" dxfId="1835" priority="2366">
      <formula>$H316&lt;&gt;"-"</formula>
    </cfRule>
  </conditionalFormatting>
  <conditionalFormatting sqref="E316">
    <cfRule type="expression" dxfId="1834" priority="2365">
      <formula>$I316&lt;&gt;"-"</formula>
    </cfRule>
  </conditionalFormatting>
  <conditionalFormatting sqref="B317">
    <cfRule type="expression" dxfId="1833" priority="2364">
      <formula>AD317&lt;&gt;""</formula>
    </cfRule>
  </conditionalFormatting>
  <conditionalFormatting sqref="Z317">
    <cfRule type="cellIs" dxfId="1832" priority="2362" operator="greaterThan">
      <formula>0</formula>
    </cfRule>
    <cfRule type="cellIs" dxfId="1831" priority="2363" operator="lessThan">
      <formula>0</formula>
    </cfRule>
  </conditionalFormatting>
  <conditionalFormatting sqref="S317">
    <cfRule type="cellIs" dxfId="1830" priority="2361" operator="lessThan">
      <formula>0</formula>
    </cfRule>
  </conditionalFormatting>
  <conditionalFormatting sqref="P317">
    <cfRule type="cellIs" dxfId="1829" priority="2359" operator="equal">
      <formula>AS_DURATION_EFFORT</formula>
    </cfRule>
    <cfRule type="cellIs" dxfId="1828" priority="2360" operator="equal">
      <formula>AS_DEV_EFFORT</formula>
    </cfRule>
  </conditionalFormatting>
  <conditionalFormatting sqref="F317">
    <cfRule type="expression" dxfId="1827" priority="2358">
      <formula>$K317&lt;&gt;""</formula>
    </cfRule>
  </conditionalFormatting>
  <conditionalFormatting sqref="C317">
    <cfRule type="expression" dxfId="1826" priority="2357">
      <formula>$G317&lt;&gt;"-"</formula>
    </cfRule>
  </conditionalFormatting>
  <conditionalFormatting sqref="D317">
    <cfRule type="expression" dxfId="1825" priority="2356">
      <formula>$H317&lt;&gt;"-"</formula>
    </cfRule>
  </conditionalFormatting>
  <conditionalFormatting sqref="E317">
    <cfRule type="expression" dxfId="1824" priority="2355">
      <formula>$I317&lt;&gt;"-"</formula>
    </cfRule>
  </conditionalFormatting>
  <conditionalFormatting sqref="B159">
    <cfRule type="expression" dxfId="1823" priority="2269">
      <formula>AD159&lt;&gt;""</formula>
    </cfRule>
  </conditionalFormatting>
  <conditionalFormatting sqref="Z159">
    <cfRule type="cellIs" dxfId="1822" priority="2267" operator="greaterThan">
      <formula>0</formula>
    </cfRule>
    <cfRule type="cellIs" dxfId="1821" priority="2268" operator="lessThan">
      <formula>0</formula>
    </cfRule>
  </conditionalFormatting>
  <conditionalFormatting sqref="S159">
    <cfRule type="cellIs" dxfId="1820" priority="2266" operator="lessThan">
      <formula>0</formula>
    </cfRule>
  </conditionalFormatting>
  <conditionalFormatting sqref="T157:T158">
    <cfRule type="expression" dxfId="1819" priority="2270">
      <formula>#REF!="Yes"</formula>
    </cfRule>
  </conditionalFormatting>
  <conditionalFormatting sqref="P159">
    <cfRule type="cellIs" dxfId="1818" priority="2264" operator="equal">
      <formula>AS_DURATION_EFFORT</formula>
    </cfRule>
    <cfRule type="cellIs" dxfId="1817" priority="2265" operator="equal">
      <formula>AS_DEV_EFFORT</formula>
    </cfRule>
  </conditionalFormatting>
  <conditionalFormatting sqref="B157:B158">
    <cfRule type="expression" dxfId="1816" priority="2263">
      <formula>AD157&lt;&gt;""</formula>
    </cfRule>
  </conditionalFormatting>
  <conditionalFormatting sqref="F159">
    <cfRule type="expression" dxfId="1815" priority="2262">
      <formula>$K159&lt;&gt;""</formula>
    </cfRule>
  </conditionalFormatting>
  <conditionalFormatting sqref="C159">
    <cfRule type="expression" dxfId="1814" priority="2261">
      <formula>$G159&lt;&gt;"-"</formula>
    </cfRule>
  </conditionalFormatting>
  <conditionalFormatting sqref="D159">
    <cfRule type="expression" dxfId="1813" priority="2260">
      <formula>$H159&lt;&gt;"-"</formula>
    </cfRule>
  </conditionalFormatting>
  <conditionalFormatting sqref="E159">
    <cfRule type="expression" dxfId="1812" priority="2259">
      <formula>$I159&lt;&gt;"-"</formula>
    </cfRule>
  </conditionalFormatting>
  <conditionalFormatting sqref="B160">
    <cfRule type="expression" dxfId="1811" priority="2254">
      <formula>AD160&lt;&gt;""</formula>
    </cfRule>
  </conditionalFormatting>
  <conditionalFormatting sqref="Z160">
    <cfRule type="cellIs" dxfId="1810" priority="2252" operator="greaterThan">
      <formula>0</formula>
    </cfRule>
    <cfRule type="cellIs" dxfId="1809" priority="2253" operator="lessThan">
      <formula>0</formula>
    </cfRule>
  </conditionalFormatting>
  <conditionalFormatting sqref="S160">
    <cfRule type="cellIs" dxfId="1808" priority="2251" operator="lessThan">
      <formula>0</formula>
    </cfRule>
  </conditionalFormatting>
  <conditionalFormatting sqref="P160">
    <cfRule type="cellIs" dxfId="1807" priority="2249" operator="equal">
      <formula>AS_DURATION_EFFORT</formula>
    </cfRule>
    <cfRule type="cellIs" dxfId="1806" priority="2250" operator="equal">
      <formula>AS_DEV_EFFORT</formula>
    </cfRule>
  </conditionalFormatting>
  <conditionalFormatting sqref="F160">
    <cfRule type="expression" dxfId="1805" priority="2248">
      <formula>$K160&lt;&gt;""</formula>
    </cfRule>
  </conditionalFormatting>
  <conditionalFormatting sqref="C160">
    <cfRule type="expression" dxfId="1804" priority="2247">
      <formula>$G160&lt;&gt;"-"</formula>
    </cfRule>
  </conditionalFormatting>
  <conditionalFormatting sqref="D160">
    <cfRule type="expression" dxfId="1803" priority="2246">
      <formula>$H160&lt;&gt;"-"</formula>
    </cfRule>
  </conditionalFormatting>
  <conditionalFormatting sqref="E160">
    <cfRule type="expression" dxfId="1802" priority="2245">
      <formula>$I160&lt;&gt;"-"</formula>
    </cfRule>
  </conditionalFormatting>
  <conditionalFormatting sqref="B161">
    <cfRule type="expression" dxfId="1801" priority="2242">
      <formula>AD161&lt;&gt;""</formula>
    </cfRule>
  </conditionalFormatting>
  <conditionalFormatting sqref="Z161">
    <cfRule type="cellIs" dxfId="1800" priority="2240" operator="greaterThan">
      <formula>0</formula>
    </cfRule>
    <cfRule type="cellIs" dxfId="1799" priority="2241" operator="lessThan">
      <formula>0</formula>
    </cfRule>
  </conditionalFormatting>
  <conditionalFormatting sqref="S161">
    <cfRule type="cellIs" dxfId="1798" priority="2239" operator="lessThan">
      <formula>0</formula>
    </cfRule>
  </conditionalFormatting>
  <conditionalFormatting sqref="P161">
    <cfRule type="cellIs" dxfId="1797" priority="2237" operator="equal">
      <formula>AS_DURATION_EFFORT</formula>
    </cfRule>
    <cfRule type="cellIs" dxfId="1796" priority="2238" operator="equal">
      <formula>AS_DEV_EFFORT</formula>
    </cfRule>
  </conditionalFormatting>
  <conditionalFormatting sqref="F161">
    <cfRule type="expression" dxfId="1795" priority="2236">
      <formula>$K161&lt;&gt;""</formula>
    </cfRule>
  </conditionalFormatting>
  <conditionalFormatting sqref="C161">
    <cfRule type="expression" dxfId="1794" priority="2235">
      <formula>$G161&lt;&gt;"-"</formula>
    </cfRule>
  </conditionalFormatting>
  <conditionalFormatting sqref="D161">
    <cfRule type="expression" dxfId="1793" priority="2234">
      <formula>$H161&lt;&gt;"-"</formula>
    </cfRule>
  </conditionalFormatting>
  <conditionalFormatting sqref="E161">
    <cfRule type="expression" dxfId="1792" priority="2233">
      <formula>$I161&lt;&gt;"-"</formula>
    </cfRule>
  </conditionalFormatting>
  <conditionalFormatting sqref="B162">
    <cfRule type="expression" dxfId="1791" priority="2230">
      <formula>AD162&lt;&gt;""</formula>
    </cfRule>
  </conditionalFormatting>
  <conditionalFormatting sqref="Z162">
    <cfRule type="cellIs" dxfId="1790" priority="2228" operator="greaterThan">
      <formula>0</formula>
    </cfRule>
    <cfRule type="cellIs" dxfId="1789" priority="2229" operator="lessThan">
      <formula>0</formula>
    </cfRule>
  </conditionalFormatting>
  <conditionalFormatting sqref="S162">
    <cfRule type="cellIs" dxfId="1788" priority="2227" operator="lessThan">
      <formula>0</formula>
    </cfRule>
  </conditionalFormatting>
  <conditionalFormatting sqref="P162">
    <cfRule type="cellIs" dxfId="1787" priority="2225" operator="equal">
      <formula>AS_DURATION_EFFORT</formula>
    </cfRule>
    <cfRule type="cellIs" dxfId="1786" priority="2226" operator="equal">
      <formula>AS_DEV_EFFORT</formula>
    </cfRule>
  </conditionalFormatting>
  <conditionalFormatting sqref="F162">
    <cfRule type="expression" dxfId="1785" priority="2224">
      <formula>$K162&lt;&gt;""</formula>
    </cfRule>
  </conditionalFormatting>
  <conditionalFormatting sqref="C162">
    <cfRule type="expression" dxfId="1784" priority="2223">
      <formula>$G162&lt;&gt;"-"</formula>
    </cfRule>
  </conditionalFormatting>
  <conditionalFormatting sqref="D162">
    <cfRule type="expression" dxfId="1783" priority="2222">
      <formula>$H162&lt;&gt;"-"</formula>
    </cfRule>
  </conditionalFormatting>
  <conditionalFormatting sqref="E162">
    <cfRule type="expression" dxfId="1782" priority="2221">
      <formula>$I162&lt;&gt;"-"</formula>
    </cfRule>
  </conditionalFormatting>
  <conditionalFormatting sqref="B167">
    <cfRule type="expression" dxfId="1781" priority="2217">
      <formula>AD167&lt;&gt;""</formula>
    </cfRule>
  </conditionalFormatting>
  <conditionalFormatting sqref="Z167">
    <cfRule type="cellIs" dxfId="1780" priority="2215" operator="greaterThan">
      <formula>0</formula>
    </cfRule>
    <cfRule type="cellIs" dxfId="1779" priority="2216" operator="lessThan">
      <formula>0</formula>
    </cfRule>
  </conditionalFormatting>
  <conditionalFormatting sqref="S167">
    <cfRule type="cellIs" dxfId="1778" priority="2214" operator="lessThan">
      <formula>0</formula>
    </cfRule>
  </conditionalFormatting>
  <conditionalFormatting sqref="T165:T166">
    <cfRule type="expression" dxfId="1777" priority="2218">
      <formula>#REF!="Yes"</formula>
    </cfRule>
  </conditionalFormatting>
  <conditionalFormatting sqref="P167">
    <cfRule type="cellIs" dxfId="1776" priority="2212" operator="equal">
      <formula>AS_DURATION_EFFORT</formula>
    </cfRule>
    <cfRule type="cellIs" dxfId="1775" priority="2213" operator="equal">
      <formula>AS_DEV_EFFORT</formula>
    </cfRule>
  </conditionalFormatting>
  <conditionalFormatting sqref="B165:B166">
    <cfRule type="expression" dxfId="1774" priority="2211">
      <formula>AD165&lt;&gt;""</formula>
    </cfRule>
  </conditionalFormatting>
  <conditionalFormatting sqref="F167">
    <cfRule type="expression" dxfId="1773" priority="2210">
      <formula>$K167&lt;&gt;""</formula>
    </cfRule>
  </conditionalFormatting>
  <conditionalFormatting sqref="C167">
    <cfRule type="expression" dxfId="1772" priority="2209">
      <formula>$G167&lt;&gt;"-"</formula>
    </cfRule>
  </conditionalFormatting>
  <conditionalFormatting sqref="D167">
    <cfRule type="expression" dxfId="1771" priority="2208">
      <formula>$H167&lt;&gt;"-"</formula>
    </cfRule>
  </conditionalFormatting>
  <conditionalFormatting sqref="E167">
    <cfRule type="expression" dxfId="1770" priority="2207">
      <formula>$I167&lt;&gt;"-"</formula>
    </cfRule>
  </conditionalFormatting>
  <conditionalFormatting sqref="B168">
    <cfRule type="expression" dxfId="1769" priority="2204">
      <formula>AD168&lt;&gt;""</formula>
    </cfRule>
  </conditionalFormatting>
  <conditionalFormatting sqref="Z168">
    <cfRule type="cellIs" dxfId="1768" priority="2202" operator="greaterThan">
      <formula>0</formula>
    </cfRule>
    <cfRule type="cellIs" dxfId="1767" priority="2203" operator="lessThan">
      <formula>0</formula>
    </cfRule>
  </conditionalFormatting>
  <conditionalFormatting sqref="S168">
    <cfRule type="cellIs" dxfId="1766" priority="2201" operator="lessThan">
      <formula>0</formula>
    </cfRule>
  </conditionalFormatting>
  <conditionalFormatting sqref="P168">
    <cfRule type="cellIs" dxfId="1765" priority="2199" operator="equal">
      <formula>AS_DURATION_EFFORT</formula>
    </cfRule>
    <cfRule type="cellIs" dxfId="1764" priority="2200" operator="equal">
      <formula>AS_DEV_EFFORT</formula>
    </cfRule>
  </conditionalFormatting>
  <conditionalFormatting sqref="F168">
    <cfRule type="expression" dxfId="1763" priority="2198">
      <formula>$K168&lt;&gt;""</formula>
    </cfRule>
  </conditionalFormatting>
  <conditionalFormatting sqref="C168">
    <cfRule type="expression" dxfId="1762" priority="2197">
      <formula>$G168&lt;&gt;"-"</formula>
    </cfRule>
  </conditionalFormatting>
  <conditionalFormatting sqref="D168">
    <cfRule type="expression" dxfId="1761" priority="2196">
      <formula>$H168&lt;&gt;"-"</formula>
    </cfRule>
  </conditionalFormatting>
  <conditionalFormatting sqref="E168">
    <cfRule type="expression" dxfId="1760" priority="2195">
      <formula>$I168&lt;&gt;"-"</formula>
    </cfRule>
  </conditionalFormatting>
  <conditionalFormatting sqref="B169">
    <cfRule type="expression" dxfId="1759" priority="2192">
      <formula>AD169&lt;&gt;""</formula>
    </cfRule>
  </conditionalFormatting>
  <conditionalFormatting sqref="Z169">
    <cfRule type="cellIs" dxfId="1758" priority="2190" operator="greaterThan">
      <formula>0</formula>
    </cfRule>
    <cfRule type="cellIs" dxfId="1757" priority="2191" operator="lessThan">
      <formula>0</formula>
    </cfRule>
  </conditionalFormatting>
  <conditionalFormatting sqref="S169">
    <cfRule type="cellIs" dxfId="1756" priority="2189" operator="lessThan">
      <formula>0</formula>
    </cfRule>
  </conditionalFormatting>
  <conditionalFormatting sqref="P169">
    <cfRule type="cellIs" dxfId="1755" priority="2187" operator="equal">
      <formula>AS_DURATION_EFFORT</formula>
    </cfRule>
    <cfRule type="cellIs" dxfId="1754" priority="2188" operator="equal">
      <formula>AS_DEV_EFFORT</formula>
    </cfRule>
  </conditionalFormatting>
  <conditionalFormatting sqref="F169">
    <cfRule type="expression" dxfId="1753" priority="2186">
      <formula>$K169&lt;&gt;""</formula>
    </cfRule>
  </conditionalFormatting>
  <conditionalFormatting sqref="C169">
    <cfRule type="expression" dxfId="1752" priority="2185">
      <formula>$G169&lt;&gt;"-"</formula>
    </cfRule>
  </conditionalFormatting>
  <conditionalFormatting sqref="D169">
    <cfRule type="expression" dxfId="1751" priority="2184">
      <formula>$H169&lt;&gt;"-"</formula>
    </cfRule>
  </conditionalFormatting>
  <conditionalFormatting sqref="E169">
    <cfRule type="expression" dxfId="1750" priority="2183">
      <formula>$I169&lt;&gt;"-"</formula>
    </cfRule>
  </conditionalFormatting>
  <conditionalFormatting sqref="B171">
    <cfRule type="expression" dxfId="1749" priority="2180">
      <formula>AD171&lt;&gt;""</formula>
    </cfRule>
  </conditionalFormatting>
  <conditionalFormatting sqref="Z171">
    <cfRule type="cellIs" dxfId="1748" priority="2178" operator="greaterThan">
      <formula>0</formula>
    </cfRule>
    <cfRule type="cellIs" dxfId="1747" priority="2179" operator="lessThan">
      <formula>0</formula>
    </cfRule>
  </conditionalFormatting>
  <conditionalFormatting sqref="S171">
    <cfRule type="cellIs" dxfId="1746" priority="2177" operator="lessThan">
      <formula>0</formula>
    </cfRule>
  </conditionalFormatting>
  <conditionalFormatting sqref="P171">
    <cfRule type="cellIs" dxfId="1745" priority="2175" operator="equal">
      <formula>AS_DURATION_EFFORT</formula>
    </cfRule>
    <cfRule type="cellIs" dxfId="1744" priority="2176" operator="equal">
      <formula>AS_DEV_EFFORT</formula>
    </cfRule>
  </conditionalFormatting>
  <conditionalFormatting sqref="F171">
    <cfRule type="expression" dxfId="1743" priority="2174">
      <formula>$K171&lt;&gt;""</formula>
    </cfRule>
  </conditionalFormatting>
  <conditionalFormatting sqref="C171">
    <cfRule type="expression" dxfId="1742" priority="2173">
      <formula>$G171&lt;&gt;"-"</formula>
    </cfRule>
  </conditionalFormatting>
  <conditionalFormatting sqref="D171">
    <cfRule type="expression" dxfId="1741" priority="2172">
      <formula>$H171&lt;&gt;"-"</formula>
    </cfRule>
  </conditionalFormatting>
  <conditionalFormatting sqref="E171">
    <cfRule type="expression" dxfId="1740" priority="2171">
      <formula>$I171&lt;&gt;"-"</formula>
    </cfRule>
  </conditionalFormatting>
  <conditionalFormatting sqref="B105">
    <cfRule type="expression" dxfId="1739" priority="2167">
      <formula>AD105&lt;&gt;""</formula>
    </cfRule>
  </conditionalFormatting>
  <conditionalFormatting sqref="Z105">
    <cfRule type="cellIs" dxfId="1738" priority="2165" operator="greaterThan">
      <formula>0</formula>
    </cfRule>
    <cfRule type="cellIs" dxfId="1737" priority="2166" operator="lessThan">
      <formula>0</formula>
    </cfRule>
  </conditionalFormatting>
  <conditionalFormatting sqref="S105">
    <cfRule type="cellIs" dxfId="1736" priority="2164" operator="lessThan">
      <formula>0</formula>
    </cfRule>
  </conditionalFormatting>
  <conditionalFormatting sqref="T103:T104">
    <cfRule type="expression" dxfId="1735" priority="2168">
      <formula>#REF!="Yes"</formula>
    </cfRule>
  </conditionalFormatting>
  <conditionalFormatting sqref="P105">
    <cfRule type="cellIs" dxfId="1734" priority="2162" operator="equal">
      <formula>AS_DURATION_EFFORT</formula>
    </cfRule>
    <cfRule type="cellIs" dxfId="1733" priority="2163" operator="equal">
      <formula>AS_DEV_EFFORT</formula>
    </cfRule>
  </conditionalFormatting>
  <conditionalFormatting sqref="B103:B104">
    <cfRule type="expression" dxfId="1732" priority="2161">
      <formula>AD103&lt;&gt;""</formula>
    </cfRule>
  </conditionalFormatting>
  <conditionalFormatting sqref="L105:AC105">
    <cfRule type="expression" dxfId="1731" priority="2169">
      <formula>AND($G105="Yes", $S$6="Exclude")</formula>
    </cfRule>
    <cfRule type="expression" dxfId="1730" priority="2170">
      <formula>$J105="Yes"</formula>
    </cfRule>
  </conditionalFormatting>
  <conditionalFormatting sqref="F105">
    <cfRule type="expression" dxfId="1729" priority="2160">
      <formula>$K105&lt;&gt;""</formula>
    </cfRule>
  </conditionalFormatting>
  <conditionalFormatting sqref="C105">
    <cfRule type="expression" dxfId="1728" priority="2159">
      <formula>$G105&lt;&gt;"-"</formula>
    </cfRule>
  </conditionalFormatting>
  <conditionalFormatting sqref="D105">
    <cfRule type="expression" dxfId="1727" priority="2158">
      <formula>$H105&lt;&gt;"-"</formula>
    </cfRule>
  </conditionalFormatting>
  <conditionalFormatting sqref="E105">
    <cfRule type="expression" dxfId="1726" priority="2157">
      <formula>$I105&lt;&gt;"-"</formula>
    </cfRule>
  </conditionalFormatting>
  <conditionalFormatting sqref="S102">
    <cfRule type="expression" dxfId="1725" priority="2156">
      <formula>#REF!="Yes"</formula>
    </cfRule>
  </conditionalFormatting>
  <conditionalFormatting sqref="B102">
    <cfRule type="expression" dxfId="1724" priority="2155">
      <formula>AD102&lt;&gt;""</formula>
    </cfRule>
  </conditionalFormatting>
  <conditionalFormatting sqref="B106">
    <cfRule type="expression" dxfId="1723" priority="2152">
      <formula>AD106&lt;&gt;""</formula>
    </cfRule>
  </conditionalFormatting>
  <conditionalFormatting sqref="Z106">
    <cfRule type="cellIs" dxfId="1722" priority="2150" operator="greaterThan">
      <formula>0</formula>
    </cfRule>
    <cfRule type="cellIs" dxfId="1721" priority="2151" operator="lessThan">
      <formula>0</formula>
    </cfRule>
  </conditionalFormatting>
  <conditionalFormatting sqref="S106">
    <cfRule type="cellIs" dxfId="1720" priority="2149" operator="lessThan">
      <formula>0</formula>
    </cfRule>
  </conditionalFormatting>
  <conditionalFormatting sqref="P106">
    <cfRule type="cellIs" dxfId="1719" priority="2147" operator="equal">
      <formula>AS_DURATION_EFFORT</formula>
    </cfRule>
    <cfRule type="cellIs" dxfId="1718" priority="2148" operator="equal">
      <formula>AS_DEV_EFFORT</formula>
    </cfRule>
  </conditionalFormatting>
  <conditionalFormatting sqref="L106:AC106">
    <cfRule type="expression" dxfId="1717" priority="2153">
      <formula>AND($G106="Yes", $S$6="Exclude")</formula>
    </cfRule>
    <cfRule type="expression" dxfId="1716" priority="2154">
      <formula>$J106="Yes"</formula>
    </cfRule>
  </conditionalFormatting>
  <conditionalFormatting sqref="F106">
    <cfRule type="expression" dxfId="1715" priority="2146">
      <formula>$K106&lt;&gt;""</formula>
    </cfRule>
  </conditionalFormatting>
  <conditionalFormatting sqref="C106">
    <cfRule type="expression" dxfId="1714" priority="2145">
      <formula>$G106&lt;&gt;"-"</formula>
    </cfRule>
  </conditionalFormatting>
  <conditionalFormatting sqref="D106">
    <cfRule type="expression" dxfId="1713" priority="2144">
      <formula>$H106&lt;&gt;"-"</formula>
    </cfRule>
  </conditionalFormatting>
  <conditionalFormatting sqref="E106">
    <cfRule type="expression" dxfId="1712" priority="2143">
      <formula>$I106&lt;&gt;"-"</formula>
    </cfRule>
  </conditionalFormatting>
  <conditionalFormatting sqref="B107">
    <cfRule type="expression" dxfId="1711" priority="2140">
      <formula>AD107&lt;&gt;""</formula>
    </cfRule>
  </conditionalFormatting>
  <conditionalFormatting sqref="Z107">
    <cfRule type="cellIs" dxfId="1710" priority="2138" operator="greaterThan">
      <formula>0</formula>
    </cfRule>
    <cfRule type="cellIs" dxfId="1709" priority="2139" operator="lessThan">
      <formula>0</formula>
    </cfRule>
  </conditionalFormatting>
  <conditionalFormatting sqref="S107">
    <cfRule type="cellIs" dxfId="1708" priority="2137" operator="lessThan">
      <formula>0</formula>
    </cfRule>
  </conditionalFormatting>
  <conditionalFormatting sqref="P107">
    <cfRule type="cellIs" dxfId="1707" priority="2135" operator="equal">
      <formula>AS_DURATION_EFFORT</formula>
    </cfRule>
    <cfRule type="cellIs" dxfId="1706" priority="2136" operator="equal">
      <formula>AS_DEV_EFFORT</formula>
    </cfRule>
  </conditionalFormatting>
  <conditionalFormatting sqref="L107:AC107">
    <cfRule type="expression" dxfId="1705" priority="2141">
      <formula>AND($G107="Yes", $S$6="Exclude")</formula>
    </cfRule>
    <cfRule type="expression" dxfId="1704" priority="2142">
      <formula>$J107="Yes"</formula>
    </cfRule>
  </conditionalFormatting>
  <conditionalFormatting sqref="F107">
    <cfRule type="expression" dxfId="1703" priority="2134">
      <formula>$K107&lt;&gt;""</formula>
    </cfRule>
  </conditionalFormatting>
  <conditionalFormatting sqref="C107">
    <cfRule type="expression" dxfId="1702" priority="2133">
      <formula>$G107&lt;&gt;"-"</formula>
    </cfRule>
  </conditionalFormatting>
  <conditionalFormatting sqref="D107">
    <cfRule type="expression" dxfId="1701" priority="2132">
      <formula>$H107&lt;&gt;"-"</formula>
    </cfRule>
  </conditionalFormatting>
  <conditionalFormatting sqref="E107">
    <cfRule type="expression" dxfId="1700" priority="2131">
      <formula>$I107&lt;&gt;"-"</formula>
    </cfRule>
  </conditionalFormatting>
  <conditionalFormatting sqref="B108">
    <cfRule type="expression" dxfId="1699" priority="2128">
      <formula>AD108&lt;&gt;""</formula>
    </cfRule>
  </conditionalFormatting>
  <conditionalFormatting sqref="Z108">
    <cfRule type="cellIs" dxfId="1698" priority="2126" operator="greaterThan">
      <formula>0</formula>
    </cfRule>
    <cfRule type="cellIs" dxfId="1697" priority="2127" operator="lessThan">
      <formula>0</formula>
    </cfRule>
  </conditionalFormatting>
  <conditionalFormatting sqref="S108">
    <cfRule type="cellIs" dxfId="1696" priority="2125" operator="lessThan">
      <formula>0</formula>
    </cfRule>
  </conditionalFormatting>
  <conditionalFormatting sqref="P108">
    <cfRule type="cellIs" dxfId="1695" priority="2123" operator="equal">
      <formula>AS_DURATION_EFFORT</formula>
    </cfRule>
    <cfRule type="cellIs" dxfId="1694" priority="2124" operator="equal">
      <formula>AS_DEV_EFFORT</formula>
    </cfRule>
  </conditionalFormatting>
  <conditionalFormatting sqref="L108:AC108">
    <cfRule type="expression" dxfId="1693" priority="2129">
      <formula>AND($G108="Yes", $S$6="Exclude")</formula>
    </cfRule>
    <cfRule type="expression" dxfId="1692" priority="2130">
      <formula>$J108="Yes"</formula>
    </cfRule>
  </conditionalFormatting>
  <conditionalFormatting sqref="F108">
    <cfRule type="expression" dxfId="1691" priority="2122">
      <formula>$K108&lt;&gt;""</formula>
    </cfRule>
  </conditionalFormatting>
  <conditionalFormatting sqref="C108">
    <cfRule type="expression" dxfId="1690" priority="2121">
      <formula>$G108&lt;&gt;"-"</formula>
    </cfRule>
  </conditionalFormatting>
  <conditionalFormatting sqref="D108">
    <cfRule type="expression" dxfId="1689" priority="2120">
      <formula>$H108&lt;&gt;"-"</formula>
    </cfRule>
  </conditionalFormatting>
  <conditionalFormatting sqref="E108">
    <cfRule type="expression" dxfId="1688" priority="2119">
      <formula>$I108&lt;&gt;"-"</formula>
    </cfRule>
  </conditionalFormatting>
  <conditionalFormatting sqref="B109">
    <cfRule type="expression" dxfId="1687" priority="2116">
      <formula>AD109&lt;&gt;""</formula>
    </cfRule>
  </conditionalFormatting>
  <conditionalFormatting sqref="Z109">
    <cfRule type="cellIs" dxfId="1686" priority="2114" operator="greaterThan">
      <formula>0</formula>
    </cfRule>
    <cfRule type="cellIs" dxfId="1685" priority="2115" operator="lessThan">
      <formula>0</formula>
    </cfRule>
  </conditionalFormatting>
  <conditionalFormatting sqref="S109">
    <cfRule type="cellIs" dxfId="1684" priority="2113" operator="lessThan">
      <formula>0</formula>
    </cfRule>
  </conditionalFormatting>
  <conditionalFormatting sqref="P109">
    <cfRule type="cellIs" dxfId="1683" priority="2111" operator="equal">
      <formula>AS_DURATION_EFFORT</formula>
    </cfRule>
    <cfRule type="cellIs" dxfId="1682" priority="2112" operator="equal">
      <formula>AS_DEV_EFFORT</formula>
    </cfRule>
  </conditionalFormatting>
  <conditionalFormatting sqref="L109:AC109">
    <cfRule type="expression" dxfId="1681" priority="2117">
      <formula>AND($G109="Yes", $S$6="Exclude")</formula>
    </cfRule>
    <cfRule type="expression" dxfId="1680" priority="2118">
      <formula>$J109="Yes"</formula>
    </cfRule>
  </conditionalFormatting>
  <conditionalFormatting sqref="F109">
    <cfRule type="expression" dxfId="1679" priority="2110">
      <formula>$K109&lt;&gt;""</formula>
    </cfRule>
  </conditionalFormatting>
  <conditionalFormatting sqref="C109">
    <cfRule type="expression" dxfId="1678" priority="2109">
      <formula>$G109&lt;&gt;"-"</formula>
    </cfRule>
  </conditionalFormatting>
  <conditionalFormatting sqref="D109">
    <cfRule type="expression" dxfId="1677" priority="2108">
      <formula>$H109&lt;&gt;"-"</formula>
    </cfRule>
  </conditionalFormatting>
  <conditionalFormatting sqref="E109">
    <cfRule type="expression" dxfId="1676" priority="2107">
      <formula>$I109&lt;&gt;"-"</formula>
    </cfRule>
  </conditionalFormatting>
  <conditionalFormatting sqref="B110">
    <cfRule type="expression" dxfId="1675" priority="2104">
      <formula>AD110&lt;&gt;""</formula>
    </cfRule>
  </conditionalFormatting>
  <conditionalFormatting sqref="Z110">
    <cfRule type="cellIs" dxfId="1674" priority="2102" operator="greaterThan">
      <formula>0</formula>
    </cfRule>
    <cfRule type="cellIs" dxfId="1673" priority="2103" operator="lessThan">
      <formula>0</formula>
    </cfRule>
  </conditionalFormatting>
  <conditionalFormatting sqref="S110">
    <cfRule type="cellIs" dxfId="1672" priority="2101" operator="lessThan">
      <formula>0</formula>
    </cfRule>
  </conditionalFormatting>
  <conditionalFormatting sqref="P110">
    <cfRule type="cellIs" dxfId="1671" priority="2099" operator="equal">
      <formula>AS_DURATION_EFFORT</formula>
    </cfRule>
    <cfRule type="cellIs" dxfId="1670" priority="2100" operator="equal">
      <formula>AS_DEV_EFFORT</formula>
    </cfRule>
  </conditionalFormatting>
  <conditionalFormatting sqref="L110:AC110">
    <cfRule type="expression" dxfId="1669" priority="2105">
      <formula>AND($G110="Yes", $S$6="Exclude")</formula>
    </cfRule>
    <cfRule type="expression" dxfId="1668" priority="2106">
      <formula>$J110="Yes"</formula>
    </cfRule>
  </conditionalFormatting>
  <conditionalFormatting sqref="F110">
    <cfRule type="expression" dxfId="1667" priority="2098">
      <formula>$K110&lt;&gt;""</formula>
    </cfRule>
  </conditionalFormatting>
  <conditionalFormatting sqref="C110">
    <cfRule type="expression" dxfId="1666" priority="2097">
      <formula>$G110&lt;&gt;"-"</formula>
    </cfRule>
  </conditionalFormatting>
  <conditionalFormatting sqref="D110">
    <cfRule type="expression" dxfId="1665" priority="2096">
      <formula>$H110&lt;&gt;"-"</formula>
    </cfRule>
  </conditionalFormatting>
  <conditionalFormatting sqref="E110">
    <cfRule type="expression" dxfId="1664" priority="2095">
      <formula>$I110&lt;&gt;"-"</formula>
    </cfRule>
  </conditionalFormatting>
  <conditionalFormatting sqref="B115">
    <cfRule type="expression" dxfId="1663" priority="2091">
      <formula>AD115&lt;&gt;""</formula>
    </cfRule>
  </conditionalFormatting>
  <conditionalFormatting sqref="Z115">
    <cfRule type="cellIs" dxfId="1662" priority="2089" operator="greaterThan">
      <formula>0</formula>
    </cfRule>
    <cfRule type="cellIs" dxfId="1661" priority="2090" operator="lessThan">
      <formula>0</formula>
    </cfRule>
  </conditionalFormatting>
  <conditionalFormatting sqref="S115">
    <cfRule type="cellIs" dxfId="1660" priority="2088" operator="lessThan">
      <formula>0</formula>
    </cfRule>
  </conditionalFormatting>
  <conditionalFormatting sqref="T113:T114">
    <cfRule type="expression" dxfId="1659" priority="2092">
      <formula>#REF!="Yes"</formula>
    </cfRule>
  </conditionalFormatting>
  <conditionalFormatting sqref="P115">
    <cfRule type="cellIs" dxfId="1658" priority="2086" operator="equal">
      <formula>AS_DURATION_EFFORT</formula>
    </cfRule>
    <cfRule type="cellIs" dxfId="1657" priority="2087" operator="equal">
      <formula>AS_DEV_EFFORT</formula>
    </cfRule>
  </conditionalFormatting>
  <conditionalFormatting sqref="B113:B114">
    <cfRule type="expression" dxfId="1656" priority="2085">
      <formula>AD113&lt;&gt;""</formula>
    </cfRule>
  </conditionalFormatting>
  <conditionalFormatting sqref="L115:AC115">
    <cfRule type="expression" dxfId="1655" priority="2093">
      <formula>AND($G115="Yes", $S$6="Exclude")</formula>
    </cfRule>
    <cfRule type="expression" dxfId="1654" priority="2094">
      <formula>$J115="Yes"</formula>
    </cfRule>
  </conditionalFormatting>
  <conditionalFormatting sqref="F115">
    <cfRule type="expression" dxfId="1653" priority="2084">
      <formula>$K115&lt;&gt;""</formula>
    </cfRule>
  </conditionalFormatting>
  <conditionalFormatting sqref="C115">
    <cfRule type="expression" dxfId="1652" priority="2083">
      <formula>$G115&lt;&gt;"-"</formula>
    </cfRule>
  </conditionalFormatting>
  <conditionalFormatting sqref="D115">
    <cfRule type="expression" dxfId="1651" priority="2082">
      <formula>$H115&lt;&gt;"-"</formula>
    </cfRule>
  </conditionalFormatting>
  <conditionalFormatting sqref="E115">
    <cfRule type="expression" dxfId="1650" priority="2081">
      <formula>$I115&lt;&gt;"-"</formula>
    </cfRule>
  </conditionalFormatting>
  <conditionalFormatting sqref="B116">
    <cfRule type="expression" dxfId="1649" priority="2078">
      <formula>AD116&lt;&gt;""</formula>
    </cfRule>
  </conditionalFormatting>
  <conditionalFormatting sqref="Z116">
    <cfRule type="cellIs" dxfId="1648" priority="2076" operator="greaterThan">
      <formula>0</formula>
    </cfRule>
    <cfRule type="cellIs" dxfId="1647" priority="2077" operator="lessThan">
      <formula>0</formula>
    </cfRule>
  </conditionalFormatting>
  <conditionalFormatting sqref="S116">
    <cfRule type="cellIs" dxfId="1646" priority="2075" operator="lessThan">
      <formula>0</formula>
    </cfRule>
  </conditionalFormatting>
  <conditionalFormatting sqref="P116">
    <cfRule type="cellIs" dxfId="1645" priority="2073" operator="equal">
      <formula>AS_DURATION_EFFORT</formula>
    </cfRule>
    <cfRule type="cellIs" dxfId="1644" priority="2074" operator="equal">
      <formula>AS_DEV_EFFORT</formula>
    </cfRule>
  </conditionalFormatting>
  <conditionalFormatting sqref="L116:AC116">
    <cfRule type="expression" dxfId="1643" priority="2079">
      <formula>AND($G116="Yes", $S$6="Exclude")</formula>
    </cfRule>
    <cfRule type="expression" dxfId="1642" priority="2080">
      <formula>$J116="Yes"</formula>
    </cfRule>
  </conditionalFormatting>
  <conditionalFormatting sqref="F116">
    <cfRule type="expression" dxfId="1641" priority="2072">
      <formula>$K116&lt;&gt;""</formula>
    </cfRule>
  </conditionalFormatting>
  <conditionalFormatting sqref="C116">
    <cfRule type="expression" dxfId="1640" priority="2071">
      <formula>$G116&lt;&gt;"-"</formula>
    </cfRule>
  </conditionalFormatting>
  <conditionalFormatting sqref="D116">
    <cfRule type="expression" dxfId="1639" priority="2070">
      <formula>$H116&lt;&gt;"-"</formula>
    </cfRule>
  </conditionalFormatting>
  <conditionalFormatting sqref="E116">
    <cfRule type="expression" dxfId="1638" priority="2069">
      <formula>$I116&lt;&gt;"-"</formula>
    </cfRule>
  </conditionalFormatting>
  <conditionalFormatting sqref="B117">
    <cfRule type="expression" dxfId="1637" priority="2066">
      <formula>AD117&lt;&gt;""</formula>
    </cfRule>
  </conditionalFormatting>
  <conditionalFormatting sqref="Z117">
    <cfRule type="cellIs" dxfId="1636" priority="2064" operator="greaterThan">
      <formula>0</formula>
    </cfRule>
    <cfRule type="cellIs" dxfId="1635" priority="2065" operator="lessThan">
      <formula>0</formula>
    </cfRule>
  </conditionalFormatting>
  <conditionalFormatting sqref="S117">
    <cfRule type="cellIs" dxfId="1634" priority="2063" operator="lessThan">
      <formula>0</formula>
    </cfRule>
  </conditionalFormatting>
  <conditionalFormatting sqref="P117">
    <cfRule type="cellIs" dxfId="1633" priority="2061" operator="equal">
      <formula>AS_DURATION_EFFORT</formula>
    </cfRule>
    <cfRule type="cellIs" dxfId="1632" priority="2062" operator="equal">
      <formula>AS_DEV_EFFORT</formula>
    </cfRule>
  </conditionalFormatting>
  <conditionalFormatting sqref="L117:AC117">
    <cfRule type="expression" dxfId="1631" priority="2067">
      <formula>AND($G117="Yes", $S$6="Exclude")</formula>
    </cfRule>
    <cfRule type="expression" dxfId="1630" priority="2068">
      <formula>$J117="Yes"</formula>
    </cfRule>
  </conditionalFormatting>
  <conditionalFormatting sqref="F117">
    <cfRule type="expression" dxfId="1629" priority="2060">
      <formula>$K117&lt;&gt;""</formula>
    </cfRule>
  </conditionalFormatting>
  <conditionalFormatting sqref="C117">
    <cfRule type="expression" dxfId="1628" priority="2059">
      <formula>$G117&lt;&gt;"-"</formula>
    </cfRule>
  </conditionalFormatting>
  <conditionalFormatting sqref="D117">
    <cfRule type="expression" dxfId="1627" priority="2058">
      <formula>$H117&lt;&gt;"-"</formula>
    </cfRule>
  </conditionalFormatting>
  <conditionalFormatting sqref="E117">
    <cfRule type="expression" dxfId="1626" priority="2057">
      <formula>$I117&lt;&gt;"-"</formula>
    </cfRule>
  </conditionalFormatting>
  <conditionalFormatting sqref="B118">
    <cfRule type="expression" dxfId="1625" priority="2054">
      <formula>AD118&lt;&gt;""</formula>
    </cfRule>
  </conditionalFormatting>
  <conditionalFormatting sqref="Z118">
    <cfRule type="cellIs" dxfId="1624" priority="2052" operator="greaterThan">
      <formula>0</formula>
    </cfRule>
    <cfRule type="cellIs" dxfId="1623" priority="2053" operator="lessThan">
      <formula>0</formula>
    </cfRule>
  </conditionalFormatting>
  <conditionalFormatting sqref="S118">
    <cfRule type="cellIs" dxfId="1622" priority="2051" operator="lessThan">
      <formula>0</formula>
    </cfRule>
  </conditionalFormatting>
  <conditionalFormatting sqref="P118">
    <cfRule type="cellIs" dxfId="1621" priority="2049" operator="equal">
      <formula>AS_DURATION_EFFORT</formula>
    </cfRule>
    <cfRule type="cellIs" dxfId="1620" priority="2050" operator="equal">
      <formula>AS_DEV_EFFORT</formula>
    </cfRule>
  </conditionalFormatting>
  <conditionalFormatting sqref="L118:AC118">
    <cfRule type="expression" dxfId="1619" priority="2055">
      <formula>AND($G118="Yes", $S$6="Exclude")</formula>
    </cfRule>
    <cfRule type="expression" dxfId="1618" priority="2056">
      <formula>$J118="Yes"</formula>
    </cfRule>
  </conditionalFormatting>
  <conditionalFormatting sqref="F118">
    <cfRule type="expression" dxfId="1617" priority="2048">
      <formula>$K118&lt;&gt;""</formula>
    </cfRule>
  </conditionalFormatting>
  <conditionalFormatting sqref="C118">
    <cfRule type="expression" dxfId="1616" priority="2047">
      <formula>$G118&lt;&gt;"-"</formula>
    </cfRule>
  </conditionalFormatting>
  <conditionalFormatting sqref="D118">
    <cfRule type="expression" dxfId="1615" priority="2046">
      <formula>$H118&lt;&gt;"-"</formula>
    </cfRule>
  </conditionalFormatting>
  <conditionalFormatting sqref="E118">
    <cfRule type="expression" dxfId="1614" priority="2045">
      <formula>$I118&lt;&gt;"-"</formula>
    </cfRule>
  </conditionalFormatting>
  <conditionalFormatting sqref="B119">
    <cfRule type="expression" dxfId="1613" priority="2042">
      <formula>AD119&lt;&gt;""</formula>
    </cfRule>
  </conditionalFormatting>
  <conditionalFormatting sqref="Z119">
    <cfRule type="cellIs" dxfId="1612" priority="2040" operator="greaterThan">
      <formula>0</formula>
    </cfRule>
    <cfRule type="cellIs" dxfId="1611" priority="2041" operator="lessThan">
      <formula>0</formula>
    </cfRule>
  </conditionalFormatting>
  <conditionalFormatting sqref="S119">
    <cfRule type="cellIs" dxfId="1610" priority="2039" operator="lessThan">
      <formula>0</formula>
    </cfRule>
  </conditionalFormatting>
  <conditionalFormatting sqref="P119">
    <cfRule type="cellIs" dxfId="1609" priority="2037" operator="equal">
      <formula>AS_DURATION_EFFORT</formula>
    </cfRule>
    <cfRule type="cellIs" dxfId="1608" priority="2038" operator="equal">
      <formula>AS_DEV_EFFORT</formula>
    </cfRule>
  </conditionalFormatting>
  <conditionalFormatting sqref="L119:AC119">
    <cfRule type="expression" dxfId="1607" priority="2043">
      <formula>AND($G119="Yes", $S$6="Exclude")</formula>
    </cfRule>
    <cfRule type="expression" dxfId="1606" priority="2044">
      <formula>$J119="Yes"</formula>
    </cfRule>
  </conditionalFormatting>
  <conditionalFormatting sqref="F119">
    <cfRule type="expression" dxfId="1605" priority="2036">
      <formula>$K119&lt;&gt;""</formula>
    </cfRule>
  </conditionalFormatting>
  <conditionalFormatting sqref="C119">
    <cfRule type="expression" dxfId="1604" priority="2035">
      <formula>$G119&lt;&gt;"-"</formula>
    </cfRule>
  </conditionalFormatting>
  <conditionalFormatting sqref="D119">
    <cfRule type="expression" dxfId="1603" priority="2034">
      <formula>$H119&lt;&gt;"-"</formula>
    </cfRule>
  </conditionalFormatting>
  <conditionalFormatting sqref="E119">
    <cfRule type="expression" dxfId="1602" priority="2033">
      <formula>$I119&lt;&gt;"-"</formula>
    </cfRule>
  </conditionalFormatting>
  <conditionalFormatting sqref="B125">
    <cfRule type="expression" dxfId="1601" priority="2017">
      <formula>AD125&lt;&gt;""</formula>
    </cfRule>
  </conditionalFormatting>
  <conditionalFormatting sqref="Z125">
    <cfRule type="cellIs" dxfId="1600" priority="2015" operator="greaterThan">
      <formula>0</formula>
    </cfRule>
    <cfRule type="cellIs" dxfId="1599" priority="2016" operator="lessThan">
      <formula>0</formula>
    </cfRule>
  </conditionalFormatting>
  <conditionalFormatting sqref="S125">
    <cfRule type="cellIs" dxfId="1598" priority="2014" operator="lessThan">
      <formula>0</formula>
    </cfRule>
  </conditionalFormatting>
  <conditionalFormatting sqref="T123:T124">
    <cfRule type="expression" dxfId="1597" priority="2018">
      <formula>#REF!="Yes"</formula>
    </cfRule>
  </conditionalFormatting>
  <conditionalFormatting sqref="P125">
    <cfRule type="cellIs" dxfId="1596" priority="2012" operator="equal">
      <formula>AS_DURATION_EFFORT</formula>
    </cfRule>
    <cfRule type="cellIs" dxfId="1595" priority="2013" operator="equal">
      <formula>AS_DEV_EFFORT</formula>
    </cfRule>
  </conditionalFormatting>
  <conditionalFormatting sqref="B123:B124">
    <cfRule type="expression" dxfId="1594" priority="2011">
      <formula>AD123&lt;&gt;""</formula>
    </cfRule>
  </conditionalFormatting>
  <conditionalFormatting sqref="L125:AC125">
    <cfRule type="expression" dxfId="1593" priority="2019">
      <formula>AND($G125="Yes", $S$6="Exclude")</formula>
    </cfRule>
    <cfRule type="expression" dxfId="1592" priority="2020">
      <formula>$J125="Yes"</formula>
    </cfRule>
  </conditionalFormatting>
  <conditionalFormatting sqref="F125">
    <cfRule type="expression" dxfId="1591" priority="2010">
      <formula>$K125&lt;&gt;""</formula>
    </cfRule>
  </conditionalFormatting>
  <conditionalFormatting sqref="C125">
    <cfRule type="expression" dxfId="1590" priority="2009">
      <formula>$G125&lt;&gt;"-"</formula>
    </cfRule>
  </conditionalFormatting>
  <conditionalFormatting sqref="D125">
    <cfRule type="expression" dxfId="1589" priority="2008">
      <formula>$H125&lt;&gt;"-"</formula>
    </cfRule>
  </conditionalFormatting>
  <conditionalFormatting sqref="E125">
    <cfRule type="expression" dxfId="1588" priority="2007">
      <formula>$I125&lt;&gt;"-"</formula>
    </cfRule>
  </conditionalFormatting>
  <conditionalFormatting sqref="B126">
    <cfRule type="expression" dxfId="1587" priority="2004">
      <formula>AD126&lt;&gt;""</formula>
    </cfRule>
  </conditionalFormatting>
  <conditionalFormatting sqref="Z126">
    <cfRule type="cellIs" dxfId="1586" priority="2002" operator="greaterThan">
      <formula>0</formula>
    </cfRule>
    <cfRule type="cellIs" dxfId="1585" priority="2003" operator="lessThan">
      <formula>0</formula>
    </cfRule>
  </conditionalFormatting>
  <conditionalFormatting sqref="S126">
    <cfRule type="cellIs" dxfId="1584" priority="2001" operator="lessThan">
      <formula>0</formula>
    </cfRule>
  </conditionalFormatting>
  <conditionalFormatting sqref="P126">
    <cfRule type="cellIs" dxfId="1583" priority="1999" operator="equal">
      <formula>AS_DURATION_EFFORT</formula>
    </cfRule>
    <cfRule type="cellIs" dxfId="1582" priority="2000" operator="equal">
      <formula>AS_DEV_EFFORT</formula>
    </cfRule>
  </conditionalFormatting>
  <conditionalFormatting sqref="L126:AC126">
    <cfRule type="expression" dxfId="1581" priority="2005">
      <formula>AND($G126="Yes", $S$6="Exclude")</formula>
    </cfRule>
    <cfRule type="expression" dxfId="1580" priority="2006">
      <formula>$J126="Yes"</formula>
    </cfRule>
  </conditionalFormatting>
  <conditionalFormatting sqref="F126">
    <cfRule type="expression" dxfId="1579" priority="1998">
      <formula>$K126&lt;&gt;""</formula>
    </cfRule>
  </conditionalFormatting>
  <conditionalFormatting sqref="C126">
    <cfRule type="expression" dxfId="1578" priority="1997">
      <formula>$G126&lt;&gt;"-"</formula>
    </cfRule>
  </conditionalFormatting>
  <conditionalFormatting sqref="D126">
    <cfRule type="expression" dxfId="1577" priority="1996">
      <formula>$H126&lt;&gt;"-"</formula>
    </cfRule>
  </conditionalFormatting>
  <conditionalFormatting sqref="E126">
    <cfRule type="expression" dxfId="1576" priority="1995">
      <formula>$I126&lt;&gt;"-"</formula>
    </cfRule>
  </conditionalFormatting>
  <conditionalFormatting sqref="B127">
    <cfRule type="expression" dxfId="1575" priority="1992">
      <formula>AD127&lt;&gt;""</formula>
    </cfRule>
  </conditionalFormatting>
  <conditionalFormatting sqref="Z127">
    <cfRule type="cellIs" dxfId="1574" priority="1990" operator="greaterThan">
      <formula>0</formula>
    </cfRule>
    <cfRule type="cellIs" dxfId="1573" priority="1991" operator="lessThan">
      <formula>0</formula>
    </cfRule>
  </conditionalFormatting>
  <conditionalFormatting sqref="S127">
    <cfRule type="cellIs" dxfId="1572" priority="1989" operator="lessThan">
      <formula>0</formula>
    </cfRule>
  </conditionalFormatting>
  <conditionalFormatting sqref="P127">
    <cfRule type="cellIs" dxfId="1571" priority="1987" operator="equal">
      <formula>AS_DURATION_EFFORT</formula>
    </cfRule>
    <cfRule type="cellIs" dxfId="1570" priority="1988" operator="equal">
      <formula>AS_DEV_EFFORT</formula>
    </cfRule>
  </conditionalFormatting>
  <conditionalFormatting sqref="L127:AC127">
    <cfRule type="expression" dxfId="1569" priority="1993">
      <formula>AND($G127="Yes", $S$6="Exclude")</formula>
    </cfRule>
    <cfRule type="expression" dxfId="1568" priority="1994">
      <formula>$J127="Yes"</formula>
    </cfRule>
  </conditionalFormatting>
  <conditionalFormatting sqref="F127">
    <cfRule type="expression" dxfId="1567" priority="1986">
      <formula>$K127&lt;&gt;""</formula>
    </cfRule>
  </conditionalFormatting>
  <conditionalFormatting sqref="C127">
    <cfRule type="expression" dxfId="1566" priority="1985">
      <formula>$G127&lt;&gt;"-"</formula>
    </cfRule>
  </conditionalFormatting>
  <conditionalFormatting sqref="D127">
    <cfRule type="expression" dxfId="1565" priority="1984">
      <formula>$H127&lt;&gt;"-"</formula>
    </cfRule>
  </conditionalFormatting>
  <conditionalFormatting sqref="E127">
    <cfRule type="expression" dxfId="1564" priority="1983">
      <formula>$I127&lt;&gt;"-"</formula>
    </cfRule>
  </conditionalFormatting>
  <conditionalFormatting sqref="B128">
    <cfRule type="expression" dxfId="1563" priority="1980">
      <formula>AD128&lt;&gt;""</formula>
    </cfRule>
  </conditionalFormatting>
  <conditionalFormatting sqref="Z128">
    <cfRule type="cellIs" dxfId="1562" priority="1978" operator="greaterThan">
      <formula>0</formula>
    </cfRule>
    <cfRule type="cellIs" dxfId="1561" priority="1979" operator="lessThan">
      <formula>0</formula>
    </cfRule>
  </conditionalFormatting>
  <conditionalFormatting sqref="S128">
    <cfRule type="cellIs" dxfId="1560" priority="1977" operator="lessThan">
      <formula>0</formula>
    </cfRule>
  </conditionalFormatting>
  <conditionalFormatting sqref="P128">
    <cfRule type="cellIs" dxfId="1559" priority="1975" operator="equal">
      <formula>AS_DURATION_EFFORT</formula>
    </cfRule>
    <cfRule type="cellIs" dxfId="1558" priority="1976" operator="equal">
      <formula>AS_DEV_EFFORT</formula>
    </cfRule>
  </conditionalFormatting>
  <conditionalFormatting sqref="L128:AC128">
    <cfRule type="expression" dxfId="1557" priority="1981">
      <formula>AND($G128="Yes", $S$6="Exclude")</formula>
    </cfRule>
    <cfRule type="expression" dxfId="1556" priority="1982">
      <formula>$J128="Yes"</formula>
    </cfRule>
  </conditionalFormatting>
  <conditionalFormatting sqref="F128">
    <cfRule type="expression" dxfId="1555" priority="1974">
      <formula>$K128&lt;&gt;""</formula>
    </cfRule>
  </conditionalFormatting>
  <conditionalFormatting sqref="C128">
    <cfRule type="expression" dxfId="1554" priority="1973">
      <formula>$G128&lt;&gt;"-"</formula>
    </cfRule>
  </conditionalFormatting>
  <conditionalFormatting sqref="D128">
    <cfRule type="expression" dxfId="1553" priority="1972">
      <formula>$H128&lt;&gt;"-"</formula>
    </cfRule>
  </conditionalFormatting>
  <conditionalFormatting sqref="E128">
    <cfRule type="expression" dxfId="1552" priority="1971">
      <formula>$I128&lt;&gt;"-"</formula>
    </cfRule>
  </conditionalFormatting>
  <conditionalFormatting sqref="B141">
    <cfRule type="expression" dxfId="1551" priority="1967">
      <formula>AD141&lt;&gt;""</formula>
    </cfRule>
  </conditionalFormatting>
  <conditionalFormatting sqref="Z141">
    <cfRule type="cellIs" dxfId="1550" priority="1965" operator="greaterThan">
      <formula>0</formula>
    </cfRule>
    <cfRule type="cellIs" dxfId="1549" priority="1966" operator="lessThan">
      <formula>0</formula>
    </cfRule>
  </conditionalFormatting>
  <conditionalFormatting sqref="S141">
    <cfRule type="cellIs" dxfId="1548" priority="1964" operator="lessThan">
      <formula>0</formula>
    </cfRule>
  </conditionalFormatting>
  <conditionalFormatting sqref="T139:T140">
    <cfRule type="expression" dxfId="1547" priority="1968">
      <formula>#REF!="Yes"</formula>
    </cfRule>
  </conditionalFormatting>
  <conditionalFormatting sqref="P141">
    <cfRule type="cellIs" dxfId="1546" priority="1962" operator="equal">
      <formula>AS_DURATION_EFFORT</formula>
    </cfRule>
    <cfRule type="cellIs" dxfId="1545" priority="1963" operator="equal">
      <formula>AS_DEV_EFFORT</formula>
    </cfRule>
  </conditionalFormatting>
  <conditionalFormatting sqref="B139:B140">
    <cfRule type="expression" dxfId="1544" priority="1961">
      <formula>AD139&lt;&gt;""</formula>
    </cfRule>
  </conditionalFormatting>
  <conditionalFormatting sqref="L141:AC141">
    <cfRule type="expression" dxfId="1543" priority="1969">
      <formula>AND($G141="Yes", $S$6="Exclude")</formula>
    </cfRule>
    <cfRule type="expression" dxfId="1542" priority="1970">
      <formula>$J141="Yes"</formula>
    </cfRule>
  </conditionalFormatting>
  <conditionalFormatting sqref="F141">
    <cfRule type="expression" dxfId="1541" priority="1960">
      <formula>$K141&lt;&gt;""</formula>
    </cfRule>
  </conditionalFormatting>
  <conditionalFormatting sqref="C141">
    <cfRule type="expression" dxfId="1540" priority="1959">
      <formula>$G141&lt;&gt;"-"</formula>
    </cfRule>
  </conditionalFormatting>
  <conditionalFormatting sqref="D141">
    <cfRule type="expression" dxfId="1539" priority="1958">
      <formula>$H141&lt;&gt;"-"</formula>
    </cfRule>
  </conditionalFormatting>
  <conditionalFormatting sqref="E141">
    <cfRule type="expression" dxfId="1538" priority="1957">
      <formula>$I141&lt;&gt;"-"</formula>
    </cfRule>
  </conditionalFormatting>
  <conditionalFormatting sqref="B142">
    <cfRule type="expression" dxfId="1537" priority="1954">
      <formula>AD142&lt;&gt;""</formula>
    </cfRule>
  </conditionalFormatting>
  <conditionalFormatting sqref="Z142">
    <cfRule type="cellIs" dxfId="1536" priority="1952" operator="greaterThan">
      <formula>0</formula>
    </cfRule>
    <cfRule type="cellIs" dxfId="1535" priority="1953" operator="lessThan">
      <formula>0</formula>
    </cfRule>
  </conditionalFormatting>
  <conditionalFormatting sqref="S142">
    <cfRule type="cellIs" dxfId="1534" priority="1951" operator="lessThan">
      <formula>0</formula>
    </cfRule>
  </conditionalFormatting>
  <conditionalFormatting sqref="P142">
    <cfRule type="cellIs" dxfId="1533" priority="1949" operator="equal">
      <formula>AS_DURATION_EFFORT</formula>
    </cfRule>
    <cfRule type="cellIs" dxfId="1532" priority="1950" operator="equal">
      <formula>AS_DEV_EFFORT</formula>
    </cfRule>
  </conditionalFormatting>
  <conditionalFormatting sqref="L142:AC142">
    <cfRule type="expression" dxfId="1531" priority="1955">
      <formula>AND($G142="Yes", $S$6="Exclude")</formula>
    </cfRule>
    <cfRule type="expression" dxfId="1530" priority="1956">
      <formula>$J142="Yes"</formula>
    </cfRule>
  </conditionalFormatting>
  <conditionalFormatting sqref="F142">
    <cfRule type="expression" dxfId="1529" priority="1948">
      <formula>$K142&lt;&gt;""</formula>
    </cfRule>
  </conditionalFormatting>
  <conditionalFormatting sqref="C142">
    <cfRule type="expression" dxfId="1528" priority="1947">
      <formula>$G142&lt;&gt;"-"</formula>
    </cfRule>
  </conditionalFormatting>
  <conditionalFormatting sqref="D142">
    <cfRule type="expression" dxfId="1527" priority="1946">
      <formula>$H142&lt;&gt;"-"</formula>
    </cfRule>
  </conditionalFormatting>
  <conditionalFormatting sqref="E142">
    <cfRule type="expression" dxfId="1526" priority="1945">
      <formula>$I142&lt;&gt;"-"</formula>
    </cfRule>
  </conditionalFormatting>
  <conditionalFormatting sqref="B143">
    <cfRule type="expression" dxfId="1525" priority="1942">
      <formula>AD143&lt;&gt;""</formula>
    </cfRule>
  </conditionalFormatting>
  <conditionalFormatting sqref="Z143">
    <cfRule type="cellIs" dxfId="1524" priority="1940" operator="greaterThan">
      <formula>0</formula>
    </cfRule>
    <cfRule type="cellIs" dxfId="1523" priority="1941" operator="lessThan">
      <formula>0</formula>
    </cfRule>
  </conditionalFormatting>
  <conditionalFormatting sqref="S143">
    <cfRule type="cellIs" dxfId="1522" priority="1939" operator="lessThan">
      <formula>0</formula>
    </cfRule>
  </conditionalFormatting>
  <conditionalFormatting sqref="P143">
    <cfRule type="cellIs" dxfId="1521" priority="1937" operator="equal">
      <formula>AS_DURATION_EFFORT</formula>
    </cfRule>
    <cfRule type="cellIs" dxfId="1520" priority="1938" operator="equal">
      <formula>AS_DEV_EFFORT</formula>
    </cfRule>
  </conditionalFormatting>
  <conditionalFormatting sqref="L143:AC143">
    <cfRule type="expression" dxfId="1519" priority="1943">
      <formula>AND($G143="Yes", $S$6="Exclude")</formula>
    </cfRule>
    <cfRule type="expression" dxfId="1518" priority="1944">
      <formula>$J143="Yes"</formula>
    </cfRule>
  </conditionalFormatting>
  <conditionalFormatting sqref="F143">
    <cfRule type="expression" dxfId="1517" priority="1936">
      <formula>$K143&lt;&gt;""</formula>
    </cfRule>
  </conditionalFormatting>
  <conditionalFormatting sqref="C143">
    <cfRule type="expression" dxfId="1516" priority="1935">
      <formula>$G143&lt;&gt;"-"</formula>
    </cfRule>
  </conditionalFormatting>
  <conditionalFormatting sqref="D143">
    <cfRule type="expression" dxfId="1515" priority="1934">
      <formula>$H143&lt;&gt;"-"</formula>
    </cfRule>
  </conditionalFormatting>
  <conditionalFormatting sqref="E143">
    <cfRule type="expression" dxfId="1514" priority="1933">
      <formula>$I143&lt;&gt;"-"</formula>
    </cfRule>
  </conditionalFormatting>
  <conditionalFormatting sqref="B144">
    <cfRule type="expression" dxfId="1513" priority="1930">
      <formula>AD144&lt;&gt;""</formula>
    </cfRule>
  </conditionalFormatting>
  <conditionalFormatting sqref="Z144">
    <cfRule type="cellIs" dxfId="1512" priority="1928" operator="greaterThan">
      <formula>0</formula>
    </cfRule>
    <cfRule type="cellIs" dxfId="1511" priority="1929" operator="lessThan">
      <formula>0</formula>
    </cfRule>
  </conditionalFormatting>
  <conditionalFormatting sqref="S144">
    <cfRule type="cellIs" dxfId="1510" priority="1927" operator="lessThan">
      <formula>0</formula>
    </cfRule>
  </conditionalFormatting>
  <conditionalFormatting sqref="P144">
    <cfRule type="cellIs" dxfId="1509" priority="1925" operator="equal">
      <formula>AS_DURATION_EFFORT</formula>
    </cfRule>
    <cfRule type="cellIs" dxfId="1508" priority="1926" operator="equal">
      <formula>AS_DEV_EFFORT</formula>
    </cfRule>
  </conditionalFormatting>
  <conditionalFormatting sqref="L144:AC144">
    <cfRule type="expression" dxfId="1507" priority="1931">
      <formula>AND($G144="Yes", $S$6="Exclude")</formula>
    </cfRule>
    <cfRule type="expression" dxfId="1506" priority="1932">
      <formula>$J144="Yes"</formula>
    </cfRule>
  </conditionalFormatting>
  <conditionalFormatting sqref="F144">
    <cfRule type="expression" dxfId="1505" priority="1924">
      <formula>$K144&lt;&gt;""</formula>
    </cfRule>
  </conditionalFormatting>
  <conditionalFormatting sqref="C144">
    <cfRule type="expression" dxfId="1504" priority="1923">
      <formula>$G144&lt;&gt;"-"</formula>
    </cfRule>
  </conditionalFormatting>
  <conditionalFormatting sqref="D144">
    <cfRule type="expression" dxfId="1503" priority="1922">
      <formula>$H144&lt;&gt;"-"</formula>
    </cfRule>
  </conditionalFormatting>
  <conditionalFormatting sqref="E144">
    <cfRule type="expression" dxfId="1502" priority="1921">
      <formula>$I144&lt;&gt;"-"</formula>
    </cfRule>
  </conditionalFormatting>
  <conditionalFormatting sqref="B163">
    <cfRule type="expression" dxfId="1501" priority="1870">
      <formula>AD163&lt;&gt;""</formula>
    </cfRule>
  </conditionalFormatting>
  <conditionalFormatting sqref="Z163">
    <cfRule type="cellIs" dxfId="1500" priority="1868" operator="greaterThan">
      <formula>0</formula>
    </cfRule>
    <cfRule type="cellIs" dxfId="1499" priority="1869" operator="lessThan">
      <formula>0</formula>
    </cfRule>
  </conditionalFormatting>
  <conditionalFormatting sqref="S163">
    <cfRule type="cellIs" dxfId="1498" priority="1867" operator="lessThan">
      <formula>0</formula>
    </cfRule>
  </conditionalFormatting>
  <conditionalFormatting sqref="P163">
    <cfRule type="cellIs" dxfId="1497" priority="1865" operator="equal">
      <formula>AS_DURATION_EFFORT</formula>
    </cfRule>
    <cfRule type="cellIs" dxfId="1496" priority="1866" operator="equal">
      <formula>AS_DEV_EFFORT</formula>
    </cfRule>
  </conditionalFormatting>
  <conditionalFormatting sqref="F163">
    <cfRule type="expression" dxfId="1495" priority="1864">
      <formula>$K163&lt;&gt;""</formula>
    </cfRule>
  </conditionalFormatting>
  <conditionalFormatting sqref="C163">
    <cfRule type="expression" dxfId="1494" priority="1863">
      <formula>$G163&lt;&gt;"-"</formula>
    </cfRule>
  </conditionalFormatting>
  <conditionalFormatting sqref="D163">
    <cfRule type="expression" dxfId="1493" priority="1862">
      <formula>$H163&lt;&gt;"-"</formula>
    </cfRule>
  </conditionalFormatting>
  <conditionalFormatting sqref="E163">
    <cfRule type="expression" dxfId="1492" priority="1861">
      <formula>$I163&lt;&gt;"-"</formula>
    </cfRule>
  </conditionalFormatting>
  <conditionalFormatting sqref="B183">
    <cfRule type="expression" dxfId="1491" priority="1857">
      <formula>AD183&lt;&gt;""</formula>
    </cfRule>
  </conditionalFormatting>
  <conditionalFormatting sqref="Z183">
    <cfRule type="cellIs" dxfId="1490" priority="1855" operator="greaterThan">
      <formula>0</formula>
    </cfRule>
    <cfRule type="cellIs" dxfId="1489" priority="1856" operator="lessThan">
      <formula>0</formula>
    </cfRule>
  </conditionalFormatting>
  <conditionalFormatting sqref="S183">
    <cfRule type="cellIs" dxfId="1488" priority="1854" operator="lessThan">
      <formula>0</formula>
    </cfRule>
  </conditionalFormatting>
  <conditionalFormatting sqref="T181:T182">
    <cfRule type="expression" dxfId="1487" priority="1858">
      <formula>#REF!="Yes"</formula>
    </cfRule>
  </conditionalFormatting>
  <conditionalFormatting sqref="P183">
    <cfRule type="cellIs" dxfId="1486" priority="1852" operator="equal">
      <formula>AS_DURATION_EFFORT</formula>
    </cfRule>
    <cfRule type="cellIs" dxfId="1485" priority="1853" operator="equal">
      <formula>AS_DEV_EFFORT</formula>
    </cfRule>
  </conditionalFormatting>
  <conditionalFormatting sqref="B181:B182">
    <cfRule type="expression" dxfId="1484" priority="1851">
      <formula>AD181&lt;&gt;""</formula>
    </cfRule>
  </conditionalFormatting>
  <conditionalFormatting sqref="F183">
    <cfRule type="expression" dxfId="1483" priority="1850">
      <formula>$K183&lt;&gt;""</formula>
    </cfRule>
  </conditionalFormatting>
  <conditionalFormatting sqref="C183">
    <cfRule type="expression" dxfId="1482" priority="1849">
      <formula>$G183&lt;&gt;"-"</formula>
    </cfRule>
  </conditionalFormatting>
  <conditionalFormatting sqref="D183">
    <cfRule type="expression" dxfId="1481" priority="1848">
      <formula>$H183&lt;&gt;"-"</formula>
    </cfRule>
  </conditionalFormatting>
  <conditionalFormatting sqref="E183">
    <cfRule type="expression" dxfId="1480" priority="1847">
      <formula>$I183&lt;&gt;"-"</formula>
    </cfRule>
  </conditionalFormatting>
  <conditionalFormatting sqref="B184">
    <cfRule type="expression" dxfId="1479" priority="1844">
      <formula>AD184&lt;&gt;""</formula>
    </cfRule>
  </conditionalFormatting>
  <conditionalFormatting sqref="Z184">
    <cfRule type="cellIs" dxfId="1478" priority="1842" operator="greaterThan">
      <formula>0</formula>
    </cfRule>
    <cfRule type="cellIs" dxfId="1477" priority="1843" operator="lessThan">
      <formula>0</formula>
    </cfRule>
  </conditionalFormatting>
  <conditionalFormatting sqref="S184">
    <cfRule type="cellIs" dxfId="1476" priority="1841" operator="lessThan">
      <formula>0</formula>
    </cfRule>
  </conditionalFormatting>
  <conditionalFormatting sqref="P184">
    <cfRule type="cellIs" dxfId="1475" priority="1839" operator="equal">
      <formula>AS_DURATION_EFFORT</formula>
    </cfRule>
    <cfRule type="cellIs" dxfId="1474" priority="1840" operator="equal">
      <formula>AS_DEV_EFFORT</formula>
    </cfRule>
  </conditionalFormatting>
  <conditionalFormatting sqref="F184">
    <cfRule type="expression" dxfId="1473" priority="1838">
      <formula>$K184&lt;&gt;""</formula>
    </cfRule>
  </conditionalFormatting>
  <conditionalFormatting sqref="C184">
    <cfRule type="expression" dxfId="1472" priority="1837">
      <formula>$G184&lt;&gt;"-"</formula>
    </cfRule>
  </conditionalFormatting>
  <conditionalFormatting sqref="D184">
    <cfRule type="expression" dxfId="1471" priority="1836">
      <formula>$H184&lt;&gt;"-"</formula>
    </cfRule>
  </conditionalFormatting>
  <conditionalFormatting sqref="E184">
    <cfRule type="expression" dxfId="1470" priority="1835">
      <formula>$I184&lt;&gt;"-"</formula>
    </cfRule>
  </conditionalFormatting>
  <conditionalFormatting sqref="B185">
    <cfRule type="expression" dxfId="1469" priority="1832">
      <formula>AD185&lt;&gt;""</formula>
    </cfRule>
  </conditionalFormatting>
  <conditionalFormatting sqref="Z185">
    <cfRule type="cellIs" dxfId="1468" priority="1830" operator="greaterThan">
      <formula>0</formula>
    </cfRule>
    <cfRule type="cellIs" dxfId="1467" priority="1831" operator="lessThan">
      <formula>0</formula>
    </cfRule>
  </conditionalFormatting>
  <conditionalFormatting sqref="S185">
    <cfRule type="cellIs" dxfId="1466" priority="1829" operator="lessThan">
      <formula>0</formula>
    </cfRule>
  </conditionalFormatting>
  <conditionalFormatting sqref="P185">
    <cfRule type="cellIs" dxfId="1465" priority="1827" operator="equal">
      <formula>AS_DURATION_EFFORT</formula>
    </cfRule>
    <cfRule type="cellIs" dxfId="1464" priority="1828" operator="equal">
      <formula>AS_DEV_EFFORT</formula>
    </cfRule>
  </conditionalFormatting>
  <conditionalFormatting sqref="F185">
    <cfRule type="expression" dxfId="1463" priority="1826">
      <formula>$K185&lt;&gt;""</formula>
    </cfRule>
  </conditionalFormatting>
  <conditionalFormatting sqref="C185">
    <cfRule type="expression" dxfId="1462" priority="1825">
      <formula>$G185&lt;&gt;"-"</formula>
    </cfRule>
  </conditionalFormatting>
  <conditionalFormatting sqref="D185">
    <cfRule type="expression" dxfId="1461" priority="1824">
      <formula>$H185&lt;&gt;"-"</formula>
    </cfRule>
  </conditionalFormatting>
  <conditionalFormatting sqref="E185">
    <cfRule type="expression" dxfId="1460" priority="1823">
      <formula>$I185&lt;&gt;"-"</formula>
    </cfRule>
  </conditionalFormatting>
  <conditionalFormatting sqref="B186">
    <cfRule type="expression" dxfId="1459" priority="1820">
      <formula>AD186&lt;&gt;""</formula>
    </cfRule>
  </conditionalFormatting>
  <conditionalFormatting sqref="Z186">
    <cfRule type="cellIs" dxfId="1458" priority="1818" operator="greaterThan">
      <formula>0</formula>
    </cfRule>
    <cfRule type="cellIs" dxfId="1457" priority="1819" operator="lessThan">
      <formula>0</formula>
    </cfRule>
  </conditionalFormatting>
  <conditionalFormatting sqref="S186">
    <cfRule type="cellIs" dxfId="1456" priority="1817" operator="lessThan">
      <formula>0</formula>
    </cfRule>
  </conditionalFormatting>
  <conditionalFormatting sqref="P186">
    <cfRule type="cellIs" dxfId="1455" priority="1815" operator="equal">
      <formula>AS_DURATION_EFFORT</formula>
    </cfRule>
    <cfRule type="cellIs" dxfId="1454" priority="1816" operator="equal">
      <formula>AS_DEV_EFFORT</formula>
    </cfRule>
  </conditionalFormatting>
  <conditionalFormatting sqref="F186">
    <cfRule type="expression" dxfId="1453" priority="1814">
      <formula>$K186&lt;&gt;""</formula>
    </cfRule>
  </conditionalFormatting>
  <conditionalFormatting sqref="C186">
    <cfRule type="expression" dxfId="1452" priority="1813">
      <formula>$G186&lt;&gt;"-"</formula>
    </cfRule>
  </conditionalFormatting>
  <conditionalFormatting sqref="D186">
    <cfRule type="expression" dxfId="1451" priority="1812">
      <formula>$H186&lt;&gt;"-"</formula>
    </cfRule>
  </conditionalFormatting>
  <conditionalFormatting sqref="E186">
    <cfRule type="expression" dxfId="1450" priority="1811">
      <formula>$I186&lt;&gt;"-"</formula>
    </cfRule>
  </conditionalFormatting>
  <conditionalFormatting sqref="B190">
    <cfRule type="expression" dxfId="1449" priority="1807">
      <formula>AD190&lt;&gt;""</formula>
    </cfRule>
  </conditionalFormatting>
  <conditionalFormatting sqref="Z190">
    <cfRule type="cellIs" dxfId="1448" priority="1805" operator="greaterThan">
      <formula>0</formula>
    </cfRule>
    <cfRule type="cellIs" dxfId="1447" priority="1806" operator="lessThan">
      <formula>0</formula>
    </cfRule>
  </conditionalFormatting>
  <conditionalFormatting sqref="S190">
    <cfRule type="cellIs" dxfId="1446" priority="1804" operator="lessThan">
      <formula>0</formula>
    </cfRule>
  </conditionalFormatting>
  <conditionalFormatting sqref="T188:T189">
    <cfRule type="expression" dxfId="1445" priority="1808">
      <formula>#REF!="Yes"</formula>
    </cfRule>
  </conditionalFormatting>
  <conditionalFormatting sqref="P190">
    <cfRule type="cellIs" dxfId="1444" priority="1802" operator="equal">
      <formula>AS_DURATION_EFFORT</formula>
    </cfRule>
    <cfRule type="cellIs" dxfId="1443" priority="1803" operator="equal">
      <formula>AS_DEV_EFFORT</formula>
    </cfRule>
  </conditionalFormatting>
  <conditionalFormatting sqref="B188:B189">
    <cfRule type="expression" dxfId="1442" priority="1801">
      <formula>AD188&lt;&gt;""</formula>
    </cfRule>
  </conditionalFormatting>
  <conditionalFormatting sqref="F190">
    <cfRule type="expression" dxfId="1441" priority="1800">
      <formula>$K190&lt;&gt;""</formula>
    </cfRule>
  </conditionalFormatting>
  <conditionalFormatting sqref="C190">
    <cfRule type="expression" dxfId="1440" priority="1799">
      <formula>$G190&lt;&gt;"-"</formula>
    </cfRule>
  </conditionalFormatting>
  <conditionalFormatting sqref="D190">
    <cfRule type="expression" dxfId="1439" priority="1798">
      <formula>$H190&lt;&gt;"-"</formula>
    </cfRule>
  </conditionalFormatting>
  <conditionalFormatting sqref="E190">
    <cfRule type="expression" dxfId="1438" priority="1797">
      <formula>$I190&lt;&gt;"-"</formula>
    </cfRule>
  </conditionalFormatting>
  <conditionalFormatting sqref="B191">
    <cfRule type="expression" dxfId="1437" priority="1794">
      <formula>AD191&lt;&gt;""</formula>
    </cfRule>
  </conditionalFormatting>
  <conditionalFormatting sqref="Z191">
    <cfRule type="cellIs" dxfId="1436" priority="1792" operator="greaterThan">
      <formula>0</formula>
    </cfRule>
    <cfRule type="cellIs" dxfId="1435" priority="1793" operator="lessThan">
      <formula>0</formula>
    </cfRule>
  </conditionalFormatting>
  <conditionalFormatting sqref="S191">
    <cfRule type="cellIs" dxfId="1434" priority="1791" operator="lessThan">
      <formula>0</formula>
    </cfRule>
  </conditionalFormatting>
  <conditionalFormatting sqref="P191">
    <cfRule type="cellIs" dxfId="1433" priority="1789" operator="equal">
      <formula>AS_DURATION_EFFORT</formula>
    </cfRule>
    <cfRule type="cellIs" dxfId="1432" priority="1790" operator="equal">
      <formula>AS_DEV_EFFORT</formula>
    </cfRule>
  </conditionalFormatting>
  <conditionalFormatting sqref="F191">
    <cfRule type="expression" dxfId="1431" priority="1788">
      <formula>$K191&lt;&gt;""</formula>
    </cfRule>
  </conditionalFormatting>
  <conditionalFormatting sqref="C191">
    <cfRule type="expression" dxfId="1430" priority="1787">
      <formula>$G191&lt;&gt;"-"</formula>
    </cfRule>
  </conditionalFormatting>
  <conditionalFormatting sqref="D191">
    <cfRule type="expression" dxfId="1429" priority="1786">
      <formula>$H191&lt;&gt;"-"</formula>
    </cfRule>
  </conditionalFormatting>
  <conditionalFormatting sqref="E191">
    <cfRule type="expression" dxfId="1428" priority="1785">
      <formula>$I191&lt;&gt;"-"</formula>
    </cfRule>
  </conditionalFormatting>
  <conditionalFormatting sqref="B192">
    <cfRule type="expression" dxfId="1427" priority="1782">
      <formula>AD192&lt;&gt;""</formula>
    </cfRule>
  </conditionalFormatting>
  <conditionalFormatting sqref="Z192">
    <cfRule type="cellIs" dxfId="1426" priority="1780" operator="greaterThan">
      <formula>0</formula>
    </cfRule>
    <cfRule type="cellIs" dxfId="1425" priority="1781" operator="lessThan">
      <formula>0</formula>
    </cfRule>
  </conditionalFormatting>
  <conditionalFormatting sqref="S192">
    <cfRule type="cellIs" dxfId="1424" priority="1779" operator="lessThan">
      <formula>0</formula>
    </cfRule>
  </conditionalFormatting>
  <conditionalFormatting sqref="P192">
    <cfRule type="cellIs" dxfId="1423" priority="1777" operator="equal">
      <formula>AS_DURATION_EFFORT</formula>
    </cfRule>
    <cfRule type="cellIs" dxfId="1422" priority="1778" operator="equal">
      <formula>AS_DEV_EFFORT</formula>
    </cfRule>
  </conditionalFormatting>
  <conditionalFormatting sqref="F192">
    <cfRule type="expression" dxfId="1421" priority="1776">
      <formula>$K192&lt;&gt;""</formula>
    </cfRule>
  </conditionalFormatting>
  <conditionalFormatting sqref="C192">
    <cfRule type="expression" dxfId="1420" priority="1775">
      <formula>$G192&lt;&gt;"-"</formula>
    </cfRule>
  </conditionalFormatting>
  <conditionalFormatting sqref="D192">
    <cfRule type="expression" dxfId="1419" priority="1774">
      <formula>$H192&lt;&gt;"-"</formula>
    </cfRule>
  </conditionalFormatting>
  <conditionalFormatting sqref="E192">
    <cfRule type="expression" dxfId="1418" priority="1773">
      <formula>$I192&lt;&gt;"-"</formula>
    </cfRule>
  </conditionalFormatting>
  <conditionalFormatting sqref="B199">
    <cfRule type="expression" dxfId="1417" priority="1769">
      <formula>AD199&lt;&gt;""</formula>
    </cfRule>
  </conditionalFormatting>
  <conditionalFormatting sqref="Z199">
    <cfRule type="cellIs" dxfId="1416" priority="1767" operator="greaterThan">
      <formula>0</formula>
    </cfRule>
    <cfRule type="cellIs" dxfId="1415" priority="1768" operator="lessThan">
      <formula>0</formula>
    </cfRule>
  </conditionalFormatting>
  <conditionalFormatting sqref="S199">
    <cfRule type="cellIs" dxfId="1414" priority="1766" operator="lessThan">
      <formula>0</formula>
    </cfRule>
  </conditionalFormatting>
  <conditionalFormatting sqref="T197:T198">
    <cfRule type="expression" dxfId="1413" priority="1770">
      <formula>#REF!="Yes"</formula>
    </cfRule>
  </conditionalFormatting>
  <conditionalFormatting sqref="P199">
    <cfRule type="cellIs" dxfId="1412" priority="1764" operator="equal">
      <formula>AS_DURATION_EFFORT</formula>
    </cfRule>
    <cfRule type="cellIs" dxfId="1411" priority="1765" operator="equal">
      <formula>AS_DEV_EFFORT</formula>
    </cfRule>
  </conditionalFormatting>
  <conditionalFormatting sqref="B197:B198">
    <cfRule type="expression" dxfId="1410" priority="1763">
      <formula>AD197&lt;&gt;""</formula>
    </cfRule>
  </conditionalFormatting>
  <conditionalFormatting sqref="F199">
    <cfRule type="expression" dxfId="1409" priority="1762">
      <formula>$K199&lt;&gt;""</formula>
    </cfRule>
  </conditionalFormatting>
  <conditionalFormatting sqref="C199">
    <cfRule type="expression" dxfId="1408" priority="1761">
      <formula>$G199&lt;&gt;"-"</formula>
    </cfRule>
  </conditionalFormatting>
  <conditionalFormatting sqref="D199">
    <cfRule type="expression" dxfId="1407" priority="1760">
      <formula>$H199&lt;&gt;"-"</formula>
    </cfRule>
  </conditionalFormatting>
  <conditionalFormatting sqref="E199">
    <cfRule type="expression" dxfId="1406" priority="1759">
      <formula>$I199&lt;&gt;"-"</formula>
    </cfRule>
  </conditionalFormatting>
  <conditionalFormatting sqref="B208">
    <cfRule type="expression" dxfId="1405" priority="1753">
      <formula>AD208&lt;&gt;""</formula>
    </cfRule>
  </conditionalFormatting>
  <conditionalFormatting sqref="Z208">
    <cfRule type="cellIs" dxfId="1404" priority="1751" operator="greaterThan">
      <formula>0</formula>
    </cfRule>
    <cfRule type="cellIs" dxfId="1403" priority="1752" operator="lessThan">
      <formula>0</formula>
    </cfRule>
  </conditionalFormatting>
  <conditionalFormatting sqref="S208">
    <cfRule type="cellIs" dxfId="1402" priority="1750" operator="lessThan">
      <formula>0</formula>
    </cfRule>
  </conditionalFormatting>
  <conditionalFormatting sqref="T206:T207">
    <cfRule type="expression" dxfId="1401" priority="1754">
      <formula>#REF!="Yes"</formula>
    </cfRule>
  </conditionalFormatting>
  <conditionalFormatting sqref="P208">
    <cfRule type="cellIs" dxfId="1400" priority="1748" operator="equal">
      <formula>AS_DURATION_EFFORT</formula>
    </cfRule>
    <cfRule type="cellIs" dxfId="1399" priority="1749" operator="equal">
      <formula>AS_DEV_EFFORT</formula>
    </cfRule>
  </conditionalFormatting>
  <conditionalFormatting sqref="B206:B207">
    <cfRule type="expression" dxfId="1398" priority="1747">
      <formula>AD206&lt;&gt;""</formula>
    </cfRule>
  </conditionalFormatting>
  <conditionalFormatting sqref="F208">
    <cfRule type="expression" dxfId="1397" priority="1746">
      <formula>$K208&lt;&gt;""</formula>
    </cfRule>
  </conditionalFormatting>
  <conditionalFormatting sqref="C208">
    <cfRule type="expression" dxfId="1396" priority="1745">
      <formula>$G208&lt;&gt;"-"</formula>
    </cfRule>
  </conditionalFormatting>
  <conditionalFormatting sqref="D208">
    <cfRule type="expression" dxfId="1395" priority="1744">
      <formula>$H208&lt;&gt;"-"</formula>
    </cfRule>
  </conditionalFormatting>
  <conditionalFormatting sqref="E208">
    <cfRule type="expression" dxfId="1394" priority="1743">
      <formula>$I208&lt;&gt;"-"</formula>
    </cfRule>
  </conditionalFormatting>
  <conditionalFormatting sqref="B111">
    <cfRule type="expression" dxfId="1393" priority="1740">
      <formula>AD111&lt;&gt;""</formula>
    </cfRule>
  </conditionalFormatting>
  <conditionalFormatting sqref="Z111">
    <cfRule type="cellIs" dxfId="1392" priority="1738" operator="greaterThan">
      <formula>0</formula>
    </cfRule>
    <cfRule type="cellIs" dxfId="1391" priority="1739" operator="lessThan">
      <formula>0</formula>
    </cfRule>
  </conditionalFormatting>
  <conditionalFormatting sqref="S111">
    <cfRule type="cellIs" dxfId="1390" priority="1737" operator="lessThan">
      <formula>0</formula>
    </cfRule>
  </conditionalFormatting>
  <conditionalFormatting sqref="P111">
    <cfRule type="cellIs" dxfId="1389" priority="1735" operator="equal">
      <formula>AS_DURATION_EFFORT</formula>
    </cfRule>
    <cfRule type="cellIs" dxfId="1388" priority="1736" operator="equal">
      <formula>AS_DEV_EFFORT</formula>
    </cfRule>
  </conditionalFormatting>
  <conditionalFormatting sqref="L111:AC111">
    <cfRule type="expression" dxfId="1387" priority="1741">
      <formula>AND($G111="Yes", $S$6="Exclude")</formula>
    </cfRule>
    <cfRule type="expression" dxfId="1386" priority="1742">
      <formula>$J111="Yes"</formula>
    </cfRule>
  </conditionalFormatting>
  <conditionalFormatting sqref="F111">
    <cfRule type="expression" dxfId="1385" priority="1734">
      <formula>$K111&lt;&gt;""</formula>
    </cfRule>
  </conditionalFormatting>
  <conditionalFormatting sqref="C111">
    <cfRule type="expression" dxfId="1384" priority="1733">
      <formula>$G111&lt;&gt;"-"</formula>
    </cfRule>
  </conditionalFormatting>
  <conditionalFormatting sqref="D111">
    <cfRule type="expression" dxfId="1383" priority="1732">
      <formula>$H111&lt;&gt;"-"</formula>
    </cfRule>
  </conditionalFormatting>
  <conditionalFormatting sqref="E111">
    <cfRule type="expression" dxfId="1382" priority="1731">
      <formula>$I111&lt;&gt;"-"</formula>
    </cfRule>
  </conditionalFormatting>
  <conditionalFormatting sqref="B120">
    <cfRule type="expression" dxfId="1381" priority="1728">
      <formula>AD120&lt;&gt;""</formula>
    </cfRule>
  </conditionalFormatting>
  <conditionalFormatting sqref="Z120">
    <cfRule type="cellIs" dxfId="1380" priority="1726" operator="greaterThan">
      <formula>0</formula>
    </cfRule>
    <cfRule type="cellIs" dxfId="1379" priority="1727" operator="lessThan">
      <formula>0</formula>
    </cfRule>
  </conditionalFormatting>
  <conditionalFormatting sqref="S120">
    <cfRule type="cellIs" dxfId="1378" priority="1725" operator="lessThan">
      <formula>0</formula>
    </cfRule>
  </conditionalFormatting>
  <conditionalFormatting sqref="P120">
    <cfRule type="cellIs" dxfId="1377" priority="1723" operator="equal">
      <formula>AS_DURATION_EFFORT</formula>
    </cfRule>
    <cfRule type="cellIs" dxfId="1376" priority="1724" operator="equal">
      <formula>AS_DEV_EFFORT</formula>
    </cfRule>
  </conditionalFormatting>
  <conditionalFormatting sqref="L120:AC120">
    <cfRule type="expression" dxfId="1375" priority="1729">
      <formula>AND($G120="Yes", $S$6="Exclude")</formula>
    </cfRule>
    <cfRule type="expression" dxfId="1374" priority="1730">
      <formula>$J120="Yes"</formula>
    </cfRule>
  </conditionalFormatting>
  <conditionalFormatting sqref="F120">
    <cfRule type="expression" dxfId="1373" priority="1722">
      <formula>$K120&lt;&gt;""</formula>
    </cfRule>
  </conditionalFormatting>
  <conditionalFormatting sqref="C120">
    <cfRule type="expression" dxfId="1372" priority="1721">
      <formula>$G120&lt;&gt;"-"</formula>
    </cfRule>
  </conditionalFormatting>
  <conditionalFormatting sqref="D120">
    <cfRule type="expression" dxfId="1371" priority="1720">
      <formula>$H120&lt;&gt;"-"</formula>
    </cfRule>
  </conditionalFormatting>
  <conditionalFormatting sqref="E120">
    <cfRule type="expression" dxfId="1370" priority="1719">
      <formula>$I120&lt;&gt;"-"</formula>
    </cfRule>
  </conditionalFormatting>
  <conditionalFormatting sqref="B121">
    <cfRule type="expression" dxfId="1369" priority="1716">
      <formula>AD121&lt;&gt;""</formula>
    </cfRule>
  </conditionalFormatting>
  <conditionalFormatting sqref="Z121">
    <cfRule type="cellIs" dxfId="1368" priority="1714" operator="greaterThan">
      <formula>0</formula>
    </cfRule>
    <cfRule type="cellIs" dxfId="1367" priority="1715" operator="lessThan">
      <formula>0</formula>
    </cfRule>
  </conditionalFormatting>
  <conditionalFormatting sqref="S121">
    <cfRule type="cellIs" dxfId="1366" priority="1713" operator="lessThan">
      <formula>0</formula>
    </cfRule>
  </conditionalFormatting>
  <conditionalFormatting sqref="P121">
    <cfRule type="cellIs" dxfId="1365" priority="1711" operator="equal">
      <formula>AS_DURATION_EFFORT</formula>
    </cfRule>
    <cfRule type="cellIs" dxfId="1364" priority="1712" operator="equal">
      <formula>AS_DEV_EFFORT</formula>
    </cfRule>
  </conditionalFormatting>
  <conditionalFormatting sqref="L121:AC121">
    <cfRule type="expression" dxfId="1363" priority="1717">
      <formula>AND($G121="Yes", $S$6="Exclude")</formula>
    </cfRule>
    <cfRule type="expression" dxfId="1362" priority="1718">
      <formula>$J121="Yes"</formula>
    </cfRule>
  </conditionalFormatting>
  <conditionalFormatting sqref="F121">
    <cfRule type="expression" dxfId="1361" priority="1710">
      <formula>$K121&lt;&gt;""</formula>
    </cfRule>
  </conditionalFormatting>
  <conditionalFormatting sqref="C121">
    <cfRule type="expression" dxfId="1360" priority="1709">
      <formula>$G121&lt;&gt;"-"</formula>
    </cfRule>
  </conditionalFormatting>
  <conditionalFormatting sqref="D121">
    <cfRule type="expression" dxfId="1359" priority="1708">
      <formula>$H121&lt;&gt;"-"</formula>
    </cfRule>
  </conditionalFormatting>
  <conditionalFormatting sqref="E121">
    <cfRule type="expression" dxfId="1358" priority="1707">
      <formula>$I121&lt;&gt;"-"</formula>
    </cfRule>
  </conditionalFormatting>
  <conditionalFormatting sqref="B129">
    <cfRule type="expression" dxfId="1357" priority="1704">
      <formula>AD129&lt;&gt;""</formula>
    </cfRule>
  </conditionalFormatting>
  <conditionalFormatting sqref="Z129">
    <cfRule type="cellIs" dxfId="1356" priority="1702" operator="greaterThan">
      <formula>0</formula>
    </cfRule>
    <cfRule type="cellIs" dxfId="1355" priority="1703" operator="lessThan">
      <formula>0</formula>
    </cfRule>
  </conditionalFormatting>
  <conditionalFormatting sqref="S129">
    <cfRule type="cellIs" dxfId="1354" priority="1701" operator="lessThan">
      <formula>0</formula>
    </cfRule>
  </conditionalFormatting>
  <conditionalFormatting sqref="P129">
    <cfRule type="cellIs" dxfId="1353" priority="1699" operator="equal">
      <formula>AS_DURATION_EFFORT</formula>
    </cfRule>
    <cfRule type="cellIs" dxfId="1352" priority="1700" operator="equal">
      <formula>AS_DEV_EFFORT</formula>
    </cfRule>
  </conditionalFormatting>
  <conditionalFormatting sqref="L129:AC129">
    <cfRule type="expression" dxfId="1351" priority="1705">
      <formula>AND($G129="Yes", $S$6="Exclude")</formula>
    </cfRule>
    <cfRule type="expression" dxfId="1350" priority="1706">
      <formula>$J129="Yes"</formula>
    </cfRule>
  </conditionalFormatting>
  <conditionalFormatting sqref="F129">
    <cfRule type="expression" dxfId="1349" priority="1698">
      <formula>$K129&lt;&gt;""</formula>
    </cfRule>
  </conditionalFormatting>
  <conditionalFormatting sqref="C129">
    <cfRule type="expression" dxfId="1348" priority="1697">
      <formula>$G129&lt;&gt;"-"</formula>
    </cfRule>
  </conditionalFormatting>
  <conditionalFormatting sqref="D129">
    <cfRule type="expression" dxfId="1347" priority="1696">
      <formula>$H129&lt;&gt;"-"</formula>
    </cfRule>
  </conditionalFormatting>
  <conditionalFormatting sqref="E129">
    <cfRule type="expression" dxfId="1346" priority="1695">
      <formula>$I129&lt;&gt;"-"</formula>
    </cfRule>
  </conditionalFormatting>
  <conditionalFormatting sqref="B133">
    <cfRule type="expression" dxfId="1345" priority="1691">
      <formula>AD133&lt;&gt;""</formula>
    </cfRule>
  </conditionalFormatting>
  <conditionalFormatting sqref="Z133">
    <cfRule type="cellIs" dxfId="1344" priority="1689" operator="greaterThan">
      <formula>0</formula>
    </cfRule>
    <cfRule type="cellIs" dxfId="1343" priority="1690" operator="lessThan">
      <formula>0</formula>
    </cfRule>
  </conditionalFormatting>
  <conditionalFormatting sqref="S133">
    <cfRule type="cellIs" dxfId="1342" priority="1688" operator="lessThan">
      <formula>0</formula>
    </cfRule>
  </conditionalFormatting>
  <conditionalFormatting sqref="T131:T132">
    <cfRule type="expression" dxfId="1341" priority="1692">
      <formula>#REF!="Yes"</formula>
    </cfRule>
  </conditionalFormatting>
  <conditionalFormatting sqref="P133">
    <cfRule type="cellIs" dxfId="1340" priority="1686" operator="equal">
      <formula>AS_DURATION_EFFORT</formula>
    </cfRule>
    <cfRule type="cellIs" dxfId="1339" priority="1687" operator="equal">
      <formula>AS_DEV_EFFORT</formula>
    </cfRule>
  </conditionalFormatting>
  <conditionalFormatting sqref="B131:B132">
    <cfRule type="expression" dxfId="1338" priority="1685">
      <formula>AD131&lt;&gt;""</formula>
    </cfRule>
  </conditionalFormatting>
  <conditionalFormatting sqref="L133:AC133">
    <cfRule type="expression" dxfId="1337" priority="1693">
      <formula>AND($G133="Yes", $S$6="Exclude")</formula>
    </cfRule>
    <cfRule type="expression" dxfId="1336" priority="1694">
      <formula>$J133="Yes"</formula>
    </cfRule>
  </conditionalFormatting>
  <conditionalFormatting sqref="F133">
    <cfRule type="expression" dxfId="1335" priority="1684">
      <formula>$K133&lt;&gt;""</formula>
    </cfRule>
  </conditionalFormatting>
  <conditionalFormatting sqref="C133">
    <cfRule type="expression" dxfId="1334" priority="1683">
      <formula>$G133&lt;&gt;"-"</formula>
    </cfRule>
  </conditionalFormatting>
  <conditionalFormatting sqref="D133">
    <cfRule type="expression" dxfId="1333" priority="1682">
      <formula>$H133&lt;&gt;"-"</formula>
    </cfRule>
  </conditionalFormatting>
  <conditionalFormatting sqref="E133">
    <cfRule type="expression" dxfId="1332" priority="1681">
      <formula>$I133&lt;&gt;"-"</formula>
    </cfRule>
  </conditionalFormatting>
  <conditionalFormatting sqref="B134">
    <cfRule type="expression" dxfId="1331" priority="1678">
      <formula>AD134&lt;&gt;""</formula>
    </cfRule>
  </conditionalFormatting>
  <conditionalFormatting sqref="Z134">
    <cfRule type="cellIs" dxfId="1330" priority="1676" operator="greaterThan">
      <formula>0</formula>
    </cfRule>
    <cfRule type="cellIs" dxfId="1329" priority="1677" operator="lessThan">
      <formula>0</formula>
    </cfRule>
  </conditionalFormatting>
  <conditionalFormatting sqref="S134">
    <cfRule type="cellIs" dxfId="1328" priority="1675" operator="lessThan">
      <formula>0</formula>
    </cfRule>
  </conditionalFormatting>
  <conditionalFormatting sqref="P134">
    <cfRule type="cellIs" dxfId="1327" priority="1673" operator="equal">
      <formula>AS_DURATION_EFFORT</formula>
    </cfRule>
    <cfRule type="cellIs" dxfId="1326" priority="1674" operator="equal">
      <formula>AS_DEV_EFFORT</formula>
    </cfRule>
  </conditionalFormatting>
  <conditionalFormatting sqref="L134:AC134">
    <cfRule type="expression" dxfId="1325" priority="1679">
      <formula>AND($G134="Yes", $S$6="Exclude")</formula>
    </cfRule>
    <cfRule type="expression" dxfId="1324" priority="1680">
      <formula>$J134="Yes"</formula>
    </cfRule>
  </conditionalFormatting>
  <conditionalFormatting sqref="F134">
    <cfRule type="expression" dxfId="1323" priority="1672">
      <formula>$K134&lt;&gt;""</formula>
    </cfRule>
  </conditionalFormatting>
  <conditionalFormatting sqref="C134">
    <cfRule type="expression" dxfId="1322" priority="1671">
      <formula>$G134&lt;&gt;"-"</formula>
    </cfRule>
  </conditionalFormatting>
  <conditionalFormatting sqref="D134">
    <cfRule type="expression" dxfId="1321" priority="1670">
      <formula>$H134&lt;&gt;"-"</formula>
    </cfRule>
  </conditionalFormatting>
  <conditionalFormatting sqref="E134">
    <cfRule type="expression" dxfId="1320" priority="1669">
      <formula>$I134&lt;&gt;"-"</formula>
    </cfRule>
  </conditionalFormatting>
  <conditionalFormatting sqref="B135">
    <cfRule type="expression" dxfId="1319" priority="1666">
      <formula>AD135&lt;&gt;""</formula>
    </cfRule>
  </conditionalFormatting>
  <conditionalFormatting sqref="Z135">
    <cfRule type="cellIs" dxfId="1318" priority="1664" operator="greaterThan">
      <formula>0</formula>
    </cfRule>
    <cfRule type="cellIs" dxfId="1317" priority="1665" operator="lessThan">
      <formula>0</formula>
    </cfRule>
  </conditionalFormatting>
  <conditionalFormatting sqref="S135">
    <cfRule type="cellIs" dxfId="1316" priority="1663" operator="lessThan">
      <formula>0</formula>
    </cfRule>
  </conditionalFormatting>
  <conditionalFormatting sqref="P135">
    <cfRule type="cellIs" dxfId="1315" priority="1661" operator="equal">
      <formula>AS_DURATION_EFFORT</formula>
    </cfRule>
    <cfRule type="cellIs" dxfId="1314" priority="1662" operator="equal">
      <formula>AS_DEV_EFFORT</formula>
    </cfRule>
  </conditionalFormatting>
  <conditionalFormatting sqref="L135:AC135">
    <cfRule type="expression" dxfId="1313" priority="1667">
      <formula>AND($G135="Yes", $S$6="Exclude")</formula>
    </cfRule>
    <cfRule type="expression" dxfId="1312" priority="1668">
      <formula>$J135="Yes"</formula>
    </cfRule>
  </conditionalFormatting>
  <conditionalFormatting sqref="F135">
    <cfRule type="expression" dxfId="1311" priority="1660">
      <formula>$K135&lt;&gt;""</formula>
    </cfRule>
  </conditionalFormatting>
  <conditionalFormatting sqref="C135">
    <cfRule type="expression" dxfId="1310" priority="1659">
      <formula>$G135&lt;&gt;"-"</formula>
    </cfRule>
  </conditionalFormatting>
  <conditionalFormatting sqref="D135">
    <cfRule type="expression" dxfId="1309" priority="1658">
      <formula>$H135&lt;&gt;"-"</formula>
    </cfRule>
  </conditionalFormatting>
  <conditionalFormatting sqref="E135">
    <cfRule type="expression" dxfId="1308" priority="1657">
      <formula>$I135&lt;&gt;"-"</formula>
    </cfRule>
  </conditionalFormatting>
  <conditionalFormatting sqref="B136">
    <cfRule type="expression" dxfId="1307" priority="1654">
      <formula>AD136&lt;&gt;""</formula>
    </cfRule>
  </conditionalFormatting>
  <conditionalFormatting sqref="Z136">
    <cfRule type="cellIs" dxfId="1306" priority="1652" operator="greaterThan">
      <formula>0</formula>
    </cfRule>
    <cfRule type="cellIs" dxfId="1305" priority="1653" operator="lessThan">
      <formula>0</formula>
    </cfRule>
  </conditionalFormatting>
  <conditionalFormatting sqref="S136">
    <cfRule type="cellIs" dxfId="1304" priority="1651" operator="lessThan">
      <formula>0</formula>
    </cfRule>
  </conditionalFormatting>
  <conditionalFormatting sqref="P136">
    <cfRule type="cellIs" dxfId="1303" priority="1649" operator="equal">
      <formula>AS_DURATION_EFFORT</formula>
    </cfRule>
    <cfRule type="cellIs" dxfId="1302" priority="1650" operator="equal">
      <formula>AS_DEV_EFFORT</formula>
    </cfRule>
  </conditionalFormatting>
  <conditionalFormatting sqref="L136:AC136">
    <cfRule type="expression" dxfId="1301" priority="1655">
      <formula>AND($G136="Yes", $S$6="Exclude")</formula>
    </cfRule>
    <cfRule type="expression" dxfId="1300" priority="1656">
      <formula>$J136="Yes"</formula>
    </cfRule>
  </conditionalFormatting>
  <conditionalFormatting sqref="F136">
    <cfRule type="expression" dxfId="1299" priority="1648">
      <formula>$K136&lt;&gt;""</formula>
    </cfRule>
  </conditionalFormatting>
  <conditionalFormatting sqref="C136">
    <cfRule type="expression" dxfId="1298" priority="1647">
      <formula>$G136&lt;&gt;"-"</formula>
    </cfRule>
  </conditionalFormatting>
  <conditionalFormatting sqref="D136">
    <cfRule type="expression" dxfId="1297" priority="1646">
      <formula>$H136&lt;&gt;"-"</formula>
    </cfRule>
  </conditionalFormatting>
  <conditionalFormatting sqref="E136">
    <cfRule type="expression" dxfId="1296" priority="1645">
      <formula>$I136&lt;&gt;"-"</formula>
    </cfRule>
  </conditionalFormatting>
  <conditionalFormatting sqref="B137">
    <cfRule type="expression" dxfId="1295" priority="1642">
      <formula>AD137&lt;&gt;""</formula>
    </cfRule>
  </conditionalFormatting>
  <conditionalFormatting sqref="Z137">
    <cfRule type="cellIs" dxfId="1294" priority="1640" operator="greaterThan">
      <formula>0</formula>
    </cfRule>
    <cfRule type="cellIs" dxfId="1293" priority="1641" operator="lessThan">
      <formula>0</formula>
    </cfRule>
  </conditionalFormatting>
  <conditionalFormatting sqref="S137">
    <cfRule type="cellIs" dxfId="1292" priority="1639" operator="lessThan">
      <formula>0</formula>
    </cfRule>
  </conditionalFormatting>
  <conditionalFormatting sqref="P137">
    <cfRule type="cellIs" dxfId="1291" priority="1637" operator="equal">
      <formula>AS_DURATION_EFFORT</formula>
    </cfRule>
    <cfRule type="cellIs" dxfId="1290" priority="1638" operator="equal">
      <formula>AS_DEV_EFFORT</formula>
    </cfRule>
  </conditionalFormatting>
  <conditionalFormatting sqref="L137:AC137">
    <cfRule type="expression" dxfId="1289" priority="1643">
      <formula>AND($G137="Yes", $S$6="Exclude")</formula>
    </cfRule>
    <cfRule type="expression" dxfId="1288" priority="1644">
      <formula>$J137="Yes"</formula>
    </cfRule>
  </conditionalFormatting>
  <conditionalFormatting sqref="F137">
    <cfRule type="expression" dxfId="1287" priority="1636">
      <formula>$K137&lt;&gt;""</formula>
    </cfRule>
  </conditionalFormatting>
  <conditionalFormatting sqref="C137">
    <cfRule type="expression" dxfId="1286" priority="1635">
      <formula>$G137&lt;&gt;"-"</formula>
    </cfRule>
  </conditionalFormatting>
  <conditionalFormatting sqref="D137">
    <cfRule type="expression" dxfId="1285" priority="1634">
      <formula>$H137&lt;&gt;"-"</formula>
    </cfRule>
  </conditionalFormatting>
  <conditionalFormatting sqref="E137">
    <cfRule type="expression" dxfId="1284" priority="1633">
      <formula>$I137&lt;&gt;"-"</formula>
    </cfRule>
  </conditionalFormatting>
  <conditionalFormatting sqref="B145">
    <cfRule type="expression" dxfId="1283" priority="1630">
      <formula>AD145&lt;&gt;""</formula>
    </cfRule>
  </conditionalFormatting>
  <conditionalFormatting sqref="Z145">
    <cfRule type="cellIs" dxfId="1282" priority="1628" operator="greaterThan">
      <formula>0</formula>
    </cfRule>
    <cfRule type="cellIs" dxfId="1281" priority="1629" operator="lessThan">
      <formula>0</formula>
    </cfRule>
  </conditionalFormatting>
  <conditionalFormatting sqref="S145">
    <cfRule type="cellIs" dxfId="1280" priority="1627" operator="lessThan">
      <formula>0</formula>
    </cfRule>
  </conditionalFormatting>
  <conditionalFormatting sqref="P145">
    <cfRule type="cellIs" dxfId="1279" priority="1625" operator="equal">
      <formula>AS_DURATION_EFFORT</formula>
    </cfRule>
    <cfRule type="cellIs" dxfId="1278" priority="1626" operator="equal">
      <formula>AS_DEV_EFFORT</formula>
    </cfRule>
  </conditionalFormatting>
  <conditionalFormatting sqref="L145:AC145">
    <cfRule type="expression" dxfId="1277" priority="1631">
      <formula>AND($G145="Yes", $S$6="Exclude")</formula>
    </cfRule>
    <cfRule type="expression" dxfId="1276" priority="1632">
      <formula>$J145="Yes"</formula>
    </cfRule>
  </conditionalFormatting>
  <conditionalFormatting sqref="F145">
    <cfRule type="expression" dxfId="1275" priority="1624">
      <formula>$K145&lt;&gt;""</formula>
    </cfRule>
  </conditionalFormatting>
  <conditionalFormatting sqref="C145">
    <cfRule type="expression" dxfId="1274" priority="1623">
      <formula>$G145&lt;&gt;"-"</formula>
    </cfRule>
  </conditionalFormatting>
  <conditionalFormatting sqref="D145">
    <cfRule type="expression" dxfId="1273" priority="1622">
      <formula>$H145&lt;&gt;"-"</formula>
    </cfRule>
  </conditionalFormatting>
  <conditionalFormatting sqref="E145">
    <cfRule type="expression" dxfId="1272" priority="1621">
      <formula>$I145&lt;&gt;"-"</formula>
    </cfRule>
  </conditionalFormatting>
  <conditionalFormatting sqref="B170">
    <cfRule type="expression" dxfId="1271" priority="1608">
      <formula>AD170&lt;&gt;""</formula>
    </cfRule>
  </conditionalFormatting>
  <conditionalFormatting sqref="Z170">
    <cfRule type="cellIs" dxfId="1270" priority="1606" operator="greaterThan">
      <formula>0</formula>
    </cfRule>
    <cfRule type="cellIs" dxfId="1269" priority="1607" operator="lessThan">
      <formula>0</formula>
    </cfRule>
  </conditionalFormatting>
  <conditionalFormatting sqref="S170">
    <cfRule type="cellIs" dxfId="1268" priority="1605" operator="lessThan">
      <formula>0</formula>
    </cfRule>
  </conditionalFormatting>
  <conditionalFormatting sqref="P170">
    <cfRule type="cellIs" dxfId="1267" priority="1603" operator="equal">
      <formula>AS_DURATION_EFFORT</formula>
    </cfRule>
    <cfRule type="cellIs" dxfId="1266" priority="1604" operator="equal">
      <formula>AS_DEV_EFFORT</formula>
    </cfRule>
  </conditionalFormatting>
  <conditionalFormatting sqref="F170">
    <cfRule type="expression" dxfId="1265" priority="1602">
      <formula>$K170&lt;&gt;""</formula>
    </cfRule>
  </conditionalFormatting>
  <conditionalFormatting sqref="C170">
    <cfRule type="expression" dxfId="1264" priority="1601">
      <formula>$G170&lt;&gt;"-"</formula>
    </cfRule>
  </conditionalFormatting>
  <conditionalFormatting sqref="D170">
    <cfRule type="expression" dxfId="1263" priority="1600">
      <formula>$H170&lt;&gt;"-"</formula>
    </cfRule>
  </conditionalFormatting>
  <conditionalFormatting sqref="E170">
    <cfRule type="expression" dxfId="1262" priority="1599">
      <formula>$I170&lt;&gt;"-"</formula>
    </cfRule>
  </conditionalFormatting>
  <conditionalFormatting sqref="B175">
    <cfRule type="expression" dxfId="1261" priority="1595">
      <formula>AD175&lt;&gt;""</formula>
    </cfRule>
  </conditionalFormatting>
  <conditionalFormatting sqref="Z175">
    <cfRule type="cellIs" dxfId="1260" priority="1593" operator="greaterThan">
      <formula>0</formula>
    </cfRule>
    <cfRule type="cellIs" dxfId="1259" priority="1594" operator="lessThan">
      <formula>0</formula>
    </cfRule>
  </conditionalFormatting>
  <conditionalFormatting sqref="S175">
    <cfRule type="cellIs" dxfId="1258" priority="1592" operator="lessThan">
      <formula>0</formula>
    </cfRule>
  </conditionalFormatting>
  <conditionalFormatting sqref="T173:T174">
    <cfRule type="expression" dxfId="1257" priority="1596">
      <formula>#REF!="Yes"</formula>
    </cfRule>
  </conditionalFormatting>
  <conditionalFormatting sqref="P175">
    <cfRule type="cellIs" dxfId="1256" priority="1590" operator="equal">
      <formula>AS_DURATION_EFFORT</formula>
    </cfRule>
    <cfRule type="cellIs" dxfId="1255" priority="1591" operator="equal">
      <formula>AS_DEV_EFFORT</formula>
    </cfRule>
  </conditionalFormatting>
  <conditionalFormatting sqref="B173:B174">
    <cfRule type="expression" dxfId="1254" priority="1589">
      <formula>AD173&lt;&gt;""</formula>
    </cfRule>
  </conditionalFormatting>
  <conditionalFormatting sqref="F175">
    <cfRule type="expression" dxfId="1253" priority="1588">
      <formula>$K175&lt;&gt;""</formula>
    </cfRule>
  </conditionalFormatting>
  <conditionalFormatting sqref="C175">
    <cfRule type="expression" dxfId="1252" priority="1587">
      <formula>$G175&lt;&gt;"-"</formula>
    </cfRule>
  </conditionalFormatting>
  <conditionalFormatting sqref="D175">
    <cfRule type="expression" dxfId="1251" priority="1586">
      <formula>$H175&lt;&gt;"-"</formula>
    </cfRule>
  </conditionalFormatting>
  <conditionalFormatting sqref="E175">
    <cfRule type="expression" dxfId="1250" priority="1585">
      <formula>$I175&lt;&gt;"-"</formula>
    </cfRule>
  </conditionalFormatting>
  <conditionalFormatting sqref="B176">
    <cfRule type="expression" dxfId="1249" priority="1582">
      <formula>AD176&lt;&gt;""</formula>
    </cfRule>
  </conditionalFormatting>
  <conditionalFormatting sqref="Z176">
    <cfRule type="cellIs" dxfId="1248" priority="1580" operator="greaterThan">
      <formula>0</formula>
    </cfRule>
    <cfRule type="cellIs" dxfId="1247" priority="1581" operator="lessThan">
      <formula>0</formula>
    </cfRule>
  </conditionalFormatting>
  <conditionalFormatting sqref="S176">
    <cfRule type="cellIs" dxfId="1246" priority="1579" operator="lessThan">
      <formula>0</formula>
    </cfRule>
  </conditionalFormatting>
  <conditionalFormatting sqref="P176">
    <cfRule type="cellIs" dxfId="1245" priority="1577" operator="equal">
      <formula>AS_DURATION_EFFORT</formula>
    </cfRule>
    <cfRule type="cellIs" dxfId="1244" priority="1578" operator="equal">
      <formula>AS_DEV_EFFORT</formula>
    </cfRule>
  </conditionalFormatting>
  <conditionalFormatting sqref="F176">
    <cfRule type="expression" dxfId="1243" priority="1576">
      <formula>$K176&lt;&gt;""</formula>
    </cfRule>
  </conditionalFormatting>
  <conditionalFormatting sqref="C176">
    <cfRule type="expression" dxfId="1242" priority="1575">
      <formula>$G176&lt;&gt;"-"</formula>
    </cfRule>
  </conditionalFormatting>
  <conditionalFormatting sqref="D176">
    <cfRule type="expression" dxfId="1241" priority="1574">
      <formula>$H176&lt;&gt;"-"</formula>
    </cfRule>
  </conditionalFormatting>
  <conditionalFormatting sqref="E176">
    <cfRule type="expression" dxfId="1240" priority="1573">
      <formula>$I176&lt;&gt;"-"</formula>
    </cfRule>
  </conditionalFormatting>
  <conditionalFormatting sqref="B177">
    <cfRule type="expression" dxfId="1239" priority="1570">
      <formula>AD177&lt;&gt;""</formula>
    </cfRule>
  </conditionalFormatting>
  <conditionalFormatting sqref="Z177">
    <cfRule type="cellIs" dxfId="1238" priority="1568" operator="greaterThan">
      <formula>0</formula>
    </cfRule>
    <cfRule type="cellIs" dxfId="1237" priority="1569" operator="lessThan">
      <formula>0</formula>
    </cfRule>
  </conditionalFormatting>
  <conditionalFormatting sqref="S177">
    <cfRule type="cellIs" dxfId="1236" priority="1567" operator="lessThan">
      <formula>0</formula>
    </cfRule>
  </conditionalFormatting>
  <conditionalFormatting sqref="P177">
    <cfRule type="cellIs" dxfId="1235" priority="1565" operator="equal">
      <formula>AS_DURATION_EFFORT</formula>
    </cfRule>
    <cfRule type="cellIs" dxfId="1234" priority="1566" operator="equal">
      <formula>AS_DEV_EFFORT</formula>
    </cfRule>
  </conditionalFormatting>
  <conditionalFormatting sqref="F177">
    <cfRule type="expression" dxfId="1233" priority="1564">
      <formula>$K177&lt;&gt;""</formula>
    </cfRule>
  </conditionalFormatting>
  <conditionalFormatting sqref="C177">
    <cfRule type="expression" dxfId="1232" priority="1563">
      <formula>$G177&lt;&gt;"-"</formula>
    </cfRule>
  </conditionalFormatting>
  <conditionalFormatting sqref="D177">
    <cfRule type="expression" dxfId="1231" priority="1562">
      <formula>$H177&lt;&gt;"-"</formula>
    </cfRule>
  </conditionalFormatting>
  <conditionalFormatting sqref="E177">
    <cfRule type="expression" dxfId="1230" priority="1561">
      <formula>$I177&lt;&gt;"-"</formula>
    </cfRule>
  </conditionalFormatting>
  <conditionalFormatting sqref="B178">
    <cfRule type="expression" dxfId="1229" priority="1558">
      <formula>AD178&lt;&gt;""</formula>
    </cfRule>
  </conditionalFormatting>
  <conditionalFormatting sqref="Z178">
    <cfRule type="cellIs" dxfId="1228" priority="1556" operator="greaterThan">
      <formula>0</formula>
    </cfRule>
    <cfRule type="cellIs" dxfId="1227" priority="1557" operator="lessThan">
      <formula>0</formula>
    </cfRule>
  </conditionalFormatting>
  <conditionalFormatting sqref="S178">
    <cfRule type="cellIs" dxfId="1226" priority="1555" operator="lessThan">
      <formula>0</formula>
    </cfRule>
  </conditionalFormatting>
  <conditionalFormatting sqref="P178">
    <cfRule type="cellIs" dxfId="1225" priority="1553" operator="equal">
      <formula>AS_DURATION_EFFORT</formula>
    </cfRule>
    <cfRule type="cellIs" dxfId="1224" priority="1554" operator="equal">
      <formula>AS_DEV_EFFORT</formula>
    </cfRule>
  </conditionalFormatting>
  <conditionalFormatting sqref="F178">
    <cfRule type="expression" dxfId="1223" priority="1552">
      <formula>$K178&lt;&gt;""</formula>
    </cfRule>
  </conditionalFormatting>
  <conditionalFormatting sqref="C178">
    <cfRule type="expression" dxfId="1222" priority="1551">
      <formula>$G178&lt;&gt;"-"</formula>
    </cfRule>
  </conditionalFormatting>
  <conditionalFormatting sqref="D178">
    <cfRule type="expression" dxfId="1221" priority="1550">
      <formula>$H178&lt;&gt;"-"</formula>
    </cfRule>
  </conditionalFormatting>
  <conditionalFormatting sqref="E178">
    <cfRule type="expression" dxfId="1220" priority="1549">
      <formula>$I178&lt;&gt;"-"</formula>
    </cfRule>
  </conditionalFormatting>
  <conditionalFormatting sqref="B179">
    <cfRule type="expression" dxfId="1219" priority="1546">
      <formula>AD179&lt;&gt;""</formula>
    </cfRule>
  </conditionalFormatting>
  <conditionalFormatting sqref="Z179">
    <cfRule type="cellIs" dxfId="1218" priority="1544" operator="greaterThan">
      <formula>0</formula>
    </cfRule>
    <cfRule type="cellIs" dxfId="1217" priority="1545" operator="lessThan">
      <formula>0</formula>
    </cfRule>
  </conditionalFormatting>
  <conditionalFormatting sqref="S179">
    <cfRule type="cellIs" dxfId="1216" priority="1543" operator="lessThan">
      <formula>0</formula>
    </cfRule>
  </conditionalFormatting>
  <conditionalFormatting sqref="P179">
    <cfRule type="cellIs" dxfId="1215" priority="1541" operator="equal">
      <formula>AS_DURATION_EFFORT</formula>
    </cfRule>
    <cfRule type="cellIs" dxfId="1214" priority="1542" operator="equal">
      <formula>AS_DEV_EFFORT</formula>
    </cfRule>
  </conditionalFormatting>
  <conditionalFormatting sqref="F179">
    <cfRule type="expression" dxfId="1213" priority="1540">
      <formula>$K179&lt;&gt;""</formula>
    </cfRule>
  </conditionalFormatting>
  <conditionalFormatting sqref="C179">
    <cfRule type="expression" dxfId="1212" priority="1539">
      <formula>$G179&lt;&gt;"-"</formula>
    </cfRule>
  </conditionalFormatting>
  <conditionalFormatting sqref="D179">
    <cfRule type="expression" dxfId="1211" priority="1538">
      <formula>$H179&lt;&gt;"-"</formula>
    </cfRule>
  </conditionalFormatting>
  <conditionalFormatting sqref="E179">
    <cfRule type="expression" dxfId="1210" priority="1537">
      <formula>$I179&lt;&gt;"-"</formula>
    </cfRule>
  </conditionalFormatting>
  <conditionalFormatting sqref="B193">
    <cfRule type="expression" dxfId="1209" priority="1534">
      <formula>AD193&lt;&gt;""</formula>
    </cfRule>
  </conditionalFormatting>
  <conditionalFormatting sqref="Z193">
    <cfRule type="cellIs" dxfId="1208" priority="1532" operator="greaterThan">
      <formula>0</formula>
    </cfRule>
    <cfRule type="cellIs" dxfId="1207" priority="1533" operator="lessThan">
      <formula>0</formula>
    </cfRule>
  </conditionalFormatting>
  <conditionalFormatting sqref="S193">
    <cfRule type="cellIs" dxfId="1206" priority="1531" operator="lessThan">
      <formula>0</formula>
    </cfRule>
  </conditionalFormatting>
  <conditionalFormatting sqref="P193">
    <cfRule type="cellIs" dxfId="1205" priority="1529" operator="equal">
      <formula>AS_DURATION_EFFORT</formula>
    </cfRule>
    <cfRule type="cellIs" dxfId="1204" priority="1530" operator="equal">
      <formula>AS_DEV_EFFORT</formula>
    </cfRule>
  </conditionalFormatting>
  <conditionalFormatting sqref="F193">
    <cfRule type="expression" dxfId="1203" priority="1528">
      <formula>$K193&lt;&gt;""</formula>
    </cfRule>
  </conditionalFormatting>
  <conditionalFormatting sqref="C193">
    <cfRule type="expression" dxfId="1202" priority="1527">
      <formula>$G193&lt;&gt;"-"</formula>
    </cfRule>
  </conditionalFormatting>
  <conditionalFormatting sqref="D193">
    <cfRule type="expression" dxfId="1201" priority="1526">
      <formula>$H193&lt;&gt;"-"</formula>
    </cfRule>
  </conditionalFormatting>
  <conditionalFormatting sqref="E193">
    <cfRule type="expression" dxfId="1200" priority="1525">
      <formula>$I193&lt;&gt;"-"</formula>
    </cfRule>
  </conditionalFormatting>
  <conditionalFormatting sqref="B194">
    <cfRule type="expression" dxfId="1199" priority="1522">
      <formula>AD194&lt;&gt;""</formula>
    </cfRule>
  </conditionalFormatting>
  <conditionalFormatting sqref="Z194">
    <cfRule type="cellIs" dxfId="1198" priority="1520" operator="greaterThan">
      <formula>0</formula>
    </cfRule>
    <cfRule type="cellIs" dxfId="1197" priority="1521" operator="lessThan">
      <formula>0</formula>
    </cfRule>
  </conditionalFormatting>
  <conditionalFormatting sqref="S194">
    <cfRule type="cellIs" dxfId="1196" priority="1519" operator="lessThan">
      <formula>0</formula>
    </cfRule>
  </conditionalFormatting>
  <conditionalFormatting sqref="P194">
    <cfRule type="cellIs" dxfId="1195" priority="1517" operator="equal">
      <formula>AS_DURATION_EFFORT</formula>
    </cfRule>
    <cfRule type="cellIs" dxfId="1194" priority="1518" operator="equal">
      <formula>AS_DEV_EFFORT</formula>
    </cfRule>
  </conditionalFormatting>
  <conditionalFormatting sqref="F194">
    <cfRule type="expression" dxfId="1193" priority="1516">
      <formula>$K194&lt;&gt;""</formula>
    </cfRule>
  </conditionalFormatting>
  <conditionalFormatting sqref="C194">
    <cfRule type="expression" dxfId="1192" priority="1515">
      <formula>$G194&lt;&gt;"-"</formula>
    </cfRule>
  </conditionalFormatting>
  <conditionalFormatting sqref="D194">
    <cfRule type="expression" dxfId="1191" priority="1514">
      <formula>$H194&lt;&gt;"-"</formula>
    </cfRule>
  </conditionalFormatting>
  <conditionalFormatting sqref="E194">
    <cfRule type="expression" dxfId="1190" priority="1513">
      <formula>$I194&lt;&gt;"-"</formula>
    </cfRule>
  </conditionalFormatting>
  <conditionalFormatting sqref="B200">
    <cfRule type="expression" dxfId="1189" priority="1510">
      <formula>AD200&lt;&gt;""</formula>
    </cfRule>
  </conditionalFormatting>
  <conditionalFormatting sqref="Z200">
    <cfRule type="cellIs" dxfId="1188" priority="1508" operator="greaterThan">
      <formula>0</formula>
    </cfRule>
    <cfRule type="cellIs" dxfId="1187" priority="1509" operator="lessThan">
      <formula>0</formula>
    </cfRule>
  </conditionalFormatting>
  <conditionalFormatting sqref="S200">
    <cfRule type="cellIs" dxfId="1186" priority="1507" operator="lessThan">
      <formula>0</formula>
    </cfRule>
  </conditionalFormatting>
  <conditionalFormatting sqref="P200">
    <cfRule type="cellIs" dxfId="1185" priority="1505" operator="equal">
      <formula>AS_DURATION_EFFORT</formula>
    </cfRule>
    <cfRule type="cellIs" dxfId="1184" priority="1506" operator="equal">
      <formula>AS_DEV_EFFORT</formula>
    </cfRule>
  </conditionalFormatting>
  <conditionalFormatting sqref="F200">
    <cfRule type="expression" dxfId="1183" priority="1504">
      <formula>$K200&lt;&gt;""</formula>
    </cfRule>
  </conditionalFormatting>
  <conditionalFormatting sqref="C200">
    <cfRule type="expression" dxfId="1182" priority="1503">
      <formula>$G200&lt;&gt;"-"</formula>
    </cfRule>
  </conditionalFormatting>
  <conditionalFormatting sqref="D200">
    <cfRule type="expression" dxfId="1181" priority="1502">
      <formula>$H200&lt;&gt;"-"</formula>
    </cfRule>
  </conditionalFormatting>
  <conditionalFormatting sqref="E200">
    <cfRule type="expression" dxfId="1180" priority="1501">
      <formula>$I200&lt;&gt;"-"</formula>
    </cfRule>
  </conditionalFormatting>
  <conditionalFormatting sqref="B201">
    <cfRule type="expression" dxfId="1179" priority="1498">
      <formula>AD201&lt;&gt;""</formula>
    </cfRule>
  </conditionalFormatting>
  <conditionalFormatting sqref="Z201">
    <cfRule type="cellIs" dxfId="1178" priority="1496" operator="greaterThan">
      <formula>0</formula>
    </cfRule>
    <cfRule type="cellIs" dxfId="1177" priority="1497" operator="lessThan">
      <formula>0</formula>
    </cfRule>
  </conditionalFormatting>
  <conditionalFormatting sqref="S201">
    <cfRule type="cellIs" dxfId="1176" priority="1495" operator="lessThan">
      <formula>0</formula>
    </cfRule>
  </conditionalFormatting>
  <conditionalFormatting sqref="P201">
    <cfRule type="cellIs" dxfId="1175" priority="1493" operator="equal">
      <formula>AS_DURATION_EFFORT</formula>
    </cfRule>
    <cfRule type="cellIs" dxfId="1174" priority="1494" operator="equal">
      <formula>AS_DEV_EFFORT</formula>
    </cfRule>
  </conditionalFormatting>
  <conditionalFormatting sqref="F201">
    <cfRule type="expression" dxfId="1173" priority="1492">
      <formula>$K201&lt;&gt;""</formula>
    </cfRule>
  </conditionalFormatting>
  <conditionalFormatting sqref="C201">
    <cfRule type="expression" dxfId="1172" priority="1491">
      <formula>$G201&lt;&gt;"-"</formula>
    </cfRule>
  </conditionalFormatting>
  <conditionalFormatting sqref="D201">
    <cfRule type="expression" dxfId="1171" priority="1490">
      <formula>$H201&lt;&gt;"-"</formula>
    </cfRule>
  </conditionalFormatting>
  <conditionalFormatting sqref="E201">
    <cfRule type="expression" dxfId="1170" priority="1489">
      <formula>$I201&lt;&gt;"-"</formula>
    </cfRule>
  </conditionalFormatting>
  <conditionalFormatting sqref="B202">
    <cfRule type="expression" dxfId="1169" priority="1486">
      <formula>AD202&lt;&gt;""</formula>
    </cfRule>
  </conditionalFormatting>
  <conditionalFormatting sqref="Z202">
    <cfRule type="cellIs" dxfId="1168" priority="1484" operator="greaterThan">
      <formula>0</formula>
    </cfRule>
    <cfRule type="cellIs" dxfId="1167" priority="1485" operator="lessThan">
      <formula>0</formula>
    </cfRule>
  </conditionalFormatting>
  <conditionalFormatting sqref="S202">
    <cfRule type="cellIs" dxfId="1166" priority="1483" operator="lessThan">
      <formula>0</formula>
    </cfRule>
  </conditionalFormatting>
  <conditionalFormatting sqref="P202">
    <cfRule type="cellIs" dxfId="1165" priority="1481" operator="equal">
      <formula>AS_DURATION_EFFORT</formula>
    </cfRule>
    <cfRule type="cellIs" dxfId="1164" priority="1482" operator="equal">
      <formula>AS_DEV_EFFORT</formula>
    </cfRule>
  </conditionalFormatting>
  <conditionalFormatting sqref="F202">
    <cfRule type="expression" dxfId="1163" priority="1480">
      <formula>$K202&lt;&gt;""</formula>
    </cfRule>
  </conditionalFormatting>
  <conditionalFormatting sqref="C202">
    <cfRule type="expression" dxfId="1162" priority="1479">
      <formula>$G202&lt;&gt;"-"</formula>
    </cfRule>
  </conditionalFormatting>
  <conditionalFormatting sqref="D202">
    <cfRule type="expression" dxfId="1161" priority="1478">
      <formula>$H202&lt;&gt;"-"</formula>
    </cfRule>
  </conditionalFormatting>
  <conditionalFormatting sqref="E202">
    <cfRule type="expression" dxfId="1160" priority="1477">
      <formula>$I202&lt;&gt;"-"</formula>
    </cfRule>
  </conditionalFormatting>
  <conditionalFormatting sqref="B203">
    <cfRule type="expression" dxfId="1159" priority="1474">
      <formula>AD203&lt;&gt;""</formula>
    </cfRule>
  </conditionalFormatting>
  <conditionalFormatting sqref="Z203">
    <cfRule type="cellIs" dxfId="1158" priority="1472" operator="greaterThan">
      <formula>0</formula>
    </cfRule>
    <cfRule type="cellIs" dxfId="1157" priority="1473" operator="lessThan">
      <formula>0</formula>
    </cfRule>
  </conditionalFormatting>
  <conditionalFormatting sqref="S203">
    <cfRule type="cellIs" dxfId="1156" priority="1471" operator="lessThan">
      <formula>0</formula>
    </cfRule>
  </conditionalFormatting>
  <conditionalFormatting sqref="P203">
    <cfRule type="cellIs" dxfId="1155" priority="1469" operator="equal">
      <formula>AS_DURATION_EFFORT</formula>
    </cfRule>
    <cfRule type="cellIs" dxfId="1154" priority="1470" operator="equal">
      <formula>AS_DEV_EFFORT</formula>
    </cfRule>
  </conditionalFormatting>
  <conditionalFormatting sqref="F203">
    <cfRule type="expression" dxfId="1153" priority="1468">
      <formula>$K203&lt;&gt;""</formula>
    </cfRule>
  </conditionalFormatting>
  <conditionalFormatting sqref="C203">
    <cfRule type="expression" dxfId="1152" priority="1467">
      <formula>$G203&lt;&gt;"-"</formula>
    </cfRule>
  </conditionalFormatting>
  <conditionalFormatting sqref="D203">
    <cfRule type="expression" dxfId="1151" priority="1466">
      <formula>$H203&lt;&gt;"-"</formula>
    </cfRule>
  </conditionalFormatting>
  <conditionalFormatting sqref="E203">
    <cfRule type="expression" dxfId="1150" priority="1465">
      <formula>$I203&lt;&gt;"-"</formula>
    </cfRule>
  </conditionalFormatting>
  <conditionalFormatting sqref="B204">
    <cfRule type="expression" dxfId="1149" priority="1462">
      <formula>AD204&lt;&gt;""</formula>
    </cfRule>
  </conditionalFormatting>
  <conditionalFormatting sqref="Z204">
    <cfRule type="cellIs" dxfId="1148" priority="1460" operator="greaterThan">
      <formula>0</formula>
    </cfRule>
    <cfRule type="cellIs" dxfId="1147" priority="1461" operator="lessThan">
      <formula>0</formula>
    </cfRule>
  </conditionalFormatting>
  <conditionalFormatting sqref="S204">
    <cfRule type="cellIs" dxfId="1146" priority="1459" operator="lessThan">
      <formula>0</formula>
    </cfRule>
  </conditionalFormatting>
  <conditionalFormatting sqref="P204">
    <cfRule type="cellIs" dxfId="1145" priority="1457" operator="equal">
      <formula>AS_DURATION_EFFORT</formula>
    </cfRule>
    <cfRule type="cellIs" dxfId="1144" priority="1458" operator="equal">
      <formula>AS_DEV_EFFORT</formula>
    </cfRule>
  </conditionalFormatting>
  <conditionalFormatting sqref="F204">
    <cfRule type="expression" dxfId="1143" priority="1456">
      <formula>$K204&lt;&gt;""</formula>
    </cfRule>
  </conditionalFormatting>
  <conditionalFormatting sqref="C204">
    <cfRule type="expression" dxfId="1142" priority="1455">
      <formula>$G204&lt;&gt;"-"</formula>
    </cfRule>
  </conditionalFormatting>
  <conditionalFormatting sqref="D204">
    <cfRule type="expression" dxfId="1141" priority="1454">
      <formula>$H204&lt;&gt;"-"</formula>
    </cfRule>
  </conditionalFormatting>
  <conditionalFormatting sqref="E204">
    <cfRule type="expression" dxfId="1140" priority="1453">
      <formula>$I204&lt;&gt;"-"</formula>
    </cfRule>
  </conditionalFormatting>
  <conditionalFormatting sqref="B209">
    <cfRule type="expression" dxfId="1139" priority="1450">
      <formula>AD209&lt;&gt;""</formula>
    </cfRule>
  </conditionalFormatting>
  <conditionalFormatting sqref="Z209">
    <cfRule type="cellIs" dxfId="1138" priority="1448" operator="greaterThan">
      <formula>0</formula>
    </cfRule>
    <cfRule type="cellIs" dxfId="1137" priority="1449" operator="lessThan">
      <formula>0</formula>
    </cfRule>
  </conditionalFormatting>
  <conditionalFormatting sqref="S209">
    <cfRule type="cellIs" dxfId="1136" priority="1447" operator="lessThan">
      <formula>0</formula>
    </cfRule>
  </conditionalFormatting>
  <conditionalFormatting sqref="P209">
    <cfRule type="cellIs" dxfId="1135" priority="1445" operator="equal">
      <formula>AS_DURATION_EFFORT</formula>
    </cfRule>
    <cfRule type="cellIs" dxfId="1134" priority="1446" operator="equal">
      <formula>AS_DEV_EFFORT</formula>
    </cfRule>
  </conditionalFormatting>
  <conditionalFormatting sqref="F209">
    <cfRule type="expression" dxfId="1133" priority="1444">
      <formula>$K209&lt;&gt;""</formula>
    </cfRule>
  </conditionalFormatting>
  <conditionalFormatting sqref="C209">
    <cfRule type="expression" dxfId="1132" priority="1443">
      <formula>$G209&lt;&gt;"-"</formula>
    </cfRule>
  </conditionalFormatting>
  <conditionalFormatting sqref="D209">
    <cfRule type="expression" dxfId="1131" priority="1442">
      <formula>$H209&lt;&gt;"-"</formula>
    </cfRule>
  </conditionalFormatting>
  <conditionalFormatting sqref="E209">
    <cfRule type="expression" dxfId="1130" priority="1441">
      <formula>$I209&lt;&gt;"-"</formula>
    </cfRule>
  </conditionalFormatting>
  <conditionalFormatting sqref="B210">
    <cfRule type="expression" dxfId="1129" priority="1438">
      <formula>AD210&lt;&gt;""</formula>
    </cfRule>
  </conditionalFormatting>
  <conditionalFormatting sqref="Z210">
    <cfRule type="cellIs" dxfId="1128" priority="1436" operator="greaterThan">
      <formula>0</formula>
    </cfRule>
    <cfRule type="cellIs" dxfId="1127" priority="1437" operator="lessThan">
      <formula>0</formula>
    </cfRule>
  </conditionalFormatting>
  <conditionalFormatting sqref="S210">
    <cfRule type="cellIs" dxfId="1126" priority="1435" operator="lessThan">
      <formula>0</formula>
    </cfRule>
  </conditionalFormatting>
  <conditionalFormatting sqref="P210">
    <cfRule type="cellIs" dxfId="1125" priority="1433" operator="equal">
      <formula>AS_DURATION_EFFORT</formula>
    </cfRule>
    <cfRule type="cellIs" dxfId="1124" priority="1434" operator="equal">
      <formula>AS_DEV_EFFORT</formula>
    </cfRule>
  </conditionalFormatting>
  <conditionalFormatting sqref="F210">
    <cfRule type="expression" dxfId="1123" priority="1432">
      <formula>$K210&lt;&gt;""</formula>
    </cfRule>
  </conditionalFormatting>
  <conditionalFormatting sqref="C210">
    <cfRule type="expression" dxfId="1122" priority="1431">
      <formula>$G210&lt;&gt;"-"</formula>
    </cfRule>
  </conditionalFormatting>
  <conditionalFormatting sqref="D210">
    <cfRule type="expression" dxfId="1121" priority="1430">
      <formula>$H210&lt;&gt;"-"</formula>
    </cfRule>
  </conditionalFormatting>
  <conditionalFormatting sqref="E210">
    <cfRule type="expression" dxfId="1120" priority="1429">
      <formula>$I210&lt;&gt;"-"</formula>
    </cfRule>
  </conditionalFormatting>
  <conditionalFormatting sqref="B211">
    <cfRule type="expression" dxfId="1119" priority="1426">
      <formula>AD211&lt;&gt;""</formula>
    </cfRule>
  </conditionalFormatting>
  <conditionalFormatting sqref="Z211">
    <cfRule type="cellIs" dxfId="1118" priority="1424" operator="greaterThan">
      <formula>0</formula>
    </cfRule>
    <cfRule type="cellIs" dxfId="1117" priority="1425" operator="lessThan">
      <formula>0</formula>
    </cfRule>
  </conditionalFormatting>
  <conditionalFormatting sqref="S211">
    <cfRule type="cellIs" dxfId="1116" priority="1423" operator="lessThan">
      <formula>0</formula>
    </cfRule>
  </conditionalFormatting>
  <conditionalFormatting sqref="P211">
    <cfRule type="cellIs" dxfId="1115" priority="1421" operator="equal">
      <formula>AS_DURATION_EFFORT</formula>
    </cfRule>
    <cfRule type="cellIs" dxfId="1114" priority="1422" operator="equal">
      <formula>AS_DEV_EFFORT</formula>
    </cfRule>
  </conditionalFormatting>
  <conditionalFormatting sqref="F211">
    <cfRule type="expression" dxfId="1113" priority="1420">
      <formula>$K211&lt;&gt;""</formula>
    </cfRule>
  </conditionalFormatting>
  <conditionalFormatting sqref="C211">
    <cfRule type="expression" dxfId="1112" priority="1419">
      <formula>$G211&lt;&gt;"-"</formula>
    </cfRule>
  </conditionalFormatting>
  <conditionalFormatting sqref="D211">
    <cfRule type="expression" dxfId="1111" priority="1418">
      <formula>$H211&lt;&gt;"-"</formula>
    </cfRule>
  </conditionalFormatting>
  <conditionalFormatting sqref="E211">
    <cfRule type="expression" dxfId="1110" priority="1417">
      <formula>$I211&lt;&gt;"-"</formula>
    </cfRule>
  </conditionalFormatting>
  <conditionalFormatting sqref="B212">
    <cfRule type="expression" dxfId="1109" priority="1414">
      <formula>AD212&lt;&gt;""</formula>
    </cfRule>
  </conditionalFormatting>
  <conditionalFormatting sqref="Z212">
    <cfRule type="cellIs" dxfId="1108" priority="1412" operator="greaterThan">
      <formula>0</formula>
    </cfRule>
    <cfRule type="cellIs" dxfId="1107" priority="1413" operator="lessThan">
      <formula>0</formula>
    </cfRule>
  </conditionalFormatting>
  <conditionalFormatting sqref="S212">
    <cfRule type="cellIs" dxfId="1106" priority="1411" operator="lessThan">
      <formula>0</formula>
    </cfRule>
  </conditionalFormatting>
  <conditionalFormatting sqref="P212">
    <cfRule type="cellIs" dxfId="1105" priority="1409" operator="equal">
      <formula>AS_DURATION_EFFORT</formula>
    </cfRule>
    <cfRule type="cellIs" dxfId="1104" priority="1410" operator="equal">
      <formula>AS_DEV_EFFORT</formula>
    </cfRule>
  </conditionalFormatting>
  <conditionalFormatting sqref="F212">
    <cfRule type="expression" dxfId="1103" priority="1408">
      <formula>$K212&lt;&gt;""</formula>
    </cfRule>
  </conditionalFormatting>
  <conditionalFormatting sqref="C212">
    <cfRule type="expression" dxfId="1102" priority="1407">
      <formula>$G212&lt;&gt;"-"</formula>
    </cfRule>
  </conditionalFormatting>
  <conditionalFormatting sqref="D212">
    <cfRule type="expression" dxfId="1101" priority="1406">
      <formula>$H212&lt;&gt;"-"</formula>
    </cfRule>
  </conditionalFormatting>
  <conditionalFormatting sqref="E212">
    <cfRule type="expression" dxfId="1100" priority="1405">
      <formula>$I212&lt;&gt;"-"</formula>
    </cfRule>
  </conditionalFormatting>
  <conditionalFormatting sqref="B213">
    <cfRule type="expression" dxfId="1099" priority="1402">
      <formula>AD213&lt;&gt;""</formula>
    </cfRule>
  </conditionalFormatting>
  <conditionalFormatting sqref="Z213">
    <cfRule type="cellIs" dxfId="1098" priority="1400" operator="greaterThan">
      <formula>0</formula>
    </cfRule>
    <cfRule type="cellIs" dxfId="1097" priority="1401" operator="lessThan">
      <formula>0</formula>
    </cfRule>
  </conditionalFormatting>
  <conditionalFormatting sqref="S213">
    <cfRule type="cellIs" dxfId="1096" priority="1399" operator="lessThan">
      <formula>0</formula>
    </cfRule>
  </conditionalFormatting>
  <conditionalFormatting sqref="P213">
    <cfRule type="cellIs" dxfId="1095" priority="1397" operator="equal">
      <formula>AS_DURATION_EFFORT</formula>
    </cfRule>
    <cfRule type="cellIs" dxfId="1094" priority="1398" operator="equal">
      <formula>AS_DEV_EFFORT</formula>
    </cfRule>
  </conditionalFormatting>
  <conditionalFormatting sqref="F213">
    <cfRule type="expression" dxfId="1093" priority="1396">
      <formula>$K213&lt;&gt;""</formula>
    </cfRule>
  </conditionalFormatting>
  <conditionalFormatting sqref="C213">
    <cfRule type="expression" dxfId="1092" priority="1395">
      <formula>$G213&lt;&gt;"-"</formula>
    </cfRule>
  </conditionalFormatting>
  <conditionalFormatting sqref="D213">
    <cfRule type="expression" dxfId="1091" priority="1394">
      <formula>$H213&lt;&gt;"-"</formula>
    </cfRule>
  </conditionalFormatting>
  <conditionalFormatting sqref="E213">
    <cfRule type="expression" dxfId="1090" priority="1393">
      <formula>$I213&lt;&gt;"-"</formula>
    </cfRule>
  </conditionalFormatting>
  <conditionalFormatting sqref="B217">
    <cfRule type="expression" dxfId="1089" priority="1389">
      <formula>AD217&lt;&gt;""</formula>
    </cfRule>
  </conditionalFormatting>
  <conditionalFormatting sqref="Z217">
    <cfRule type="cellIs" dxfId="1088" priority="1387" operator="greaterThan">
      <formula>0</formula>
    </cfRule>
    <cfRule type="cellIs" dxfId="1087" priority="1388" operator="lessThan">
      <formula>0</formula>
    </cfRule>
  </conditionalFormatting>
  <conditionalFormatting sqref="S217">
    <cfRule type="cellIs" dxfId="1086" priority="1386" operator="lessThan">
      <formula>0</formula>
    </cfRule>
  </conditionalFormatting>
  <conditionalFormatting sqref="T215:T216">
    <cfRule type="expression" dxfId="1085" priority="1390">
      <formula>#REF!="Yes"</formula>
    </cfRule>
  </conditionalFormatting>
  <conditionalFormatting sqref="P217">
    <cfRule type="cellIs" dxfId="1084" priority="1384" operator="equal">
      <formula>AS_DURATION_EFFORT</formula>
    </cfRule>
    <cfRule type="cellIs" dxfId="1083" priority="1385" operator="equal">
      <formula>AS_DEV_EFFORT</formula>
    </cfRule>
  </conditionalFormatting>
  <conditionalFormatting sqref="B215:B216">
    <cfRule type="expression" dxfId="1082" priority="1383">
      <formula>AD215&lt;&gt;""</formula>
    </cfRule>
  </conditionalFormatting>
  <conditionalFormatting sqref="F217">
    <cfRule type="expression" dxfId="1081" priority="1382">
      <formula>$K217&lt;&gt;""</formula>
    </cfRule>
  </conditionalFormatting>
  <conditionalFormatting sqref="C217">
    <cfRule type="expression" dxfId="1080" priority="1381">
      <formula>$G217&lt;&gt;"-"</formula>
    </cfRule>
  </conditionalFormatting>
  <conditionalFormatting sqref="D217">
    <cfRule type="expression" dxfId="1079" priority="1380">
      <formula>$H217&lt;&gt;"-"</formula>
    </cfRule>
  </conditionalFormatting>
  <conditionalFormatting sqref="E217">
    <cfRule type="expression" dxfId="1078" priority="1379">
      <formula>$I217&lt;&gt;"-"</formula>
    </cfRule>
  </conditionalFormatting>
  <conditionalFormatting sqref="B218">
    <cfRule type="expression" dxfId="1077" priority="1376">
      <formula>AD218&lt;&gt;""</formula>
    </cfRule>
  </conditionalFormatting>
  <conditionalFormatting sqref="Z218">
    <cfRule type="cellIs" dxfId="1076" priority="1374" operator="greaterThan">
      <formula>0</formula>
    </cfRule>
    <cfRule type="cellIs" dxfId="1075" priority="1375" operator="lessThan">
      <formula>0</formula>
    </cfRule>
  </conditionalFormatting>
  <conditionalFormatting sqref="S218">
    <cfRule type="cellIs" dxfId="1074" priority="1373" operator="lessThan">
      <formula>0</formula>
    </cfRule>
  </conditionalFormatting>
  <conditionalFormatting sqref="P218">
    <cfRule type="cellIs" dxfId="1073" priority="1371" operator="equal">
      <formula>AS_DURATION_EFFORT</formula>
    </cfRule>
    <cfRule type="cellIs" dxfId="1072" priority="1372" operator="equal">
      <formula>AS_DEV_EFFORT</formula>
    </cfRule>
  </conditionalFormatting>
  <conditionalFormatting sqref="F218">
    <cfRule type="expression" dxfId="1071" priority="1370">
      <formula>$K218&lt;&gt;""</formula>
    </cfRule>
  </conditionalFormatting>
  <conditionalFormatting sqref="C218">
    <cfRule type="expression" dxfId="1070" priority="1369">
      <formula>$G218&lt;&gt;"-"</formula>
    </cfRule>
  </conditionalFormatting>
  <conditionalFormatting sqref="D218">
    <cfRule type="expression" dxfId="1069" priority="1368">
      <formula>$H218&lt;&gt;"-"</formula>
    </cfRule>
  </conditionalFormatting>
  <conditionalFormatting sqref="E218">
    <cfRule type="expression" dxfId="1068" priority="1367">
      <formula>$I218&lt;&gt;"-"</formula>
    </cfRule>
  </conditionalFormatting>
  <conditionalFormatting sqref="B219">
    <cfRule type="expression" dxfId="1067" priority="1364">
      <formula>AD219&lt;&gt;""</formula>
    </cfRule>
  </conditionalFormatting>
  <conditionalFormatting sqref="Z219">
    <cfRule type="cellIs" dxfId="1066" priority="1362" operator="greaterThan">
      <formula>0</formula>
    </cfRule>
    <cfRule type="cellIs" dxfId="1065" priority="1363" operator="lessThan">
      <formula>0</formula>
    </cfRule>
  </conditionalFormatting>
  <conditionalFormatting sqref="S219">
    <cfRule type="cellIs" dxfId="1064" priority="1361" operator="lessThan">
      <formula>0</formula>
    </cfRule>
  </conditionalFormatting>
  <conditionalFormatting sqref="P219">
    <cfRule type="cellIs" dxfId="1063" priority="1359" operator="equal">
      <formula>AS_DURATION_EFFORT</formula>
    </cfRule>
    <cfRule type="cellIs" dxfId="1062" priority="1360" operator="equal">
      <formula>AS_DEV_EFFORT</formula>
    </cfRule>
  </conditionalFormatting>
  <conditionalFormatting sqref="F219">
    <cfRule type="expression" dxfId="1061" priority="1358">
      <formula>$K219&lt;&gt;""</formula>
    </cfRule>
  </conditionalFormatting>
  <conditionalFormatting sqref="C219">
    <cfRule type="expression" dxfId="1060" priority="1357">
      <formula>$G219&lt;&gt;"-"</formula>
    </cfRule>
  </conditionalFormatting>
  <conditionalFormatting sqref="D219">
    <cfRule type="expression" dxfId="1059" priority="1356">
      <formula>$H219&lt;&gt;"-"</formula>
    </cfRule>
  </conditionalFormatting>
  <conditionalFormatting sqref="E219">
    <cfRule type="expression" dxfId="1058" priority="1355">
      <formula>$I219&lt;&gt;"-"</formula>
    </cfRule>
  </conditionalFormatting>
  <conditionalFormatting sqref="B220">
    <cfRule type="expression" dxfId="1057" priority="1352">
      <formula>AD220&lt;&gt;""</formula>
    </cfRule>
  </conditionalFormatting>
  <conditionalFormatting sqref="Z220">
    <cfRule type="cellIs" dxfId="1056" priority="1350" operator="greaterThan">
      <formula>0</formula>
    </cfRule>
    <cfRule type="cellIs" dxfId="1055" priority="1351" operator="lessThan">
      <formula>0</formula>
    </cfRule>
  </conditionalFormatting>
  <conditionalFormatting sqref="S220">
    <cfRule type="cellIs" dxfId="1054" priority="1349" operator="lessThan">
      <formula>0</formula>
    </cfRule>
  </conditionalFormatting>
  <conditionalFormatting sqref="P220">
    <cfRule type="cellIs" dxfId="1053" priority="1347" operator="equal">
      <formula>AS_DURATION_EFFORT</formula>
    </cfRule>
    <cfRule type="cellIs" dxfId="1052" priority="1348" operator="equal">
      <formula>AS_DEV_EFFORT</formula>
    </cfRule>
  </conditionalFormatting>
  <conditionalFormatting sqref="F220">
    <cfRule type="expression" dxfId="1051" priority="1346">
      <formula>$K220&lt;&gt;""</formula>
    </cfRule>
  </conditionalFormatting>
  <conditionalFormatting sqref="C220">
    <cfRule type="expression" dxfId="1050" priority="1345">
      <formula>$G220&lt;&gt;"-"</formula>
    </cfRule>
  </conditionalFormatting>
  <conditionalFormatting sqref="D220">
    <cfRule type="expression" dxfId="1049" priority="1344">
      <formula>$H220&lt;&gt;"-"</formula>
    </cfRule>
  </conditionalFormatting>
  <conditionalFormatting sqref="E220">
    <cfRule type="expression" dxfId="1048" priority="1343">
      <formula>$I220&lt;&gt;"-"</formula>
    </cfRule>
  </conditionalFormatting>
  <conditionalFormatting sqref="B221">
    <cfRule type="expression" dxfId="1047" priority="1340">
      <formula>AD221&lt;&gt;""</formula>
    </cfRule>
  </conditionalFormatting>
  <conditionalFormatting sqref="Z221">
    <cfRule type="cellIs" dxfId="1046" priority="1338" operator="greaterThan">
      <formula>0</formula>
    </cfRule>
    <cfRule type="cellIs" dxfId="1045" priority="1339" operator="lessThan">
      <formula>0</formula>
    </cfRule>
  </conditionalFormatting>
  <conditionalFormatting sqref="S221">
    <cfRule type="cellIs" dxfId="1044" priority="1337" operator="lessThan">
      <formula>0</formula>
    </cfRule>
  </conditionalFormatting>
  <conditionalFormatting sqref="P221">
    <cfRule type="cellIs" dxfId="1043" priority="1335" operator="equal">
      <formula>AS_DURATION_EFFORT</formula>
    </cfRule>
    <cfRule type="cellIs" dxfId="1042" priority="1336" operator="equal">
      <formula>AS_DEV_EFFORT</formula>
    </cfRule>
  </conditionalFormatting>
  <conditionalFormatting sqref="F221">
    <cfRule type="expression" dxfId="1041" priority="1334">
      <formula>$K221&lt;&gt;""</formula>
    </cfRule>
  </conditionalFormatting>
  <conditionalFormatting sqref="C221">
    <cfRule type="expression" dxfId="1040" priority="1333">
      <formula>$G221&lt;&gt;"-"</formula>
    </cfRule>
  </conditionalFormatting>
  <conditionalFormatting sqref="D221">
    <cfRule type="expression" dxfId="1039" priority="1332">
      <formula>$H221&lt;&gt;"-"</formula>
    </cfRule>
  </conditionalFormatting>
  <conditionalFormatting sqref="E221">
    <cfRule type="expression" dxfId="1038" priority="1331">
      <formula>$I221&lt;&gt;"-"</formula>
    </cfRule>
  </conditionalFormatting>
  <conditionalFormatting sqref="B226">
    <cfRule type="expression" dxfId="1037" priority="1327">
      <formula>AD226&lt;&gt;""</formula>
    </cfRule>
  </conditionalFormatting>
  <conditionalFormatting sqref="Z226">
    <cfRule type="cellIs" dxfId="1036" priority="1325" operator="greaterThan">
      <formula>0</formula>
    </cfRule>
    <cfRule type="cellIs" dxfId="1035" priority="1326" operator="lessThan">
      <formula>0</formula>
    </cfRule>
  </conditionalFormatting>
  <conditionalFormatting sqref="S226">
    <cfRule type="cellIs" dxfId="1034" priority="1324" operator="lessThan">
      <formula>0</formula>
    </cfRule>
  </conditionalFormatting>
  <conditionalFormatting sqref="T224:T225">
    <cfRule type="expression" dxfId="1033" priority="1328">
      <formula>#REF!="Yes"</formula>
    </cfRule>
  </conditionalFormatting>
  <conditionalFormatting sqref="P226">
    <cfRule type="cellIs" dxfId="1032" priority="1322" operator="equal">
      <formula>AS_DURATION_EFFORT</formula>
    </cfRule>
    <cfRule type="cellIs" dxfId="1031" priority="1323" operator="equal">
      <formula>AS_DEV_EFFORT</formula>
    </cfRule>
  </conditionalFormatting>
  <conditionalFormatting sqref="B224:B225">
    <cfRule type="expression" dxfId="1030" priority="1321">
      <formula>AD224&lt;&gt;""</formula>
    </cfRule>
  </conditionalFormatting>
  <conditionalFormatting sqref="F226">
    <cfRule type="expression" dxfId="1029" priority="1320">
      <formula>$K226&lt;&gt;""</formula>
    </cfRule>
  </conditionalFormatting>
  <conditionalFormatting sqref="C226">
    <cfRule type="expression" dxfId="1028" priority="1319">
      <formula>$G226&lt;&gt;"-"</formula>
    </cfRule>
  </conditionalFormatting>
  <conditionalFormatting sqref="D226">
    <cfRule type="expression" dxfId="1027" priority="1318">
      <formula>$H226&lt;&gt;"-"</formula>
    </cfRule>
  </conditionalFormatting>
  <conditionalFormatting sqref="E226">
    <cfRule type="expression" dxfId="1026" priority="1317">
      <formula>$I226&lt;&gt;"-"</formula>
    </cfRule>
  </conditionalFormatting>
  <conditionalFormatting sqref="B227">
    <cfRule type="expression" dxfId="1025" priority="1312">
      <formula>AD227&lt;&gt;""</formula>
    </cfRule>
  </conditionalFormatting>
  <conditionalFormatting sqref="Z227">
    <cfRule type="cellIs" dxfId="1024" priority="1310" operator="greaterThan">
      <formula>0</formula>
    </cfRule>
    <cfRule type="cellIs" dxfId="1023" priority="1311" operator="lessThan">
      <formula>0</formula>
    </cfRule>
  </conditionalFormatting>
  <conditionalFormatting sqref="S227">
    <cfRule type="cellIs" dxfId="1022" priority="1309" operator="lessThan">
      <formula>0</formula>
    </cfRule>
  </conditionalFormatting>
  <conditionalFormatting sqref="P227">
    <cfRule type="cellIs" dxfId="1021" priority="1307" operator="equal">
      <formula>AS_DURATION_EFFORT</formula>
    </cfRule>
    <cfRule type="cellIs" dxfId="1020" priority="1308" operator="equal">
      <formula>AS_DEV_EFFORT</formula>
    </cfRule>
  </conditionalFormatting>
  <conditionalFormatting sqref="F227">
    <cfRule type="expression" dxfId="1019" priority="1306">
      <formula>$K227&lt;&gt;""</formula>
    </cfRule>
  </conditionalFormatting>
  <conditionalFormatting sqref="C227">
    <cfRule type="expression" dxfId="1018" priority="1305">
      <formula>$G227&lt;&gt;"-"</formula>
    </cfRule>
  </conditionalFormatting>
  <conditionalFormatting sqref="D227">
    <cfRule type="expression" dxfId="1017" priority="1304">
      <formula>$H227&lt;&gt;"-"</formula>
    </cfRule>
  </conditionalFormatting>
  <conditionalFormatting sqref="E227">
    <cfRule type="expression" dxfId="1016" priority="1303">
      <formula>$I227&lt;&gt;"-"</formula>
    </cfRule>
  </conditionalFormatting>
  <conditionalFormatting sqref="B228">
    <cfRule type="expression" dxfId="1015" priority="1300">
      <formula>AD228&lt;&gt;""</formula>
    </cfRule>
  </conditionalFormatting>
  <conditionalFormatting sqref="Z228">
    <cfRule type="cellIs" dxfId="1014" priority="1298" operator="greaterThan">
      <formula>0</formula>
    </cfRule>
    <cfRule type="cellIs" dxfId="1013" priority="1299" operator="lessThan">
      <formula>0</formula>
    </cfRule>
  </conditionalFormatting>
  <conditionalFormatting sqref="S228">
    <cfRule type="cellIs" dxfId="1012" priority="1297" operator="lessThan">
      <formula>0</formula>
    </cfRule>
  </conditionalFormatting>
  <conditionalFormatting sqref="P228">
    <cfRule type="cellIs" dxfId="1011" priority="1295" operator="equal">
      <formula>AS_DURATION_EFFORT</formula>
    </cfRule>
    <cfRule type="cellIs" dxfId="1010" priority="1296" operator="equal">
      <formula>AS_DEV_EFFORT</formula>
    </cfRule>
  </conditionalFormatting>
  <conditionalFormatting sqref="F228">
    <cfRule type="expression" dxfId="1009" priority="1294">
      <formula>$K228&lt;&gt;""</formula>
    </cfRule>
  </conditionalFormatting>
  <conditionalFormatting sqref="C228">
    <cfRule type="expression" dxfId="1008" priority="1293">
      <formula>$G228&lt;&gt;"-"</formula>
    </cfRule>
  </conditionalFormatting>
  <conditionalFormatting sqref="D228">
    <cfRule type="expression" dxfId="1007" priority="1292">
      <formula>$H228&lt;&gt;"-"</formula>
    </cfRule>
  </conditionalFormatting>
  <conditionalFormatting sqref="E228">
    <cfRule type="expression" dxfId="1006" priority="1291">
      <formula>$I228&lt;&gt;"-"</formula>
    </cfRule>
  </conditionalFormatting>
  <conditionalFormatting sqref="B229">
    <cfRule type="expression" dxfId="1005" priority="1288">
      <formula>AD229&lt;&gt;""</formula>
    </cfRule>
  </conditionalFormatting>
  <conditionalFormatting sqref="Z229">
    <cfRule type="cellIs" dxfId="1004" priority="1286" operator="greaterThan">
      <formula>0</formula>
    </cfRule>
    <cfRule type="cellIs" dxfId="1003" priority="1287" operator="lessThan">
      <formula>0</formula>
    </cfRule>
  </conditionalFormatting>
  <conditionalFormatting sqref="S229">
    <cfRule type="cellIs" dxfId="1002" priority="1285" operator="lessThan">
      <formula>0</formula>
    </cfRule>
  </conditionalFormatting>
  <conditionalFormatting sqref="P229">
    <cfRule type="cellIs" dxfId="1001" priority="1283" operator="equal">
      <formula>AS_DURATION_EFFORT</formula>
    </cfRule>
    <cfRule type="cellIs" dxfId="1000" priority="1284" operator="equal">
      <formula>AS_DEV_EFFORT</formula>
    </cfRule>
  </conditionalFormatting>
  <conditionalFormatting sqref="F229">
    <cfRule type="expression" dxfId="999" priority="1282">
      <formula>$K229&lt;&gt;""</formula>
    </cfRule>
  </conditionalFormatting>
  <conditionalFormatting sqref="C229">
    <cfRule type="expression" dxfId="998" priority="1281">
      <formula>$G229&lt;&gt;"-"</formula>
    </cfRule>
  </conditionalFormatting>
  <conditionalFormatting sqref="D229">
    <cfRule type="expression" dxfId="997" priority="1280">
      <formula>$H229&lt;&gt;"-"</formula>
    </cfRule>
  </conditionalFormatting>
  <conditionalFormatting sqref="E229">
    <cfRule type="expression" dxfId="996" priority="1279">
      <formula>$I229&lt;&gt;"-"</formula>
    </cfRule>
  </conditionalFormatting>
  <conditionalFormatting sqref="B230">
    <cfRule type="expression" dxfId="995" priority="1276">
      <formula>AD230&lt;&gt;""</formula>
    </cfRule>
  </conditionalFormatting>
  <conditionalFormatting sqref="Z230">
    <cfRule type="cellIs" dxfId="994" priority="1274" operator="greaterThan">
      <formula>0</formula>
    </cfRule>
    <cfRule type="cellIs" dxfId="993" priority="1275" operator="lessThan">
      <formula>0</formula>
    </cfRule>
  </conditionalFormatting>
  <conditionalFormatting sqref="S230">
    <cfRule type="cellIs" dxfId="992" priority="1273" operator="lessThan">
      <formula>0</formula>
    </cfRule>
  </conditionalFormatting>
  <conditionalFormatting sqref="P230">
    <cfRule type="cellIs" dxfId="991" priority="1271" operator="equal">
      <formula>AS_DURATION_EFFORT</formula>
    </cfRule>
    <cfRule type="cellIs" dxfId="990" priority="1272" operator="equal">
      <formula>AS_DEV_EFFORT</formula>
    </cfRule>
  </conditionalFormatting>
  <conditionalFormatting sqref="F230">
    <cfRule type="expression" dxfId="989" priority="1270">
      <formula>$K230&lt;&gt;""</formula>
    </cfRule>
  </conditionalFormatting>
  <conditionalFormatting sqref="C230">
    <cfRule type="expression" dxfId="988" priority="1269">
      <formula>$G230&lt;&gt;"-"</formula>
    </cfRule>
  </conditionalFormatting>
  <conditionalFormatting sqref="D230">
    <cfRule type="expression" dxfId="987" priority="1268">
      <formula>$H230&lt;&gt;"-"</formula>
    </cfRule>
  </conditionalFormatting>
  <conditionalFormatting sqref="E230">
    <cfRule type="expression" dxfId="986" priority="1267">
      <formula>$I230&lt;&gt;"-"</formula>
    </cfRule>
  </conditionalFormatting>
  <conditionalFormatting sqref="B234">
    <cfRule type="expression" dxfId="985" priority="1263">
      <formula>AD234&lt;&gt;""</formula>
    </cfRule>
  </conditionalFormatting>
  <conditionalFormatting sqref="Z234">
    <cfRule type="cellIs" dxfId="984" priority="1261" operator="greaterThan">
      <formula>0</formula>
    </cfRule>
    <cfRule type="cellIs" dxfId="983" priority="1262" operator="lessThan">
      <formula>0</formula>
    </cfRule>
  </conditionalFormatting>
  <conditionalFormatting sqref="S234">
    <cfRule type="cellIs" dxfId="982" priority="1260" operator="lessThan">
      <formula>0</formula>
    </cfRule>
  </conditionalFormatting>
  <conditionalFormatting sqref="T232:T233">
    <cfRule type="expression" dxfId="981" priority="1264">
      <formula>#REF!="Yes"</formula>
    </cfRule>
  </conditionalFormatting>
  <conditionalFormatting sqref="P234">
    <cfRule type="cellIs" dxfId="980" priority="1258" operator="equal">
      <formula>AS_DURATION_EFFORT</formula>
    </cfRule>
    <cfRule type="cellIs" dxfId="979" priority="1259" operator="equal">
      <formula>AS_DEV_EFFORT</formula>
    </cfRule>
  </conditionalFormatting>
  <conditionalFormatting sqref="B232:B233">
    <cfRule type="expression" dxfId="978" priority="1257">
      <formula>AD232&lt;&gt;""</formula>
    </cfRule>
  </conditionalFormatting>
  <conditionalFormatting sqref="F234">
    <cfRule type="expression" dxfId="977" priority="1256">
      <formula>$K234&lt;&gt;""</formula>
    </cfRule>
  </conditionalFormatting>
  <conditionalFormatting sqref="C234">
    <cfRule type="expression" dxfId="976" priority="1255">
      <formula>$G234&lt;&gt;"-"</formula>
    </cfRule>
  </conditionalFormatting>
  <conditionalFormatting sqref="D234">
    <cfRule type="expression" dxfId="975" priority="1254">
      <formula>$H234&lt;&gt;"-"</formula>
    </cfRule>
  </conditionalFormatting>
  <conditionalFormatting sqref="E234">
    <cfRule type="expression" dxfId="974" priority="1253">
      <formula>$I234&lt;&gt;"-"</formula>
    </cfRule>
  </conditionalFormatting>
  <conditionalFormatting sqref="B235">
    <cfRule type="expression" dxfId="973" priority="1250">
      <formula>AD235&lt;&gt;""</formula>
    </cfRule>
  </conditionalFormatting>
  <conditionalFormatting sqref="Z235">
    <cfRule type="cellIs" dxfId="972" priority="1248" operator="greaterThan">
      <formula>0</formula>
    </cfRule>
    <cfRule type="cellIs" dxfId="971" priority="1249" operator="lessThan">
      <formula>0</formula>
    </cfRule>
  </conditionalFormatting>
  <conditionalFormatting sqref="S235">
    <cfRule type="cellIs" dxfId="970" priority="1247" operator="lessThan">
      <formula>0</formula>
    </cfRule>
  </conditionalFormatting>
  <conditionalFormatting sqref="P235">
    <cfRule type="cellIs" dxfId="969" priority="1245" operator="equal">
      <formula>AS_DURATION_EFFORT</formula>
    </cfRule>
    <cfRule type="cellIs" dxfId="968" priority="1246" operator="equal">
      <formula>AS_DEV_EFFORT</formula>
    </cfRule>
  </conditionalFormatting>
  <conditionalFormatting sqref="F235">
    <cfRule type="expression" dxfId="967" priority="1244">
      <formula>$K235&lt;&gt;""</formula>
    </cfRule>
  </conditionalFormatting>
  <conditionalFormatting sqref="C235">
    <cfRule type="expression" dxfId="966" priority="1243">
      <formula>$G235&lt;&gt;"-"</formula>
    </cfRule>
  </conditionalFormatting>
  <conditionalFormatting sqref="D235">
    <cfRule type="expression" dxfId="965" priority="1242">
      <formula>$H235&lt;&gt;"-"</formula>
    </cfRule>
  </conditionalFormatting>
  <conditionalFormatting sqref="E235">
    <cfRule type="expression" dxfId="964" priority="1241">
      <formula>$I235&lt;&gt;"-"</formula>
    </cfRule>
  </conditionalFormatting>
  <conditionalFormatting sqref="B236">
    <cfRule type="expression" dxfId="963" priority="1238">
      <formula>AD236&lt;&gt;""</formula>
    </cfRule>
  </conditionalFormatting>
  <conditionalFormatting sqref="Z236">
    <cfRule type="cellIs" dxfId="962" priority="1236" operator="greaterThan">
      <formula>0</formula>
    </cfRule>
    <cfRule type="cellIs" dxfId="961" priority="1237" operator="lessThan">
      <formula>0</formula>
    </cfRule>
  </conditionalFormatting>
  <conditionalFormatting sqref="S236">
    <cfRule type="cellIs" dxfId="960" priority="1235" operator="lessThan">
      <formula>0</formula>
    </cfRule>
  </conditionalFormatting>
  <conditionalFormatting sqref="P236">
    <cfRule type="cellIs" dxfId="959" priority="1233" operator="equal">
      <formula>AS_DURATION_EFFORT</formula>
    </cfRule>
    <cfRule type="cellIs" dxfId="958" priority="1234" operator="equal">
      <formula>AS_DEV_EFFORT</formula>
    </cfRule>
  </conditionalFormatting>
  <conditionalFormatting sqref="F236">
    <cfRule type="expression" dxfId="957" priority="1232">
      <formula>$K236&lt;&gt;""</formula>
    </cfRule>
  </conditionalFormatting>
  <conditionalFormatting sqref="C236">
    <cfRule type="expression" dxfId="956" priority="1231">
      <formula>$G236&lt;&gt;"-"</formula>
    </cfRule>
  </conditionalFormatting>
  <conditionalFormatting sqref="D236">
    <cfRule type="expression" dxfId="955" priority="1230">
      <formula>$H236&lt;&gt;"-"</formula>
    </cfRule>
  </conditionalFormatting>
  <conditionalFormatting sqref="E236">
    <cfRule type="expression" dxfId="954" priority="1229">
      <formula>$I236&lt;&gt;"-"</formula>
    </cfRule>
  </conditionalFormatting>
  <conditionalFormatting sqref="B237">
    <cfRule type="expression" dxfId="953" priority="1226">
      <formula>AD237&lt;&gt;""</formula>
    </cfRule>
  </conditionalFormatting>
  <conditionalFormatting sqref="Z237">
    <cfRule type="cellIs" dxfId="952" priority="1224" operator="greaterThan">
      <formula>0</formula>
    </cfRule>
    <cfRule type="cellIs" dxfId="951" priority="1225" operator="lessThan">
      <formula>0</formula>
    </cfRule>
  </conditionalFormatting>
  <conditionalFormatting sqref="S237">
    <cfRule type="cellIs" dxfId="950" priority="1223" operator="lessThan">
      <formula>0</formula>
    </cfRule>
  </conditionalFormatting>
  <conditionalFormatting sqref="P237">
    <cfRule type="cellIs" dxfId="949" priority="1221" operator="equal">
      <formula>AS_DURATION_EFFORT</formula>
    </cfRule>
    <cfRule type="cellIs" dxfId="948" priority="1222" operator="equal">
      <formula>AS_DEV_EFFORT</formula>
    </cfRule>
  </conditionalFormatting>
  <conditionalFormatting sqref="F237">
    <cfRule type="expression" dxfId="947" priority="1220">
      <formula>$K237&lt;&gt;""</formula>
    </cfRule>
  </conditionalFormatting>
  <conditionalFormatting sqref="C237">
    <cfRule type="expression" dxfId="946" priority="1219">
      <formula>$G237&lt;&gt;"-"</formula>
    </cfRule>
  </conditionalFormatting>
  <conditionalFormatting sqref="D237">
    <cfRule type="expression" dxfId="945" priority="1218">
      <formula>$H237&lt;&gt;"-"</formula>
    </cfRule>
  </conditionalFormatting>
  <conditionalFormatting sqref="E237">
    <cfRule type="expression" dxfId="944" priority="1217">
      <formula>$I237&lt;&gt;"-"</formula>
    </cfRule>
  </conditionalFormatting>
  <conditionalFormatting sqref="B238">
    <cfRule type="expression" dxfId="943" priority="1214">
      <formula>AD238&lt;&gt;""</formula>
    </cfRule>
  </conditionalFormatting>
  <conditionalFormatting sqref="Z238">
    <cfRule type="cellIs" dxfId="942" priority="1212" operator="greaterThan">
      <formula>0</formula>
    </cfRule>
    <cfRule type="cellIs" dxfId="941" priority="1213" operator="lessThan">
      <formula>0</formula>
    </cfRule>
  </conditionalFormatting>
  <conditionalFormatting sqref="S238">
    <cfRule type="cellIs" dxfId="940" priority="1211" operator="lessThan">
      <formula>0</formula>
    </cfRule>
  </conditionalFormatting>
  <conditionalFormatting sqref="P238">
    <cfRule type="cellIs" dxfId="939" priority="1209" operator="equal">
      <formula>AS_DURATION_EFFORT</formula>
    </cfRule>
    <cfRule type="cellIs" dxfId="938" priority="1210" operator="equal">
      <formula>AS_DEV_EFFORT</formula>
    </cfRule>
  </conditionalFormatting>
  <conditionalFormatting sqref="F238">
    <cfRule type="expression" dxfId="937" priority="1208">
      <formula>$K238&lt;&gt;""</formula>
    </cfRule>
  </conditionalFormatting>
  <conditionalFormatting sqref="C238">
    <cfRule type="expression" dxfId="936" priority="1207">
      <formula>$G238&lt;&gt;"-"</formula>
    </cfRule>
  </conditionalFormatting>
  <conditionalFormatting sqref="D238">
    <cfRule type="expression" dxfId="935" priority="1206">
      <formula>$H238&lt;&gt;"-"</formula>
    </cfRule>
  </conditionalFormatting>
  <conditionalFormatting sqref="E238">
    <cfRule type="expression" dxfId="934" priority="1205">
      <formula>$I238&lt;&gt;"-"</formula>
    </cfRule>
  </conditionalFormatting>
  <conditionalFormatting sqref="B242">
    <cfRule type="expression" dxfId="933" priority="1201">
      <formula>AD242&lt;&gt;""</formula>
    </cfRule>
  </conditionalFormatting>
  <conditionalFormatting sqref="Z242">
    <cfRule type="cellIs" dxfId="932" priority="1199" operator="greaterThan">
      <formula>0</formula>
    </cfRule>
    <cfRule type="cellIs" dxfId="931" priority="1200" operator="lessThan">
      <formula>0</formula>
    </cfRule>
  </conditionalFormatting>
  <conditionalFormatting sqref="S242">
    <cfRule type="cellIs" dxfId="930" priority="1198" operator="lessThan">
      <formula>0</formula>
    </cfRule>
  </conditionalFormatting>
  <conditionalFormatting sqref="T240:T241">
    <cfRule type="expression" dxfId="929" priority="1202">
      <formula>#REF!="Yes"</formula>
    </cfRule>
  </conditionalFormatting>
  <conditionalFormatting sqref="P242">
    <cfRule type="cellIs" dxfId="928" priority="1196" operator="equal">
      <formula>AS_DURATION_EFFORT</formula>
    </cfRule>
    <cfRule type="cellIs" dxfId="927" priority="1197" operator="equal">
      <formula>AS_DEV_EFFORT</formula>
    </cfRule>
  </conditionalFormatting>
  <conditionalFormatting sqref="B240:B241">
    <cfRule type="expression" dxfId="926" priority="1195">
      <formula>AD240&lt;&gt;""</formula>
    </cfRule>
  </conditionalFormatting>
  <conditionalFormatting sqref="F242">
    <cfRule type="expression" dxfId="925" priority="1194">
      <formula>$K242&lt;&gt;""</formula>
    </cfRule>
  </conditionalFormatting>
  <conditionalFormatting sqref="C242">
    <cfRule type="expression" dxfId="924" priority="1193">
      <formula>$G242&lt;&gt;"-"</formula>
    </cfRule>
  </conditionalFormatting>
  <conditionalFormatting sqref="D242">
    <cfRule type="expression" dxfId="923" priority="1192">
      <formula>$H242&lt;&gt;"-"</formula>
    </cfRule>
  </conditionalFormatting>
  <conditionalFormatting sqref="E242">
    <cfRule type="expression" dxfId="922" priority="1191">
      <formula>$I242&lt;&gt;"-"</formula>
    </cfRule>
  </conditionalFormatting>
  <conditionalFormatting sqref="B243">
    <cfRule type="expression" dxfId="921" priority="1188">
      <formula>AD243&lt;&gt;""</formula>
    </cfRule>
  </conditionalFormatting>
  <conditionalFormatting sqref="Z243">
    <cfRule type="cellIs" dxfId="920" priority="1186" operator="greaterThan">
      <formula>0</formula>
    </cfRule>
    <cfRule type="cellIs" dxfId="919" priority="1187" operator="lessThan">
      <formula>0</formula>
    </cfRule>
  </conditionalFormatting>
  <conditionalFormatting sqref="S243">
    <cfRule type="cellIs" dxfId="918" priority="1185" operator="lessThan">
      <formula>0</formula>
    </cfRule>
  </conditionalFormatting>
  <conditionalFormatting sqref="P243">
    <cfRule type="cellIs" dxfId="917" priority="1183" operator="equal">
      <formula>AS_DURATION_EFFORT</formula>
    </cfRule>
    <cfRule type="cellIs" dxfId="916" priority="1184" operator="equal">
      <formula>AS_DEV_EFFORT</formula>
    </cfRule>
  </conditionalFormatting>
  <conditionalFormatting sqref="F243">
    <cfRule type="expression" dxfId="915" priority="1182">
      <formula>$K243&lt;&gt;""</formula>
    </cfRule>
  </conditionalFormatting>
  <conditionalFormatting sqref="C243">
    <cfRule type="expression" dxfId="914" priority="1181">
      <formula>$G243&lt;&gt;"-"</formula>
    </cfRule>
  </conditionalFormatting>
  <conditionalFormatting sqref="D243">
    <cfRule type="expression" dxfId="913" priority="1180">
      <formula>$H243&lt;&gt;"-"</formula>
    </cfRule>
  </conditionalFormatting>
  <conditionalFormatting sqref="E243">
    <cfRule type="expression" dxfId="912" priority="1179">
      <formula>$I243&lt;&gt;"-"</formula>
    </cfRule>
  </conditionalFormatting>
  <conditionalFormatting sqref="B244">
    <cfRule type="expression" dxfId="911" priority="1176">
      <formula>AD244&lt;&gt;""</formula>
    </cfRule>
  </conditionalFormatting>
  <conditionalFormatting sqref="Z244">
    <cfRule type="cellIs" dxfId="910" priority="1174" operator="greaterThan">
      <formula>0</formula>
    </cfRule>
    <cfRule type="cellIs" dxfId="909" priority="1175" operator="lessThan">
      <formula>0</formula>
    </cfRule>
  </conditionalFormatting>
  <conditionalFormatting sqref="S244">
    <cfRule type="cellIs" dxfId="908" priority="1173" operator="lessThan">
      <formula>0</formula>
    </cfRule>
  </conditionalFormatting>
  <conditionalFormatting sqref="P244">
    <cfRule type="cellIs" dxfId="907" priority="1171" operator="equal">
      <formula>AS_DURATION_EFFORT</formula>
    </cfRule>
    <cfRule type="cellIs" dxfId="906" priority="1172" operator="equal">
      <formula>AS_DEV_EFFORT</formula>
    </cfRule>
  </conditionalFormatting>
  <conditionalFormatting sqref="F244">
    <cfRule type="expression" dxfId="905" priority="1170">
      <formula>$K244&lt;&gt;""</formula>
    </cfRule>
  </conditionalFormatting>
  <conditionalFormatting sqref="C244">
    <cfRule type="expression" dxfId="904" priority="1169">
      <formula>$G244&lt;&gt;"-"</formula>
    </cfRule>
  </conditionalFormatting>
  <conditionalFormatting sqref="D244">
    <cfRule type="expression" dxfId="903" priority="1168">
      <formula>$H244&lt;&gt;"-"</formula>
    </cfRule>
  </conditionalFormatting>
  <conditionalFormatting sqref="E244">
    <cfRule type="expression" dxfId="902" priority="1167">
      <formula>$I244&lt;&gt;"-"</formula>
    </cfRule>
  </conditionalFormatting>
  <conditionalFormatting sqref="B245">
    <cfRule type="expression" dxfId="901" priority="1164">
      <formula>AD245&lt;&gt;""</formula>
    </cfRule>
  </conditionalFormatting>
  <conditionalFormatting sqref="Z245">
    <cfRule type="cellIs" dxfId="900" priority="1162" operator="greaterThan">
      <formula>0</formula>
    </cfRule>
    <cfRule type="cellIs" dxfId="899" priority="1163" operator="lessThan">
      <formula>0</formula>
    </cfRule>
  </conditionalFormatting>
  <conditionalFormatting sqref="S245">
    <cfRule type="cellIs" dxfId="898" priority="1161" operator="lessThan">
      <formula>0</formula>
    </cfRule>
  </conditionalFormatting>
  <conditionalFormatting sqref="P245">
    <cfRule type="cellIs" dxfId="897" priority="1159" operator="equal">
      <formula>AS_DURATION_EFFORT</formula>
    </cfRule>
    <cfRule type="cellIs" dxfId="896" priority="1160" operator="equal">
      <formula>AS_DEV_EFFORT</formula>
    </cfRule>
  </conditionalFormatting>
  <conditionalFormatting sqref="F245">
    <cfRule type="expression" dxfId="895" priority="1158">
      <formula>$K245&lt;&gt;""</formula>
    </cfRule>
  </conditionalFormatting>
  <conditionalFormatting sqref="C245">
    <cfRule type="expression" dxfId="894" priority="1157">
      <formula>$G245&lt;&gt;"-"</formula>
    </cfRule>
  </conditionalFormatting>
  <conditionalFormatting sqref="D245">
    <cfRule type="expression" dxfId="893" priority="1156">
      <formula>$H245&lt;&gt;"-"</formula>
    </cfRule>
  </conditionalFormatting>
  <conditionalFormatting sqref="E245">
    <cfRule type="expression" dxfId="892" priority="1155">
      <formula>$I245&lt;&gt;"-"</formula>
    </cfRule>
  </conditionalFormatting>
  <conditionalFormatting sqref="B246">
    <cfRule type="expression" dxfId="891" priority="1152">
      <formula>AD246&lt;&gt;""</formula>
    </cfRule>
  </conditionalFormatting>
  <conditionalFormatting sqref="Z246">
    <cfRule type="cellIs" dxfId="890" priority="1150" operator="greaterThan">
      <formula>0</formula>
    </cfRule>
    <cfRule type="cellIs" dxfId="889" priority="1151" operator="lessThan">
      <formula>0</formula>
    </cfRule>
  </conditionalFormatting>
  <conditionalFormatting sqref="S246">
    <cfRule type="cellIs" dxfId="888" priority="1149" operator="lessThan">
      <formula>0</formula>
    </cfRule>
  </conditionalFormatting>
  <conditionalFormatting sqref="P246">
    <cfRule type="cellIs" dxfId="887" priority="1147" operator="equal">
      <formula>AS_DURATION_EFFORT</formula>
    </cfRule>
    <cfRule type="cellIs" dxfId="886" priority="1148" operator="equal">
      <formula>AS_DEV_EFFORT</formula>
    </cfRule>
  </conditionalFormatting>
  <conditionalFormatting sqref="F246">
    <cfRule type="expression" dxfId="885" priority="1146">
      <formula>$K246&lt;&gt;""</formula>
    </cfRule>
  </conditionalFormatting>
  <conditionalFormatting sqref="C246">
    <cfRule type="expression" dxfId="884" priority="1145">
      <formula>$G246&lt;&gt;"-"</formula>
    </cfRule>
  </conditionalFormatting>
  <conditionalFormatting sqref="D246">
    <cfRule type="expression" dxfId="883" priority="1144">
      <formula>$H246&lt;&gt;"-"</formula>
    </cfRule>
  </conditionalFormatting>
  <conditionalFormatting sqref="E246">
    <cfRule type="expression" dxfId="882" priority="1143">
      <formula>$I246&lt;&gt;"-"</formula>
    </cfRule>
  </conditionalFormatting>
  <conditionalFormatting sqref="B250">
    <cfRule type="expression" dxfId="881" priority="1139">
      <formula>AD250&lt;&gt;""</formula>
    </cfRule>
  </conditionalFormatting>
  <conditionalFormatting sqref="Z250">
    <cfRule type="cellIs" dxfId="880" priority="1137" operator="greaterThan">
      <formula>0</formula>
    </cfRule>
    <cfRule type="cellIs" dxfId="879" priority="1138" operator="lessThan">
      <formula>0</formula>
    </cfRule>
  </conditionalFormatting>
  <conditionalFormatting sqref="S250">
    <cfRule type="cellIs" dxfId="878" priority="1136" operator="lessThan">
      <formula>0</formula>
    </cfRule>
  </conditionalFormatting>
  <conditionalFormatting sqref="T248:T249">
    <cfRule type="expression" dxfId="877" priority="1140">
      <formula>#REF!="Yes"</formula>
    </cfRule>
  </conditionalFormatting>
  <conditionalFormatting sqref="P250">
    <cfRule type="cellIs" dxfId="876" priority="1134" operator="equal">
      <formula>AS_DURATION_EFFORT</formula>
    </cfRule>
    <cfRule type="cellIs" dxfId="875" priority="1135" operator="equal">
      <formula>AS_DEV_EFFORT</formula>
    </cfRule>
  </conditionalFormatting>
  <conditionalFormatting sqref="B248:B249">
    <cfRule type="expression" dxfId="874" priority="1133">
      <formula>AD248&lt;&gt;""</formula>
    </cfRule>
  </conditionalFormatting>
  <conditionalFormatting sqref="F250">
    <cfRule type="expression" dxfId="873" priority="1132">
      <formula>$K250&lt;&gt;""</formula>
    </cfRule>
  </conditionalFormatting>
  <conditionalFormatting sqref="C250">
    <cfRule type="expression" dxfId="872" priority="1131">
      <formula>$G250&lt;&gt;"-"</formula>
    </cfRule>
  </conditionalFormatting>
  <conditionalFormatting sqref="D250">
    <cfRule type="expression" dxfId="871" priority="1130">
      <formula>$H250&lt;&gt;"-"</formula>
    </cfRule>
  </conditionalFormatting>
  <conditionalFormatting sqref="E250">
    <cfRule type="expression" dxfId="870" priority="1129">
      <formula>$I250&lt;&gt;"-"</formula>
    </cfRule>
  </conditionalFormatting>
  <conditionalFormatting sqref="B251">
    <cfRule type="expression" dxfId="869" priority="1126">
      <formula>AD251&lt;&gt;""</formula>
    </cfRule>
  </conditionalFormatting>
  <conditionalFormatting sqref="Z251">
    <cfRule type="cellIs" dxfId="868" priority="1124" operator="greaterThan">
      <formula>0</formula>
    </cfRule>
    <cfRule type="cellIs" dxfId="867" priority="1125" operator="lessThan">
      <formula>0</formula>
    </cfRule>
  </conditionalFormatting>
  <conditionalFormatting sqref="S251">
    <cfRule type="cellIs" dxfId="866" priority="1123" operator="lessThan">
      <formula>0</formula>
    </cfRule>
  </conditionalFormatting>
  <conditionalFormatting sqref="P251">
    <cfRule type="cellIs" dxfId="865" priority="1121" operator="equal">
      <formula>AS_DURATION_EFFORT</formula>
    </cfRule>
    <cfRule type="cellIs" dxfId="864" priority="1122" operator="equal">
      <formula>AS_DEV_EFFORT</formula>
    </cfRule>
  </conditionalFormatting>
  <conditionalFormatting sqref="F251">
    <cfRule type="expression" dxfId="863" priority="1120">
      <formula>$K251&lt;&gt;""</formula>
    </cfRule>
  </conditionalFormatting>
  <conditionalFormatting sqref="C251">
    <cfRule type="expression" dxfId="862" priority="1119">
      <formula>$G251&lt;&gt;"-"</formula>
    </cfRule>
  </conditionalFormatting>
  <conditionalFormatting sqref="D251">
    <cfRule type="expression" dxfId="861" priority="1118">
      <formula>$H251&lt;&gt;"-"</formula>
    </cfRule>
  </conditionalFormatting>
  <conditionalFormatting sqref="E251">
    <cfRule type="expression" dxfId="860" priority="1117">
      <formula>$I251&lt;&gt;"-"</formula>
    </cfRule>
  </conditionalFormatting>
  <conditionalFormatting sqref="B252">
    <cfRule type="expression" dxfId="859" priority="1114">
      <formula>AD252&lt;&gt;""</formula>
    </cfRule>
  </conditionalFormatting>
  <conditionalFormatting sqref="Z252">
    <cfRule type="cellIs" dxfId="858" priority="1112" operator="greaterThan">
      <formula>0</formula>
    </cfRule>
    <cfRule type="cellIs" dxfId="857" priority="1113" operator="lessThan">
      <formula>0</formula>
    </cfRule>
  </conditionalFormatting>
  <conditionalFormatting sqref="S252">
    <cfRule type="cellIs" dxfId="856" priority="1111" operator="lessThan">
      <formula>0</formula>
    </cfRule>
  </conditionalFormatting>
  <conditionalFormatting sqref="P252">
    <cfRule type="cellIs" dxfId="855" priority="1109" operator="equal">
      <formula>AS_DURATION_EFFORT</formula>
    </cfRule>
    <cfRule type="cellIs" dxfId="854" priority="1110" operator="equal">
      <formula>AS_DEV_EFFORT</formula>
    </cfRule>
  </conditionalFormatting>
  <conditionalFormatting sqref="F252">
    <cfRule type="expression" dxfId="853" priority="1108">
      <formula>$K252&lt;&gt;""</formula>
    </cfRule>
  </conditionalFormatting>
  <conditionalFormatting sqref="C252">
    <cfRule type="expression" dxfId="852" priority="1107">
      <formula>$G252&lt;&gt;"-"</formula>
    </cfRule>
  </conditionalFormatting>
  <conditionalFormatting sqref="D252">
    <cfRule type="expression" dxfId="851" priority="1106">
      <formula>$H252&lt;&gt;"-"</formula>
    </cfRule>
  </conditionalFormatting>
  <conditionalFormatting sqref="E252">
    <cfRule type="expression" dxfId="850" priority="1105">
      <formula>$I252&lt;&gt;"-"</formula>
    </cfRule>
  </conditionalFormatting>
  <conditionalFormatting sqref="B253">
    <cfRule type="expression" dxfId="849" priority="1102">
      <formula>AD253&lt;&gt;""</formula>
    </cfRule>
  </conditionalFormatting>
  <conditionalFormatting sqref="Z253">
    <cfRule type="cellIs" dxfId="848" priority="1100" operator="greaterThan">
      <formula>0</formula>
    </cfRule>
    <cfRule type="cellIs" dxfId="847" priority="1101" operator="lessThan">
      <formula>0</formula>
    </cfRule>
  </conditionalFormatting>
  <conditionalFormatting sqref="S253">
    <cfRule type="cellIs" dxfId="846" priority="1099" operator="lessThan">
      <formula>0</formula>
    </cfRule>
  </conditionalFormatting>
  <conditionalFormatting sqref="P253">
    <cfRule type="cellIs" dxfId="845" priority="1097" operator="equal">
      <formula>AS_DURATION_EFFORT</formula>
    </cfRule>
    <cfRule type="cellIs" dxfId="844" priority="1098" operator="equal">
      <formula>AS_DEV_EFFORT</formula>
    </cfRule>
  </conditionalFormatting>
  <conditionalFormatting sqref="F253">
    <cfRule type="expression" dxfId="843" priority="1096">
      <formula>$K253&lt;&gt;""</formula>
    </cfRule>
  </conditionalFormatting>
  <conditionalFormatting sqref="C253">
    <cfRule type="expression" dxfId="842" priority="1095">
      <formula>$G253&lt;&gt;"-"</formula>
    </cfRule>
  </conditionalFormatting>
  <conditionalFormatting sqref="D253">
    <cfRule type="expression" dxfId="841" priority="1094">
      <formula>$H253&lt;&gt;"-"</formula>
    </cfRule>
  </conditionalFormatting>
  <conditionalFormatting sqref="E253">
    <cfRule type="expression" dxfId="840" priority="1093">
      <formula>$I253&lt;&gt;"-"</formula>
    </cfRule>
  </conditionalFormatting>
  <conditionalFormatting sqref="B254">
    <cfRule type="expression" dxfId="839" priority="1090">
      <formula>AD254&lt;&gt;""</formula>
    </cfRule>
  </conditionalFormatting>
  <conditionalFormatting sqref="Z254">
    <cfRule type="cellIs" dxfId="838" priority="1088" operator="greaterThan">
      <formula>0</formula>
    </cfRule>
    <cfRule type="cellIs" dxfId="837" priority="1089" operator="lessThan">
      <formula>0</formula>
    </cfRule>
  </conditionalFormatting>
  <conditionalFormatting sqref="S254">
    <cfRule type="cellIs" dxfId="836" priority="1087" operator="lessThan">
      <formula>0</formula>
    </cfRule>
  </conditionalFormatting>
  <conditionalFormatting sqref="P254">
    <cfRule type="cellIs" dxfId="835" priority="1085" operator="equal">
      <formula>AS_DURATION_EFFORT</formula>
    </cfRule>
    <cfRule type="cellIs" dxfId="834" priority="1086" operator="equal">
      <formula>AS_DEV_EFFORT</formula>
    </cfRule>
  </conditionalFormatting>
  <conditionalFormatting sqref="F254">
    <cfRule type="expression" dxfId="833" priority="1084">
      <formula>$K254&lt;&gt;""</formula>
    </cfRule>
  </conditionalFormatting>
  <conditionalFormatting sqref="C254">
    <cfRule type="expression" dxfId="832" priority="1083">
      <formula>$G254&lt;&gt;"-"</formula>
    </cfRule>
  </conditionalFormatting>
  <conditionalFormatting sqref="D254">
    <cfRule type="expression" dxfId="831" priority="1082">
      <formula>$H254&lt;&gt;"-"</formula>
    </cfRule>
  </conditionalFormatting>
  <conditionalFormatting sqref="E254">
    <cfRule type="expression" dxfId="830" priority="1081">
      <formula>$I254&lt;&gt;"-"</formula>
    </cfRule>
  </conditionalFormatting>
  <conditionalFormatting sqref="B259">
    <cfRule type="expression" dxfId="829" priority="1077">
      <formula>AD259&lt;&gt;""</formula>
    </cfRule>
  </conditionalFormatting>
  <conditionalFormatting sqref="Z259">
    <cfRule type="cellIs" dxfId="828" priority="1075" operator="greaterThan">
      <formula>0</formula>
    </cfRule>
    <cfRule type="cellIs" dxfId="827" priority="1076" operator="lessThan">
      <formula>0</formula>
    </cfRule>
  </conditionalFormatting>
  <conditionalFormatting sqref="S259">
    <cfRule type="cellIs" dxfId="826" priority="1074" operator="lessThan">
      <formula>0</formula>
    </cfRule>
  </conditionalFormatting>
  <conditionalFormatting sqref="T257:T258">
    <cfRule type="expression" dxfId="825" priority="1078">
      <formula>#REF!="Yes"</formula>
    </cfRule>
  </conditionalFormatting>
  <conditionalFormatting sqref="P259">
    <cfRule type="cellIs" dxfId="824" priority="1072" operator="equal">
      <formula>AS_DURATION_EFFORT</formula>
    </cfRule>
    <cfRule type="cellIs" dxfId="823" priority="1073" operator="equal">
      <formula>AS_DEV_EFFORT</formula>
    </cfRule>
  </conditionalFormatting>
  <conditionalFormatting sqref="B257:B258">
    <cfRule type="expression" dxfId="822" priority="1071">
      <formula>AD257&lt;&gt;""</formula>
    </cfRule>
  </conditionalFormatting>
  <conditionalFormatting sqref="F259">
    <cfRule type="expression" dxfId="821" priority="1070">
      <formula>$K259&lt;&gt;""</formula>
    </cfRule>
  </conditionalFormatting>
  <conditionalFormatting sqref="C259">
    <cfRule type="expression" dxfId="820" priority="1069">
      <formula>$G259&lt;&gt;"-"</formula>
    </cfRule>
  </conditionalFormatting>
  <conditionalFormatting sqref="D259">
    <cfRule type="expression" dxfId="819" priority="1068">
      <formula>$H259&lt;&gt;"-"</formula>
    </cfRule>
  </conditionalFormatting>
  <conditionalFormatting sqref="E259">
    <cfRule type="expression" dxfId="818" priority="1067">
      <formula>$I259&lt;&gt;"-"</formula>
    </cfRule>
  </conditionalFormatting>
  <conditionalFormatting sqref="B260">
    <cfRule type="expression" dxfId="817" priority="1062">
      <formula>AD260&lt;&gt;""</formula>
    </cfRule>
  </conditionalFormatting>
  <conditionalFormatting sqref="Z260">
    <cfRule type="cellIs" dxfId="816" priority="1060" operator="greaterThan">
      <formula>0</formula>
    </cfRule>
    <cfRule type="cellIs" dxfId="815" priority="1061" operator="lessThan">
      <formula>0</formula>
    </cfRule>
  </conditionalFormatting>
  <conditionalFormatting sqref="S260">
    <cfRule type="cellIs" dxfId="814" priority="1059" operator="lessThan">
      <formula>0</formula>
    </cfRule>
  </conditionalFormatting>
  <conditionalFormatting sqref="P260">
    <cfRule type="cellIs" dxfId="813" priority="1057" operator="equal">
      <formula>AS_DURATION_EFFORT</formula>
    </cfRule>
    <cfRule type="cellIs" dxfId="812" priority="1058" operator="equal">
      <formula>AS_DEV_EFFORT</formula>
    </cfRule>
  </conditionalFormatting>
  <conditionalFormatting sqref="F260">
    <cfRule type="expression" dxfId="811" priority="1056">
      <formula>$K260&lt;&gt;""</formula>
    </cfRule>
  </conditionalFormatting>
  <conditionalFormatting sqref="C260">
    <cfRule type="expression" dxfId="810" priority="1055">
      <formula>$G260&lt;&gt;"-"</formula>
    </cfRule>
  </conditionalFormatting>
  <conditionalFormatting sqref="D260">
    <cfRule type="expression" dxfId="809" priority="1054">
      <formula>$H260&lt;&gt;"-"</formula>
    </cfRule>
  </conditionalFormatting>
  <conditionalFormatting sqref="E260">
    <cfRule type="expression" dxfId="808" priority="1053">
      <formula>$I260&lt;&gt;"-"</formula>
    </cfRule>
  </conditionalFormatting>
  <conditionalFormatting sqref="B261">
    <cfRule type="expression" dxfId="807" priority="1050">
      <formula>AD261&lt;&gt;""</formula>
    </cfRule>
  </conditionalFormatting>
  <conditionalFormatting sqref="Z261">
    <cfRule type="cellIs" dxfId="806" priority="1048" operator="greaterThan">
      <formula>0</formula>
    </cfRule>
    <cfRule type="cellIs" dxfId="805" priority="1049" operator="lessThan">
      <formula>0</formula>
    </cfRule>
  </conditionalFormatting>
  <conditionalFormatting sqref="S261">
    <cfRule type="cellIs" dxfId="804" priority="1047" operator="lessThan">
      <formula>0</formula>
    </cfRule>
  </conditionalFormatting>
  <conditionalFormatting sqref="P261">
    <cfRule type="cellIs" dxfId="803" priority="1045" operator="equal">
      <formula>AS_DURATION_EFFORT</formula>
    </cfRule>
    <cfRule type="cellIs" dxfId="802" priority="1046" operator="equal">
      <formula>AS_DEV_EFFORT</formula>
    </cfRule>
  </conditionalFormatting>
  <conditionalFormatting sqref="F261">
    <cfRule type="expression" dxfId="801" priority="1044">
      <formula>$K261&lt;&gt;""</formula>
    </cfRule>
  </conditionalFormatting>
  <conditionalFormatting sqref="C261">
    <cfRule type="expression" dxfId="800" priority="1043">
      <formula>$G261&lt;&gt;"-"</formula>
    </cfRule>
  </conditionalFormatting>
  <conditionalFormatting sqref="D261">
    <cfRule type="expression" dxfId="799" priority="1042">
      <formula>$H261&lt;&gt;"-"</formula>
    </cfRule>
  </conditionalFormatting>
  <conditionalFormatting sqref="E261">
    <cfRule type="expression" dxfId="798" priority="1041">
      <formula>$I261&lt;&gt;"-"</formula>
    </cfRule>
  </conditionalFormatting>
  <conditionalFormatting sqref="B262">
    <cfRule type="expression" dxfId="797" priority="1038">
      <formula>AD262&lt;&gt;""</formula>
    </cfRule>
  </conditionalFormatting>
  <conditionalFormatting sqref="Z262">
    <cfRule type="cellIs" dxfId="796" priority="1036" operator="greaterThan">
      <formula>0</formula>
    </cfRule>
    <cfRule type="cellIs" dxfId="795" priority="1037" operator="lessThan">
      <formula>0</formula>
    </cfRule>
  </conditionalFormatting>
  <conditionalFormatting sqref="S262">
    <cfRule type="cellIs" dxfId="794" priority="1035" operator="lessThan">
      <formula>0</formula>
    </cfRule>
  </conditionalFormatting>
  <conditionalFormatting sqref="P262">
    <cfRule type="cellIs" dxfId="793" priority="1033" operator="equal">
      <formula>AS_DURATION_EFFORT</formula>
    </cfRule>
    <cfRule type="cellIs" dxfId="792" priority="1034" operator="equal">
      <formula>AS_DEV_EFFORT</formula>
    </cfRule>
  </conditionalFormatting>
  <conditionalFormatting sqref="F262">
    <cfRule type="expression" dxfId="791" priority="1032">
      <formula>$K262&lt;&gt;""</formula>
    </cfRule>
  </conditionalFormatting>
  <conditionalFormatting sqref="C262">
    <cfRule type="expression" dxfId="790" priority="1031">
      <formula>$G262&lt;&gt;"-"</formula>
    </cfRule>
  </conditionalFormatting>
  <conditionalFormatting sqref="D262">
    <cfRule type="expression" dxfId="789" priority="1030">
      <formula>$H262&lt;&gt;"-"</formula>
    </cfRule>
  </conditionalFormatting>
  <conditionalFormatting sqref="E262">
    <cfRule type="expression" dxfId="788" priority="1029">
      <formula>$I262&lt;&gt;"-"</formula>
    </cfRule>
  </conditionalFormatting>
  <conditionalFormatting sqref="B263">
    <cfRule type="expression" dxfId="787" priority="1026">
      <formula>AD263&lt;&gt;""</formula>
    </cfRule>
  </conditionalFormatting>
  <conditionalFormatting sqref="Z263">
    <cfRule type="cellIs" dxfId="786" priority="1024" operator="greaterThan">
      <formula>0</formula>
    </cfRule>
    <cfRule type="cellIs" dxfId="785" priority="1025" operator="lessThan">
      <formula>0</formula>
    </cfRule>
  </conditionalFormatting>
  <conditionalFormatting sqref="S263">
    <cfRule type="cellIs" dxfId="784" priority="1023" operator="lessThan">
      <formula>0</formula>
    </cfRule>
  </conditionalFormatting>
  <conditionalFormatting sqref="P263">
    <cfRule type="cellIs" dxfId="783" priority="1021" operator="equal">
      <formula>AS_DURATION_EFFORT</formula>
    </cfRule>
    <cfRule type="cellIs" dxfId="782" priority="1022" operator="equal">
      <formula>AS_DEV_EFFORT</formula>
    </cfRule>
  </conditionalFormatting>
  <conditionalFormatting sqref="F263">
    <cfRule type="expression" dxfId="781" priority="1020">
      <formula>$K263&lt;&gt;""</formula>
    </cfRule>
  </conditionalFormatting>
  <conditionalFormatting sqref="C263">
    <cfRule type="expression" dxfId="780" priority="1019">
      <formula>$G263&lt;&gt;"-"</formula>
    </cfRule>
  </conditionalFormatting>
  <conditionalFormatting sqref="D263">
    <cfRule type="expression" dxfId="779" priority="1018">
      <formula>$H263&lt;&gt;"-"</formula>
    </cfRule>
  </conditionalFormatting>
  <conditionalFormatting sqref="E263">
    <cfRule type="expression" dxfId="778" priority="1017">
      <formula>$I263&lt;&gt;"-"</formula>
    </cfRule>
  </conditionalFormatting>
  <conditionalFormatting sqref="B267">
    <cfRule type="expression" dxfId="777" priority="1013">
      <formula>AD267&lt;&gt;""</formula>
    </cfRule>
  </conditionalFormatting>
  <conditionalFormatting sqref="Z267">
    <cfRule type="cellIs" dxfId="776" priority="1011" operator="greaterThan">
      <formula>0</formula>
    </cfRule>
    <cfRule type="cellIs" dxfId="775" priority="1012" operator="lessThan">
      <formula>0</formula>
    </cfRule>
  </conditionalFormatting>
  <conditionalFormatting sqref="S267">
    <cfRule type="cellIs" dxfId="774" priority="1010" operator="lessThan">
      <formula>0</formula>
    </cfRule>
  </conditionalFormatting>
  <conditionalFormatting sqref="T265:T266">
    <cfRule type="expression" dxfId="773" priority="1014">
      <formula>#REF!="Yes"</formula>
    </cfRule>
  </conditionalFormatting>
  <conditionalFormatting sqref="P267">
    <cfRule type="cellIs" dxfId="772" priority="1008" operator="equal">
      <formula>AS_DURATION_EFFORT</formula>
    </cfRule>
    <cfRule type="cellIs" dxfId="771" priority="1009" operator="equal">
      <formula>AS_DEV_EFFORT</formula>
    </cfRule>
  </conditionalFormatting>
  <conditionalFormatting sqref="B265:B266">
    <cfRule type="expression" dxfId="770" priority="1007">
      <formula>AD265&lt;&gt;""</formula>
    </cfRule>
  </conditionalFormatting>
  <conditionalFormatting sqref="F267">
    <cfRule type="expression" dxfId="769" priority="1006">
      <formula>$K267&lt;&gt;""</formula>
    </cfRule>
  </conditionalFormatting>
  <conditionalFormatting sqref="C267">
    <cfRule type="expression" dxfId="768" priority="1005">
      <formula>$G267&lt;&gt;"-"</formula>
    </cfRule>
  </conditionalFormatting>
  <conditionalFormatting sqref="D267">
    <cfRule type="expression" dxfId="767" priority="1004">
      <formula>$H267&lt;&gt;"-"</formula>
    </cfRule>
  </conditionalFormatting>
  <conditionalFormatting sqref="E267">
    <cfRule type="expression" dxfId="766" priority="1003">
      <formula>$I267&lt;&gt;"-"</formula>
    </cfRule>
  </conditionalFormatting>
  <conditionalFormatting sqref="B268">
    <cfRule type="expression" dxfId="765" priority="1000">
      <formula>AD268&lt;&gt;""</formula>
    </cfRule>
  </conditionalFormatting>
  <conditionalFormatting sqref="Z268">
    <cfRule type="cellIs" dxfId="764" priority="998" operator="greaterThan">
      <formula>0</formula>
    </cfRule>
    <cfRule type="cellIs" dxfId="763" priority="999" operator="lessThan">
      <formula>0</formula>
    </cfRule>
  </conditionalFormatting>
  <conditionalFormatting sqref="S268">
    <cfRule type="cellIs" dxfId="762" priority="997" operator="lessThan">
      <formula>0</formula>
    </cfRule>
  </conditionalFormatting>
  <conditionalFormatting sqref="P268">
    <cfRule type="cellIs" dxfId="761" priority="995" operator="equal">
      <formula>AS_DURATION_EFFORT</formula>
    </cfRule>
    <cfRule type="cellIs" dxfId="760" priority="996" operator="equal">
      <formula>AS_DEV_EFFORT</formula>
    </cfRule>
  </conditionalFormatting>
  <conditionalFormatting sqref="F268">
    <cfRule type="expression" dxfId="759" priority="994">
      <formula>$K268&lt;&gt;""</formula>
    </cfRule>
  </conditionalFormatting>
  <conditionalFormatting sqref="C268">
    <cfRule type="expression" dxfId="758" priority="993">
      <formula>$G268&lt;&gt;"-"</formula>
    </cfRule>
  </conditionalFormatting>
  <conditionalFormatting sqref="D268">
    <cfRule type="expression" dxfId="757" priority="992">
      <formula>$H268&lt;&gt;"-"</formula>
    </cfRule>
  </conditionalFormatting>
  <conditionalFormatting sqref="E268">
    <cfRule type="expression" dxfId="756" priority="991">
      <formula>$I268&lt;&gt;"-"</formula>
    </cfRule>
  </conditionalFormatting>
  <conditionalFormatting sqref="B269">
    <cfRule type="expression" dxfId="755" priority="976">
      <formula>AD269&lt;&gt;""</formula>
    </cfRule>
  </conditionalFormatting>
  <conditionalFormatting sqref="Z269">
    <cfRule type="cellIs" dxfId="754" priority="974" operator="greaterThan">
      <formula>0</formula>
    </cfRule>
    <cfRule type="cellIs" dxfId="753" priority="975" operator="lessThan">
      <formula>0</formula>
    </cfRule>
  </conditionalFormatting>
  <conditionalFormatting sqref="S269">
    <cfRule type="cellIs" dxfId="752" priority="973" operator="lessThan">
      <formula>0</formula>
    </cfRule>
  </conditionalFormatting>
  <conditionalFormatting sqref="P269">
    <cfRule type="cellIs" dxfId="751" priority="971" operator="equal">
      <formula>AS_DURATION_EFFORT</formula>
    </cfRule>
    <cfRule type="cellIs" dxfId="750" priority="972" operator="equal">
      <formula>AS_DEV_EFFORT</formula>
    </cfRule>
  </conditionalFormatting>
  <conditionalFormatting sqref="F269">
    <cfRule type="expression" dxfId="749" priority="970">
      <formula>$K269&lt;&gt;""</formula>
    </cfRule>
  </conditionalFormatting>
  <conditionalFormatting sqref="C269">
    <cfRule type="expression" dxfId="748" priority="969">
      <formula>$G269&lt;&gt;"-"</formula>
    </cfRule>
  </conditionalFormatting>
  <conditionalFormatting sqref="D269">
    <cfRule type="expression" dxfId="747" priority="968">
      <formula>$H269&lt;&gt;"-"</formula>
    </cfRule>
  </conditionalFormatting>
  <conditionalFormatting sqref="E269">
    <cfRule type="expression" dxfId="746" priority="967">
      <formula>$I269&lt;&gt;"-"</formula>
    </cfRule>
  </conditionalFormatting>
  <conditionalFormatting sqref="B274">
    <cfRule type="expression" dxfId="745" priority="963">
      <formula>AD274&lt;&gt;""</formula>
    </cfRule>
  </conditionalFormatting>
  <conditionalFormatting sqref="Z274">
    <cfRule type="cellIs" dxfId="744" priority="961" operator="greaterThan">
      <formula>0</formula>
    </cfRule>
    <cfRule type="cellIs" dxfId="743" priority="962" operator="lessThan">
      <formula>0</formula>
    </cfRule>
  </conditionalFormatting>
  <conditionalFormatting sqref="S274">
    <cfRule type="cellIs" dxfId="742" priority="960" operator="lessThan">
      <formula>0</formula>
    </cfRule>
  </conditionalFormatting>
  <conditionalFormatting sqref="T272:T273">
    <cfRule type="expression" dxfId="741" priority="964">
      <formula>#REF!="Yes"</formula>
    </cfRule>
  </conditionalFormatting>
  <conditionalFormatting sqref="P274">
    <cfRule type="cellIs" dxfId="740" priority="958" operator="equal">
      <formula>AS_DURATION_EFFORT</formula>
    </cfRule>
    <cfRule type="cellIs" dxfId="739" priority="959" operator="equal">
      <formula>AS_DEV_EFFORT</formula>
    </cfRule>
  </conditionalFormatting>
  <conditionalFormatting sqref="B272:B273">
    <cfRule type="expression" dxfId="738" priority="957">
      <formula>AD272&lt;&gt;""</formula>
    </cfRule>
  </conditionalFormatting>
  <conditionalFormatting sqref="F274">
    <cfRule type="expression" dxfId="737" priority="956">
      <formula>$K274&lt;&gt;""</formula>
    </cfRule>
  </conditionalFormatting>
  <conditionalFormatting sqref="C274">
    <cfRule type="expression" dxfId="736" priority="955">
      <formula>$G274&lt;&gt;"-"</formula>
    </cfRule>
  </conditionalFormatting>
  <conditionalFormatting sqref="D274">
    <cfRule type="expression" dxfId="735" priority="954">
      <formula>$H274&lt;&gt;"-"</formula>
    </cfRule>
  </conditionalFormatting>
  <conditionalFormatting sqref="E274">
    <cfRule type="expression" dxfId="734" priority="953">
      <formula>$I274&lt;&gt;"-"</formula>
    </cfRule>
  </conditionalFormatting>
  <conditionalFormatting sqref="B282">
    <cfRule type="expression" dxfId="733" priority="911">
      <formula>AD282&lt;&gt;""</formula>
    </cfRule>
  </conditionalFormatting>
  <conditionalFormatting sqref="Z282">
    <cfRule type="cellIs" dxfId="732" priority="909" operator="greaterThan">
      <formula>0</formula>
    </cfRule>
    <cfRule type="cellIs" dxfId="731" priority="910" operator="lessThan">
      <formula>0</formula>
    </cfRule>
  </conditionalFormatting>
  <conditionalFormatting sqref="S282">
    <cfRule type="cellIs" dxfId="730" priority="908" operator="lessThan">
      <formula>0</formula>
    </cfRule>
  </conditionalFormatting>
  <conditionalFormatting sqref="T280:T281">
    <cfRule type="expression" dxfId="729" priority="912">
      <formula>#REF!="Yes"</formula>
    </cfRule>
  </conditionalFormatting>
  <conditionalFormatting sqref="P282">
    <cfRule type="cellIs" dxfId="728" priority="906" operator="equal">
      <formula>AS_DURATION_EFFORT</formula>
    </cfRule>
    <cfRule type="cellIs" dxfId="727" priority="907" operator="equal">
      <formula>AS_DEV_EFFORT</formula>
    </cfRule>
  </conditionalFormatting>
  <conditionalFormatting sqref="B280:B281">
    <cfRule type="expression" dxfId="726" priority="905">
      <formula>AD280&lt;&gt;""</formula>
    </cfRule>
  </conditionalFormatting>
  <conditionalFormatting sqref="F282">
    <cfRule type="expression" dxfId="725" priority="904">
      <formula>$K282&lt;&gt;""</formula>
    </cfRule>
  </conditionalFormatting>
  <conditionalFormatting sqref="C282">
    <cfRule type="expression" dxfId="724" priority="903">
      <formula>$G282&lt;&gt;"-"</formula>
    </cfRule>
  </conditionalFormatting>
  <conditionalFormatting sqref="D282">
    <cfRule type="expression" dxfId="723" priority="902">
      <formula>$H282&lt;&gt;"-"</formula>
    </cfRule>
  </conditionalFormatting>
  <conditionalFormatting sqref="E282">
    <cfRule type="expression" dxfId="722" priority="901">
      <formula>$I282&lt;&gt;"-"</formula>
    </cfRule>
  </conditionalFormatting>
  <conditionalFormatting sqref="B283">
    <cfRule type="expression" dxfId="721" priority="898">
      <formula>AD283&lt;&gt;""</formula>
    </cfRule>
  </conditionalFormatting>
  <conditionalFormatting sqref="Z283">
    <cfRule type="cellIs" dxfId="720" priority="896" operator="greaterThan">
      <formula>0</formula>
    </cfRule>
    <cfRule type="cellIs" dxfId="719" priority="897" operator="lessThan">
      <formula>0</formula>
    </cfRule>
  </conditionalFormatting>
  <conditionalFormatting sqref="S283">
    <cfRule type="cellIs" dxfId="718" priority="895" operator="lessThan">
      <formula>0</formula>
    </cfRule>
  </conditionalFormatting>
  <conditionalFormatting sqref="P283">
    <cfRule type="cellIs" dxfId="717" priority="893" operator="equal">
      <formula>AS_DURATION_EFFORT</formula>
    </cfRule>
    <cfRule type="cellIs" dxfId="716" priority="894" operator="equal">
      <formula>AS_DEV_EFFORT</formula>
    </cfRule>
  </conditionalFormatting>
  <conditionalFormatting sqref="F283">
    <cfRule type="expression" dxfId="715" priority="892">
      <formula>$K283&lt;&gt;""</formula>
    </cfRule>
  </conditionalFormatting>
  <conditionalFormatting sqref="C283">
    <cfRule type="expression" dxfId="714" priority="891">
      <formula>$G283&lt;&gt;"-"</formula>
    </cfRule>
  </conditionalFormatting>
  <conditionalFormatting sqref="D283">
    <cfRule type="expression" dxfId="713" priority="890">
      <formula>$H283&lt;&gt;"-"</formula>
    </cfRule>
  </conditionalFormatting>
  <conditionalFormatting sqref="E283">
    <cfRule type="expression" dxfId="712" priority="889">
      <formula>$I283&lt;&gt;"-"</formula>
    </cfRule>
  </conditionalFormatting>
  <conditionalFormatting sqref="B284">
    <cfRule type="expression" dxfId="711" priority="886">
      <formula>AD284&lt;&gt;""</formula>
    </cfRule>
  </conditionalFormatting>
  <conditionalFormatting sqref="Z284">
    <cfRule type="cellIs" dxfId="710" priority="884" operator="greaterThan">
      <formula>0</formula>
    </cfRule>
    <cfRule type="cellIs" dxfId="709" priority="885" operator="lessThan">
      <formula>0</formula>
    </cfRule>
  </conditionalFormatting>
  <conditionalFormatting sqref="S284">
    <cfRule type="cellIs" dxfId="708" priority="883" operator="lessThan">
      <formula>0</formula>
    </cfRule>
  </conditionalFormatting>
  <conditionalFormatting sqref="P284">
    <cfRule type="cellIs" dxfId="707" priority="881" operator="equal">
      <formula>AS_DURATION_EFFORT</formula>
    </cfRule>
    <cfRule type="cellIs" dxfId="706" priority="882" operator="equal">
      <formula>AS_DEV_EFFORT</formula>
    </cfRule>
  </conditionalFormatting>
  <conditionalFormatting sqref="F284">
    <cfRule type="expression" dxfId="705" priority="880">
      <formula>$K284&lt;&gt;""</formula>
    </cfRule>
  </conditionalFormatting>
  <conditionalFormatting sqref="C284">
    <cfRule type="expression" dxfId="704" priority="879">
      <formula>$G284&lt;&gt;"-"</formula>
    </cfRule>
  </conditionalFormatting>
  <conditionalFormatting sqref="D284">
    <cfRule type="expression" dxfId="703" priority="878">
      <formula>$H284&lt;&gt;"-"</formula>
    </cfRule>
  </conditionalFormatting>
  <conditionalFormatting sqref="E284">
    <cfRule type="expression" dxfId="702" priority="877">
      <formula>$I284&lt;&gt;"-"</formula>
    </cfRule>
  </conditionalFormatting>
  <conditionalFormatting sqref="B288">
    <cfRule type="expression" dxfId="701" priority="849">
      <formula>AD288&lt;&gt;""</formula>
    </cfRule>
  </conditionalFormatting>
  <conditionalFormatting sqref="Z288">
    <cfRule type="cellIs" dxfId="700" priority="847" operator="greaterThan">
      <formula>0</formula>
    </cfRule>
    <cfRule type="cellIs" dxfId="699" priority="848" operator="lessThan">
      <formula>0</formula>
    </cfRule>
  </conditionalFormatting>
  <conditionalFormatting sqref="S288">
    <cfRule type="cellIs" dxfId="698" priority="846" operator="lessThan">
      <formula>0</formula>
    </cfRule>
  </conditionalFormatting>
  <conditionalFormatting sqref="T286:T287">
    <cfRule type="expression" dxfId="697" priority="850">
      <formula>#REF!="Yes"</formula>
    </cfRule>
  </conditionalFormatting>
  <conditionalFormatting sqref="P288">
    <cfRule type="cellIs" dxfId="696" priority="844" operator="equal">
      <formula>AS_DURATION_EFFORT</formula>
    </cfRule>
    <cfRule type="cellIs" dxfId="695" priority="845" operator="equal">
      <formula>AS_DEV_EFFORT</formula>
    </cfRule>
  </conditionalFormatting>
  <conditionalFormatting sqref="B286:B287">
    <cfRule type="expression" dxfId="694" priority="843">
      <formula>AD286&lt;&gt;""</formula>
    </cfRule>
  </conditionalFormatting>
  <conditionalFormatting sqref="F288">
    <cfRule type="expression" dxfId="693" priority="842">
      <formula>$K288&lt;&gt;""</formula>
    </cfRule>
  </conditionalFormatting>
  <conditionalFormatting sqref="C288">
    <cfRule type="expression" dxfId="692" priority="841">
      <formula>$G288&lt;&gt;"-"</formula>
    </cfRule>
  </conditionalFormatting>
  <conditionalFormatting sqref="D288">
    <cfRule type="expression" dxfId="691" priority="840">
      <formula>$H288&lt;&gt;"-"</formula>
    </cfRule>
  </conditionalFormatting>
  <conditionalFormatting sqref="E288">
    <cfRule type="expression" dxfId="690" priority="839">
      <formula>$I288&lt;&gt;"-"</formula>
    </cfRule>
  </conditionalFormatting>
  <conditionalFormatting sqref="B289">
    <cfRule type="expression" dxfId="689" priority="836">
      <formula>AD289&lt;&gt;""</formula>
    </cfRule>
  </conditionalFormatting>
  <conditionalFormatting sqref="Z289">
    <cfRule type="cellIs" dxfId="688" priority="834" operator="greaterThan">
      <formula>0</formula>
    </cfRule>
    <cfRule type="cellIs" dxfId="687" priority="835" operator="lessThan">
      <formula>0</formula>
    </cfRule>
  </conditionalFormatting>
  <conditionalFormatting sqref="S289">
    <cfRule type="cellIs" dxfId="686" priority="833" operator="lessThan">
      <formula>0</formula>
    </cfRule>
  </conditionalFormatting>
  <conditionalFormatting sqref="P289">
    <cfRule type="cellIs" dxfId="685" priority="831" operator="equal">
      <formula>AS_DURATION_EFFORT</formula>
    </cfRule>
    <cfRule type="cellIs" dxfId="684" priority="832" operator="equal">
      <formula>AS_DEV_EFFORT</formula>
    </cfRule>
  </conditionalFormatting>
  <conditionalFormatting sqref="F289">
    <cfRule type="expression" dxfId="683" priority="830">
      <formula>$K289&lt;&gt;""</formula>
    </cfRule>
  </conditionalFormatting>
  <conditionalFormatting sqref="C289">
    <cfRule type="expression" dxfId="682" priority="829">
      <formula>$G289&lt;&gt;"-"</formula>
    </cfRule>
  </conditionalFormatting>
  <conditionalFormatting sqref="D289">
    <cfRule type="expression" dxfId="681" priority="828">
      <formula>$H289&lt;&gt;"-"</formula>
    </cfRule>
  </conditionalFormatting>
  <conditionalFormatting sqref="E289">
    <cfRule type="expression" dxfId="680" priority="827">
      <formula>$I289&lt;&gt;"-"</formula>
    </cfRule>
  </conditionalFormatting>
  <conditionalFormatting sqref="B308">
    <cfRule type="expression" dxfId="679" priority="802">
      <formula>AD308&lt;&gt;""</formula>
    </cfRule>
  </conditionalFormatting>
  <conditionalFormatting sqref="Z308">
    <cfRule type="cellIs" dxfId="678" priority="800" operator="greaterThan">
      <formula>0</formula>
    </cfRule>
    <cfRule type="cellIs" dxfId="677" priority="801" operator="lessThan">
      <formula>0</formula>
    </cfRule>
  </conditionalFormatting>
  <conditionalFormatting sqref="S308">
    <cfRule type="cellIs" dxfId="676" priority="799" operator="lessThan">
      <formula>0</formula>
    </cfRule>
  </conditionalFormatting>
  <conditionalFormatting sqref="P308">
    <cfRule type="cellIs" dxfId="675" priority="797" operator="equal">
      <formula>AS_DURATION_EFFORT</formula>
    </cfRule>
    <cfRule type="cellIs" dxfId="674" priority="798" operator="equal">
      <formula>AS_DEV_EFFORT</formula>
    </cfRule>
  </conditionalFormatting>
  <conditionalFormatting sqref="F308">
    <cfRule type="expression" dxfId="673" priority="796">
      <formula>$K308&lt;&gt;""</formula>
    </cfRule>
  </conditionalFormatting>
  <conditionalFormatting sqref="C308">
    <cfRule type="expression" dxfId="672" priority="795">
      <formula>$G308&lt;&gt;"-"</formula>
    </cfRule>
  </conditionalFormatting>
  <conditionalFormatting sqref="D308">
    <cfRule type="expression" dxfId="671" priority="794">
      <formula>$H308&lt;&gt;"-"</formula>
    </cfRule>
  </conditionalFormatting>
  <conditionalFormatting sqref="E308">
    <cfRule type="expression" dxfId="670" priority="793">
      <formula>$I308&lt;&gt;"-"</formula>
    </cfRule>
  </conditionalFormatting>
  <conditionalFormatting sqref="B309">
    <cfRule type="expression" dxfId="669" priority="792">
      <formula>AD309&lt;&gt;""</formula>
    </cfRule>
  </conditionalFormatting>
  <conditionalFormatting sqref="Z309">
    <cfRule type="cellIs" dxfId="668" priority="790" operator="greaterThan">
      <formula>0</formula>
    </cfRule>
    <cfRule type="cellIs" dxfId="667" priority="791" operator="lessThan">
      <formula>0</formula>
    </cfRule>
  </conditionalFormatting>
  <conditionalFormatting sqref="S309">
    <cfRule type="cellIs" dxfId="666" priority="789" operator="lessThan">
      <formula>0</formula>
    </cfRule>
  </conditionalFormatting>
  <conditionalFormatting sqref="P309">
    <cfRule type="cellIs" dxfId="665" priority="787" operator="equal">
      <formula>AS_DURATION_EFFORT</formula>
    </cfRule>
    <cfRule type="cellIs" dxfId="664" priority="788" operator="equal">
      <formula>AS_DEV_EFFORT</formula>
    </cfRule>
  </conditionalFormatting>
  <conditionalFormatting sqref="F309">
    <cfRule type="expression" dxfId="663" priority="786">
      <formula>$K309&lt;&gt;""</formula>
    </cfRule>
  </conditionalFormatting>
  <conditionalFormatting sqref="C309">
    <cfRule type="expression" dxfId="662" priority="785">
      <formula>$G309&lt;&gt;"-"</formula>
    </cfRule>
  </conditionalFormatting>
  <conditionalFormatting sqref="D309">
    <cfRule type="expression" dxfId="661" priority="784">
      <formula>$H309&lt;&gt;"-"</formula>
    </cfRule>
  </conditionalFormatting>
  <conditionalFormatting sqref="E309">
    <cfRule type="expression" dxfId="660" priority="783">
      <formula>$I309&lt;&gt;"-"</formula>
    </cfRule>
  </conditionalFormatting>
  <conditionalFormatting sqref="B310">
    <cfRule type="expression" dxfId="659" priority="782">
      <formula>AD310&lt;&gt;""</formula>
    </cfRule>
  </conditionalFormatting>
  <conditionalFormatting sqref="Z310">
    <cfRule type="cellIs" dxfId="658" priority="780" operator="greaterThan">
      <formula>0</formula>
    </cfRule>
    <cfRule type="cellIs" dxfId="657" priority="781" operator="lessThan">
      <formula>0</formula>
    </cfRule>
  </conditionalFormatting>
  <conditionalFormatting sqref="S310">
    <cfRule type="cellIs" dxfId="656" priority="779" operator="lessThan">
      <formula>0</formula>
    </cfRule>
  </conditionalFormatting>
  <conditionalFormatting sqref="P310">
    <cfRule type="cellIs" dxfId="655" priority="777" operator="equal">
      <formula>AS_DURATION_EFFORT</formula>
    </cfRule>
    <cfRule type="cellIs" dxfId="654" priority="778" operator="equal">
      <formula>AS_DEV_EFFORT</formula>
    </cfRule>
  </conditionalFormatting>
  <conditionalFormatting sqref="F310">
    <cfRule type="expression" dxfId="653" priority="776">
      <formula>$K310&lt;&gt;""</formula>
    </cfRule>
  </conditionalFormatting>
  <conditionalFormatting sqref="C310">
    <cfRule type="expression" dxfId="652" priority="775">
      <formula>$G310&lt;&gt;"-"</formula>
    </cfRule>
  </conditionalFormatting>
  <conditionalFormatting sqref="D310">
    <cfRule type="expression" dxfId="651" priority="774">
      <formula>$H310&lt;&gt;"-"</formula>
    </cfRule>
  </conditionalFormatting>
  <conditionalFormatting sqref="E310">
    <cfRule type="expression" dxfId="650" priority="773">
      <formula>$I310&lt;&gt;"-"</formula>
    </cfRule>
  </conditionalFormatting>
  <conditionalFormatting sqref="B318">
    <cfRule type="expression" dxfId="649" priority="772">
      <formula>AD318&lt;&gt;""</formula>
    </cfRule>
  </conditionalFormatting>
  <conditionalFormatting sqref="Z318">
    <cfRule type="cellIs" dxfId="648" priority="770" operator="greaterThan">
      <formula>0</formula>
    </cfRule>
    <cfRule type="cellIs" dxfId="647" priority="771" operator="lessThan">
      <formula>0</formula>
    </cfRule>
  </conditionalFormatting>
  <conditionalFormatting sqref="S318">
    <cfRule type="cellIs" dxfId="646" priority="769" operator="lessThan">
      <formula>0</formula>
    </cfRule>
  </conditionalFormatting>
  <conditionalFormatting sqref="P318">
    <cfRule type="cellIs" dxfId="645" priority="767" operator="equal">
      <formula>AS_DURATION_EFFORT</formula>
    </cfRule>
    <cfRule type="cellIs" dxfId="644" priority="768" operator="equal">
      <formula>AS_DEV_EFFORT</formula>
    </cfRule>
  </conditionalFormatting>
  <conditionalFormatting sqref="F318">
    <cfRule type="expression" dxfId="643" priority="766">
      <formula>$K318&lt;&gt;""</formula>
    </cfRule>
  </conditionalFormatting>
  <conditionalFormatting sqref="C318">
    <cfRule type="expression" dxfId="642" priority="765">
      <formula>$G318&lt;&gt;"-"</formula>
    </cfRule>
  </conditionalFormatting>
  <conditionalFormatting sqref="D318">
    <cfRule type="expression" dxfId="641" priority="764">
      <formula>$H318&lt;&gt;"-"</formula>
    </cfRule>
  </conditionalFormatting>
  <conditionalFormatting sqref="E318">
    <cfRule type="expression" dxfId="640" priority="763">
      <formula>$I318&lt;&gt;"-"</formula>
    </cfRule>
  </conditionalFormatting>
  <conditionalFormatting sqref="B319">
    <cfRule type="expression" dxfId="639" priority="762">
      <formula>AD319&lt;&gt;""</formula>
    </cfRule>
  </conditionalFormatting>
  <conditionalFormatting sqref="Z319">
    <cfRule type="cellIs" dxfId="638" priority="760" operator="greaterThan">
      <formula>0</formula>
    </cfRule>
    <cfRule type="cellIs" dxfId="637" priority="761" operator="lessThan">
      <formula>0</formula>
    </cfRule>
  </conditionalFormatting>
  <conditionalFormatting sqref="S319">
    <cfRule type="cellIs" dxfId="636" priority="759" operator="lessThan">
      <formula>0</formula>
    </cfRule>
  </conditionalFormatting>
  <conditionalFormatting sqref="P319">
    <cfRule type="cellIs" dxfId="635" priority="757" operator="equal">
      <formula>AS_DURATION_EFFORT</formula>
    </cfRule>
    <cfRule type="cellIs" dxfId="634" priority="758" operator="equal">
      <formula>AS_DEV_EFFORT</formula>
    </cfRule>
  </conditionalFormatting>
  <conditionalFormatting sqref="F319">
    <cfRule type="expression" dxfId="633" priority="756">
      <formula>$K319&lt;&gt;""</formula>
    </cfRule>
  </conditionalFormatting>
  <conditionalFormatting sqref="C319">
    <cfRule type="expression" dxfId="632" priority="755">
      <formula>$G319&lt;&gt;"-"</formula>
    </cfRule>
  </conditionalFormatting>
  <conditionalFormatting sqref="D319">
    <cfRule type="expression" dxfId="631" priority="754">
      <formula>$H319&lt;&gt;"-"</formula>
    </cfRule>
  </conditionalFormatting>
  <conditionalFormatting sqref="E319">
    <cfRule type="expression" dxfId="630" priority="753">
      <formula>$I319&lt;&gt;"-"</formula>
    </cfRule>
  </conditionalFormatting>
  <conditionalFormatting sqref="B320">
    <cfRule type="expression" dxfId="629" priority="752">
      <formula>AD320&lt;&gt;""</formula>
    </cfRule>
  </conditionalFormatting>
  <conditionalFormatting sqref="Z320">
    <cfRule type="cellIs" dxfId="628" priority="750" operator="greaterThan">
      <formula>0</formula>
    </cfRule>
    <cfRule type="cellIs" dxfId="627" priority="751" operator="lessThan">
      <formula>0</formula>
    </cfRule>
  </conditionalFormatting>
  <conditionalFormatting sqref="S320">
    <cfRule type="cellIs" dxfId="626" priority="749" operator="lessThan">
      <formula>0</formula>
    </cfRule>
  </conditionalFormatting>
  <conditionalFormatting sqref="P320">
    <cfRule type="cellIs" dxfId="625" priority="747" operator="equal">
      <formula>AS_DURATION_EFFORT</formula>
    </cfRule>
    <cfRule type="cellIs" dxfId="624" priority="748" operator="equal">
      <formula>AS_DEV_EFFORT</formula>
    </cfRule>
  </conditionalFormatting>
  <conditionalFormatting sqref="F320">
    <cfRule type="expression" dxfId="623" priority="746">
      <formula>$K320&lt;&gt;""</formula>
    </cfRule>
  </conditionalFormatting>
  <conditionalFormatting sqref="C320">
    <cfRule type="expression" dxfId="622" priority="745">
      <formula>$G320&lt;&gt;"-"</formula>
    </cfRule>
  </conditionalFormatting>
  <conditionalFormatting sqref="D320">
    <cfRule type="expression" dxfId="621" priority="744">
      <formula>$H320&lt;&gt;"-"</formula>
    </cfRule>
  </conditionalFormatting>
  <conditionalFormatting sqref="E320">
    <cfRule type="expression" dxfId="620" priority="743">
      <formula>$I320&lt;&gt;"-"</formula>
    </cfRule>
  </conditionalFormatting>
  <conditionalFormatting sqref="B324">
    <cfRule type="expression" dxfId="619" priority="739">
      <formula>AD324&lt;&gt;""</formula>
    </cfRule>
  </conditionalFormatting>
  <conditionalFormatting sqref="Z324">
    <cfRule type="cellIs" dxfId="618" priority="737" operator="greaterThan">
      <formula>0</formula>
    </cfRule>
    <cfRule type="cellIs" dxfId="617" priority="738" operator="lessThan">
      <formula>0</formula>
    </cfRule>
  </conditionalFormatting>
  <conditionalFormatting sqref="S324">
    <cfRule type="cellIs" dxfId="616" priority="736" operator="lessThan">
      <formula>0</formula>
    </cfRule>
  </conditionalFormatting>
  <conditionalFormatting sqref="T322:T323">
    <cfRule type="expression" dxfId="615" priority="740">
      <formula>#REF!="Yes"</formula>
    </cfRule>
  </conditionalFormatting>
  <conditionalFormatting sqref="P324">
    <cfRule type="cellIs" dxfId="614" priority="734" operator="equal">
      <formula>AS_DURATION_EFFORT</formula>
    </cfRule>
    <cfRule type="cellIs" dxfId="613" priority="735" operator="equal">
      <formula>AS_DEV_EFFORT</formula>
    </cfRule>
  </conditionalFormatting>
  <conditionalFormatting sqref="B322:B323">
    <cfRule type="expression" dxfId="612" priority="733">
      <formula>AD322&lt;&gt;""</formula>
    </cfRule>
  </conditionalFormatting>
  <conditionalFormatting sqref="F324">
    <cfRule type="expression" dxfId="611" priority="732">
      <formula>$K324&lt;&gt;""</formula>
    </cfRule>
  </conditionalFormatting>
  <conditionalFormatting sqref="C324">
    <cfRule type="expression" dxfId="610" priority="731">
      <formula>$G324&lt;&gt;"-"</formula>
    </cfRule>
  </conditionalFormatting>
  <conditionalFormatting sqref="D324">
    <cfRule type="expression" dxfId="609" priority="730">
      <formula>$H324&lt;&gt;"-"</formula>
    </cfRule>
  </conditionalFormatting>
  <conditionalFormatting sqref="E324">
    <cfRule type="expression" dxfId="608" priority="729">
      <formula>$I324&lt;&gt;"-"</formula>
    </cfRule>
  </conditionalFormatting>
  <conditionalFormatting sqref="B325">
    <cfRule type="expression" dxfId="607" priority="726">
      <formula>AD325&lt;&gt;""</formula>
    </cfRule>
  </conditionalFormatting>
  <conditionalFormatting sqref="Z325">
    <cfRule type="cellIs" dxfId="606" priority="724" operator="greaterThan">
      <formula>0</formula>
    </cfRule>
    <cfRule type="cellIs" dxfId="605" priority="725" operator="lessThan">
      <formula>0</formula>
    </cfRule>
  </conditionalFormatting>
  <conditionalFormatting sqref="S325">
    <cfRule type="cellIs" dxfId="604" priority="723" operator="lessThan">
      <formula>0</formula>
    </cfRule>
  </conditionalFormatting>
  <conditionalFormatting sqref="P325">
    <cfRule type="cellIs" dxfId="603" priority="721" operator="equal">
      <formula>AS_DURATION_EFFORT</formula>
    </cfRule>
    <cfRule type="cellIs" dxfId="602" priority="722" operator="equal">
      <formula>AS_DEV_EFFORT</formula>
    </cfRule>
  </conditionalFormatting>
  <conditionalFormatting sqref="F325">
    <cfRule type="expression" dxfId="601" priority="720">
      <formula>$K325&lt;&gt;""</formula>
    </cfRule>
  </conditionalFormatting>
  <conditionalFormatting sqref="C325">
    <cfRule type="expression" dxfId="600" priority="719">
      <formula>$G325&lt;&gt;"-"</formula>
    </cfRule>
  </conditionalFormatting>
  <conditionalFormatting sqref="D325">
    <cfRule type="expression" dxfId="599" priority="718">
      <formula>$H325&lt;&gt;"-"</formula>
    </cfRule>
  </conditionalFormatting>
  <conditionalFormatting sqref="E325">
    <cfRule type="expression" dxfId="598" priority="717">
      <formula>$I325&lt;&gt;"-"</formula>
    </cfRule>
  </conditionalFormatting>
  <conditionalFormatting sqref="B326">
    <cfRule type="expression" dxfId="597" priority="714">
      <formula>AD326&lt;&gt;""</formula>
    </cfRule>
  </conditionalFormatting>
  <conditionalFormatting sqref="Z326">
    <cfRule type="cellIs" dxfId="596" priority="712" operator="greaterThan">
      <formula>0</formula>
    </cfRule>
    <cfRule type="cellIs" dxfId="595" priority="713" operator="lessThan">
      <formula>0</formula>
    </cfRule>
  </conditionalFormatting>
  <conditionalFormatting sqref="S326">
    <cfRule type="cellIs" dxfId="594" priority="711" operator="lessThan">
      <formula>0</formula>
    </cfRule>
  </conditionalFormatting>
  <conditionalFormatting sqref="P326">
    <cfRule type="cellIs" dxfId="593" priority="709" operator="equal">
      <formula>AS_DURATION_EFFORT</formula>
    </cfRule>
    <cfRule type="cellIs" dxfId="592" priority="710" operator="equal">
      <formula>AS_DEV_EFFORT</formula>
    </cfRule>
  </conditionalFormatting>
  <conditionalFormatting sqref="F326">
    <cfRule type="expression" dxfId="591" priority="708">
      <formula>$K326&lt;&gt;""</formula>
    </cfRule>
  </conditionalFormatting>
  <conditionalFormatting sqref="C326">
    <cfRule type="expression" dxfId="590" priority="707">
      <formula>$G326&lt;&gt;"-"</formula>
    </cfRule>
  </conditionalFormatting>
  <conditionalFormatting sqref="D326">
    <cfRule type="expression" dxfId="589" priority="706">
      <formula>$H326&lt;&gt;"-"</formula>
    </cfRule>
  </conditionalFormatting>
  <conditionalFormatting sqref="E326">
    <cfRule type="expression" dxfId="588" priority="705">
      <formula>$I326&lt;&gt;"-"</formula>
    </cfRule>
  </conditionalFormatting>
  <conditionalFormatting sqref="B327">
    <cfRule type="expression" dxfId="587" priority="702">
      <formula>AD327&lt;&gt;""</formula>
    </cfRule>
  </conditionalFormatting>
  <conditionalFormatting sqref="Z327">
    <cfRule type="cellIs" dxfId="586" priority="700" operator="greaterThan">
      <formula>0</formula>
    </cfRule>
    <cfRule type="cellIs" dxfId="585" priority="701" operator="lessThan">
      <formula>0</formula>
    </cfRule>
  </conditionalFormatting>
  <conditionalFormatting sqref="S327">
    <cfRule type="cellIs" dxfId="584" priority="699" operator="lessThan">
      <formula>0</formula>
    </cfRule>
  </conditionalFormatting>
  <conditionalFormatting sqref="P327">
    <cfRule type="cellIs" dxfId="583" priority="697" operator="equal">
      <formula>AS_DURATION_EFFORT</formula>
    </cfRule>
    <cfRule type="cellIs" dxfId="582" priority="698" operator="equal">
      <formula>AS_DEV_EFFORT</formula>
    </cfRule>
  </conditionalFormatting>
  <conditionalFormatting sqref="F327">
    <cfRule type="expression" dxfId="581" priority="696">
      <formula>$K327&lt;&gt;""</formula>
    </cfRule>
  </conditionalFormatting>
  <conditionalFormatting sqref="C327">
    <cfRule type="expression" dxfId="580" priority="695">
      <formula>$G327&lt;&gt;"-"</formula>
    </cfRule>
  </conditionalFormatting>
  <conditionalFormatting sqref="D327">
    <cfRule type="expression" dxfId="579" priority="694">
      <formula>$H327&lt;&gt;"-"</formula>
    </cfRule>
  </conditionalFormatting>
  <conditionalFormatting sqref="E327">
    <cfRule type="expression" dxfId="578" priority="693">
      <formula>$I327&lt;&gt;"-"</formula>
    </cfRule>
  </conditionalFormatting>
  <conditionalFormatting sqref="B328">
    <cfRule type="expression" dxfId="577" priority="690">
      <formula>AD328&lt;&gt;""</formula>
    </cfRule>
  </conditionalFormatting>
  <conditionalFormatting sqref="Z328">
    <cfRule type="cellIs" dxfId="576" priority="688" operator="greaterThan">
      <formula>0</formula>
    </cfRule>
    <cfRule type="cellIs" dxfId="575" priority="689" operator="lessThan">
      <formula>0</formula>
    </cfRule>
  </conditionalFormatting>
  <conditionalFormatting sqref="S328">
    <cfRule type="cellIs" dxfId="574" priority="687" operator="lessThan">
      <formula>0</formula>
    </cfRule>
  </conditionalFormatting>
  <conditionalFormatting sqref="P328">
    <cfRule type="cellIs" dxfId="573" priority="685" operator="equal">
      <formula>AS_DURATION_EFFORT</formula>
    </cfRule>
    <cfRule type="cellIs" dxfId="572" priority="686" operator="equal">
      <formula>AS_DEV_EFFORT</formula>
    </cfRule>
  </conditionalFormatting>
  <conditionalFormatting sqref="F328">
    <cfRule type="expression" dxfId="571" priority="684">
      <formula>$K328&lt;&gt;""</formula>
    </cfRule>
  </conditionalFormatting>
  <conditionalFormatting sqref="C328">
    <cfRule type="expression" dxfId="570" priority="683">
      <formula>$G328&lt;&gt;"-"</formula>
    </cfRule>
  </conditionalFormatting>
  <conditionalFormatting sqref="D328">
    <cfRule type="expression" dxfId="569" priority="682">
      <formula>$H328&lt;&gt;"-"</formula>
    </cfRule>
  </conditionalFormatting>
  <conditionalFormatting sqref="E328">
    <cfRule type="expression" dxfId="568" priority="681">
      <formula>$I328&lt;&gt;"-"</formula>
    </cfRule>
  </conditionalFormatting>
  <conditionalFormatting sqref="B329">
    <cfRule type="expression" dxfId="567" priority="678">
      <formula>AD329&lt;&gt;""</formula>
    </cfRule>
  </conditionalFormatting>
  <conditionalFormatting sqref="Z329">
    <cfRule type="cellIs" dxfId="566" priority="676" operator="greaterThan">
      <formula>0</formula>
    </cfRule>
    <cfRule type="cellIs" dxfId="565" priority="677" operator="lessThan">
      <formula>0</formula>
    </cfRule>
  </conditionalFormatting>
  <conditionalFormatting sqref="S329">
    <cfRule type="cellIs" dxfId="564" priority="675" operator="lessThan">
      <formula>0</formula>
    </cfRule>
  </conditionalFormatting>
  <conditionalFormatting sqref="P329">
    <cfRule type="cellIs" dxfId="563" priority="673" operator="equal">
      <formula>AS_DURATION_EFFORT</formula>
    </cfRule>
    <cfRule type="cellIs" dxfId="562" priority="674" operator="equal">
      <formula>AS_DEV_EFFORT</formula>
    </cfRule>
  </conditionalFormatting>
  <conditionalFormatting sqref="F329">
    <cfRule type="expression" dxfId="561" priority="672">
      <formula>$K329&lt;&gt;""</formula>
    </cfRule>
  </conditionalFormatting>
  <conditionalFormatting sqref="C329">
    <cfRule type="expression" dxfId="560" priority="671">
      <formula>$G329&lt;&gt;"-"</formula>
    </cfRule>
  </conditionalFormatting>
  <conditionalFormatting sqref="D329">
    <cfRule type="expression" dxfId="559" priority="670">
      <formula>$H329&lt;&gt;"-"</formula>
    </cfRule>
  </conditionalFormatting>
  <conditionalFormatting sqref="E329">
    <cfRule type="expression" dxfId="558" priority="669">
      <formula>$I329&lt;&gt;"-"</formula>
    </cfRule>
  </conditionalFormatting>
  <conditionalFormatting sqref="B330">
    <cfRule type="expression" dxfId="557" priority="666">
      <formula>AD330&lt;&gt;""</formula>
    </cfRule>
  </conditionalFormatting>
  <conditionalFormatting sqref="Z330">
    <cfRule type="cellIs" dxfId="556" priority="664" operator="greaterThan">
      <formula>0</formula>
    </cfRule>
    <cfRule type="cellIs" dxfId="555" priority="665" operator="lessThan">
      <formula>0</formula>
    </cfRule>
  </conditionalFormatting>
  <conditionalFormatting sqref="S330">
    <cfRule type="cellIs" dxfId="554" priority="663" operator="lessThan">
      <formula>0</formula>
    </cfRule>
  </conditionalFormatting>
  <conditionalFormatting sqref="P330">
    <cfRule type="cellIs" dxfId="553" priority="661" operator="equal">
      <formula>AS_DURATION_EFFORT</formula>
    </cfRule>
    <cfRule type="cellIs" dxfId="552" priority="662" operator="equal">
      <formula>AS_DEV_EFFORT</formula>
    </cfRule>
  </conditionalFormatting>
  <conditionalFormatting sqref="F330">
    <cfRule type="expression" dxfId="551" priority="660">
      <formula>$K330&lt;&gt;""</formula>
    </cfRule>
  </conditionalFormatting>
  <conditionalFormatting sqref="C330">
    <cfRule type="expression" dxfId="550" priority="659">
      <formula>$G330&lt;&gt;"-"</formula>
    </cfRule>
  </conditionalFormatting>
  <conditionalFormatting sqref="D330">
    <cfRule type="expression" dxfId="549" priority="658">
      <formula>$H330&lt;&gt;"-"</formula>
    </cfRule>
  </conditionalFormatting>
  <conditionalFormatting sqref="E330">
    <cfRule type="expression" dxfId="548" priority="657">
      <formula>$I330&lt;&gt;"-"</formula>
    </cfRule>
  </conditionalFormatting>
  <conditionalFormatting sqref="B331">
    <cfRule type="expression" dxfId="547" priority="654">
      <formula>AD331&lt;&gt;""</formula>
    </cfRule>
  </conditionalFormatting>
  <conditionalFormatting sqref="Z331">
    <cfRule type="cellIs" dxfId="546" priority="652" operator="greaterThan">
      <formula>0</formula>
    </cfRule>
    <cfRule type="cellIs" dxfId="545" priority="653" operator="lessThan">
      <formula>0</formula>
    </cfRule>
  </conditionalFormatting>
  <conditionalFormatting sqref="S331">
    <cfRule type="cellIs" dxfId="544" priority="651" operator="lessThan">
      <formula>0</formula>
    </cfRule>
  </conditionalFormatting>
  <conditionalFormatting sqref="P331">
    <cfRule type="cellIs" dxfId="543" priority="649" operator="equal">
      <formula>AS_DURATION_EFFORT</formula>
    </cfRule>
    <cfRule type="cellIs" dxfId="542" priority="650" operator="equal">
      <formula>AS_DEV_EFFORT</formula>
    </cfRule>
  </conditionalFormatting>
  <conditionalFormatting sqref="F331">
    <cfRule type="expression" dxfId="541" priority="648">
      <formula>$K331&lt;&gt;""</formula>
    </cfRule>
  </conditionalFormatting>
  <conditionalFormatting sqref="C331">
    <cfRule type="expression" dxfId="540" priority="647">
      <formula>$G331&lt;&gt;"-"</formula>
    </cfRule>
  </conditionalFormatting>
  <conditionalFormatting sqref="D331">
    <cfRule type="expression" dxfId="539" priority="646">
      <formula>$H331&lt;&gt;"-"</formula>
    </cfRule>
  </conditionalFormatting>
  <conditionalFormatting sqref="E331">
    <cfRule type="expression" dxfId="538" priority="645">
      <formula>$I331&lt;&gt;"-"</formula>
    </cfRule>
  </conditionalFormatting>
  <conditionalFormatting sqref="B332">
    <cfRule type="expression" dxfId="537" priority="642">
      <formula>AD332&lt;&gt;""</formula>
    </cfRule>
  </conditionalFormatting>
  <conditionalFormatting sqref="Z332">
    <cfRule type="cellIs" dxfId="536" priority="640" operator="greaterThan">
      <formula>0</formula>
    </cfRule>
    <cfRule type="cellIs" dxfId="535" priority="641" operator="lessThan">
      <formula>0</formula>
    </cfRule>
  </conditionalFormatting>
  <conditionalFormatting sqref="S332">
    <cfRule type="cellIs" dxfId="534" priority="639" operator="lessThan">
      <formula>0</formula>
    </cfRule>
  </conditionalFormatting>
  <conditionalFormatting sqref="P332">
    <cfRule type="cellIs" dxfId="533" priority="637" operator="equal">
      <formula>AS_DURATION_EFFORT</formula>
    </cfRule>
    <cfRule type="cellIs" dxfId="532" priority="638" operator="equal">
      <formula>AS_DEV_EFFORT</formula>
    </cfRule>
  </conditionalFormatting>
  <conditionalFormatting sqref="F332">
    <cfRule type="expression" dxfId="531" priority="636">
      <formula>$K332&lt;&gt;""</formula>
    </cfRule>
  </conditionalFormatting>
  <conditionalFormatting sqref="C332">
    <cfRule type="expression" dxfId="530" priority="635">
      <formula>$G332&lt;&gt;"-"</formula>
    </cfRule>
  </conditionalFormatting>
  <conditionalFormatting sqref="D332">
    <cfRule type="expression" dxfId="529" priority="634">
      <formula>$H332&lt;&gt;"-"</formula>
    </cfRule>
  </conditionalFormatting>
  <conditionalFormatting sqref="E332">
    <cfRule type="expression" dxfId="528" priority="633">
      <formula>$I332&lt;&gt;"-"</formula>
    </cfRule>
  </conditionalFormatting>
  <conditionalFormatting sqref="B333">
    <cfRule type="expression" dxfId="527" priority="630">
      <formula>AD333&lt;&gt;""</formula>
    </cfRule>
  </conditionalFormatting>
  <conditionalFormatting sqref="Z333">
    <cfRule type="cellIs" dxfId="526" priority="628" operator="greaterThan">
      <formula>0</formula>
    </cfRule>
    <cfRule type="cellIs" dxfId="525" priority="629" operator="lessThan">
      <formula>0</formula>
    </cfRule>
  </conditionalFormatting>
  <conditionalFormatting sqref="S333">
    <cfRule type="cellIs" dxfId="524" priority="627" operator="lessThan">
      <formula>0</formula>
    </cfRule>
  </conditionalFormatting>
  <conditionalFormatting sqref="P333">
    <cfRule type="cellIs" dxfId="523" priority="625" operator="equal">
      <formula>AS_DURATION_EFFORT</formula>
    </cfRule>
    <cfRule type="cellIs" dxfId="522" priority="626" operator="equal">
      <formula>AS_DEV_EFFORT</formula>
    </cfRule>
  </conditionalFormatting>
  <conditionalFormatting sqref="F333">
    <cfRule type="expression" dxfId="521" priority="624">
      <formula>$K333&lt;&gt;""</formula>
    </cfRule>
  </conditionalFormatting>
  <conditionalFormatting sqref="C333">
    <cfRule type="expression" dxfId="520" priority="623">
      <formula>$G333&lt;&gt;"-"</formula>
    </cfRule>
  </conditionalFormatting>
  <conditionalFormatting sqref="D333">
    <cfRule type="expression" dxfId="519" priority="622">
      <formula>$H333&lt;&gt;"-"</formula>
    </cfRule>
  </conditionalFormatting>
  <conditionalFormatting sqref="E333">
    <cfRule type="expression" dxfId="518" priority="621">
      <formula>$I333&lt;&gt;"-"</formula>
    </cfRule>
  </conditionalFormatting>
  <conditionalFormatting sqref="B337">
    <cfRule type="expression" dxfId="517" priority="617">
      <formula>AD337&lt;&gt;""</formula>
    </cfRule>
  </conditionalFormatting>
  <conditionalFormatting sqref="Z337">
    <cfRule type="cellIs" dxfId="516" priority="615" operator="greaterThan">
      <formula>0</formula>
    </cfRule>
    <cfRule type="cellIs" dxfId="515" priority="616" operator="lessThan">
      <formula>0</formula>
    </cfRule>
  </conditionalFormatting>
  <conditionalFormatting sqref="S337">
    <cfRule type="cellIs" dxfId="514" priority="614" operator="lessThan">
      <formula>0</formula>
    </cfRule>
  </conditionalFormatting>
  <conditionalFormatting sqref="T335:T336">
    <cfRule type="expression" dxfId="513" priority="618">
      <formula>#REF!="Yes"</formula>
    </cfRule>
  </conditionalFormatting>
  <conditionalFormatting sqref="P337">
    <cfRule type="cellIs" dxfId="512" priority="612" operator="equal">
      <formula>AS_DURATION_EFFORT</formula>
    </cfRule>
    <cfRule type="cellIs" dxfId="511" priority="613" operator="equal">
      <formula>AS_DEV_EFFORT</formula>
    </cfRule>
  </conditionalFormatting>
  <conditionalFormatting sqref="B335:B336">
    <cfRule type="expression" dxfId="510" priority="611">
      <formula>AD335&lt;&gt;""</formula>
    </cfRule>
  </conditionalFormatting>
  <conditionalFormatting sqref="F337">
    <cfRule type="expression" dxfId="509" priority="610">
      <formula>$K337&lt;&gt;""</formula>
    </cfRule>
  </conditionalFormatting>
  <conditionalFormatting sqref="C337">
    <cfRule type="expression" dxfId="508" priority="609">
      <formula>$G337&lt;&gt;"-"</formula>
    </cfRule>
  </conditionalFormatting>
  <conditionalFormatting sqref="D337">
    <cfRule type="expression" dxfId="507" priority="608">
      <formula>$H337&lt;&gt;"-"</formula>
    </cfRule>
  </conditionalFormatting>
  <conditionalFormatting sqref="E337">
    <cfRule type="expression" dxfId="506" priority="607">
      <formula>$I337&lt;&gt;"-"</formula>
    </cfRule>
  </conditionalFormatting>
  <conditionalFormatting sqref="B338">
    <cfRule type="expression" dxfId="505" priority="604">
      <formula>AD338&lt;&gt;""</formula>
    </cfRule>
  </conditionalFormatting>
  <conditionalFormatting sqref="Z338">
    <cfRule type="cellIs" dxfId="504" priority="602" operator="greaterThan">
      <formula>0</formula>
    </cfRule>
    <cfRule type="cellIs" dxfId="503" priority="603" operator="lessThan">
      <formula>0</formula>
    </cfRule>
  </conditionalFormatting>
  <conditionalFormatting sqref="S338">
    <cfRule type="cellIs" dxfId="502" priority="601" operator="lessThan">
      <formula>0</formula>
    </cfRule>
  </conditionalFormatting>
  <conditionalFormatting sqref="P338">
    <cfRule type="cellIs" dxfId="501" priority="599" operator="equal">
      <formula>AS_DURATION_EFFORT</formula>
    </cfRule>
    <cfRule type="cellIs" dxfId="500" priority="600" operator="equal">
      <formula>AS_DEV_EFFORT</formula>
    </cfRule>
  </conditionalFormatting>
  <conditionalFormatting sqref="F338">
    <cfRule type="expression" dxfId="499" priority="598">
      <formula>$K338&lt;&gt;""</formula>
    </cfRule>
  </conditionalFormatting>
  <conditionalFormatting sqref="C338">
    <cfRule type="expression" dxfId="498" priority="597">
      <formula>$G338&lt;&gt;"-"</formula>
    </cfRule>
  </conditionalFormatting>
  <conditionalFormatting sqref="D338">
    <cfRule type="expression" dxfId="497" priority="596">
      <formula>$H338&lt;&gt;"-"</formula>
    </cfRule>
  </conditionalFormatting>
  <conditionalFormatting sqref="E338">
    <cfRule type="expression" dxfId="496" priority="595">
      <formula>$I338&lt;&gt;"-"</formula>
    </cfRule>
  </conditionalFormatting>
  <conditionalFormatting sqref="B339">
    <cfRule type="expression" dxfId="495" priority="592">
      <formula>AD339&lt;&gt;""</formula>
    </cfRule>
  </conditionalFormatting>
  <conditionalFormatting sqref="Z339">
    <cfRule type="cellIs" dxfId="494" priority="590" operator="greaterThan">
      <formula>0</formula>
    </cfRule>
    <cfRule type="cellIs" dxfId="493" priority="591" operator="lessThan">
      <formula>0</formula>
    </cfRule>
  </conditionalFormatting>
  <conditionalFormatting sqref="S339">
    <cfRule type="cellIs" dxfId="492" priority="589" operator="lessThan">
      <formula>0</formula>
    </cfRule>
  </conditionalFormatting>
  <conditionalFormatting sqref="P339">
    <cfRule type="cellIs" dxfId="491" priority="587" operator="equal">
      <formula>AS_DURATION_EFFORT</formula>
    </cfRule>
    <cfRule type="cellIs" dxfId="490" priority="588" operator="equal">
      <formula>AS_DEV_EFFORT</formula>
    </cfRule>
  </conditionalFormatting>
  <conditionalFormatting sqref="F339">
    <cfRule type="expression" dxfId="489" priority="586">
      <formula>$K339&lt;&gt;""</formula>
    </cfRule>
  </conditionalFormatting>
  <conditionalFormatting sqref="C339">
    <cfRule type="expression" dxfId="488" priority="585">
      <formula>$G339&lt;&gt;"-"</formula>
    </cfRule>
  </conditionalFormatting>
  <conditionalFormatting sqref="D339">
    <cfRule type="expression" dxfId="487" priority="584">
      <formula>$H339&lt;&gt;"-"</formula>
    </cfRule>
  </conditionalFormatting>
  <conditionalFormatting sqref="E339">
    <cfRule type="expression" dxfId="486" priority="583">
      <formula>$I339&lt;&gt;"-"</formula>
    </cfRule>
  </conditionalFormatting>
  <conditionalFormatting sqref="B340">
    <cfRule type="expression" dxfId="485" priority="580">
      <formula>AD340&lt;&gt;""</formula>
    </cfRule>
  </conditionalFormatting>
  <conditionalFormatting sqref="Z340">
    <cfRule type="cellIs" dxfId="484" priority="578" operator="greaterThan">
      <formula>0</formula>
    </cfRule>
    <cfRule type="cellIs" dxfId="483" priority="579" operator="lessThan">
      <formula>0</formula>
    </cfRule>
  </conditionalFormatting>
  <conditionalFormatting sqref="S340">
    <cfRule type="cellIs" dxfId="482" priority="577" operator="lessThan">
      <formula>0</formula>
    </cfRule>
  </conditionalFormatting>
  <conditionalFormatting sqref="P340">
    <cfRule type="cellIs" dxfId="481" priority="575" operator="equal">
      <formula>AS_DURATION_EFFORT</formula>
    </cfRule>
    <cfRule type="cellIs" dxfId="480" priority="576" operator="equal">
      <formula>AS_DEV_EFFORT</formula>
    </cfRule>
  </conditionalFormatting>
  <conditionalFormatting sqref="F340">
    <cfRule type="expression" dxfId="479" priority="574">
      <formula>$K340&lt;&gt;""</formula>
    </cfRule>
  </conditionalFormatting>
  <conditionalFormatting sqref="C340">
    <cfRule type="expression" dxfId="478" priority="573">
      <formula>$G340&lt;&gt;"-"</formula>
    </cfRule>
  </conditionalFormatting>
  <conditionalFormatting sqref="D340">
    <cfRule type="expression" dxfId="477" priority="572">
      <formula>$H340&lt;&gt;"-"</formula>
    </cfRule>
  </conditionalFormatting>
  <conditionalFormatting sqref="E340">
    <cfRule type="expression" dxfId="476" priority="571">
      <formula>$I340&lt;&gt;"-"</formula>
    </cfRule>
  </conditionalFormatting>
  <conditionalFormatting sqref="B341">
    <cfRule type="expression" dxfId="475" priority="568">
      <formula>AD341&lt;&gt;""</formula>
    </cfRule>
  </conditionalFormatting>
  <conditionalFormatting sqref="Z341">
    <cfRule type="cellIs" dxfId="474" priority="566" operator="greaterThan">
      <formula>0</formula>
    </cfRule>
    <cfRule type="cellIs" dxfId="473" priority="567" operator="lessThan">
      <formula>0</formula>
    </cfRule>
  </conditionalFormatting>
  <conditionalFormatting sqref="S341">
    <cfRule type="cellIs" dxfId="472" priority="565" operator="lessThan">
      <formula>0</formula>
    </cfRule>
  </conditionalFormatting>
  <conditionalFormatting sqref="P341">
    <cfRule type="cellIs" dxfId="471" priority="563" operator="equal">
      <formula>AS_DURATION_EFFORT</formula>
    </cfRule>
    <cfRule type="cellIs" dxfId="470" priority="564" operator="equal">
      <formula>AS_DEV_EFFORT</formula>
    </cfRule>
  </conditionalFormatting>
  <conditionalFormatting sqref="F341">
    <cfRule type="expression" dxfId="469" priority="562">
      <formula>$K341&lt;&gt;""</formula>
    </cfRule>
  </conditionalFormatting>
  <conditionalFormatting sqref="C341">
    <cfRule type="expression" dxfId="468" priority="561">
      <formula>$G341&lt;&gt;"-"</formula>
    </cfRule>
  </conditionalFormatting>
  <conditionalFormatting sqref="D341">
    <cfRule type="expression" dxfId="467" priority="560">
      <formula>$H341&lt;&gt;"-"</formula>
    </cfRule>
  </conditionalFormatting>
  <conditionalFormatting sqref="E341">
    <cfRule type="expression" dxfId="466" priority="559">
      <formula>$I341&lt;&gt;"-"</formula>
    </cfRule>
  </conditionalFormatting>
  <conditionalFormatting sqref="B342">
    <cfRule type="expression" dxfId="465" priority="556">
      <formula>AD342&lt;&gt;""</formula>
    </cfRule>
  </conditionalFormatting>
  <conditionalFormatting sqref="Z342">
    <cfRule type="cellIs" dxfId="464" priority="554" operator="greaterThan">
      <formula>0</formula>
    </cfRule>
    <cfRule type="cellIs" dxfId="463" priority="555" operator="lessThan">
      <formula>0</formula>
    </cfRule>
  </conditionalFormatting>
  <conditionalFormatting sqref="S342">
    <cfRule type="cellIs" dxfId="462" priority="553" operator="lessThan">
      <formula>0</formula>
    </cfRule>
  </conditionalFormatting>
  <conditionalFormatting sqref="P342">
    <cfRule type="cellIs" dxfId="461" priority="551" operator="equal">
      <formula>AS_DURATION_EFFORT</formula>
    </cfRule>
    <cfRule type="cellIs" dxfId="460" priority="552" operator="equal">
      <formula>AS_DEV_EFFORT</formula>
    </cfRule>
  </conditionalFormatting>
  <conditionalFormatting sqref="F342">
    <cfRule type="expression" dxfId="459" priority="550">
      <formula>$K342&lt;&gt;""</formula>
    </cfRule>
  </conditionalFormatting>
  <conditionalFormatting sqref="C342">
    <cfRule type="expression" dxfId="458" priority="549">
      <formula>$G342&lt;&gt;"-"</formula>
    </cfRule>
  </conditionalFormatting>
  <conditionalFormatting sqref="D342">
    <cfRule type="expression" dxfId="457" priority="548">
      <formula>$H342&lt;&gt;"-"</formula>
    </cfRule>
  </conditionalFormatting>
  <conditionalFormatting sqref="E342">
    <cfRule type="expression" dxfId="456" priority="547">
      <formula>$I342&lt;&gt;"-"</formula>
    </cfRule>
  </conditionalFormatting>
  <conditionalFormatting sqref="B343">
    <cfRule type="expression" dxfId="455" priority="544">
      <formula>AD343&lt;&gt;""</formula>
    </cfRule>
  </conditionalFormatting>
  <conditionalFormatting sqref="Z343">
    <cfRule type="cellIs" dxfId="454" priority="542" operator="greaterThan">
      <formula>0</formula>
    </cfRule>
    <cfRule type="cellIs" dxfId="453" priority="543" operator="lessThan">
      <formula>0</formula>
    </cfRule>
  </conditionalFormatting>
  <conditionalFormatting sqref="S343">
    <cfRule type="cellIs" dxfId="452" priority="541" operator="lessThan">
      <formula>0</formula>
    </cfRule>
  </conditionalFormatting>
  <conditionalFormatting sqref="P343">
    <cfRule type="cellIs" dxfId="451" priority="539" operator="equal">
      <formula>AS_DURATION_EFFORT</formula>
    </cfRule>
    <cfRule type="cellIs" dxfId="450" priority="540" operator="equal">
      <formula>AS_DEV_EFFORT</formula>
    </cfRule>
  </conditionalFormatting>
  <conditionalFormatting sqref="F343">
    <cfRule type="expression" dxfId="449" priority="538">
      <formula>$K343&lt;&gt;""</formula>
    </cfRule>
  </conditionalFormatting>
  <conditionalFormatting sqref="C343">
    <cfRule type="expression" dxfId="448" priority="537">
      <formula>$G343&lt;&gt;"-"</formula>
    </cfRule>
  </conditionalFormatting>
  <conditionalFormatting sqref="D343">
    <cfRule type="expression" dxfId="447" priority="536">
      <formula>$H343&lt;&gt;"-"</formula>
    </cfRule>
  </conditionalFormatting>
  <conditionalFormatting sqref="E343">
    <cfRule type="expression" dxfId="446" priority="535">
      <formula>$I343&lt;&gt;"-"</formula>
    </cfRule>
  </conditionalFormatting>
  <conditionalFormatting sqref="B344">
    <cfRule type="expression" dxfId="445" priority="532">
      <formula>AD344&lt;&gt;""</formula>
    </cfRule>
  </conditionalFormatting>
  <conditionalFormatting sqref="Z344">
    <cfRule type="cellIs" dxfId="444" priority="530" operator="greaterThan">
      <formula>0</formula>
    </cfRule>
    <cfRule type="cellIs" dxfId="443" priority="531" operator="lessThan">
      <formula>0</formula>
    </cfRule>
  </conditionalFormatting>
  <conditionalFormatting sqref="S344">
    <cfRule type="cellIs" dxfId="442" priority="529" operator="lessThan">
      <formula>0</formula>
    </cfRule>
  </conditionalFormatting>
  <conditionalFormatting sqref="P344">
    <cfRule type="cellIs" dxfId="441" priority="527" operator="equal">
      <formula>AS_DURATION_EFFORT</formula>
    </cfRule>
    <cfRule type="cellIs" dxfId="440" priority="528" operator="equal">
      <formula>AS_DEV_EFFORT</formula>
    </cfRule>
  </conditionalFormatting>
  <conditionalFormatting sqref="F344">
    <cfRule type="expression" dxfId="439" priority="526">
      <formula>$K344&lt;&gt;""</formula>
    </cfRule>
  </conditionalFormatting>
  <conditionalFormatting sqref="C344">
    <cfRule type="expression" dxfId="438" priority="525">
      <formula>$G344&lt;&gt;"-"</formula>
    </cfRule>
  </conditionalFormatting>
  <conditionalFormatting sqref="D344">
    <cfRule type="expression" dxfId="437" priority="524">
      <formula>$H344&lt;&gt;"-"</formula>
    </cfRule>
  </conditionalFormatting>
  <conditionalFormatting sqref="E344">
    <cfRule type="expression" dxfId="436" priority="523">
      <formula>$I344&lt;&gt;"-"</formula>
    </cfRule>
  </conditionalFormatting>
  <conditionalFormatting sqref="B348">
    <cfRule type="expression" dxfId="435" priority="519">
      <formula>AD348&lt;&gt;""</formula>
    </cfRule>
  </conditionalFormatting>
  <conditionalFormatting sqref="Z348">
    <cfRule type="cellIs" dxfId="434" priority="517" operator="greaterThan">
      <formula>0</formula>
    </cfRule>
    <cfRule type="cellIs" dxfId="433" priority="518" operator="lessThan">
      <formula>0</formula>
    </cfRule>
  </conditionalFormatting>
  <conditionalFormatting sqref="S348">
    <cfRule type="cellIs" dxfId="432" priority="516" operator="lessThan">
      <formula>0</formula>
    </cfRule>
  </conditionalFormatting>
  <conditionalFormatting sqref="T346:T347">
    <cfRule type="expression" dxfId="431" priority="520">
      <formula>#REF!="Yes"</formula>
    </cfRule>
  </conditionalFormatting>
  <conditionalFormatting sqref="P348">
    <cfRule type="cellIs" dxfId="430" priority="514" operator="equal">
      <formula>AS_DURATION_EFFORT</formula>
    </cfRule>
    <cfRule type="cellIs" dxfId="429" priority="515" operator="equal">
      <formula>AS_DEV_EFFORT</formula>
    </cfRule>
  </conditionalFormatting>
  <conditionalFormatting sqref="B346:B347">
    <cfRule type="expression" dxfId="428" priority="513">
      <formula>AD346&lt;&gt;""</formula>
    </cfRule>
  </conditionalFormatting>
  <conditionalFormatting sqref="F348">
    <cfRule type="expression" dxfId="427" priority="512">
      <formula>$K348&lt;&gt;""</formula>
    </cfRule>
  </conditionalFormatting>
  <conditionalFormatting sqref="C348">
    <cfRule type="expression" dxfId="426" priority="511">
      <formula>$G348&lt;&gt;"-"</formula>
    </cfRule>
  </conditionalFormatting>
  <conditionalFormatting sqref="D348">
    <cfRule type="expression" dxfId="425" priority="510">
      <formula>$H348&lt;&gt;"-"</formula>
    </cfRule>
  </conditionalFormatting>
  <conditionalFormatting sqref="E348">
    <cfRule type="expression" dxfId="424" priority="509">
      <formula>$I348&lt;&gt;"-"</formula>
    </cfRule>
  </conditionalFormatting>
  <conditionalFormatting sqref="B349">
    <cfRule type="expression" dxfId="423" priority="506">
      <formula>AD349&lt;&gt;""</formula>
    </cfRule>
  </conditionalFormatting>
  <conditionalFormatting sqref="Z349">
    <cfRule type="cellIs" dxfId="422" priority="504" operator="greaterThan">
      <formula>0</formula>
    </cfRule>
    <cfRule type="cellIs" dxfId="421" priority="505" operator="lessThan">
      <formula>0</formula>
    </cfRule>
  </conditionalFormatting>
  <conditionalFormatting sqref="S349">
    <cfRule type="cellIs" dxfId="420" priority="503" operator="lessThan">
      <formula>0</formula>
    </cfRule>
  </conditionalFormatting>
  <conditionalFormatting sqref="P349">
    <cfRule type="cellIs" dxfId="419" priority="501" operator="equal">
      <formula>AS_DURATION_EFFORT</formula>
    </cfRule>
    <cfRule type="cellIs" dxfId="418" priority="502" operator="equal">
      <formula>AS_DEV_EFFORT</formula>
    </cfRule>
  </conditionalFormatting>
  <conditionalFormatting sqref="F349">
    <cfRule type="expression" dxfId="417" priority="500">
      <formula>$K349&lt;&gt;""</formula>
    </cfRule>
  </conditionalFormatting>
  <conditionalFormatting sqref="C349">
    <cfRule type="expression" dxfId="416" priority="499">
      <formula>$G349&lt;&gt;"-"</formula>
    </cfRule>
  </conditionalFormatting>
  <conditionalFormatting sqref="D349">
    <cfRule type="expression" dxfId="415" priority="498">
      <formula>$H349&lt;&gt;"-"</formula>
    </cfRule>
  </conditionalFormatting>
  <conditionalFormatting sqref="E349">
    <cfRule type="expression" dxfId="414" priority="497">
      <formula>$I349&lt;&gt;"-"</formula>
    </cfRule>
  </conditionalFormatting>
  <conditionalFormatting sqref="B350">
    <cfRule type="expression" dxfId="413" priority="494">
      <formula>AD350&lt;&gt;""</formula>
    </cfRule>
  </conditionalFormatting>
  <conditionalFormatting sqref="Z350">
    <cfRule type="cellIs" dxfId="412" priority="492" operator="greaterThan">
      <formula>0</formula>
    </cfRule>
    <cfRule type="cellIs" dxfId="411" priority="493" operator="lessThan">
      <formula>0</formula>
    </cfRule>
  </conditionalFormatting>
  <conditionalFormatting sqref="S350">
    <cfRule type="cellIs" dxfId="410" priority="491" operator="lessThan">
      <formula>0</formula>
    </cfRule>
  </conditionalFormatting>
  <conditionalFormatting sqref="P350">
    <cfRule type="cellIs" dxfId="409" priority="489" operator="equal">
      <formula>AS_DURATION_EFFORT</formula>
    </cfRule>
    <cfRule type="cellIs" dxfId="408" priority="490" operator="equal">
      <formula>AS_DEV_EFFORT</formula>
    </cfRule>
  </conditionalFormatting>
  <conditionalFormatting sqref="F350">
    <cfRule type="expression" dxfId="407" priority="488">
      <formula>$K350&lt;&gt;""</formula>
    </cfRule>
  </conditionalFormatting>
  <conditionalFormatting sqref="C350">
    <cfRule type="expression" dxfId="406" priority="487">
      <formula>$G350&lt;&gt;"-"</formula>
    </cfRule>
  </conditionalFormatting>
  <conditionalFormatting sqref="D350">
    <cfRule type="expression" dxfId="405" priority="486">
      <formula>$H350&lt;&gt;"-"</formula>
    </cfRule>
  </conditionalFormatting>
  <conditionalFormatting sqref="E350">
    <cfRule type="expression" dxfId="404" priority="485">
      <formula>$I350&lt;&gt;"-"</formula>
    </cfRule>
  </conditionalFormatting>
  <conditionalFormatting sqref="B351">
    <cfRule type="expression" dxfId="403" priority="482">
      <formula>AD351&lt;&gt;""</formula>
    </cfRule>
  </conditionalFormatting>
  <conditionalFormatting sqref="Z351">
    <cfRule type="cellIs" dxfId="402" priority="480" operator="greaterThan">
      <formula>0</formula>
    </cfRule>
    <cfRule type="cellIs" dxfId="401" priority="481" operator="lessThan">
      <formula>0</formula>
    </cfRule>
  </conditionalFormatting>
  <conditionalFormatting sqref="S351">
    <cfRule type="cellIs" dxfId="400" priority="479" operator="lessThan">
      <formula>0</formula>
    </cfRule>
  </conditionalFormatting>
  <conditionalFormatting sqref="P351">
    <cfRule type="cellIs" dxfId="399" priority="477" operator="equal">
      <formula>AS_DURATION_EFFORT</formula>
    </cfRule>
    <cfRule type="cellIs" dxfId="398" priority="478" operator="equal">
      <formula>AS_DEV_EFFORT</formula>
    </cfRule>
  </conditionalFormatting>
  <conditionalFormatting sqref="F351">
    <cfRule type="expression" dxfId="397" priority="476">
      <formula>$K351&lt;&gt;""</formula>
    </cfRule>
  </conditionalFormatting>
  <conditionalFormatting sqref="C351">
    <cfRule type="expression" dxfId="396" priority="475">
      <formula>$G351&lt;&gt;"-"</formula>
    </cfRule>
  </conditionalFormatting>
  <conditionalFormatting sqref="D351">
    <cfRule type="expression" dxfId="395" priority="474">
      <formula>$H351&lt;&gt;"-"</formula>
    </cfRule>
  </conditionalFormatting>
  <conditionalFormatting sqref="E351">
    <cfRule type="expression" dxfId="394" priority="473">
      <formula>$I351&lt;&gt;"-"</formula>
    </cfRule>
  </conditionalFormatting>
  <conditionalFormatting sqref="B352">
    <cfRule type="expression" dxfId="393" priority="470">
      <formula>AD352&lt;&gt;""</formula>
    </cfRule>
  </conditionalFormatting>
  <conditionalFormatting sqref="Z352">
    <cfRule type="cellIs" dxfId="392" priority="468" operator="greaterThan">
      <formula>0</formula>
    </cfRule>
    <cfRule type="cellIs" dxfId="391" priority="469" operator="lessThan">
      <formula>0</formula>
    </cfRule>
  </conditionalFormatting>
  <conditionalFormatting sqref="S352">
    <cfRule type="cellIs" dxfId="390" priority="467" operator="lessThan">
      <formula>0</formula>
    </cfRule>
  </conditionalFormatting>
  <conditionalFormatting sqref="P352">
    <cfRule type="cellIs" dxfId="389" priority="465" operator="equal">
      <formula>AS_DURATION_EFFORT</formula>
    </cfRule>
    <cfRule type="cellIs" dxfId="388" priority="466" operator="equal">
      <formula>AS_DEV_EFFORT</formula>
    </cfRule>
  </conditionalFormatting>
  <conditionalFormatting sqref="F352">
    <cfRule type="expression" dxfId="387" priority="464">
      <formula>$K352&lt;&gt;""</formula>
    </cfRule>
  </conditionalFormatting>
  <conditionalFormatting sqref="C352">
    <cfRule type="expression" dxfId="386" priority="463">
      <formula>$G352&lt;&gt;"-"</formula>
    </cfRule>
  </conditionalFormatting>
  <conditionalFormatting sqref="D352">
    <cfRule type="expression" dxfId="385" priority="462">
      <formula>$H352&lt;&gt;"-"</formula>
    </cfRule>
  </conditionalFormatting>
  <conditionalFormatting sqref="E352">
    <cfRule type="expression" dxfId="384" priority="461">
      <formula>$I352&lt;&gt;"-"</formula>
    </cfRule>
  </conditionalFormatting>
  <conditionalFormatting sqref="B353">
    <cfRule type="expression" dxfId="383" priority="458">
      <formula>AD353&lt;&gt;""</formula>
    </cfRule>
  </conditionalFormatting>
  <conditionalFormatting sqref="Z353">
    <cfRule type="cellIs" dxfId="382" priority="456" operator="greaterThan">
      <formula>0</formula>
    </cfRule>
    <cfRule type="cellIs" dxfId="381" priority="457" operator="lessThan">
      <formula>0</formula>
    </cfRule>
  </conditionalFormatting>
  <conditionalFormatting sqref="S353">
    <cfRule type="cellIs" dxfId="380" priority="455" operator="lessThan">
      <formula>0</formula>
    </cfRule>
  </conditionalFormatting>
  <conditionalFormatting sqref="P353">
    <cfRule type="cellIs" dxfId="379" priority="453" operator="equal">
      <formula>AS_DURATION_EFFORT</formula>
    </cfRule>
    <cfRule type="cellIs" dxfId="378" priority="454" operator="equal">
      <formula>AS_DEV_EFFORT</formula>
    </cfRule>
  </conditionalFormatting>
  <conditionalFormatting sqref="F353">
    <cfRule type="expression" dxfId="377" priority="452">
      <formula>$K353&lt;&gt;""</formula>
    </cfRule>
  </conditionalFormatting>
  <conditionalFormatting sqref="C353">
    <cfRule type="expression" dxfId="376" priority="451">
      <formula>$G353&lt;&gt;"-"</formula>
    </cfRule>
  </conditionalFormatting>
  <conditionalFormatting sqref="D353">
    <cfRule type="expression" dxfId="375" priority="450">
      <formula>$H353&lt;&gt;"-"</formula>
    </cfRule>
  </conditionalFormatting>
  <conditionalFormatting sqref="E353">
    <cfRule type="expression" dxfId="374" priority="449">
      <formula>$I353&lt;&gt;"-"</formula>
    </cfRule>
  </conditionalFormatting>
  <conditionalFormatting sqref="B357">
    <cfRule type="expression" dxfId="373" priority="445">
      <formula>AD357&lt;&gt;""</formula>
    </cfRule>
  </conditionalFormatting>
  <conditionalFormatting sqref="Z357">
    <cfRule type="cellIs" dxfId="372" priority="443" operator="greaterThan">
      <formula>0</formula>
    </cfRule>
    <cfRule type="cellIs" dxfId="371" priority="444" operator="lessThan">
      <formula>0</formula>
    </cfRule>
  </conditionalFormatting>
  <conditionalFormatting sqref="S357">
    <cfRule type="cellIs" dxfId="370" priority="442" operator="lessThan">
      <formula>0</formula>
    </cfRule>
  </conditionalFormatting>
  <conditionalFormatting sqref="T355:T356">
    <cfRule type="expression" dxfId="369" priority="446">
      <formula>#REF!="Yes"</formula>
    </cfRule>
  </conditionalFormatting>
  <conditionalFormatting sqref="P357">
    <cfRule type="cellIs" dxfId="368" priority="440" operator="equal">
      <formula>AS_DURATION_EFFORT</formula>
    </cfRule>
    <cfRule type="cellIs" dxfId="367" priority="441" operator="equal">
      <formula>AS_DEV_EFFORT</formula>
    </cfRule>
  </conditionalFormatting>
  <conditionalFormatting sqref="B355:B356">
    <cfRule type="expression" dxfId="366" priority="439">
      <formula>AD355&lt;&gt;""</formula>
    </cfRule>
  </conditionalFormatting>
  <conditionalFormatting sqref="F357">
    <cfRule type="expression" dxfId="365" priority="438">
      <formula>$K357&lt;&gt;""</formula>
    </cfRule>
  </conditionalFormatting>
  <conditionalFormatting sqref="C357">
    <cfRule type="expression" dxfId="364" priority="437">
      <formula>$G357&lt;&gt;"-"</formula>
    </cfRule>
  </conditionalFormatting>
  <conditionalFormatting sqref="D357">
    <cfRule type="expression" dxfId="363" priority="436">
      <formula>$H357&lt;&gt;"-"</formula>
    </cfRule>
  </conditionalFormatting>
  <conditionalFormatting sqref="E357">
    <cfRule type="expression" dxfId="362" priority="435">
      <formula>$I357&lt;&gt;"-"</formula>
    </cfRule>
  </conditionalFormatting>
  <conditionalFormatting sqref="B358">
    <cfRule type="expression" dxfId="361" priority="432">
      <formula>AD358&lt;&gt;""</formula>
    </cfRule>
  </conditionalFormatting>
  <conditionalFormatting sqref="Z358">
    <cfRule type="cellIs" dxfId="360" priority="430" operator="greaterThan">
      <formula>0</formula>
    </cfRule>
    <cfRule type="cellIs" dxfId="359" priority="431" operator="lessThan">
      <formula>0</formula>
    </cfRule>
  </conditionalFormatting>
  <conditionalFormatting sqref="S358">
    <cfRule type="cellIs" dxfId="358" priority="429" operator="lessThan">
      <formula>0</formula>
    </cfRule>
  </conditionalFormatting>
  <conditionalFormatting sqref="P358">
    <cfRule type="cellIs" dxfId="357" priority="427" operator="equal">
      <formula>AS_DURATION_EFFORT</formula>
    </cfRule>
    <cfRule type="cellIs" dxfId="356" priority="428" operator="equal">
      <formula>AS_DEV_EFFORT</formula>
    </cfRule>
  </conditionalFormatting>
  <conditionalFormatting sqref="F358">
    <cfRule type="expression" dxfId="355" priority="426">
      <formula>$K358&lt;&gt;""</formula>
    </cfRule>
  </conditionalFormatting>
  <conditionalFormatting sqref="C358">
    <cfRule type="expression" dxfId="354" priority="425">
      <formula>$G358&lt;&gt;"-"</formula>
    </cfRule>
  </conditionalFormatting>
  <conditionalFormatting sqref="D358">
    <cfRule type="expression" dxfId="353" priority="424">
      <formula>$H358&lt;&gt;"-"</formula>
    </cfRule>
  </conditionalFormatting>
  <conditionalFormatting sqref="E358">
    <cfRule type="expression" dxfId="352" priority="423">
      <formula>$I358&lt;&gt;"-"</formula>
    </cfRule>
  </conditionalFormatting>
  <conditionalFormatting sqref="B359">
    <cfRule type="expression" dxfId="351" priority="420">
      <formula>AD359&lt;&gt;""</formula>
    </cfRule>
  </conditionalFormatting>
  <conditionalFormatting sqref="Z359">
    <cfRule type="cellIs" dxfId="350" priority="418" operator="greaterThan">
      <formula>0</formula>
    </cfRule>
    <cfRule type="cellIs" dxfId="349" priority="419" operator="lessThan">
      <formula>0</formula>
    </cfRule>
  </conditionalFormatting>
  <conditionalFormatting sqref="S359">
    <cfRule type="cellIs" dxfId="348" priority="417" operator="lessThan">
      <formula>0</formula>
    </cfRule>
  </conditionalFormatting>
  <conditionalFormatting sqref="P359">
    <cfRule type="cellIs" dxfId="347" priority="415" operator="equal">
      <formula>AS_DURATION_EFFORT</formula>
    </cfRule>
    <cfRule type="cellIs" dxfId="346" priority="416" operator="equal">
      <formula>AS_DEV_EFFORT</formula>
    </cfRule>
  </conditionalFormatting>
  <conditionalFormatting sqref="F359">
    <cfRule type="expression" dxfId="345" priority="414">
      <formula>$K359&lt;&gt;""</formula>
    </cfRule>
  </conditionalFormatting>
  <conditionalFormatting sqref="C359">
    <cfRule type="expression" dxfId="344" priority="413">
      <formula>$G359&lt;&gt;"-"</formula>
    </cfRule>
  </conditionalFormatting>
  <conditionalFormatting sqref="D359">
    <cfRule type="expression" dxfId="343" priority="412">
      <formula>$H359&lt;&gt;"-"</formula>
    </cfRule>
  </conditionalFormatting>
  <conditionalFormatting sqref="E359">
    <cfRule type="expression" dxfId="342" priority="411">
      <formula>$I359&lt;&gt;"-"</formula>
    </cfRule>
  </conditionalFormatting>
  <conditionalFormatting sqref="B360">
    <cfRule type="expression" dxfId="341" priority="408">
      <formula>AD360&lt;&gt;""</formula>
    </cfRule>
  </conditionalFormatting>
  <conditionalFormatting sqref="Z360">
    <cfRule type="cellIs" dxfId="340" priority="406" operator="greaterThan">
      <formula>0</formula>
    </cfRule>
    <cfRule type="cellIs" dxfId="339" priority="407" operator="lessThan">
      <formula>0</formula>
    </cfRule>
  </conditionalFormatting>
  <conditionalFormatting sqref="S360">
    <cfRule type="cellIs" dxfId="338" priority="405" operator="lessThan">
      <formula>0</formula>
    </cfRule>
  </conditionalFormatting>
  <conditionalFormatting sqref="P360">
    <cfRule type="cellIs" dxfId="337" priority="403" operator="equal">
      <formula>AS_DURATION_EFFORT</formula>
    </cfRule>
    <cfRule type="cellIs" dxfId="336" priority="404" operator="equal">
      <formula>AS_DEV_EFFORT</formula>
    </cfRule>
  </conditionalFormatting>
  <conditionalFormatting sqref="F360">
    <cfRule type="expression" dxfId="335" priority="402">
      <formula>$K360&lt;&gt;""</formula>
    </cfRule>
  </conditionalFormatting>
  <conditionalFormatting sqref="C360">
    <cfRule type="expression" dxfId="334" priority="401">
      <formula>$G360&lt;&gt;"-"</formula>
    </cfRule>
  </conditionalFormatting>
  <conditionalFormatting sqref="D360">
    <cfRule type="expression" dxfId="333" priority="400">
      <formula>$H360&lt;&gt;"-"</formula>
    </cfRule>
  </conditionalFormatting>
  <conditionalFormatting sqref="E360">
    <cfRule type="expression" dxfId="332" priority="399">
      <formula>$I360&lt;&gt;"-"</formula>
    </cfRule>
  </conditionalFormatting>
  <conditionalFormatting sqref="B361">
    <cfRule type="expression" dxfId="331" priority="396">
      <formula>AD361&lt;&gt;""</formula>
    </cfRule>
  </conditionalFormatting>
  <conditionalFormatting sqref="Z361">
    <cfRule type="cellIs" dxfId="330" priority="394" operator="greaterThan">
      <formula>0</formula>
    </cfRule>
    <cfRule type="cellIs" dxfId="329" priority="395" operator="lessThan">
      <formula>0</formula>
    </cfRule>
  </conditionalFormatting>
  <conditionalFormatting sqref="S361">
    <cfRule type="cellIs" dxfId="328" priority="393" operator="lessThan">
      <formula>0</formula>
    </cfRule>
  </conditionalFormatting>
  <conditionalFormatting sqref="P361">
    <cfRule type="cellIs" dxfId="327" priority="391" operator="equal">
      <formula>AS_DURATION_EFFORT</formula>
    </cfRule>
    <cfRule type="cellIs" dxfId="326" priority="392" operator="equal">
      <formula>AS_DEV_EFFORT</formula>
    </cfRule>
  </conditionalFormatting>
  <conditionalFormatting sqref="F361">
    <cfRule type="expression" dxfId="325" priority="390">
      <formula>$K361&lt;&gt;""</formula>
    </cfRule>
  </conditionalFormatting>
  <conditionalFormatting sqref="C361">
    <cfRule type="expression" dxfId="324" priority="389">
      <formula>$G361&lt;&gt;"-"</formula>
    </cfRule>
  </conditionalFormatting>
  <conditionalFormatting sqref="D361">
    <cfRule type="expression" dxfId="323" priority="388">
      <formula>$H361&lt;&gt;"-"</formula>
    </cfRule>
  </conditionalFormatting>
  <conditionalFormatting sqref="E361">
    <cfRule type="expression" dxfId="322" priority="387">
      <formula>$I361&lt;&gt;"-"</formula>
    </cfRule>
  </conditionalFormatting>
  <conditionalFormatting sqref="B365">
    <cfRule type="expression" dxfId="321" priority="383">
      <formula>AD365&lt;&gt;""</formula>
    </cfRule>
  </conditionalFormatting>
  <conditionalFormatting sqref="Z365">
    <cfRule type="cellIs" dxfId="320" priority="381" operator="greaterThan">
      <formula>0</formula>
    </cfRule>
    <cfRule type="cellIs" dxfId="319" priority="382" operator="lessThan">
      <formula>0</formula>
    </cfRule>
  </conditionalFormatting>
  <conditionalFormatting sqref="S365">
    <cfRule type="cellIs" dxfId="318" priority="380" operator="lessThan">
      <formula>0</formula>
    </cfRule>
  </conditionalFormatting>
  <conditionalFormatting sqref="T363:T364">
    <cfRule type="expression" dxfId="317" priority="384">
      <formula>#REF!="Yes"</formula>
    </cfRule>
  </conditionalFormatting>
  <conditionalFormatting sqref="P365">
    <cfRule type="cellIs" dxfId="316" priority="378" operator="equal">
      <formula>AS_DURATION_EFFORT</formula>
    </cfRule>
    <cfRule type="cellIs" dxfId="315" priority="379" operator="equal">
      <formula>AS_DEV_EFFORT</formula>
    </cfRule>
  </conditionalFormatting>
  <conditionalFormatting sqref="B363:B364">
    <cfRule type="expression" dxfId="314" priority="377">
      <formula>AD363&lt;&gt;""</formula>
    </cfRule>
  </conditionalFormatting>
  <conditionalFormatting sqref="F365">
    <cfRule type="expression" dxfId="313" priority="376">
      <formula>$K365&lt;&gt;""</formula>
    </cfRule>
  </conditionalFormatting>
  <conditionalFormatting sqref="C365">
    <cfRule type="expression" dxfId="312" priority="375">
      <formula>$G365&lt;&gt;"-"</formula>
    </cfRule>
  </conditionalFormatting>
  <conditionalFormatting sqref="D365">
    <cfRule type="expression" dxfId="311" priority="374">
      <formula>$H365&lt;&gt;"-"</formula>
    </cfRule>
  </conditionalFormatting>
  <conditionalFormatting sqref="E365">
    <cfRule type="expression" dxfId="310" priority="373">
      <formula>$I365&lt;&gt;"-"</formula>
    </cfRule>
  </conditionalFormatting>
  <conditionalFormatting sqref="B366">
    <cfRule type="expression" dxfId="309" priority="370">
      <formula>AD366&lt;&gt;""</formula>
    </cfRule>
  </conditionalFormatting>
  <conditionalFormatting sqref="Z366">
    <cfRule type="cellIs" dxfId="308" priority="368" operator="greaterThan">
      <formula>0</formula>
    </cfRule>
    <cfRule type="cellIs" dxfId="307" priority="369" operator="lessThan">
      <formula>0</formula>
    </cfRule>
  </conditionalFormatting>
  <conditionalFormatting sqref="S366">
    <cfRule type="cellIs" dxfId="306" priority="367" operator="lessThan">
      <formula>0</formula>
    </cfRule>
  </conditionalFormatting>
  <conditionalFormatting sqref="P366">
    <cfRule type="cellIs" dxfId="305" priority="365" operator="equal">
      <formula>AS_DURATION_EFFORT</formula>
    </cfRule>
    <cfRule type="cellIs" dxfId="304" priority="366" operator="equal">
      <formula>AS_DEV_EFFORT</formula>
    </cfRule>
  </conditionalFormatting>
  <conditionalFormatting sqref="F366">
    <cfRule type="expression" dxfId="303" priority="364">
      <formula>$K366&lt;&gt;""</formula>
    </cfRule>
  </conditionalFormatting>
  <conditionalFormatting sqref="C366">
    <cfRule type="expression" dxfId="302" priority="363">
      <formula>$G366&lt;&gt;"-"</formula>
    </cfRule>
  </conditionalFormatting>
  <conditionalFormatting sqref="D366">
    <cfRule type="expression" dxfId="301" priority="362">
      <formula>$H366&lt;&gt;"-"</formula>
    </cfRule>
  </conditionalFormatting>
  <conditionalFormatting sqref="E366">
    <cfRule type="expression" dxfId="300" priority="361">
      <formula>$I366&lt;&gt;"-"</formula>
    </cfRule>
  </conditionalFormatting>
  <conditionalFormatting sqref="B367">
    <cfRule type="expression" dxfId="299" priority="358">
      <formula>AD367&lt;&gt;""</formula>
    </cfRule>
  </conditionalFormatting>
  <conditionalFormatting sqref="Z367">
    <cfRule type="cellIs" dxfId="298" priority="356" operator="greaterThan">
      <formula>0</formula>
    </cfRule>
    <cfRule type="cellIs" dxfId="297" priority="357" operator="lessThan">
      <formula>0</formula>
    </cfRule>
  </conditionalFormatting>
  <conditionalFormatting sqref="S367">
    <cfRule type="cellIs" dxfId="296" priority="355" operator="lessThan">
      <formula>0</formula>
    </cfRule>
  </conditionalFormatting>
  <conditionalFormatting sqref="P367">
    <cfRule type="cellIs" dxfId="295" priority="353" operator="equal">
      <formula>AS_DURATION_EFFORT</formula>
    </cfRule>
    <cfRule type="cellIs" dxfId="294" priority="354" operator="equal">
      <formula>AS_DEV_EFFORT</formula>
    </cfRule>
  </conditionalFormatting>
  <conditionalFormatting sqref="F367">
    <cfRule type="expression" dxfId="293" priority="352">
      <formula>$K367&lt;&gt;""</formula>
    </cfRule>
  </conditionalFormatting>
  <conditionalFormatting sqref="C367">
    <cfRule type="expression" dxfId="292" priority="351">
      <formula>$G367&lt;&gt;"-"</formula>
    </cfRule>
  </conditionalFormatting>
  <conditionalFormatting sqref="D367">
    <cfRule type="expression" dxfId="291" priority="350">
      <formula>$H367&lt;&gt;"-"</formula>
    </cfRule>
  </conditionalFormatting>
  <conditionalFormatting sqref="E367">
    <cfRule type="expression" dxfId="290" priority="349">
      <formula>$I367&lt;&gt;"-"</formula>
    </cfRule>
  </conditionalFormatting>
  <conditionalFormatting sqref="B368">
    <cfRule type="expression" dxfId="289" priority="346">
      <formula>AD368&lt;&gt;""</formula>
    </cfRule>
  </conditionalFormatting>
  <conditionalFormatting sqref="Z368">
    <cfRule type="cellIs" dxfId="288" priority="344" operator="greaterThan">
      <formula>0</formula>
    </cfRule>
    <cfRule type="cellIs" dxfId="287" priority="345" operator="lessThan">
      <formula>0</formula>
    </cfRule>
  </conditionalFormatting>
  <conditionalFormatting sqref="S368">
    <cfRule type="cellIs" dxfId="286" priority="343" operator="lessThan">
      <formula>0</formula>
    </cfRule>
  </conditionalFormatting>
  <conditionalFormatting sqref="P368">
    <cfRule type="cellIs" dxfId="285" priority="341" operator="equal">
      <formula>AS_DURATION_EFFORT</formula>
    </cfRule>
    <cfRule type="cellIs" dxfId="284" priority="342" operator="equal">
      <formula>AS_DEV_EFFORT</formula>
    </cfRule>
  </conditionalFormatting>
  <conditionalFormatting sqref="F368">
    <cfRule type="expression" dxfId="283" priority="340">
      <formula>$K368&lt;&gt;""</formula>
    </cfRule>
  </conditionalFormatting>
  <conditionalFormatting sqref="C368">
    <cfRule type="expression" dxfId="282" priority="339">
      <formula>$G368&lt;&gt;"-"</formula>
    </cfRule>
  </conditionalFormatting>
  <conditionalFormatting sqref="D368">
    <cfRule type="expression" dxfId="281" priority="338">
      <formula>$H368&lt;&gt;"-"</formula>
    </cfRule>
  </conditionalFormatting>
  <conditionalFormatting sqref="E368">
    <cfRule type="expression" dxfId="280" priority="337">
      <formula>$I368&lt;&gt;"-"</formula>
    </cfRule>
  </conditionalFormatting>
  <conditionalFormatting sqref="B369">
    <cfRule type="expression" dxfId="279" priority="334">
      <formula>AD369&lt;&gt;""</formula>
    </cfRule>
  </conditionalFormatting>
  <conditionalFormatting sqref="Z369">
    <cfRule type="cellIs" dxfId="278" priority="332" operator="greaterThan">
      <formula>0</formula>
    </cfRule>
    <cfRule type="cellIs" dxfId="277" priority="333" operator="lessThan">
      <formula>0</formula>
    </cfRule>
  </conditionalFormatting>
  <conditionalFormatting sqref="S369">
    <cfRule type="cellIs" dxfId="276" priority="331" operator="lessThan">
      <formula>0</formula>
    </cfRule>
  </conditionalFormatting>
  <conditionalFormatting sqref="P369">
    <cfRule type="cellIs" dxfId="275" priority="329" operator="equal">
      <formula>AS_DURATION_EFFORT</formula>
    </cfRule>
    <cfRule type="cellIs" dxfId="274" priority="330" operator="equal">
      <formula>AS_DEV_EFFORT</formula>
    </cfRule>
  </conditionalFormatting>
  <conditionalFormatting sqref="F369">
    <cfRule type="expression" dxfId="273" priority="328">
      <formula>$K369&lt;&gt;""</formula>
    </cfRule>
  </conditionalFormatting>
  <conditionalFormatting sqref="C369">
    <cfRule type="expression" dxfId="272" priority="327">
      <formula>$G369&lt;&gt;"-"</formula>
    </cfRule>
  </conditionalFormatting>
  <conditionalFormatting sqref="D369">
    <cfRule type="expression" dxfId="271" priority="326">
      <formula>$H369&lt;&gt;"-"</formula>
    </cfRule>
  </conditionalFormatting>
  <conditionalFormatting sqref="E369">
    <cfRule type="expression" dxfId="270" priority="325">
      <formula>$I369&lt;&gt;"-"</formula>
    </cfRule>
  </conditionalFormatting>
  <conditionalFormatting sqref="B370">
    <cfRule type="expression" dxfId="269" priority="322">
      <formula>AD370&lt;&gt;""</formula>
    </cfRule>
  </conditionalFormatting>
  <conditionalFormatting sqref="Z370">
    <cfRule type="cellIs" dxfId="268" priority="320" operator="greaterThan">
      <formula>0</formula>
    </cfRule>
    <cfRule type="cellIs" dxfId="267" priority="321" operator="lessThan">
      <formula>0</formula>
    </cfRule>
  </conditionalFormatting>
  <conditionalFormatting sqref="S370">
    <cfRule type="cellIs" dxfId="266" priority="319" operator="lessThan">
      <formula>0</formula>
    </cfRule>
  </conditionalFormatting>
  <conditionalFormatting sqref="P370">
    <cfRule type="cellIs" dxfId="265" priority="317" operator="equal">
      <formula>AS_DURATION_EFFORT</formula>
    </cfRule>
    <cfRule type="cellIs" dxfId="264" priority="318" operator="equal">
      <formula>AS_DEV_EFFORT</formula>
    </cfRule>
  </conditionalFormatting>
  <conditionalFormatting sqref="F370">
    <cfRule type="expression" dxfId="263" priority="316">
      <formula>$K370&lt;&gt;""</formula>
    </cfRule>
  </conditionalFormatting>
  <conditionalFormatting sqref="C370">
    <cfRule type="expression" dxfId="262" priority="315">
      <formula>$G370&lt;&gt;"-"</formula>
    </cfRule>
  </conditionalFormatting>
  <conditionalFormatting sqref="D370">
    <cfRule type="expression" dxfId="261" priority="314">
      <formula>$H370&lt;&gt;"-"</formula>
    </cfRule>
  </conditionalFormatting>
  <conditionalFormatting sqref="E370">
    <cfRule type="expression" dxfId="260" priority="313">
      <formula>$I370&lt;&gt;"-"</formula>
    </cfRule>
  </conditionalFormatting>
  <conditionalFormatting sqref="B371">
    <cfRule type="expression" dxfId="259" priority="310">
      <formula>AD371&lt;&gt;""</formula>
    </cfRule>
  </conditionalFormatting>
  <conditionalFormatting sqref="Z371">
    <cfRule type="cellIs" dxfId="258" priority="308" operator="greaterThan">
      <formula>0</formula>
    </cfRule>
    <cfRule type="cellIs" dxfId="257" priority="309" operator="lessThan">
      <formula>0</formula>
    </cfRule>
  </conditionalFormatting>
  <conditionalFormatting sqref="S371">
    <cfRule type="cellIs" dxfId="256" priority="307" operator="lessThan">
      <formula>0</formula>
    </cfRule>
  </conditionalFormatting>
  <conditionalFormatting sqref="P371">
    <cfRule type="cellIs" dxfId="255" priority="305" operator="equal">
      <formula>AS_DURATION_EFFORT</formula>
    </cfRule>
    <cfRule type="cellIs" dxfId="254" priority="306" operator="equal">
      <formula>AS_DEV_EFFORT</formula>
    </cfRule>
  </conditionalFormatting>
  <conditionalFormatting sqref="F371">
    <cfRule type="expression" dxfId="253" priority="304">
      <formula>$K371&lt;&gt;""</formula>
    </cfRule>
  </conditionalFormatting>
  <conditionalFormatting sqref="C371">
    <cfRule type="expression" dxfId="252" priority="303">
      <formula>$G371&lt;&gt;"-"</formula>
    </cfRule>
  </conditionalFormatting>
  <conditionalFormatting sqref="D371">
    <cfRule type="expression" dxfId="251" priority="302">
      <formula>$H371&lt;&gt;"-"</formula>
    </cfRule>
  </conditionalFormatting>
  <conditionalFormatting sqref="E371">
    <cfRule type="expression" dxfId="250" priority="301">
      <formula>$I371&lt;&gt;"-"</formula>
    </cfRule>
  </conditionalFormatting>
  <conditionalFormatting sqref="B275">
    <cfRule type="expression" dxfId="249" priority="284">
      <formula>AD275&lt;&gt;""</formula>
    </cfRule>
  </conditionalFormatting>
  <conditionalFormatting sqref="Z275">
    <cfRule type="cellIs" dxfId="248" priority="282" operator="greaterThan">
      <formula>0</formula>
    </cfRule>
    <cfRule type="cellIs" dxfId="247" priority="283" operator="lessThan">
      <formula>0</formula>
    </cfRule>
  </conditionalFormatting>
  <conditionalFormatting sqref="S275">
    <cfRule type="cellIs" dxfId="246" priority="281" operator="lessThan">
      <formula>0</formula>
    </cfRule>
  </conditionalFormatting>
  <conditionalFormatting sqref="P275">
    <cfRule type="cellIs" dxfId="245" priority="279" operator="equal">
      <formula>AS_DURATION_EFFORT</formula>
    </cfRule>
    <cfRule type="cellIs" dxfId="244" priority="280" operator="equal">
      <formula>AS_DEV_EFFORT</formula>
    </cfRule>
  </conditionalFormatting>
  <conditionalFormatting sqref="F275">
    <cfRule type="expression" dxfId="243" priority="278">
      <formula>$K275&lt;&gt;""</formula>
    </cfRule>
  </conditionalFormatting>
  <conditionalFormatting sqref="C275">
    <cfRule type="expression" dxfId="242" priority="277">
      <formula>$G275&lt;&gt;"-"</formula>
    </cfRule>
  </conditionalFormatting>
  <conditionalFormatting sqref="D275">
    <cfRule type="expression" dxfId="241" priority="276">
      <formula>$H275&lt;&gt;"-"</formula>
    </cfRule>
  </conditionalFormatting>
  <conditionalFormatting sqref="E275">
    <cfRule type="expression" dxfId="240" priority="275">
      <formula>$I275&lt;&gt;"-"</formula>
    </cfRule>
  </conditionalFormatting>
  <conditionalFormatting sqref="B276">
    <cfRule type="expression" dxfId="239" priority="272">
      <formula>AD276&lt;&gt;""</formula>
    </cfRule>
  </conditionalFormatting>
  <conditionalFormatting sqref="Z276">
    <cfRule type="cellIs" dxfId="238" priority="270" operator="greaterThan">
      <formula>0</formula>
    </cfRule>
    <cfRule type="cellIs" dxfId="237" priority="271" operator="lessThan">
      <formula>0</formula>
    </cfRule>
  </conditionalFormatting>
  <conditionalFormatting sqref="S276">
    <cfRule type="cellIs" dxfId="236" priority="269" operator="lessThan">
      <formula>0</formula>
    </cfRule>
  </conditionalFormatting>
  <conditionalFormatting sqref="P276">
    <cfRule type="cellIs" dxfId="235" priority="267" operator="equal">
      <formula>AS_DURATION_EFFORT</formula>
    </cfRule>
    <cfRule type="cellIs" dxfId="234" priority="268" operator="equal">
      <formula>AS_DEV_EFFORT</formula>
    </cfRule>
  </conditionalFormatting>
  <conditionalFormatting sqref="F276">
    <cfRule type="expression" dxfId="233" priority="266">
      <formula>$K276&lt;&gt;""</formula>
    </cfRule>
  </conditionalFormatting>
  <conditionalFormatting sqref="C276">
    <cfRule type="expression" dxfId="232" priority="265">
      <formula>$G276&lt;&gt;"-"</formula>
    </cfRule>
  </conditionalFormatting>
  <conditionalFormatting sqref="D276">
    <cfRule type="expression" dxfId="231" priority="264">
      <formula>$H276&lt;&gt;"-"</formula>
    </cfRule>
  </conditionalFormatting>
  <conditionalFormatting sqref="E276">
    <cfRule type="expression" dxfId="230" priority="263">
      <formula>$I276&lt;&gt;"-"</formula>
    </cfRule>
  </conditionalFormatting>
  <conditionalFormatting sqref="B277">
    <cfRule type="expression" dxfId="229" priority="260">
      <formula>AD277&lt;&gt;""</formula>
    </cfRule>
  </conditionalFormatting>
  <conditionalFormatting sqref="Z277">
    <cfRule type="cellIs" dxfId="228" priority="258" operator="greaterThan">
      <formula>0</formula>
    </cfRule>
    <cfRule type="cellIs" dxfId="227" priority="259" operator="lessThan">
      <formula>0</formula>
    </cfRule>
  </conditionalFormatting>
  <conditionalFormatting sqref="S277">
    <cfRule type="cellIs" dxfId="226" priority="257" operator="lessThan">
      <formula>0</formula>
    </cfRule>
  </conditionalFormatting>
  <conditionalFormatting sqref="P277">
    <cfRule type="cellIs" dxfId="225" priority="255" operator="equal">
      <formula>AS_DURATION_EFFORT</formula>
    </cfRule>
    <cfRule type="cellIs" dxfId="224" priority="256" operator="equal">
      <formula>AS_DEV_EFFORT</formula>
    </cfRule>
  </conditionalFormatting>
  <conditionalFormatting sqref="F277">
    <cfRule type="expression" dxfId="223" priority="254">
      <formula>$K277&lt;&gt;""</formula>
    </cfRule>
  </conditionalFormatting>
  <conditionalFormatting sqref="C277">
    <cfRule type="expression" dxfId="222" priority="253">
      <formula>$G277&lt;&gt;"-"</formula>
    </cfRule>
  </conditionalFormatting>
  <conditionalFormatting sqref="D277">
    <cfRule type="expression" dxfId="221" priority="252">
      <formula>$H277&lt;&gt;"-"</formula>
    </cfRule>
  </conditionalFormatting>
  <conditionalFormatting sqref="E277">
    <cfRule type="expression" dxfId="220" priority="251">
      <formula>$I277&lt;&gt;"-"</formula>
    </cfRule>
  </conditionalFormatting>
  <conditionalFormatting sqref="B278">
    <cfRule type="expression" dxfId="219" priority="248">
      <formula>AD278&lt;&gt;""</formula>
    </cfRule>
  </conditionalFormatting>
  <conditionalFormatting sqref="Z278">
    <cfRule type="cellIs" dxfId="218" priority="246" operator="greaterThan">
      <formula>0</formula>
    </cfRule>
    <cfRule type="cellIs" dxfId="217" priority="247" operator="lessThan">
      <formula>0</formula>
    </cfRule>
  </conditionalFormatting>
  <conditionalFormatting sqref="S278">
    <cfRule type="cellIs" dxfId="216" priority="245" operator="lessThan">
      <formula>0</formula>
    </cfRule>
  </conditionalFormatting>
  <conditionalFormatting sqref="P278">
    <cfRule type="cellIs" dxfId="215" priority="243" operator="equal">
      <formula>AS_DURATION_EFFORT</formula>
    </cfRule>
    <cfRule type="cellIs" dxfId="214" priority="244" operator="equal">
      <formula>AS_DEV_EFFORT</formula>
    </cfRule>
  </conditionalFormatting>
  <conditionalFormatting sqref="F278">
    <cfRule type="expression" dxfId="213" priority="242">
      <formula>$K278&lt;&gt;""</formula>
    </cfRule>
  </conditionalFormatting>
  <conditionalFormatting sqref="C278">
    <cfRule type="expression" dxfId="212" priority="241">
      <formula>$G278&lt;&gt;"-"</formula>
    </cfRule>
  </conditionalFormatting>
  <conditionalFormatting sqref="D278">
    <cfRule type="expression" dxfId="211" priority="240">
      <formula>$H278&lt;&gt;"-"</formula>
    </cfRule>
  </conditionalFormatting>
  <conditionalFormatting sqref="E278">
    <cfRule type="expression" dxfId="210" priority="239">
      <formula>$I278&lt;&gt;"-"</formula>
    </cfRule>
  </conditionalFormatting>
  <conditionalFormatting sqref="B293">
    <cfRule type="expression" dxfId="209" priority="235">
      <formula>AD293&lt;&gt;""</formula>
    </cfRule>
  </conditionalFormatting>
  <conditionalFormatting sqref="Z293">
    <cfRule type="cellIs" dxfId="208" priority="233" operator="greaterThan">
      <formula>0</formula>
    </cfRule>
    <cfRule type="cellIs" dxfId="207" priority="234" operator="lessThan">
      <formula>0</formula>
    </cfRule>
  </conditionalFormatting>
  <conditionalFormatting sqref="S293">
    <cfRule type="cellIs" dxfId="206" priority="232" operator="lessThan">
      <formula>0</formula>
    </cfRule>
  </conditionalFormatting>
  <conditionalFormatting sqref="T291:T292">
    <cfRule type="expression" dxfId="205" priority="236">
      <formula>#REF!="Yes"</formula>
    </cfRule>
  </conditionalFormatting>
  <conditionalFormatting sqref="P293">
    <cfRule type="cellIs" dxfId="204" priority="230" operator="equal">
      <formula>AS_DURATION_EFFORT</formula>
    </cfRule>
    <cfRule type="cellIs" dxfId="203" priority="231" operator="equal">
      <formula>AS_DEV_EFFORT</formula>
    </cfRule>
  </conditionalFormatting>
  <conditionalFormatting sqref="B291:B292">
    <cfRule type="expression" dxfId="202" priority="229">
      <formula>AD291&lt;&gt;""</formula>
    </cfRule>
  </conditionalFormatting>
  <conditionalFormatting sqref="F293">
    <cfRule type="expression" dxfId="201" priority="228">
      <formula>$K293&lt;&gt;""</formula>
    </cfRule>
  </conditionalFormatting>
  <conditionalFormatting sqref="C293">
    <cfRule type="expression" dxfId="200" priority="227">
      <formula>$G293&lt;&gt;"-"</formula>
    </cfRule>
  </conditionalFormatting>
  <conditionalFormatting sqref="D293">
    <cfRule type="expression" dxfId="199" priority="226">
      <formula>$H293&lt;&gt;"-"</formula>
    </cfRule>
  </conditionalFormatting>
  <conditionalFormatting sqref="E293">
    <cfRule type="expression" dxfId="198" priority="225">
      <formula>$I293&lt;&gt;"-"</formula>
    </cfRule>
  </conditionalFormatting>
  <conditionalFormatting sqref="B294">
    <cfRule type="expression" dxfId="197" priority="222">
      <formula>AD294&lt;&gt;""</formula>
    </cfRule>
  </conditionalFormatting>
  <conditionalFormatting sqref="Z294">
    <cfRule type="cellIs" dxfId="196" priority="220" operator="greaterThan">
      <formula>0</formula>
    </cfRule>
    <cfRule type="cellIs" dxfId="195" priority="221" operator="lessThan">
      <formula>0</formula>
    </cfRule>
  </conditionalFormatting>
  <conditionalFormatting sqref="S294">
    <cfRule type="cellIs" dxfId="194" priority="219" operator="lessThan">
      <formula>0</formula>
    </cfRule>
  </conditionalFormatting>
  <conditionalFormatting sqref="P294">
    <cfRule type="cellIs" dxfId="193" priority="217" operator="equal">
      <formula>AS_DURATION_EFFORT</formula>
    </cfRule>
    <cfRule type="cellIs" dxfId="192" priority="218" operator="equal">
      <formula>AS_DEV_EFFORT</formula>
    </cfRule>
  </conditionalFormatting>
  <conditionalFormatting sqref="F294">
    <cfRule type="expression" dxfId="191" priority="216">
      <formula>$K294&lt;&gt;""</formula>
    </cfRule>
  </conditionalFormatting>
  <conditionalFormatting sqref="C294">
    <cfRule type="expression" dxfId="190" priority="215">
      <formula>$G294&lt;&gt;"-"</formula>
    </cfRule>
  </conditionalFormatting>
  <conditionalFormatting sqref="D294">
    <cfRule type="expression" dxfId="189" priority="214">
      <formula>$H294&lt;&gt;"-"</formula>
    </cfRule>
  </conditionalFormatting>
  <conditionalFormatting sqref="E294">
    <cfRule type="expression" dxfId="188" priority="213">
      <formula>$I294&lt;&gt;"-"</formula>
    </cfRule>
  </conditionalFormatting>
  <conditionalFormatting sqref="B298">
    <cfRule type="expression" dxfId="187" priority="209">
      <formula>AD298&lt;&gt;""</formula>
    </cfRule>
  </conditionalFormatting>
  <conditionalFormatting sqref="Z298">
    <cfRule type="cellIs" dxfId="186" priority="207" operator="greaterThan">
      <formula>0</formula>
    </cfRule>
    <cfRule type="cellIs" dxfId="185" priority="208" operator="lessThan">
      <formula>0</formula>
    </cfRule>
  </conditionalFormatting>
  <conditionalFormatting sqref="S298">
    <cfRule type="cellIs" dxfId="184" priority="206" operator="lessThan">
      <formula>0</formula>
    </cfRule>
  </conditionalFormatting>
  <conditionalFormatting sqref="T296:T297">
    <cfRule type="expression" dxfId="183" priority="210">
      <formula>#REF!="Yes"</formula>
    </cfRule>
  </conditionalFormatting>
  <conditionalFormatting sqref="P298">
    <cfRule type="cellIs" dxfId="182" priority="204" operator="equal">
      <formula>AS_DURATION_EFFORT</formula>
    </cfRule>
    <cfRule type="cellIs" dxfId="181" priority="205" operator="equal">
      <formula>AS_DEV_EFFORT</formula>
    </cfRule>
  </conditionalFormatting>
  <conditionalFormatting sqref="B296:B297">
    <cfRule type="expression" dxfId="180" priority="203">
      <formula>AD296&lt;&gt;""</formula>
    </cfRule>
  </conditionalFormatting>
  <conditionalFormatting sqref="F298">
    <cfRule type="expression" dxfId="179" priority="202">
      <formula>$K298&lt;&gt;""</formula>
    </cfRule>
  </conditionalFormatting>
  <conditionalFormatting sqref="C298">
    <cfRule type="expression" dxfId="178" priority="201">
      <formula>$G298&lt;&gt;"-"</formula>
    </cfRule>
  </conditionalFormatting>
  <conditionalFormatting sqref="D298">
    <cfRule type="expression" dxfId="177" priority="200">
      <formula>$H298&lt;&gt;"-"</formula>
    </cfRule>
  </conditionalFormatting>
  <conditionalFormatting sqref="E298">
    <cfRule type="expression" dxfId="176" priority="199">
      <formula>$I298&lt;&gt;"-"</formula>
    </cfRule>
  </conditionalFormatting>
  <conditionalFormatting sqref="B299">
    <cfRule type="expression" dxfId="175" priority="196">
      <formula>AD299&lt;&gt;""</formula>
    </cfRule>
  </conditionalFormatting>
  <conditionalFormatting sqref="Z299">
    <cfRule type="cellIs" dxfId="174" priority="194" operator="greaterThan">
      <formula>0</formula>
    </cfRule>
    <cfRule type="cellIs" dxfId="173" priority="195" operator="lessThan">
      <formula>0</formula>
    </cfRule>
  </conditionalFormatting>
  <conditionalFormatting sqref="S299">
    <cfRule type="cellIs" dxfId="172" priority="193" operator="lessThan">
      <formula>0</formula>
    </cfRule>
  </conditionalFormatting>
  <conditionalFormatting sqref="P299">
    <cfRule type="cellIs" dxfId="171" priority="191" operator="equal">
      <formula>AS_DURATION_EFFORT</formula>
    </cfRule>
    <cfRule type="cellIs" dxfId="170" priority="192" operator="equal">
      <formula>AS_DEV_EFFORT</formula>
    </cfRule>
  </conditionalFormatting>
  <conditionalFormatting sqref="F299">
    <cfRule type="expression" dxfId="169" priority="190">
      <formula>$K299&lt;&gt;""</formula>
    </cfRule>
  </conditionalFormatting>
  <conditionalFormatting sqref="C299">
    <cfRule type="expression" dxfId="168" priority="189">
      <formula>$G299&lt;&gt;"-"</formula>
    </cfRule>
  </conditionalFormatting>
  <conditionalFormatting sqref="D299">
    <cfRule type="expression" dxfId="167" priority="188">
      <formula>$H299&lt;&gt;"-"</formula>
    </cfRule>
  </conditionalFormatting>
  <conditionalFormatting sqref="E299">
    <cfRule type="expression" dxfId="166" priority="187">
      <formula>$I299&lt;&gt;"-"</formula>
    </cfRule>
  </conditionalFormatting>
  <conditionalFormatting sqref="B378">
    <cfRule type="expression" dxfId="165" priority="186">
      <formula>AD378&lt;&gt;""</formula>
    </cfRule>
  </conditionalFormatting>
  <conditionalFormatting sqref="Z378">
    <cfRule type="cellIs" dxfId="164" priority="184" operator="greaterThan">
      <formula>0</formula>
    </cfRule>
    <cfRule type="cellIs" dxfId="163" priority="185" operator="lessThan">
      <formula>0</formula>
    </cfRule>
  </conditionalFormatting>
  <conditionalFormatting sqref="S378">
    <cfRule type="cellIs" dxfId="162" priority="183" operator="lessThan">
      <formula>0</formula>
    </cfRule>
  </conditionalFormatting>
  <conditionalFormatting sqref="P378">
    <cfRule type="cellIs" dxfId="161" priority="181" operator="equal">
      <formula>AS_DURATION_EFFORT</formula>
    </cfRule>
    <cfRule type="cellIs" dxfId="160" priority="182" operator="equal">
      <formula>AS_DEV_EFFORT</formula>
    </cfRule>
  </conditionalFormatting>
  <conditionalFormatting sqref="F378">
    <cfRule type="expression" dxfId="159" priority="180">
      <formula>$K378&lt;&gt;""</formula>
    </cfRule>
  </conditionalFormatting>
  <conditionalFormatting sqref="C378">
    <cfRule type="expression" dxfId="158" priority="179">
      <formula>$G378&lt;&gt;"-"</formula>
    </cfRule>
  </conditionalFormatting>
  <conditionalFormatting sqref="D378">
    <cfRule type="expression" dxfId="157" priority="178">
      <formula>$H378&lt;&gt;"-"</formula>
    </cfRule>
  </conditionalFormatting>
  <conditionalFormatting sqref="E378">
    <cfRule type="expression" dxfId="156" priority="177">
      <formula>$I378&lt;&gt;"-"</formula>
    </cfRule>
  </conditionalFormatting>
  <conditionalFormatting sqref="S156">
    <cfRule type="expression" dxfId="155" priority="176">
      <formula>#REF!="Yes"</formula>
    </cfRule>
  </conditionalFormatting>
  <conditionalFormatting sqref="B156">
    <cfRule type="expression" dxfId="154" priority="175">
      <formula>AD156&lt;&gt;""</formula>
    </cfRule>
  </conditionalFormatting>
  <conditionalFormatting sqref="S196">
    <cfRule type="expression" dxfId="153" priority="174">
      <formula>#REF!="Yes"</formula>
    </cfRule>
  </conditionalFormatting>
  <conditionalFormatting sqref="B196">
    <cfRule type="expression" dxfId="152" priority="173">
      <formula>AD196&lt;&gt;""</formula>
    </cfRule>
  </conditionalFormatting>
  <conditionalFormatting sqref="S223">
    <cfRule type="expression" dxfId="151" priority="172">
      <formula>#REF!="Yes"</formula>
    </cfRule>
  </conditionalFormatting>
  <conditionalFormatting sqref="B223">
    <cfRule type="expression" dxfId="150" priority="171">
      <formula>AD223&lt;&gt;""</formula>
    </cfRule>
  </conditionalFormatting>
  <conditionalFormatting sqref="S256">
    <cfRule type="expression" dxfId="149" priority="170">
      <formula>#REF!="Yes"</formula>
    </cfRule>
  </conditionalFormatting>
  <conditionalFormatting sqref="B256">
    <cfRule type="expression" dxfId="148" priority="169">
      <formula>AD256&lt;&gt;""</formula>
    </cfRule>
  </conditionalFormatting>
  <conditionalFormatting sqref="S301">
    <cfRule type="expression" dxfId="147" priority="166">
      <formula>#REF!="Yes"</formula>
    </cfRule>
  </conditionalFormatting>
  <conditionalFormatting sqref="B301">
    <cfRule type="expression" dxfId="146" priority="165">
      <formula>AD301&lt;&gt;""</formula>
    </cfRule>
  </conditionalFormatting>
  <conditionalFormatting sqref="S271">
    <cfRule type="expression" dxfId="145" priority="160">
      <formula>#REF!="Yes"</formula>
    </cfRule>
  </conditionalFormatting>
  <conditionalFormatting sqref="B271">
    <cfRule type="expression" dxfId="144" priority="159">
      <formula>AD271&lt;&gt;""</formula>
    </cfRule>
  </conditionalFormatting>
  <conditionalFormatting sqref="S373">
    <cfRule type="expression" dxfId="143" priority="158">
      <formula>#REF!="Yes"</formula>
    </cfRule>
  </conditionalFormatting>
  <conditionalFormatting sqref="B373">
    <cfRule type="expression" dxfId="142" priority="157">
      <formula>AD373&lt;&gt;""</formula>
    </cfRule>
  </conditionalFormatting>
  <conditionalFormatting sqref="S383">
    <cfRule type="expression" dxfId="141" priority="142">
      <formula>#REF!="Yes"</formula>
    </cfRule>
  </conditionalFormatting>
  <conditionalFormatting sqref="B383">
    <cfRule type="expression" dxfId="140" priority="141">
      <formula>AD383&lt;&gt;""</formula>
    </cfRule>
  </conditionalFormatting>
  <conditionalFormatting sqref="S389">
    <cfRule type="expression" dxfId="139" priority="140">
      <formula>#REF!="Yes"</formula>
    </cfRule>
  </conditionalFormatting>
  <conditionalFormatting sqref="B389">
    <cfRule type="expression" dxfId="138" priority="139">
      <formula>AD389&lt;&gt;""</formula>
    </cfRule>
  </conditionalFormatting>
  <conditionalFormatting sqref="B428">
    <cfRule type="expression" dxfId="137" priority="138">
      <formula>AD428&lt;&gt;""</formula>
    </cfRule>
  </conditionalFormatting>
  <conditionalFormatting sqref="Z428">
    <cfRule type="cellIs" dxfId="136" priority="136" operator="greaterThan">
      <formula>0</formula>
    </cfRule>
    <cfRule type="cellIs" dxfId="135" priority="137" operator="lessThan">
      <formula>0</formula>
    </cfRule>
  </conditionalFormatting>
  <conditionalFormatting sqref="S428">
    <cfRule type="cellIs" dxfId="134" priority="135" operator="lessThan">
      <formula>0</formula>
    </cfRule>
  </conditionalFormatting>
  <conditionalFormatting sqref="P428">
    <cfRule type="cellIs" dxfId="133" priority="133" operator="equal">
      <formula>AS_DURATION_EFFORT</formula>
    </cfRule>
    <cfRule type="cellIs" dxfId="132" priority="134" operator="equal">
      <formula>AS_DEV_EFFORT</formula>
    </cfRule>
  </conditionalFormatting>
  <conditionalFormatting sqref="F428">
    <cfRule type="expression" dxfId="131" priority="132">
      <formula>$K428&lt;&gt;""</formula>
    </cfRule>
  </conditionalFormatting>
  <conditionalFormatting sqref="C428">
    <cfRule type="expression" dxfId="130" priority="131">
      <formula>$G428&lt;&gt;"-"</formula>
    </cfRule>
  </conditionalFormatting>
  <conditionalFormatting sqref="D428">
    <cfRule type="expression" dxfId="129" priority="130">
      <formula>$H428&lt;&gt;"-"</formula>
    </cfRule>
  </conditionalFormatting>
  <conditionalFormatting sqref="E428">
    <cfRule type="expression" dxfId="128" priority="129">
      <formula>$I428&lt;&gt;"-"</formula>
    </cfRule>
  </conditionalFormatting>
  <conditionalFormatting sqref="B429">
    <cfRule type="expression" dxfId="127" priority="128">
      <formula>AD429&lt;&gt;""</formula>
    </cfRule>
  </conditionalFormatting>
  <conditionalFormatting sqref="Z429">
    <cfRule type="cellIs" dxfId="126" priority="126" operator="greaterThan">
      <formula>0</formula>
    </cfRule>
    <cfRule type="cellIs" dxfId="125" priority="127" operator="lessThan">
      <formula>0</formula>
    </cfRule>
  </conditionalFormatting>
  <conditionalFormatting sqref="S429">
    <cfRule type="cellIs" dxfId="124" priority="125" operator="lessThan">
      <formula>0</formula>
    </cfRule>
  </conditionalFormatting>
  <conditionalFormatting sqref="P429">
    <cfRule type="cellIs" dxfId="123" priority="123" operator="equal">
      <formula>AS_DURATION_EFFORT</formula>
    </cfRule>
    <cfRule type="cellIs" dxfId="122" priority="124" operator="equal">
      <formula>AS_DEV_EFFORT</formula>
    </cfRule>
  </conditionalFormatting>
  <conditionalFormatting sqref="F429">
    <cfRule type="expression" dxfId="121" priority="122">
      <formula>$K429&lt;&gt;""</formula>
    </cfRule>
  </conditionalFormatting>
  <conditionalFormatting sqref="C429">
    <cfRule type="expression" dxfId="120" priority="121">
      <formula>$G429&lt;&gt;"-"</formula>
    </cfRule>
  </conditionalFormatting>
  <conditionalFormatting sqref="D429">
    <cfRule type="expression" dxfId="119" priority="120">
      <formula>$H429&lt;&gt;"-"</formula>
    </cfRule>
  </conditionalFormatting>
  <conditionalFormatting sqref="E429">
    <cfRule type="expression" dxfId="118" priority="119">
      <formula>$I429&lt;&gt;"-"</formula>
    </cfRule>
  </conditionalFormatting>
  <conditionalFormatting sqref="B433">
    <cfRule type="expression" dxfId="117" priority="116">
      <formula>AD433&lt;&gt;""</formula>
    </cfRule>
  </conditionalFormatting>
  <conditionalFormatting sqref="Z433">
    <cfRule type="cellIs" dxfId="116" priority="114" operator="greaterThan">
      <formula>0</formula>
    </cfRule>
    <cfRule type="cellIs" dxfId="115" priority="115" operator="lessThan">
      <formula>0</formula>
    </cfRule>
  </conditionalFormatting>
  <conditionalFormatting sqref="S433">
    <cfRule type="cellIs" dxfId="114" priority="113" operator="lessThan">
      <formula>0</formula>
    </cfRule>
  </conditionalFormatting>
  <conditionalFormatting sqref="P433">
    <cfRule type="cellIs" dxfId="113" priority="111" operator="equal">
      <formula>AS_DURATION_EFFORT</formula>
    </cfRule>
    <cfRule type="cellIs" dxfId="112" priority="112" operator="equal">
      <formula>AS_DEV_EFFORT</formula>
    </cfRule>
  </conditionalFormatting>
  <conditionalFormatting sqref="L433:AC433">
    <cfRule type="expression" dxfId="111" priority="117">
      <formula>AND($G433="Yes", $S$6="Exclude")</formula>
    </cfRule>
    <cfRule type="expression" dxfId="110" priority="118">
      <formula>$J433="Yes"</formula>
    </cfRule>
  </conditionalFormatting>
  <conditionalFormatting sqref="F433">
    <cfRule type="expression" dxfId="109" priority="110">
      <formula>$K433&lt;&gt;""</formula>
    </cfRule>
  </conditionalFormatting>
  <conditionalFormatting sqref="C433">
    <cfRule type="expression" dxfId="108" priority="109">
      <formula>$G433&lt;&gt;"-"</formula>
    </cfRule>
  </conditionalFormatting>
  <conditionalFormatting sqref="D433">
    <cfRule type="expression" dxfId="107" priority="108">
      <formula>$H433&lt;&gt;"-"</formula>
    </cfRule>
  </conditionalFormatting>
  <conditionalFormatting sqref="E433">
    <cfRule type="expression" dxfId="106" priority="107">
      <formula>$I433&lt;&gt;"-"</formula>
    </cfRule>
  </conditionalFormatting>
  <conditionalFormatting sqref="B436">
    <cfRule type="expression" dxfId="105" priority="106">
      <formula>AD436&lt;&gt;""</formula>
    </cfRule>
  </conditionalFormatting>
  <conditionalFormatting sqref="Z436">
    <cfRule type="cellIs" dxfId="104" priority="104" operator="greaterThan">
      <formula>0</formula>
    </cfRule>
    <cfRule type="cellIs" dxfId="103" priority="105" operator="lessThan">
      <formula>0</formula>
    </cfRule>
  </conditionalFormatting>
  <conditionalFormatting sqref="S436">
    <cfRule type="cellIs" dxfId="102" priority="103" operator="lessThan">
      <formula>0</formula>
    </cfRule>
  </conditionalFormatting>
  <conditionalFormatting sqref="P436">
    <cfRule type="cellIs" dxfId="101" priority="101" operator="equal">
      <formula>AS_DURATION_EFFORT</formula>
    </cfRule>
    <cfRule type="cellIs" dxfId="100" priority="102" operator="equal">
      <formula>AS_DEV_EFFORT</formula>
    </cfRule>
  </conditionalFormatting>
  <conditionalFormatting sqref="F436">
    <cfRule type="expression" dxfId="99" priority="100">
      <formula>$K436&lt;&gt;""</formula>
    </cfRule>
  </conditionalFormatting>
  <conditionalFormatting sqref="C436">
    <cfRule type="expression" dxfId="98" priority="99">
      <formula>$G436&lt;&gt;"-"</formula>
    </cfRule>
  </conditionalFormatting>
  <conditionalFormatting sqref="D436">
    <cfRule type="expression" dxfId="97" priority="98">
      <formula>$H436&lt;&gt;"-"</formula>
    </cfRule>
  </conditionalFormatting>
  <conditionalFormatting sqref="E436">
    <cfRule type="expression" dxfId="96" priority="97">
      <formula>$I436&lt;&gt;"-"</formula>
    </cfRule>
  </conditionalFormatting>
  <conditionalFormatting sqref="B434">
    <cfRule type="expression" dxfId="95" priority="94">
      <formula>AD434&lt;&gt;""</formula>
    </cfRule>
  </conditionalFormatting>
  <conditionalFormatting sqref="Z434">
    <cfRule type="cellIs" dxfId="94" priority="92" operator="greaterThan">
      <formula>0</formula>
    </cfRule>
    <cfRule type="cellIs" dxfId="93" priority="93" operator="lessThan">
      <formula>0</formula>
    </cfRule>
  </conditionalFormatting>
  <conditionalFormatting sqref="S434">
    <cfRule type="cellIs" dxfId="92" priority="91" operator="lessThan">
      <formula>0</formula>
    </cfRule>
  </conditionalFormatting>
  <conditionalFormatting sqref="P434">
    <cfRule type="cellIs" dxfId="91" priority="89" operator="equal">
      <formula>AS_DURATION_EFFORT</formula>
    </cfRule>
    <cfRule type="cellIs" dxfId="90" priority="90" operator="equal">
      <formula>AS_DEV_EFFORT</formula>
    </cfRule>
  </conditionalFormatting>
  <conditionalFormatting sqref="L434:AC434">
    <cfRule type="expression" dxfId="89" priority="95">
      <formula>AND($G434="Yes", $S$6="Exclude")</formula>
    </cfRule>
    <cfRule type="expression" dxfId="88" priority="96">
      <formula>$J434="Yes"</formula>
    </cfRule>
  </conditionalFormatting>
  <conditionalFormatting sqref="F434">
    <cfRule type="expression" dxfId="87" priority="88">
      <formula>$K434&lt;&gt;""</formula>
    </cfRule>
  </conditionalFormatting>
  <conditionalFormatting sqref="C434">
    <cfRule type="expression" dxfId="86" priority="87">
      <formula>$G434&lt;&gt;"-"</formula>
    </cfRule>
  </conditionalFormatting>
  <conditionalFormatting sqref="D434">
    <cfRule type="expression" dxfId="85" priority="86">
      <formula>$H434&lt;&gt;"-"</formula>
    </cfRule>
  </conditionalFormatting>
  <conditionalFormatting sqref="E434">
    <cfRule type="expression" dxfId="84" priority="85">
      <formula>$I434&lt;&gt;"-"</formula>
    </cfRule>
  </conditionalFormatting>
  <conditionalFormatting sqref="B415">
    <cfRule type="expression" dxfId="83" priority="84">
      <formula>AD415&lt;&gt;""</formula>
    </cfRule>
  </conditionalFormatting>
  <conditionalFormatting sqref="Z415">
    <cfRule type="cellIs" dxfId="82" priority="82" operator="greaterThan">
      <formula>0</formula>
    </cfRule>
    <cfRule type="cellIs" dxfId="81" priority="83" operator="lessThan">
      <formula>0</formula>
    </cfRule>
  </conditionalFormatting>
  <conditionalFormatting sqref="S415">
    <cfRule type="cellIs" dxfId="80" priority="81" operator="lessThan">
      <formula>0</formula>
    </cfRule>
  </conditionalFormatting>
  <conditionalFormatting sqref="P415">
    <cfRule type="cellIs" dxfId="79" priority="79" operator="equal">
      <formula>AS_DURATION_EFFORT</formula>
    </cfRule>
    <cfRule type="cellIs" dxfId="78" priority="80" operator="equal">
      <formula>AS_DEV_EFFORT</formula>
    </cfRule>
  </conditionalFormatting>
  <conditionalFormatting sqref="F415">
    <cfRule type="expression" dxfId="77" priority="78">
      <formula>$K415&lt;&gt;""</formula>
    </cfRule>
  </conditionalFormatting>
  <conditionalFormatting sqref="C415">
    <cfRule type="expression" dxfId="76" priority="77">
      <formula>$G415&lt;&gt;"-"</formula>
    </cfRule>
  </conditionalFormatting>
  <conditionalFormatting sqref="D415">
    <cfRule type="expression" dxfId="75" priority="76">
      <formula>$H415&lt;&gt;"-"</formula>
    </cfRule>
  </conditionalFormatting>
  <conditionalFormatting sqref="E415">
    <cfRule type="expression" dxfId="74" priority="75">
      <formula>$I415&lt;&gt;"-"</formula>
    </cfRule>
  </conditionalFormatting>
  <conditionalFormatting sqref="B149">
    <cfRule type="expression" dxfId="73" priority="71">
      <formula>AD149&lt;&gt;""</formula>
    </cfRule>
  </conditionalFormatting>
  <conditionalFormatting sqref="Z149">
    <cfRule type="cellIs" dxfId="72" priority="69" operator="greaterThan">
      <formula>0</formula>
    </cfRule>
    <cfRule type="cellIs" dxfId="71" priority="70" operator="lessThan">
      <formula>0</formula>
    </cfRule>
  </conditionalFormatting>
  <conditionalFormatting sqref="S149">
    <cfRule type="cellIs" dxfId="70" priority="68" operator="lessThan">
      <formula>0</formula>
    </cfRule>
  </conditionalFormatting>
  <conditionalFormatting sqref="T147:T148">
    <cfRule type="expression" dxfId="69" priority="72">
      <formula>#REF!="Yes"</formula>
    </cfRule>
  </conditionalFormatting>
  <conditionalFormatting sqref="P149">
    <cfRule type="cellIs" dxfId="68" priority="66" operator="equal">
      <formula>AS_DURATION_EFFORT</formula>
    </cfRule>
    <cfRule type="cellIs" dxfId="67" priority="67" operator="equal">
      <formula>AS_DEV_EFFORT</formula>
    </cfRule>
  </conditionalFormatting>
  <conditionalFormatting sqref="B147:B148">
    <cfRule type="expression" dxfId="66" priority="65">
      <formula>AD147&lt;&gt;""</formula>
    </cfRule>
  </conditionalFormatting>
  <conditionalFormatting sqref="L149:AC149">
    <cfRule type="expression" dxfId="65" priority="73">
      <formula>AND($G149="Yes", $S$6="Exclude")</formula>
    </cfRule>
    <cfRule type="expression" dxfId="64" priority="74">
      <formula>$J149="Yes"</formula>
    </cfRule>
  </conditionalFormatting>
  <conditionalFormatting sqref="F149">
    <cfRule type="expression" dxfId="63" priority="64">
      <formula>$K149&lt;&gt;""</formula>
    </cfRule>
  </conditionalFormatting>
  <conditionalFormatting sqref="C149">
    <cfRule type="expression" dxfId="62" priority="63">
      <formula>$G149&lt;&gt;"-"</formula>
    </cfRule>
  </conditionalFormatting>
  <conditionalFormatting sqref="D149">
    <cfRule type="expression" dxfId="61" priority="62">
      <formula>$H149&lt;&gt;"-"</formula>
    </cfRule>
  </conditionalFormatting>
  <conditionalFormatting sqref="E149">
    <cfRule type="expression" dxfId="60" priority="61">
      <formula>$I149&lt;&gt;"-"</formula>
    </cfRule>
  </conditionalFormatting>
  <conditionalFormatting sqref="B154">
    <cfRule type="expression" dxfId="59" priority="58">
      <formula>AD154&lt;&gt;""</formula>
    </cfRule>
  </conditionalFormatting>
  <conditionalFormatting sqref="Z154">
    <cfRule type="cellIs" dxfId="58" priority="56" operator="greaterThan">
      <formula>0</formula>
    </cfRule>
    <cfRule type="cellIs" dxfId="57" priority="57" operator="lessThan">
      <formula>0</formula>
    </cfRule>
  </conditionalFormatting>
  <conditionalFormatting sqref="S154">
    <cfRule type="cellIs" dxfId="56" priority="55" operator="lessThan">
      <formula>0</formula>
    </cfRule>
  </conditionalFormatting>
  <conditionalFormatting sqref="P154">
    <cfRule type="cellIs" dxfId="55" priority="53" operator="equal">
      <formula>AS_DURATION_EFFORT</formula>
    </cfRule>
    <cfRule type="cellIs" dxfId="54" priority="54" operator="equal">
      <formula>AS_DEV_EFFORT</formula>
    </cfRule>
  </conditionalFormatting>
  <conditionalFormatting sqref="L154:AC154">
    <cfRule type="expression" dxfId="53" priority="59">
      <formula>AND($G154="Yes", $S$6="Exclude")</formula>
    </cfRule>
    <cfRule type="expression" dxfId="52" priority="60">
      <formula>$J154="Yes"</formula>
    </cfRule>
  </conditionalFormatting>
  <conditionalFormatting sqref="F154">
    <cfRule type="expression" dxfId="51" priority="52">
      <formula>$K154&lt;&gt;""</formula>
    </cfRule>
  </conditionalFormatting>
  <conditionalFormatting sqref="C154">
    <cfRule type="expression" dxfId="50" priority="51">
      <formula>$G154&lt;&gt;"-"</formula>
    </cfRule>
  </conditionalFormatting>
  <conditionalFormatting sqref="D154">
    <cfRule type="expression" dxfId="49" priority="50">
      <formula>$H154&lt;&gt;"-"</formula>
    </cfRule>
  </conditionalFormatting>
  <conditionalFormatting sqref="E154">
    <cfRule type="expression" dxfId="48" priority="49">
      <formula>$I154&lt;&gt;"-"</formula>
    </cfRule>
  </conditionalFormatting>
  <conditionalFormatting sqref="B153">
    <cfRule type="expression" dxfId="47" priority="46">
      <formula>AD153&lt;&gt;""</formula>
    </cfRule>
  </conditionalFormatting>
  <conditionalFormatting sqref="Z153">
    <cfRule type="cellIs" dxfId="46" priority="44" operator="greaterThan">
      <formula>0</formula>
    </cfRule>
    <cfRule type="cellIs" dxfId="45" priority="45" operator="lessThan">
      <formula>0</formula>
    </cfRule>
  </conditionalFormatting>
  <conditionalFormatting sqref="S153">
    <cfRule type="cellIs" dxfId="44" priority="43" operator="lessThan">
      <formula>0</formula>
    </cfRule>
  </conditionalFormatting>
  <conditionalFormatting sqref="P153">
    <cfRule type="cellIs" dxfId="43" priority="41" operator="equal">
      <formula>AS_DURATION_EFFORT</formula>
    </cfRule>
    <cfRule type="cellIs" dxfId="42" priority="42" operator="equal">
      <formula>AS_DEV_EFFORT</formula>
    </cfRule>
  </conditionalFormatting>
  <conditionalFormatting sqref="L153:AC153">
    <cfRule type="expression" dxfId="41" priority="47">
      <formula>AND($G153="Yes", $S$6="Exclude")</formula>
    </cfRule>
    <cfRule type="expression" dxfId="40" priority="48">
      <formula>$J153="Yes"</formula>
    </cfRule>
  </conditionalFormatting>
  <conditionalFormatting sqref="F153">
    <cfRule type="expression" dxfId="39" priority="40">
      <formula>$K153&lt;&gt;""</formula>
    </cfRule>
  </conditionalFormatting>
  <conditionalFormatting sqref="C153">
    <cfRule type="expression" dxfId="38" priority="39">
      <formula>$G153&lt;&gt;"-"</formula>
    </cfRule>
  </conditionalFormatting>
  <conditionalFormatting sqref="D153">
    <cfRule type="expression" dxfId="37" priority="38">
      <formula>$H153&lt;&gt;"-"</formula>
    </cfRule>
  </conditionalFormatting>
  <conditionalFormatting sqref="E153">
    <cfRule type="expression" dxfId="36" priority="37">
      <formula>$I153&lt;&gt;"-"</formula>
    </cfRule>
  </conditionalFormatting>
  <conditionalFormatting sqref="B152">
    <cfRule type="expression" dxfId="35" priority="34">
      <formula>AD152&lt;&gt;""</formula>
    </cfRule>
  </conditionalFormatting>
  <conditionalFormatting sqref="Z152">
    <cfRule type="cellIs" dxfId="34" priority="32" operator="greaterThan">
      <formula>0</formula>
    </cfRule>
    <cfRule type="cellIs" dxfId="33" priority="33" operator="lessThan">
      <formula>0</formula>
    </cfRule>
  </conditionalFormatting>
  <conditionalFormatting sqref="S152">
    <cfRule type="cellIs" dxfId="32" priority="31" operator="lessThan">
      <formula>0</formula>
    </cfRule>
  </conditionalFormatting>
  <conditionalFormatting sqref="P152">
    <cfRule type="cellIs" dxfId="31" priority="29" operator="equal">
      <formula>AS_DURATION_EFFORT</formula>
    </cfRule>
    <cfRule type="cellIs" dxfId="30" priority="30" operator="equal">
      <formula>AS_DEV_EFFORT</formula>
    </cfRule>
  </conditionalFormatting>
  <conditionalFormatting sqref="L152:AC152">
    <cfRule type="expression" dxfId="29" priority="35">
      <formula>AND($G152="Yes", $S$6="Exclude")</formula>
    </cfRule>
    <cfRule type="expression" dxfId="28" priority="36">
      <formula>$J152="Yes"</formula>
    </cfRule>
  </conditionalFormatting>
  <conditionalFormatting sqref="F152">
    <cfRule type="expression" dxfId="27" priority="28">
      <formula>$K152&lt;&gt;""</formula>
    </cfRule>
  </conditionalFormatting>
  <conditionalFormatting sqref="C152">
    <cfRule type="expression" dxfId="26" priority="27">
      <formula>$G152&lt;&gt;"-"</formula>
    </cfRule>
  </conditionalFormatting>
  <conditionalFormatting sqref="D152">
    <cfRule type="expression" dxfId="25" priority="26">
      <formula>$H152&lt;&gt;"-"</formula>
    </cfRule>
  </conditionalFormatting>
  <conditionalFormatting sqref="E152">
    <cfRule type="expression" dxfId="24" priority="25">
      <formula>$I152&lt;&gt;"-"</formula>
    </cfRule>
  </conditionalFormatting>
  <conditionalFormatting sqref="B151">
    <cfRule type="expression" dxfId="23" priority="22">
      <formula>AD151&lt;&gt;""</formula>
    </cfRule>
  </conditionalFormatting>
  <conditionalFormatting sqref="Z151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51">
    <cfRule type="cellIs" dxfId="20" priority="19" operator="lessThan">
      <formula>0</formula>
    </cfRule>
  </conditionalFormatting>
  <conditionalFormatting sqref="P151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51:AC151">
    <cfRule type="expression" dxfId="17" priority="23">
      <formula>AND($G151="Yes", $S$6="Exclude")</formula>
    </cfRule>
    <cfRule type="expression" dxfId="16" priority="24">
      <formula>$J151="Yes"</formula>
    </cfRule>
  </conditionalFormatting>
  <conditionalFormatting sqref="F151">
    <cfRule type="expression" dxfId="15" priority="16">
      <formula>$K151&lt;&gt;""</formula>
    </cfRule>
  </conditionalFormatting>
  <conditionalFormatting sqref="C151">
    <cfRule type="expression" dxfId="14" priority="15">
      <formula>$G151&lt;&gt;"-"</formula>
    </cfRule>
  </conditionalFormatting>
  <conditionalFormatting sqref="D151">
    <cfRule type="expression" dxfId="13" priority="14">
      <formula>$H151&lt;&gt;"-"</formula>
    </cfRule>
  </conditionalFormatting>
  <conditionalFormatting sqref="E151">
    <cfRule type="expression" dxfId="12" priority="13">
      <formula>$I151&lt;&gt;"-"</formula>
    </cfRule>
  </conditionalFormatting>
  <conditionalFormatting sqref="B150">
    <cfRule type="expression" dxfId="11" priority="10">
      <formula>AD150&lt;&gt;""</formula>
    </cfRule>
  </conditionalFormatting>
  <conditionalFormatting sqref="Z150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50">
    <cfRule type="cellIs" dxfId="8" priority="7" operator="lessThan">
      <formula>0</formula>
    </cfRule>
  </conditionalFormatting>
  <conditionalFormatting sqref="P150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50:AC150">
    <cfRule type="expression" dxfId="5" priority="11">
      <formula>AND($G150="Yes", $S$6="Exclude")</formula>
    </cfRule>
    <cfRule type="expression" dxfId="4" priority="12">
      <formula>$J150="Yes"</formula>
    </cfRule>
  </conditionalFormatting>
  <conditionalFormatting sqref="F150">
    <cfRule type="expression" dxfId="3" priority="4">
      <formula>$K150&lt;&gt;""</formula>
    </cfRule>
  </conditionalFormatting>
  <conditionalFormatting sqref="C150">
    <cfRule type="expression" dxfId="2" priority="3">
      <formula>$G150&lt;&gt;"-"</formula>
    </cfRule>
  </conditionalFormatting>
  <conditionalFormatting sqref="D150">
    <cfRule type="expression" dxfId="1" priority="2">
      <formula>$H150&lt;&gt;"-"</formula>
    </cfRule>
  </conditionalFormatting>
  <conditionalFormatting sqref="E150">
    <cfRule type="expression" dxfId="0" priority="1">
      <formula>$I150&lt;&gt;"-"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546" xr:uid="{00000000-0002-0000-0100-000002000000}">
      <formula1>YES_NO_LIST</formula1>
    </dataValidation>
    <dataValidation type="list" allowBlank="1" showInputMessage="1" showErrorMessage="1" sqref="O543" xr:uid="{00000000-0002-0000-0100-000003000000}">
      <formula1>PLATFORMS_LIST</formula1>
    </dataValidation>
    <dataValidation type="list" allowBlank="1" showInputMessage="1" showErrorMessage="1" sqref="O544" xr:uid="{00000000-0002-0000-0100-000004000000}">
      <formula1>PROJECT_TYPES_LIST</formula1>
    </dataValidation>
    <dataValidation type="list" allowBlank="1" showInputMessage="1" showErrorMessage="1" sqref="O548" xr:uid="{00000000-0002-0000-0100-000005000000}">
      <formula1>CURRENCIES_LIST</formula1>
    </dataValidation>
    <dataValidation type="list" allowBlank="1" showInputMessage="1" showErrorMessage="1" sqref="O547" xr:uid="{00000000-0002-0000-0100-000006000000}">
      <formula1>REGIONS_LIST</formula1>
    </dataValidation>
    <dataValidation type="list" showInputMessage="1" showErrorMessage="1" sqref="G664 J664 G16:G18 J68:J69 G98:G100 J450 G73 J73 J77:J80 G68:G69 G77:G80 J84:J91 G84:G91 J98:J100 J399:J400 G399:G400 J404:J407 G404:G407 G386:G387 J422:J423 G422:G423 G427:G429 J411:J415 J427:J429 J440:J443 G440:G443 G450 J16:J18 J22:J24 G28:G31 J35:J39 J43:J45 G49:G54 G22:G24 J28:J31 G35:G39 G43:G45 J49:J54 G376:G378 G298:G299 G392:G395 J392:J395 J386:J387 J58:J61 G58:G61 J314:J320 J304:J310 G159:G163 G105:G111 G208:G213 J115:J121 J105:J111 G125:G129 G115:G121 G141:G145 J133:J137 J141:J145 J159:J163 J183:J186 G183:G186 G190:G194 J175:J179 J199:J204 J190:J194 G199:G204 J125:J129 G133:G137 G167:G171 J167:J171 G175:G179 J208:J213 G217:G221 J217:J221 G226:G230 J226:J230 G234:G238 J234:J238 G242:G246 J242:J246 G250:G254 J250:J254 G259:G263 J259:J263 G304:G310 G314:G320 J324:J333 G324:G333 J337:J344 G337:G344 J348:J353 G348:G353 G357:G361 J357:J361 G365:G371 J365:J371 G274:G278 J274:J278 J282:J284 G282:G284 G288:G289 J288:J289 J293:J294 G293:G294 J298:J299 J376:J378 G267:G269 J267:J269 G433:G436 J433:J436 G411:G415 J149:J154 G149:G154" xr:uid="{00000000-0002-0000-0100-000007000000}">
      <formula1>YES_NO_LIST</formula1>
    </dataValidation>
    <dataValidation type="list" showInputMessage="1" showErrorMessage="1" sqref="I664 I98:I100 I450 I73 I68:I69 I77:I80 I84:I91 I399:I400 I404:I407 I386:I387 I422:I423 I433:I436 I427:I429 I440:I443 I16:I18 I22:I24 I28:I31 I35:I39 I43:I45 I49:I54 I298:I299 I392:I395 I58:I61 I304:I310 I141:I145 I199:I204 I105:I111 I115:I121 I133:I137 I159:I163 I183:I186 I175:I179 I190:I194 I125:I129 I167:I171 I208:I213 I217:I221 I226:I230 I234:I238 I242:I246 I250:I254 I259:I263 I314:I320 I324:I333 I337:I344 I348:I353 I357:I361 I365:I371 I274:I278 I282:I284 I288:I289 I293:I294 I376:I378 I267:I269 I411:I415 I149:I154" xr:uid="{00000000-0002-0000-0100-000008000000}">
      <formula1>EXTRAS_LIST</formula1>
    </dataValidation>
    <dataValidation type="list" showInputMessage="1" showErrorMessage="1" sqref="H664 H98:H100 H450 H73 H68:H69 H77:H80 H84:H91 H399:H400 H404:H407 H386:H387 H422:H423 H433:H436 H427:H429 H440:H443 H16:H18 H22:H24 H28:H31 H35:H39 H43:H45 H49:H54 H298:H299 H392:H395 H58:H61 H304:H310 H141:H145 H199:H204 H105:H111 H115:H121 H133:H137 H159:H163 H183:H186 H175:H179 H190:H194 H125:H129 H167:H171 H208:H213 H217:H221 H226:H230 H234:H238 H242:H246 H250:H254 H259:H263 H314:H320 H324:H333 H337:H344 H348:H353 H357:H361 H365:H371 H274:H278 H282:H284 H288:H289 H293:H294 H376:H378 H267:H269 H411:H415 H149:H154" xr:uid="{00000000-0002-0000-0100-000009000000}">
      <formula1>BUFFER_TYPES_LIST</formula1>
    </dataValidation>
    <dataValidation type="list" showInputMessage="1" showErrorMessage="1" sqref="S460" xr:uid="{00000000-0002-0000-0100-00000A000000}">
      <formula1>"Default, Extended"</formula1>
    </dataValidation>
  </dataValidations>
  <hyperlinks>
    <hyperlink ref="T534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46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66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8"/>
  <sheetViews>
    <sheetView topLeftCell="A23" zoomScaleNormal="100" workbookViewId="0">
      <selection activeCell="C1" sqref="C1:F1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44">
        <f>START_DATE</f>
        <v>46328</v>
      </c>
      <c r="D1" s="344"/>
      <c r="E1" s="344"/>
      <c r="F1" s="344"/>
      <c r="I1" s="1" t="s">
        <v>95</v>
      </c>
      <c r="L1" s="345">
        <f>WORKDAY(START_DATE,174)</f>
        <v>46570</v>
      </c>
      <c r="M1" s="345"/>
      <c r="N1" s="345"/>
      <c r="O1" s="345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42">
        <v>1</v>
      </c>
      <c r="D3" s="343"/>
      <c r="E3" s="343"/>
      <c r="F3" s="346"/>
      <c r="G3" s="342">
        <f>C3+1</f>
        <v>2</v>
      </c>
      <c r="H3" s="343"/>
      <c r="I3" s="343"/>
      <c r="J3" s="343"/>
      <c r="K3" s="342">
        <f>G3+1</f>
        <v>3</v>
      </c>
      <c r="L3" s="343"/>
      <c r="M3" s="343"/>
      <c r="N3" s="343"/>
      <c r="O3" s="342">
        <f>K3+1</f>
        <v>4</v>
      </c>
      <c r="P3" s="343"/>
      <c r="Q3" s="343"/>
      <c r="R3" s="343"/>
      <c r="S3" s="342">
        <f>O3+1</f>
        <v>5</v>
      </c>
      <c r="T3" s="343"/>
      <c r="U3" s="343"/>
      <c r="V3" s="343"/>
      <c r="W3" s="342">
        <f>S3+1</f>
        <v>6</v>
      </c>
      <c r="X3" s="343"/>
      <c r="Y3" s="343"/>
      <c r="Z3" s="343"/>
      <c r="AA3" s="342">
        <f>W3+1</f>
        <v>7</v>
      </c>
      <c r="AB3" s="343"/>
      <c r="AC3" s="343"/>
      <c r="AD3" s="343"/>
      <c r="AE3" s="342">
        <f>AA3+1</f>
        <v>8</v>
      </c>
      <c r="AF3" s="343"/>
      <c r="AG3" s="343"/>
      <c r="AH3" s="343"/>
      <c r="AI3" s="342">
        <f>AE3+1</f>
        <v>9</v>
      </c>
      <c r="AJ3" s="343"/>
      <c r="AK3" s="343"/>
      <c r="AL3" s="343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1167</v>
      </c>
      <c r="D5" s="116"/>
      <c r="E5" s="116"/>
      <c r="F5" s="116"/>
      <c r="G5" s="116" t="s">
        <v>1167</v>
      </c>
      <c r="H5" s="116"/>
      <c r="I5" s="116" t="s">
        <v>1167</v>
      </c>
      <c r="J5" s="116"/>
      <c r="K5" s="116"/>
      <c r="L5" s="116"/>
      <c r="M5" s="116" t="s">
        <v>1167</v>
      </c>
      <c r="N5" s="116"/>
      <c r="O5" s="116"/>
      <c r="P5" s="116"/>
      <c r="Q5" s="116" t="s">
        <v>1167</v>
      </c>
      <c r="R5" s="116"/>
      <c r="S5" s="116"/>
      <c r="T5" s="116"/>
      <c r="U5" s="116" t="s">
        <v>1167</v>
      </c>
      <c r="V5" s="116"/>
      <c r="W5" s="116"/>
      <c r="X5" s="116"/>
      <c r="Y5" s="116" t="s">
        <v>1167</v>
      </c>
      <c r="Z5" s="116"/>
      <c r="AA5" s="116"/>
      <c r="AB5" s="116"/>
      <c r="AC5" s="116" t="s">
        <v>1167</v>
      </c>
      <c r="AD5" s="116"/>
      <c r="AE5" s="116"/>
      <c r="AF5" s="116"/>
      <c r="AG5" s="116" t="s">
        <v>1167</v>
      </c>
      <c r="AH5" s="116"/>
      <c r="AI5" s="116"/>
      <c r="AJ5" s="116" t="s">
        <v>1167</v>
      </c>
      <c r="AK5" s="116"/>
      <c r="AL5" s="116" t="s">
        <v>1167</v>
      </c>
    </row>
    <row r="6" spans="2:38" x14ac:dyDescent="0.35">
      <c r="B6" s="115" t="str">
        <f>Estimation!N525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Estimation!N526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Estimation!N527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Estimation!N528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Estimation!N529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Estimation!N530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0.5</v>
      </c>
      <c r="H13" s="118">
        <v>0.5</v>
      </c>
      <c r="I13" s="118">
        <v>0.5</v>
      </c>
      <c r="J13" s="118">
        <v>0.5</v>
      </c>
      <c r="K13" s="118">
        <v>0.5</v>
      </c>
      <c r="L13" s="118">
        <v>0.5</v>
      </c>
      <c r="M13" s="118">
        <v>0.5</v>
      </c>
      <c r="N13" s="118">
        <v>0.5</v>
      </c>
      <c r="O13" s="118">
        <v>0.2</v>
      </c>
      <c r="P13" s="118">
        <v>0.2</v>
      </c>
      <c r="Q13" s="118">
        <v>0.2</v>
      </c>
      <c r="R13" s="118">
        <v>0.2</v>
      </c>
      <c r="S13" s="118">
        <v>0.2</v>
      </c>
      <c r="T13" s="118">
        <v>0.2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0.6</v>
      </c>
      <c r="H14" s="118">
        <v>0.6</v>
      </c>
      <c r="I14" s="118">
        <v>0.6</v>
      </c>
      <c r="J14" s="118">
        <v>0.6</v>
      </c>
      <c r="K14" s="118">
        <v>0.6</v>
      </c>
      <c r="L14" s="118">
        <v>0.6</v>
      </c>
      <c r="M14" s="118">
        <v>0.6</v>
      </c>
      <c r="N14" s="118">
        <v>0.6</v>
      </c>
      <c r="O14" s="118">
        <v>0.6</v>
      </c>
      <c r="P14" s="118">
        <v>0.6</v>
      </c>
      <c r="Q14" s="118">
        <v>0.6</v>
      </c>
      <c r="R14" s="118">
        <v>0.6</v>
      </c>
      <c r="S14" s="118">
        <v>0.6</v>
      </c>
      <c r="T14" s="118">
        <v>0.6</v>
      </c>
      <c r="U14" s="118">
        <v>0.6</v>
      </c>
      <c r="V14" s="118">
        <v>0.6</v>
      </c>
      <c r="W14" s="118">
        <v>0.8</v>
      </c>
      <c r="X14" s="118">
        <v>0.8</v>
      </c>
      <c r="Y14" s="118">
        <v>0.8</v>
      </c>
      <c r="Z14" s="118">
        <v>0.8</v>
      </c>
      <c r="AA14" s="118">
        <v>0.3</v>
      </c>
      <c r="AB14" s="118">
        <v>0.3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0.6</v>
      </c>
      <c r="H15" s="118">
        <v>0.6</v>
      </c>
      <c r="I15" s="118">
        <v>0.6</v>
      </c>
      <c r="J15" s="118">
        <v>0.6</v>
      </c>
      <c r="K15" s="118">
        <v>0.6</v>
      </c>
      <c r="L15" s="118">
        <v>0.6</v>
      </c>
      <c r="M15" s="118">
        <v>0.6</v>
      </c>
      <c r="N15" s="118">
        <v>0.6</v>
      </c>
      <c r="O15" s="118">
        <v>0.6</v>
      </c>
      <c r="P15" s="118">
        <v>0.6</v>
      </c>
      <c r="Q15" s="118">
        <v>0.6</v>
      </c>
      <c r="R15" s="118">
        <v>0.6</v>
      </c>
      <c r="S15" s="118">
        <v>0.6</v>
      </c>
      <c r="T15" s="118">
        <v>0.6</v>
      </c>
      <c r="U15" s="118">
        <v>0.6</v>
      </c>
      <c r="V15" s="118">
        <v>0.6</v>
      </c>
      <c r="W15" s="118">
        <v>0.8</v>
      </c>
      <c r="X15" s="118">
        <v>0.8</v>
      </c>
      <c r="Y15" s="118">
        <v>1</v>
      </c>
      <c r="Z15" s="118">
        <v>1</v>
      </c>
      <c r="AA15" s="118">
        <v>0.7</v>
      </c>
      <c r="AB15" s="118">
        <v>0.7</v>
      </c>
      <c r="AC15" s="118">
        <v>0.5</v>
      </c>
      <c r="AD15" s="118">
        <v>0.5</v>
      </c>
      <c r="AE15" s="118">
        <v>0.5</v>
      </c>
      <c r="AF15" s="118">
        <v>0.5</v>
      </c>
      <c r="AG15" s="118">
        <v>0.5</v>
      </c>
      <c r="AH15" s="118">
        <v>0.5</v>
      </c>
      <c r="AI15" s="118">
        <v>0.5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3.5</v>
      </c>
      <c r="L16" s="118">
        <v>3.5</v>
      </c>
      <c r="M16" s="118">
        <v>3.5</v>
      </c>
      <c r="N16" s="118">
        <v>3.5</v>
      </c>
      <c r="O16" s="118">
        <v>4.5</v>
      </c>
      <c r="P16" s="118">
        <v>4.5</v>
      </c>
      <c r="Q16" s="118">
        <v>4.5</v>
      </c>
      <c r="R16" s="118">
        <v>4.5</v>
      </c>
      <c r="S16" s="118">
        <v>4.5</v>
      </c>
      <c r="T16" s="118">
        <v>4.5</v>
      </c>
      <c r="U16" s="118">
        <v>4.5</v>
      </c>
      <c r="V16" s="118">
        <v>4.5</v>
      </c>
      <c r="W16" s="118">
        <v>4.5</v>
      </c>
      <c r="X16" s="118">
        <v>4.5</v>
      </c>
      <c r="Y16" s="118">
        <v>5</v>
      </c>
      <c r="Z16" s="118">
        <v>5</v>
      </c>
      <c r="AA16" s="118">
        <v>2.5</v>
      </c>
      <c r="AB16" s="118">
        <v>2.5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1.2</v>
      </c>
      <c r="AI16" s="118">
        <v>1.2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0.2</v>
      </c>
      <c r="L17" s="118">
        <v>0.2</v>
      </c>
      <c r="M17" s="118">
        <v>0.2</v>
      </c>
      <c r="N17" s="118">
        <v>0.2</v>
      </c>
      <c r="O17" s="118">
        <v>0.5</v>
      </c>
      <c r="P17" s="118">
        <v>0.5</v>
      </c>
      <c r="Q17" s="118">
        <v>0.5</v>
      </c>
      <c r="R17" s="118">
        <v>0.5</v>
      </c>
      <c r="S17" s="118">
        <v>0.5</v>
      </c>
      <c r="T17" s="118">
        <v>0.5</v>
      </c>
      <c r="U17" s="118">
        <v>0.5</v>
      </c>
      <c r="V17" s="118">
        <v>0.5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1168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5.4</v>
      </c>
      <c r="H19" s="118">
        <f t="shared" si="1"/>
        <v>5.4</v>
      </c>
      <c r="I19" s="118">
        <f t="shared" si="1"/>
        <v>5.4</v>
      </c>
      <c r="J19" s="118">
        <f t="shared" si="1"/>
        <v>5.4</v>
      </c>
      <c r="K19" s="118">
        <f t="shared" si="1"/>
        <v>5.4</v>
      </c>
      <c r="L19" s="118">
        <f t="shared" si="1"/>
        <v>5.4</v>
      </c>
      <c r="M19" s="118">
        <f t="shared" si="1"/>
        <v>5.4</v>
      </c>
      <c r="N19" s="118">
        <f t="shared" si="1"/>
        <v>5.4</v>
      </c>
      <c r="O19" s="118">
        <f t="shared" si="1"/>
        <v>6.4</v>
      </c>
      <c r="P19" s="118">
        <f t="shared" si="1"/>
        <v>6.4</v>
      </c>
      <c r="Q19" s="118">
        <f t="shared" si="1"/>
        <v>6.4</v>
      </c>
      <c r="R19" s="118">
        <f t="shared" si="1"/>
        <v>6.4</v>
      </c>
      <c r="S19" s="118">
        <f t="shared" si="1"/>
        <v>6.4</v>
      </c>
      <c r="T19" s="118">
        <f t="shared" si="1"/>
        <v>6.4</v>
      </c>
      <c r="U19" s="118">
        <f t="shared" si="1"/>
        <v>6.4</v>
      </c>
      <c r="V19" s="118">
        <f t="shared" si="1"/>
        <v>6.4</v>
      </c>
      <c r="W19" s="118">
        <f t="shared" si="1"/>
        <v>7.4</v>
      </c>
      <c r="X19" s="118">
        <f t="shared" si="1"/>
        <v>7.4</v>
      </c>
      <c r="Y19" s="118">
        <f t="shared" si="1"/>
        <v>8.3000000000000007</v>
      </c>
      <c r="Z19" s="118">
        <f t="shared" si="1"/>
        <v>8.3000000000000007</v>
      </c>
      <c r="AA19" s="118">
        <f t="shared" si="1"/>
        <v>4.9000000000000004</v>
      </c>
      <c r="AB19" s="118">
        <f t="shared" si="1"/>
        <v>4.9000000000000004</v>
      </c>
      <c r="AC19" s="118">
        <f t="shared" si="1"/>
        <v>3</v>
      </c>
      <c r="AD19" s="118">
        <f t="shared" si="1"/>
        <v>3</v>
      </c>
      <c r="AE19" s="118">
        <f t="shared" si="1"/>
        <v>3</v>
      </c>
      <c r="AF19" s="118">
        <f t="shared" si="1"/>
        <v>3</v>
      </c>
      <c r="AG19" s="118">
        <f t="shared" si="1"/>
        <v>3</v>
      </c>
      <c r="AH19" s="118">
        <f t="shared" si="1"/>
        <v>3</v>
      </c>
      <c r="AI19" s="118">
        <f t="shared" si="1"/>
        <v>3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1169</v>
      </c>
      <c r="C20" s="333">
        <f>SUM(C13:AL18)*5</f>
        <v>947.99999999999943</v>
      </c>
      <c r="D20" s="334"/>
      <c r="E20" s="334"/>
      <c r="F20" s="334"/>
      <c r="G20" s="333">
        <f>TOTAL_EFFORT</f>
        <v>949</v>
      </c>
      <c r="H20" s="334"/>
      <c r="I20" s="334"/>
      <c r="J20" s="334"/>
    </row>
    <row r="21" spans="2:38" x14ac:dyDescent="0.35">
      <c r="B21" s="1" t="s">
        <v>1170</v>
      </c>
    </row>
    <row r="22" spans="2:38" x14ac:dyDescent="0.35">
      <c r="B22" s="117" t="s">
        <v>1171</v>
      </c>
      <c r="C22" s="341" t="s">
        <v>1172</v>
      </c>
      <c r="D22" s="334"/>
      <c r="E22" s="334"/>
      <c r="F22" s="334"/>
      <c r="G22" s="341" t="s">
        <v>25</v>
      </c>
      <c r="H22" s="334"/>
      <c r="I22" s="334"/>
      <c r="J22" s="334"/>
      <c r="K22" s="334"/>
      <c r="L22" s="334"/>
      <c r="M22" s="341" t="s">
        <v>1173</v>
      </c>
      <c r="N22" s="334"/>
      <c r="O22" s="334"/>
      <c r="P22" s="334"/>
      <c r="Q22" s="341" t="s">
        <v>1174</v>
      </c>
      <c r="R22" s="334"/>
      <c r="S22" s="334"/>
      <c r="T22" s="334"/>
      <c r="U22" s="334"/>
      <c r="V22" s="334"/>
      <c r="W22" s="334"/>
      <c r="X22" s="334"/>
      <c r="Y22" s="334"/>
      <c r="Z22" s="334"/>
      <c r="AA22" s="334"/>
      <c r="AB22" s="334"/>
      <c r="AC22" s="334"/>
      <c r="AD22" s="334"/>
      <c r="AE22" s="334"/>
      <c r="AF22" s="334"/>
      <c r="AG22" s="334"/>
      <c r="AH22" s="334"/>
      <c r="AI22" s="334"/>
      <c r="AJ22" s="334"/>
      <c r="AK22" s="334"/>
      <c r="AL22" s="334"/>
    </row>
    <row r="23" spans="2:38" x14ac:dyDescent="0.35">
      <c r="B23" t="s">
        <v>1175</v>
      </c>
      <c r="C23" s="333">
        <f>REQ_EFFORT+DESIGN_EFFORT</f>
        <v>143</v>
      </c>
      <c r="D23" s="334"/>
      <c r="E23" s="334"/>
      <c r="F23" s="334"/>
      <c r="G23" s="335">
        <f>REQ_COST+DESIGN_COST</f>
        <v>32032</v>
      </c>
      <c r="H23" s="334"/>
      <c r="I23" s="334"/>
      <c r="J23" s="334"/>
      <c r="K23" s="334"/>
      <c r="L23" s="334"/>
      <c r="M23" s="336">
        <f t="shared" ref="M23:M28" si="2">C23/$C$29</f>
        <v>0.15068493150684931</v>
      </c>
      <c r="N23" s="334"/>
      <c r="O23" s="334"/>
      <c r="P23" s="334"/>
      <c r="Q23" s="334" t="s">
        <v>1176</v>
      </c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4"/>
      <c r="AC23" s="334"/>
      <c r="AD23" s="334"/>
      <c r="AE23" s="334"/>
      <c r="AF23" s="334"/>
      <c r="AG23" s="334"/>
      <c r="AH23" s="334"/>
      <c r="AI23" s="334"/>
      <c r="AJ23" s="334"/>
      <c r="AK23" s="334"/>
      <c r="AL23" s="334"/>
    </row>
    <row r="24" spans="2:38" x14ac:dyDescent="0.35">
      <c r="B24" t="s">
        <v>1177</v>
      </c>
      <c r="C24" s="333">
        <f>DEV_EFFORT</f>
        <v>520</v>
      </c>
      <c r="D24" s="334"/>
      <c r="E24" s="334"/>
      <c r="F24" s="334"/>
      <c r="G24" s="335">
        <f>DEV_COST</f>
        <v>116480</v>
      </c>
      <c r="H24" s="334"/>
      <c r="I24" s="334"/>
      <c r="J24" s="334"/>
      <c r="K24" s="334"/>
      <c r="L24" s="334"/>
      <c r="M24" s="336">
        <f t="shared" si="2"/>
        <v>0.54794520547945202</v>
      </c>
      <c r="N24" s="334"/>
      <c r="O24" s="334"/>
      <c r="P24" s="334"/>
      <c r="Q24" s="334" t="s">
        <v>1178</v>
      </c>
      <c r="R24" s="334"/>
      <c r="S24" s="334"/>
      <c r="T24" s="334"/>
      <c r="U24" s="334"/>
      <c r="V24" s="334"/>
      <c r="W24" s="334"/>
      <c r="X24" s="334"/>
      <c r="Y24" s="334"/>
      <c r="Z24" s="334"/>
      <c r="AA24" s="334"/>
      <c r="AB24" s="334"/>
      <c r="AC24" s="334"/>
      <c r="AD24" s="334"/>
      <c r="AE24" s="334"/>
      <c r="AF24" s="334"/>
      <c r="AG24" s="334"/>
      <c r="AH24" s="334"/>
      <c r="AI24" s="334"/>
      <c r="AJ24" s="334"/>
      <c r="AK24" s="334"/>
      <c r="AL24" s="334"/>
    </row>
    <row r="25" spans="2:38" x14ac:dyDescent="0.35">
      <c r="B25" t="s">
        <v>1179</v>
      </c>
      <c r="C25" s="333">
        <f>QA_EFFORT</f>
        <v>96</v>
      </c>
      <c r="D25" s="334"/>
      <c r="E25" s="334"/>
      <c r="F25" s="334"/>
      <c r="G25" s="335">
        <f>QA_COST</f>
        <v>21504</v>
      </c>
      <c r="H25" s="334"/>
      <c r="I25" s="334"/>
      <c r="J25" s="334"/>
      <c r="K25" s="334"/>
      <c r="L25" s="334"/>
      <c r="M25" s="336">
        <f t="shared" si="2"/>
        <v>0.10115911485774499</v>
      </c>
      <c r="N25" s="334"/>
      <c r="O25" s="334"/>
      <c r="P25" s="334"/>
      <c r="Q25" s="334" t="s">
        <v>1180</v>
      </c>
      <c r="R25" s="334"/>
      <c r="S25" s="334"/>
      <c r="T25" s="334"/>
      <c r="U25" s="334"/>
      <c r="V25" s="334"/>
      <c r="W25" s="334"/>
      <c r="X25" s="334"/>
      <c r="Y25" s="334"/>
      <c r="Z25" s="334"/>
      <c r="AA25" s="334"/>
      <c r="AB25" s="334"/>
      <c r="AC25" s="334"/>
      <c r="AD25" s="334"/>
      <c r="AE25" s="334"/>
      <c r="AF25" s="334"/>
      <c r="AG25" s="334"/>
      <c r="AH25" s="334"/>
      <c r="AI25" s="334"/>
      <c r="AJ25" s="334"/>
      <c r="AK25" s="334"/>
      <c r="AL25" s="334"/>
    </row>
    <row r="26" spans="2:38" x14ac:dyDescent="0.35">
      <c r="B26" t="s">
        <v>1181</v>
      </c>
      <c r="C26" s="333">
        <f>Estimation!T420+Estimation!T425</f>
        <v>70</v>
      </c>
      <c r="D26" s="334"/>
      <c r="E26" s="334"/>
      <c r="F26" s="334"/>
      <c r="G26" s="335">
        <f>UAT_COST*C26/UAT_EFFORT</f>
        <v>15680</v>
      </c>
      <c r="H26" s="334"/>
      <c r="I26" s="334"/>
      <c r="J26" s="334"/>
      <c r="K26" s="334"/>
      <c r="L26" s="334"/>
      <c r="M26" s="336">
        <f t="shared" si="2"/>
        <v>7.3761854583772393E-2</v>
      </c>
      <c r="N26" s="334"/>
      <c r="O26" s="334"/>
      <c r="P26" s="334"/>
      <c r="Q26" s="334" t="s">
        <v>1182</v>
      </c>
      <c r="R26" s="334"/>
      <c r="S26" s="334"/>
      <c r="T26" s="334"/>
      <c r="U26" s="334"/>
      <c r="V26" s="334"/>
      <c r="W26" s="334"/>
      <c r="X26" s="334"/>
      <c r="Y26" s="334"/>
      <c r="Z26" s="334"/>
      <c r="AA26" s="334"/>
      <c r="AB26" s="334"/>
      <c r="AC26" s="334"/>
      <c r="AD26" s="334"/>
      <c r="AE26" s="334"/>
      <c r="AF26" s="334"/>
      <c r="AG26" s="334"/>
      <c r="AH26" s="334"/>
      <c r="AI26" s="334"/>
      <c r="AJ26" s="334"/>
      <c r="AK26" s="334"/>
      <c r="AL26" s="334"/>
    </row>
    <row r="27" spans="2:38" x14ac:dyDescent="0.35">
      <c r="B27" t="s">
        <v>1183</v>
      </c>
      <c r="C27" s="333">
        <f>Estimation!T431+Estimation!T438</f>
        <v>50</v>
      </c>
      <c r="D27" s="334"/>
      <c r="E27" s="334"/>
      <c r="F27" s="334"/>
      <c r="G27" s="335">
        <f>UAT_COST*C27/UAT_EFFORT</f>
        <v>11200</v>
      </c>
      <c r="H27" s="334"/>
      <c r="I27" s="334"/>
      <c r="J27" s="334"/>
      <c r="K27" s="334"/>
      <c r="L27" s="334"/>
      <c r="M27" s="336">
        <f t="shared" si="2"/>
        <v>5.2687038988408853E-2</v>
      </c>
      <c r="N27" s="334"/>
      <c r="O27" s="334"/>
      <c r="P27" s="334"/>
      <c r="Q27" s="334" t="s">
        <v>1184</v>
      </c>
      <c r="R27" s="334"/>
      <c r="S27" s="334"/>
      <c r="T27" s="334"/>
      <c r="U27" s="334"/>
      <c r="V27" s="334"/>
      <c r="W27" s="334"/>
      <c r="X27" s="334"/>
      <c r="Y27" s="334"/>
      <c r="Z27" s="334"/>
      <c r="AA27" s="334"/>
      <c r="AB27" s="334"/>
      <c r="AC27" s="334"/>
      <c r="AD27" s="334"/>
      <c r="AE27" s="334"/>
      <c r="AF27" s="334"/>
      <c r="AG27" s="334"/>
      <c r="AH27" s="334"/>
      <c r="AI27" s="334"/>
      <c r="AJ27" s="334"/>
      <c r="AK27" s="334"/>
      <c r="AL27" s="334"/>
    </row>
    <row r="28" spans="2:38" x14ac:dyDescent="0.35">
      <c r="B28" t="s">
        <v>1185</v>
      </c>
      <c r="C28" s="333">
        <f>OTHER_EFFORT</f>
        <v>70</v>
      </c>
      <c r="D28" s="334"/>
      <c r="E28" s="334"/>
      <c r="F28" s="334"/>
      <c r="G28" s="335">
        <f>OTHER_COST</f>
        <v>15680</v>
      </c>
      <c r="H28" s="334"/>
      <c r="I28" s="334"/>
      <c r="J28" s="334"/>
      <c r="K28" s="334"/>
      <c r="L28" s="334"/>
      <c r="M28" s="336">
        <f t="shared" si="2"/>
        <v>7.3761854583772393E-2</v>
      </c>
      <c r="N28" s="334"/>
      <c r="O28" s="334"/>
      <c r="P28" s="334"/>
      <c r="Q28" s="334" t="s">
        <v>1186</v>
      </c>
      <c r="R28" s="334"/>
      <c r="S28" s="334"/>
      <c r="T28" s="334"/>
      <c r="U28" s="334"/>
      <c r="V28" s="334"/>
      <c r="W28" s="334"/>
      <c r="X28" s="334"/>
      <c r="Y28" s="334"/>
      <c r="Z28" s="334"/>
      <c r="AA28" s="334"/>
      <c r="AB28" s="334"/>
      <c r="AC28" s="334"/>
      <c r="AD28" s="334"/>
      <c r="AE28" s="334"/>
      <c r="AF28" s="334"/>
      <c r="AG28" s="334"/>
      <c r="AH28" s="334"/>
      <c r="AI28" s="334"/>
      <c r="AJ28" s="334"/>
      <c r="AK28" s="334"/>
      <c r="AL28" s="334"/>
    </row>
    <row r="29" spans="2:38" x14ac:dyDescent="0.35">
      <c r="B29" s="1" t="s">
        <v>1187</v>
      </c>
      <c r="C29" s="337">
        <f>SUM(C23:C28)</f>
        <v>949</v>
      </c>
      <c r="D29" s="334"/>
      <c r="E29" s="334"/>
      <c r="F29" s="334"/>
      <c r="G29" s="338">
        <f>SUM(G23:G28)</f>
        <v>212576</v>
      </c>
      <c r="H29" s="334"/>
      <c r="I29" s="334"/>
      <c r="J29" s="334"/>
      <c r="K29" s="334"/>
      <c r="L29" s="334"/>
      <c r="M29" s="339">
        <f>SUM(M23:M28)</f>
        <v>0.99999999999999989</v>
      </c>
      <c r="N29" s="334"/>
      <c r="O29" s="334"/>
      <c r="P29" s="334"/>
      <c r="Q29" s="340" t="str">
        <f>IF(AND(C29=TOTAL_EFFORT,ROUND(G29,0)=ROUND(TOTAL_COST,0)),"Ties to Estimation totals (O510 / W510)","CHECK: does not tie to O510 / W510")</f>
        <v>Ties to Estimation totals (O510 / W510)</v>
      </c>
      <c r="R29" s="334"/>
      <c r="S29" s="334"/>
      <c r="T29" s="334"/>
      <c r="U29" s="334"/>
      <c r="V29" s="334"/>
      <c r="W29" s="334"/>
      <c r="X29" s="334"/>
      <c r="Y29" s="334"/>
      <c r="Z29" s="334"/>
      <c r="AA29" s="334"/>
      <c r="AB29" s="334"/>
      <c r="AC29" s="334"/>
      <c r="AD29" s="334"/>
      <c r="AE29" s="334"/>
      <c r="AF29" s="334"/>
      <c r="AG29" s="334"/>
      <c r="AH29" s="334"/>
      <c r="AI29" s="334"/>
      <c r="AJ29" s="334"/>
      <c r="AK29" s="334"/>
      <c r="AL29" s="334"/>
    </row>
    <row r="31" spans="2:38" x14ac:dyDescent="0.35">
      <c r="B31" s="1" t="s">
        <v>1188</v>
      </c>
    </row>
    <row r="32" spans="2:38" x14ac:dyDescent="0.35">
      <c r="B32" t="s">
        <v>1189</v>
      </c>
    </row>
    <row r="33" spans="2:2" x14ac:dyDescent="0.35">
      <c r="B33" t="s">
        <v>1190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(142 PD / USD 31,886). Buffer is '-' on every activity.</v>
      </c>
    </row>
    <row r="35" spans="2:2" x14ac:dyDescent="0.35">
      <c r="B35" t="s">
        <v>1191</v>
      </c>
    </row>
    <row r="36" spans="2:2" x14ac:dyDescent="0.35">
      <c r="B36" t="s">
        <v>1192</v>
      </c>
    </row>
    <row r="37" spans="2:2" x14ac:dyDescent="0.35">
      <c r="B37" t="s">
        <v>1193</v>
      </c>
    </row>
    <row r="38" spans="2:2" x14ac:dyDescent="0.35">
      <c r="B38" t="s">
        <v>1194</v>
      </c>
    </row>
  </sheetData>
  <mergeCells count="45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  <mergeCell ref="C20:F20"/>
    <mergeCell ref="G20:J20"/>
    <mergeCell ref="C22:F22"/>
    <mergeCell ref="G22:L22"/>
    <mergeCell ref="M22:P22"/>
    <mergeCell ref="Q22:AL22"/>
    <mergeCell ref="C23:F23"/>
    <mergeCell ref="G23:L23"/>
    <mergeCell ref="M23:P23"/>
    <mergeCell ref="Q23:AL23"/>
    <mergeCell ref="C24:F24"/>
    <mergeCell ref="G24:L24"/>
    <mergeCell ref="M24:P24"/>
    <mergeCell ref="Q24:AL24"/>
    <mergeCell ref="C25:F25"/>
    <mergeCell ref="G25:L25"/>
    <mergeCell ref="M25:P25"/>
    <mergeCell ref="Q25:AL25"/>
    <mergeCell ref="C26:F26"/>
    <mergeCell ref="G26:L26"/>
    <mergeCell ref="M26:P26"/>
    <mergeCell ref="Q26:AL26"/>
    <mergeCell ref="C27:F27"/>
    <mergeCell ref="G27:L27"/>
    <mergeCell ref="M27:P27"/>
    <mergeCell ref="Q27:AL27"/>
    <mergeCell ref="C28:F28"/>
    <mergeCell ref="G28:L28"/>
    <mergeCell ref="M28:P28"/>
    <mergeCell ref="Q28:AL28"/>
    <mergeCell ref="C29:F29"/>
    <mergeCell ref="G29:L29"/>
    <mergeCell ref="M29:P29"/>
    <mergeCell ref="Q29:AL29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95"/>
  <sheetViews>
    <sheetView topLeftCell="A88" workbookViewId="0">
      <selection activeCell="E11" sqref="E11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2" spans="1:8" x14ac:dyDescent="0.35">
      <c r="A52" s="274" t="s">
        <v>495</v>
      </c>
      <c r="B52" s="1" t="s">
        <v>761</v>
      </c>
      <c r="C52" s="275" t="s">
        <v>648</v>
      </c>
      <c r="D52" s="274" t="s">
        <v>601</v>
      </c>
      <c r="E52" s="275" t="s">
        <v>602</v>
      </c>
      <c r="F52" s="275" t="s">
        <v>603</v>
      </c>
      <c r="G52" s="275" t="s">
        <v>649</v>
      </c>
      <c r="H52" s="275" t="s">
        <v>650</v>
      </c>
    </row>
    <row r="53" spans="1:8" x14ac:dyDescent="0.35">
      <c r="A53" s="276" t="s">
        <v>498</v>
      </c>
      <c r="B53" s="278" t="s">
        <v>499</v>
      </c>
      <c r="C53" s="277" t="s">
        <v>651</v>
      </c>
      <c r="D53" s="276" t="s">
        <v>652</v>
      </c>
      <c r="E53" s="277" t="s">
        <v>653</v>
      </c>
      <c r="F53" s="277" t="s">
        <v>499</v>
      </c>
      <c r="G53" s="277" t="s">
        <v>654</v>
      </c>
      <c r="H53" s="277" t="s">
        <v>107</v>
      </c>
    </row>
    <row r="54" spans="1:8" x14ac:dyDescent="0.35">
      <c r="A54" s="276" t="s">
        <v>498</v>
      </c>
      <c r="B54" s="278" t="s">
        <v>499</v>
      </c>
      <c r="C54" s="277" t="s">
        <v>651</v>
      </c>
      <c r="D54" s="276" t="s">
        <v>655</v>
      </c>
      <c r="E54" s="277" t="s">
        <v>656</v>
      </c>
      <c r="F54" s="277" t="s">
        <v>499</v>
      </c>
      <c r="G54" s="277" t="s">
        <v>657</v>
      </c>
      <c r="H54" s="277" t="s">
        <v>658</v>
      </c>
    </row>
    <row r="55" spans="1:8" x14ac:dyDescent="0.35">
      <c r="A55" s="276" t="s">
        <v>498</v>
      </c>
      <c r="B55" s="278" t="s">
        <v>499</v>
      </c>
      <c r="C55" s="277" t="s">
        <v>651</v>
      </c>
      <c r="D55" s="276" t="s">
        <v>659</v>
      </c>
      <c r="E55" s="277" t="s">
        <v>660</v>
      </c>
      <c r="F55" s="277" t="s">
        <v>621</v>
      </c>
      <c r="G55" s="277" t="s">
        <v>657</v>
      </c>
      <c r="H55" s="277" t="s">
        <v>107</v>
      </c>
    </row>
    <row r="56" spans="1:8" x14ac:dyDescent="0.35">
      <c r="A56" s="276" t="s">
        <v>501</v>
      </c>
      <c r="B56" s="278" t="s">
        <v>499</v>
      </c>
      <c r="C56" s="277" t="s">
        <v>502</v>
      </c>
      <c r="D56" s="276" t="s">
        <v>661</v>
      </c>
      <c r="E56" s="277" t="s">
        <v>662</v>
      </c>
      <c r="F56" s="277" t="s">
        <v>499</v>
      </c>
      <c r="G56" s="277" t="s">
        <v>654</v>
      </c>
      <c r="H56" s="277" t="s">
        <v>47</v>
      </c>
    </row>
    <row r="57" spans="1:8" x14ac:dyDescent="0.35">
      <c r="A57" s="276" t="s">
        <v>501</v>
      </c>
      <c r="B57" s="278" t="s">
        <v>499</v>
      </c>
      <c r="C57" s="277" t="s">
        <v>502</v>
      </c>
      <c r="D57" s="276" t="s">
        <v>663</v>
      </c>
      <c r="E57" s="277" t="s">
        <v>664</v>
      </c>
      <c r="F57" s="277" t="s">
        <v>499</v>
      </c>
      <c r="G57" s="277" t="s">
        <v>665</v>
      </c>
      <c r="H57" s="277" t="s">
        <v>107</v>
      </c>
    </row>
    <row r="58" spans="1:8" x14ac:dyDescent="0.35">
      <c r="A58" s="276" t="s">
        <v>501</v>
      </c>
      <c r="B58" s="278" t="s">
        <v>499</v>
      </c>
      <c r="C58" s="277" t="s">
        <v>502</v>
      </c>
      <c r="D58" s="276" t="s">
        <v>666</v>
      </c>
      <c r="E58" s="277" t="s">
        <v>667</v>
      </c>
      <c r="F58" s="277" t="s">
        <v>621</v>
      </c>
      <c r="G58" s="277" t="s">
        <v>657</v>
      </c>
      <c r="H58" s="277" t="s">
        <v>107</v>
      </c>
    </row>
    <row r="59" spans="1:8" x14ac:dyDescent="0.35">
      <c r="A59" s="276" t="s">
        <v>503</v>
      </c>
      <c r="B59" s="278" t="s">
        <v>499</v>
      </c>
      <c r="C59" s="277" t="s">
        <v>504</v>
      </c>
      <c r="D59" s="276" t="s">
        <v>668</v>
      </c>
      <c r="E59" s="277" t="s">
        <v>669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503</v>
      </c>
      <c r="B60" s="278" t="s">
        <v>499</v>
      </c>
      <c r="C60" s="277" t="s">
        <v>504</v>
      </c>
      <c r="D60" s="276" t="s">
        <v>670</v>
      </c>
      <c r="E60" s="277" t="s">
        <v>671</v>
      </c>
      <c r="F60" s="277" t="s">
        <v>499</v>
      </c>
      <c r="G60" s="277" t="s">
        <v>665</v>
      </c>
      <c r="H60" s="277" t="s">
        <v>107</v>
      </c>
    </row>
    <row r="61" spans="1:8" x14ac:dyDescent="0.35">
      <c r="A61" s="276" t="s">
        <v>503</v>
      </c>
      <c r="B61" s="278" t="s">
        <v>499</v>
      </c>
      <c r="C61" s="277" t="s">
        <v>504</v>
      </c>
      <c r="D61" s="276" t="s">
        <v>672</v>
      </c>
      <c r="E61" s="277" t="s">
        <v>673</v>
      </c>
      <c r="F61" s="277" t="s">
        <v>621</v>
      </c>
      <c r="G61" s="277" t="s">
        <v>657</v>
      </c>
      <c r="H61" s="277" t="s">
        <v>658</v>
      </c>
    </row>
    <row r="62" spans="1:8" x14ac:dyDescent="0.35">
      <c r="A62" s="276" t="s">
        <v>505</v>
      </c>
      <c r="B62" s="278" t="s">
        <v>499</v>
      </c>
      <c r="C62" s="277" t="s">
        <v>674</v>
      </c>
      <c r="D62" s="276" t="s">
        <v>675</v>
      </c>
      <c r="E62" s="277" t="s">
        <v>676</v>
      </c>
      <c r="F62" s="277" t="s">
        <v>621</v>
      </c>
      <c r="G62" s="277" t="s">
        <v>654</v>
      </c>
      <c r="H62" s="277" t="s">
        <v>107</v>
      </c>
    </row>
    <row r="63" spans="1:8" x14ac:dyDescent="0.35">
      <c r="A63" s="276" t="s">
        <v>505</v>
      </c>
      <c r="B63" s="278" t="s">
        <v>499</v>
      </c>
      <c r="C63" s="277" t="s">
        <v>674</v>
      </c>
      <c r="D63" s="276" t="s">
        <v>677</v>
      </c>
      <c r="E63" s="277" t="s">
        <v>678</v>
      </c>
      <c r="F63" s="277" t="s">
        <v>621</v>
      </c>
      <c r="G63" s="277" t="s">
        <v>657</v>
      </c>
      <c r="H63" s="277" t="s">
        <v>658</v>
      </c>
    </row>
    <row r="64" spans="1:8" x14ac:dyDescent="0.35">
      <c r="A64" s="276" t="s">
        <v>507</v>
      </c>
      <c r="B64" s="278" t="s">
        <v>499</v>
      </c>
      <c r="C64" s="277" t="s">
        <v>679</v>
      </c>
      <c r="D64" s="276" t="s">
        <v>680</v>
      </c>
      <c r="E64" s="277" t="s">
        <v>681</v>
      </c>
      <c r="F64" s="277" t="s">
        <v>499</v>
      </c>
      <c r="G64" s="277" t="s">
        <v>654</v>
      </c>
      <c r="H64" s="277" t="s">
        <v>658</v>
      </c>
    </row>
    <row r="65" spans="1:8" x14ac:dyDescent="0.35">
      <c r="A65" s="276" t="s">
        <v>507</v>
      </c>
      <c r="B65" s="278" t="s">
        <v>499</v>
      </c>
      <c r="C65" s="277" t="s">
        <v>679</v>
      </c>
      <c r="D65" s="276" t="s">
        <v>682</v>
      </c>
      <c r="E65" s="277" t="s">
        <v>683</v>
      </c>
      <c r="F65" s="277" t="s">
        <v>499</v>
      </c>
      <c r="G65" s="277" t="s">
        <v>665</v>
      </c>
      <c r="H65" s="277" t="s">
        <v>658</v>
      </c>
    </row>
    <row r="66" spans="1:8" x14ac:dyDescent="0.35">
      <c r="A66" s="276" t="s">
        <v>509</v>
      </c>
      <c r="B66" s="278" t="s">
        <v>757</v>
      </c>
      <c r="C66" s="277" t="s">
        <v>684</v>
      </c>
      <c r="D66" s="276" t="s">
        <v>685</v>
      </c>
      <c r="E66" s="277" t="s">
        <v>686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509</v>
      </c>
      <c r="B67" s="278" t="s">
        <v>757</v>
      </c>
      <c r="C67" s="277" t="s">
        <v>684</v>
      </c>
      <c r="D67" s="276" t="s">
        <v>687</v>
      </c>
      <c r="E67" s="277" t="s">
        <v>688</v>
      </c>
      <c r="F67" s="277" t="s">
        <v>499</v>
      </c>
      <c r="G67" s="277" t="s">
        <v>665</v>
      </c>
      <c r="H67" s="277" t="s">
        <v>658</v>
      </c>
    </row>
    <row r="68" spans="1:8" x14ac:dyDescent="0.35">
      <c r="A68" s="276" t="s">
        <v>511</v>
      </c>
      <c r="B68" s="278" t="s">
        <v>757</v>
      </c>
      <c r="C68" s="277" t="s">
        <v>689</v>
      </c>
      <c r="D68" s="276" t="s">
        <v>690</v>
      </c>
      <c r="E68" s="277" t="s">
        <v>691</v>
      </c>
      <c r="F68" s="277" t="s">
        <v>499</v>
      </c>
      <c r="G68" s="277" t="s">
        <v>654</v>
      </c>
      <c r="H68" s="277" t="s">
        <v>658</v>
      </c>
    </row>
    <row r="69" spans="1:8" x14ac:dyDescent="0.35">
      <c r="A69" s="276" t="s">
        <v>511</v>
      </c>
      <c r="B69" s="278" t="s">
        <v>757</v>
      </c>
      <c r="C69" s="277" t="s">
        <v>689</v>
      </c>
      <c r="D69" s="276" t="s">
        <v>692</v>
      </c>
      <c r="E69" s="277" t="s">
        <v>693</v>
      </c>
      <c r="F69" s="277" t="s">
        <v>499</v>
      </c>
      <c r="G69" s="277" t="s">
        <v>665</v>
      </c>
      <c r="H69" s="277" t="s">
        <v>107</v>
      </c>
    </row>
    <row r="70" spans="1:8" x14ac:dyDescent="0.35">
      <c r="A70" s="276" t="s">
        <v>513</v>
      </c>
      <c r="B70" s="278" t="s">
        <v>757</v>
      </c>
      <c r="C70" s="277" t="s">
        <v>694</v>
      </c>
      <c r="D70" s="276" t="s">
        <v>695</v>
      </c>
      <c r="E70" s="277" t="s">
        <v>696</v>
      </c>
      <c r="F70" s="277" t="s">
        <v>499</v>
      </c>
      <c r="G70" s="277" t="s">
        <v>654</v>
      </c>
      <c r="H70" s="277" t="s">
        <v>107</v>
      </c>
    </row>
    <row r="71" spans="1:8" x14ac:dyDescent="0.35">
      <c r="A71" s="276" t="s">
        <v>513</v>
      </c>
      <c r="B71" s="278" t="s">
        <v>757</v>
      </c>
      <c r="C71" s="277" t="s">
        <v>694</v>
      </c>
      <c r="D71" s="276" t="s">
        <v>697</v>
      </c>
      <c r="E71" s="277" t="s">
        <v>698</v>
      </c>
      <c r="F71" s="277" t="s">
        <v>499</v>
      </c>
      <c r="G71" s="277" t="s">
        <v>665</v>
      </c>
      <c r="H71" s="277" t="s">
        <v>107</v>
      </c>
    </row>
    <row r="72" spans="1:8" x14ac:dyDescent="0.35">
      <c r="A72" s="276" t="s">
        <v>515</v>
      </c>
      <c r="B72" s="278" t="s">
        <v>757</v>
      </c>
      <c r="C72" s="277" t="s">
        <v>699</v>
      </c>
      <c r="D72" s="276" t="s">
        <v>700</v>
      </c>
      <c r="E72" s="277" t="s">
        <v>701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515</v>
      </c>
      <c r="B73" s="278" t="s">
        <v>757</v>
      </c>
      <c r="C73" s="277" t="s">
        <v>699</v>
      </c>
      <c r="D73" s="276" t="s">
        <v>702</v>
      </c>
      <c r="E73" s="277" t="s">
        <v>703</v>
      </c>
      <c r="F73" s="277" t="s">
        <v>621</v>
      </c>
      <c r="G73" s="277" t="s">
        <v>657</v>
      </c>
      <c r="H73" s="277" t="s">
        <v>658</v>
      </c>
    </row>
    <row r="74" spans="1:8" x14ac:dyDescent="0.35">
      <c r="A74" s="276" t="s">
        <v>534</v>
      </c>
      <c r="B74" s="278" t="s">
        <v>758</v>
      </c>
      <c r="C74" s="277" t="s">
        <v>704</v>
      </c>
      <c r="D74" s="276" t="s">
        <v>705</v>
      </c>
      <c r="E74" s="277" t="s">
        <v>706</v>
      </c>
      <c r="F74" s="277" t="s">
        <v>621</v>
      </c>
      <c r="G74" s="277" t="s">
        <v>654</v>
      </c>
      <c r="H74" s="277" t="s">
        <v>107</v>
      </c>
    </row>
    <row r="75" spans="1:8" x14ac:dyDescent="0.35">
      <c r="A75" s="276" t="s">
        <v>534</v>
      </c>
      <c r="B75" s="278" t="s">
        <v>758</v>
      </c>
      <c r="C75" s="277" t="s">
        <v>704</v>
      </c>
      <c r="D75" s="276" t="s">
        <v>707</v>
      </c>
      <c r="E75" s="277" t="s">
        <v>708</v>
      </c>
      <c r="F75" s="277" t="s">
        <v>617</v>
      </c>
      <c r="G75" s="277" t="s">
        <v>665</v>
      </c>
      <c r="H75" s="277" t="s">
        <v>658</v>
      </c>
    </row>
    <row r="76" spans="1:8" x14ac:dyDescent="0.35">
      <c r="A76" s="276" t="s">
        <v>539</v>
      </c>
      <c r="B76" s="278" t="s">
        <v>758</v>
      </c>
      <c r="C76" s="277" t="s">
        <v>709</v>
      </c>
      <c r="D76" s="276" t="s">
        <v>710</v>
      </c>
      <c r="E76" s="277" t="s">
        <v>711</v>
      </c>
      <c r="F76" s="277" t="s">
        <v>621</v>
      </c>
      <c r="G76" s="277" t="s">
        <v>654</v>
      </c>
      <c r="H76" s="277" t="s">
        <v>107</v>
      </c>
    </row>
    <row r="77" spans="1:8" x14ac:dyDescent="0.35">
      <c r="A77" s="276" t="s">
        <v>539</v>
      </c>
      <c r="B77" s="278" t="s">
        <v>758</v>
      </c>
      <c r="C77" s="277" t="s">
        <v>709</v>
      </c>
      <c r="D77" s="276" t="s">
        <v>712</v>
      </c>
      <c r="E77" s="277" t="s">
        <v>713</v>
      </c>
      <c r="F77" s="277" t="s">
        <v>617</v>
      </c>
      <c r="G77" s="277" t="s">
        <v>665</v>
      </c>
      <c r="H77" s="277" t="s">
        <v>658</v>
      </c>
    </row>
    <row r="78" spans="1:8" x14ac:dyDescent="0.35">
      <c r="A78" s="276" t="s">
        <v>541</v>
      </c>
      <c r="B78" s="278" t="s">
        <v>758</v>
      </c>
      <c r="C78" s="277" t="s">
        <v>714</v>
      </c>
      <c r="D78" s="276" t="s">
        <v>715</v>
      </c>
      <c r="E78" s="277" t="s">
        <v>716</v>
      </c>
      <c r="F78" s="277" t="s">
        <v>612</v>
      </c>
      <c r="G78" s="277" t="s">
        <v>654</v>
      </c>
      <c r="H78" s="277" t="s">
        <v>107</v>
      </c>
    </row>
    <row r="79" spans="1:8" x14ac:dyDescent="0.35">
      <c r="A79" s="276" t="s">
        <v>541</v>
      </c>
      <c r="B79" s="278" t="s">
        <v>758</v>
      </c>
      <c r="C79" s="277" t="s">
        <v>714</v>
      </c>
      <c r="D79" s="276" t="s">
        <v>717</v>
      </c>
      <c r="E79" s="277" t="s">
        <v>718</v>
      </c>
      <c r="F79" s="277" t="s">
        <v>612</v>
      </c>
      <c r="G79" s="277" t="s">
        <v>665</v>
      </c>
      <c r="H79" s="277" t="s">
        <v>107</v>
      </c>
    </row>
    <row r="80" spans="1:8" x14ac:dyDescent="0.35">
      <c r="A80" s="276" t="s">
        <v>547</v>
      </c>
      <c r="B80" s="278" t="s">
        <v>758</v>
      </c>
      <c r="C80" s="277" t="s">
        <v>719</v>
      </c>
      <c r="D80" s="276" t="s">
        <v>720</v>
      </c>
      <c r="E80" s="277" t="s">
        <v>721</v>
      </c>
      <c r="F80" s="277" t="s">
        <v>615</v>
      </c>
      <c r="G80" s="277" t="s">
        <v>654</v>
      </c>
      <c r="H80" s="277" t="s">
        <v>47</v>
      </c>
    </row>
    <row r="81" spans="1:8" x14ac:dyDescent="0.35">
      <c r="A81" s="276" t="s">
        <v>547</v>
      </c>
      <c r="B81" s="278" t="s">
        <v>758</v>
      </c>
      <c r="C81" s="277" t="s">
        <v>719</v>
      </c>
      <c r="D81" s="276" t="s">
        <v>722</v>
      </c>
      <c r="E81" s="277" t="s">
        <v>723</v>
      </c>
      <c r="F81" s="277" t="s">
        <v>615</v>
      </c>
      <c r="G81" s="277" t="s">
        <v>665</v>
      </c>
      <c r="H81" s="277" t="s">
        <v>107</v>
      </c>
    </row>
    <row r="82" spans="1:8" x14ac:dyDescent="0.35">
      <c r="A82" s="276" t="s">
        <v>549</v>
      </c>
      <c r="B82" s="278" t="s">
        <v>758</v>
      </c>
      <c r="C82" s="277" t="s">
        <v>724</v>
      </c>
      <c r="D82" s="276" t="s">
        <v>725</v>
      </c>
      <c r="E82" s="277" t="s">
        <v>726</v>
      </c>
      <c r="F82" s="277" t="s">
        <v>617</v>
      </c>
      <c r="G82" s="277" t="s">
        <v>654</v>
      </c>
      <c r="H82" s="277" t="s">
        <v>107</v>
      </c>
    </row>
    <row r="83" spans="1:8" x14ac:dyDescent="0.35">
      <c r="A83" s="276" t="s">
        <v>549</v>
      </c>
      <c r="B83" s="278" t="s">
        <v>758</v>
      </c>
      <c r="C83" s="277" t="s">
        <v>724</v>
      </c>
      <c r="D83" s="276" t="s">
        <v>727</v>
      </c>
      <c r="E83" s="277" t="s">
        <v>728</v>
      </c>
      <c r="F83" s="277" t="s">
        <v>617</v>
      </c>
      <c r="G83" s="277" t="s">
        <v>665</v>
      </c>
      <c r="H83" s="277" t="s">
        <v>107</v>
      </c>
    </row>
    <row r="84" spans="1:8" x14ac:dyDescent="0.35">
      <c r="A84" s="276" t="s">
        <v>559</v>
      </c>
      <c r="B84" s="278" t="s">
        <v>759</v>
      </c>
      <c r="C84" s="277" t="s">
        <v>729</v>
      </c>
      <c r="D84" s="276" t="s">
        <v>730</v>
      </c>
      <c r="E84" s="277" t="s">
        <v>731</v>
      </c>
      <c r="F84" s="277" t="s">
        <v>621</v>
      </c>
      <c r="G84" s="277" t="s">
        <v>654</v>
      </c>
      <c r="H84" s="277" t="s">
        <v>47</v>
      </c>
    </row>
    <row r="85" spans="1:8" x14ac:dyDescent="0.35">
      <c r="A85" s="276" t="s">
        <v>559</v>
      </c>
      <c r="B85" s="278" t="s">
        <v>759</v>
      </c>
      <c r="C85" s="277" t="s">
        <v>729</v>
      </c>
      <c r="D85" s="276" t="s">
        <v>732</v>
      </c>
      <c r="E85" s="277" t="s">
        <v>733</v>
      </c>
      <c r="F85" s="277" t="s">
        <v>621</v>
      </c>
      <c r="G85" s="277" t="s">
        <v>657</v>
      </c>
      <c r="H85" s="277" t="s">
        <v>107</v>
      </c>
    </row>
    <row r="86" spans="1:8" x14ac:dyDescent="0.35">
      <c r="A86" s="276" t="s">
        <v>562</v>
      </c>
      <c r="B86" s="278" t="s">
        <v>759</v>
      </c>
      <c r="C86" s="277" t="s">
        <v>734</v>
      </c>
      <c r="D86" s="276" t="s">
        <v>735</v>
      </c>
      <c r="E86" s="277" t="s">
        <v>736</v>
      </c>
      <c r="F86" s="277" t="s">
        <v>621</v>
      </c>
      <c r="G86" s="277" t="s">
        <v>654</v>
      </c>
      <c r="H86" s="277" t="s">
        <v>47</v>
      </c>
    </row>
    <row r="87" spans="1:8" x14ac:dyDescent="0.35">
      <c r="A87" s="276" t="s">
        <v>562</v>
      </c>
      <c r="B87" s="278" t="s">
        <v>759</v>
      </c>
      <c r="C87" s="277" t="s">
        <v>734</v>
      </c>
      <c r="D87" s="276" t="s">
        <v>737</v>
      </c>
      <c r="E87" s="277" t="s">
        <v>738</v>
      </c>
      <c r="F87" s="277" t="s">
        <v>621</v>
      </c>
      <c r="G87" s="277" t="s">
        <v>657</v>
      </c>
      <c r="H87" s="277" t="s">
        <v>107</v>
      </c>
    </row>
    <row r="88" spans="1:8" x14ac:dyDescent="0.35">
      <c r="A88" s="276" t="s">
        <v>564</v>
      </c>
      <c r="B88" s="278" t="s">
        <v>759</v>
      </c>
      <c r="C88" s="277" t="s">
        <v>565</v>
      </c>
      <c r="D88" s="276" t="s">
        <v>739</v>
      </c>
      <c r="E88" s="277" t="s">
        <v>740</v>
      </c>
      <c r="F88" s="277" t="s">
        <v>621</v>
      </c>
      <c r="G88" s="277" t="s">
        <v>654</v>
      </c>
      <c r="H88" s="277" t="s">
        <v>107</v>
      </c>
    </row>
    <row r="89" spans="1:8" x14ac:dyDescent="0.35">
      <c r="A89" s="276" t="s">
        <v>564</v>
      </c>
      <c r="B89" s="278" t="s">
        <v>759</v>
      </c>
      <c r="C89" s="277" t="s">
        <v>565</v>
      </c>
      <c r="D89" s="276" t="s">
        <v>741</v>
      </c>
      <c r="E89" s="277" t="s">
        <v>742</v>
      </c>
      <c r="F89" s="277" t="s">
        <v>621</v>
      </c>
      <c r="G89" s="277" t="s">
        <v>665</v>
      </c>
      <c r="H89" s="277" t="s">
        <v>107</v>
      </c>
    </row>
    <row r="90" spans="1:8" x14ac:dyDescent="0.35">
      <c r="A90" s="276" t="s">
        <v>568</v>
      </c>
      <c r="B90" s="278" t="s">
        <v>760</v>
      </c>
      <c r="C90" s="277" t="s">
        <v>570</v>
      </c>
      <c r="D90" s="276" t="s">
        <v>743</v>
      </c>
      <c r="E90" s="277" t="s">
        <v>744</v>
      </c>
      <c r="F90" s="277" t="s">
        <v>624</v>
      </c>
      <c r="G90" s="277" t="s">
        <v>654</v>
      </c>
      <c r="H90" s="277" t="s">
        <v>107</v>
      </c>
    </row>
    <row r="91" spans="1:8" x14ac:dyDescent="0.35">
      <c r="A91" s="276" t="s">
        <v>568</v>
      </c>
      <c r="B91" s="278" t="s">
        <v>760</v>
      </c>
      <c r="C91" s="277" t="s">
        <v>570</v>
      </c>
      <c r="D91" s="276" t="s">
        <v>745</v>
      </c>
      <c r="E91" s="277" t="s">
        <v>746</v>
      </c>
      <c r="F91" s="277" t="s">
        <v>624</v>
      </c>
      <c r="G91" s="277" t="s">
        <v>665</v>
      </c>
      <c r="H91" s="277" t="s">
        <v>107</v>
      </c>
    </row>
    <row r="92" spans="1:8" x14ac:dyDescent="0.35">
      <c r="A92" s="276" t="s">
        <v>583</v>
      </c>
      <c r="B92" s="278" t="s">
        <v>760</v>
      </c>
      <c r="C92" s="277" t="s">
        <v>747</v>
      </c>
      <c r="D92" s="276" t="s">
        <v>748</v>
      </c>
      <c r="E92" s="277" t="s">
        <v>749</v>
      </c>
      <c r="F92" s="277" t="s">
        <v>621</v>
      </c>
      <c r="G92" s="277" t="s">
        <v>654</v>
      </c>
      <c r="H92" s="277" t="s">
        <v>107</v>
      </c>
    </row>
    <row r="93" spans="1:8" x14ac:dyDescent="0.35">
      <c r="A93" s="276" t="s">
        <v>583</v>
      </c>
      <c r="B93" s="278" t="s">
        <v>760</v>
      </c>
      <c r="C93" s="277" t="s">
        <v>747</v>
      </c>
      <c r="D93" s="276" t="s">
        <v>750</v>
      </c>
      <c r="E93" s="277" t="s">
        <v>751</v>
      </c>
      <c r="F93" s="277" t="s">
        <v>752</v>
      </c>
      <c r="G93" s="277" t="s">
        <v>665</v>
      </c>
      <c r="H93" s="277" t="s">
        <v>658</v>
      </c>
    </row>
    <row r="94" spans="1:8" x14ac:dyDescent="0.35">
      <c r="A94" s="276" t="s">
        <v>592</v>
      </c>
      <c r="B94" s="278" t="s">
        <v>760</v>
      </c>
      <c r="C94" s="277" t="s">
        <v>593</v>
      </c>
      <c r="D94" s="276" t="s">
        <v>753</v>
      </c>
      <c r="E94" s="277" t="s">
        <v>754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592</v>
      </c>
      <c r="B95" s="278" t="s">
        <v>760</v>
      </c>
      <c r="C95" s="277" t="s">
        <v>593</v>
      </c>
      <c r="D95" s="276" t="s">
        <v>755</v>
      </c>
      <c r="E95" s="277" t="s">
        <v>756</v>
      </c>
      <c r="F95" s="277" t="s">
        <v>621</v>
      </c>
      <c r="G95" s="277" t="s">
        <v>657</v>
      </c>
      <c r="H95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8" t="s">
        <v>259</v>
      </c>
      <c r="C13" s="348"/>
      <c r="D13" s="348"/>
      <c r="E13" s="348"/>
      <c r="F13" s="348"/>
      <c r="G13" s="348"/>
      <c r="H13" s="348"/>
      <c r="I13" s="348"/>
      <c r="J13" s="348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8"/>
      <c r="C14" s="348"/>
      <c r="D14" s="348"/>
      <c r="E14" s="348"/>
      <c r="F14" s="348"/>
      <c r="G14" s="348"/>
      <c r="H14" s="348"/>
      <c r="I14" s="348"/>
      <c r="J14" s="348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7" t="s">
        <v>191</v>
      </c>
      <c r="I16" s="347"/>
      <c r="J16" s="347"/>
      <c r="K16" s="347"/>
      <c r="L16" s="347"/>
      <c r="M16" s="347"/>
      <c r="N16" s="347"/>
      <c r="O16" s="347"/>
      <c r="P16" s="347"/>
      <c r="Q16" s="347"/>
      <c r="R16" s="347"/>
      <c r="S16" s="347"/>
      <c r="T16" s="347"/>
      <c r="U16" s="347"/>
      <c r="V16" s="347"/>
      <c r="AL16" s="347" t="s">
        <v>241</v>
      </c>
      <c r="AM16" s="347"/>
      <c r="AN16" s="347"/>
      <c r="AO16" s="347"/>
      <c r="AP16" s="347"/>
      <c r="AQ16" s="347"/>
      <c r="AR16" s="347"/>
      <c r="AS16" s="347"/>
      <c r="AT16" s="347"/>
      <c r="AU16" s="347"/>
      <c r="AV16" s="347"/>
      <c r="AW16" s="347"/>
      <c r="AX16" s="347"/>
      <c r="AY16" s="347"/>
      <c r="AZ16" s="347"/>
      <c r="BA16" s="347"/>
      <c r="BB16" s="347"/>
      <c r="BC16" s="347"/>
      <c r="BD16" s="347"/>
    </row>
    <row r="17" spans="2:56" ht="15" customHeight="1" x14ac:dyDescent="0.35"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7"/>
      <c r="V17" s="347"/>
      <c r="AL17" s="347"/>
      <c r="AM17" s="347"/>
      <c r="AN17" s="347"/>
      <c r="AO17" s="347"/>
      <c r="AP17" s="347"/>
      <c r="AQ17" s="347"/>
      <c r="AR17" s="347"/>
      <c r="AS17" s="347"/>
      <c r="AT17" s="347"/>
      <c r="AU17" s="347"/>
      <c r="AV17" s="347"/>
      <c r="AW17" s="347"/>
      <c r="AX17" s="347"/>
      <c r="AY17" s="347"/>
      <c r="AZ17" s="347"/>
      <c r="BA17" s="347"/>
      <c r="BB17" s="347"/>
      <c r="BC17" s="347"/>
      <c r="BD17" s="347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7" t="s">
        <v>203</v>
      </c>
      <c r="C29" s="347"/>
      <c r="D29" s="347"/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7"/>
    </row>
    <row r="30" spans="2:56" x14ac:dyDescent="0.35">
      <c r="B30" s="347"/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7" t="s">
        <v>204</v>
      </c>
      <c r="C41" s="347"/>
      <c r="D41" s="347"/>
      <c r="E41" s="347"/>
      <c r="F41" s="347"/>
      <c r="G41" s="347"/>
      <c r="H41" s="347"/>
      <c r="I41" s="347"/>
      <c r="J41" s="347"/>
      <c r="K41" s="347"/>
      <c r="L41" s="347"/>
      <c r="M41" s="347"/>
      <c r="N41" s="347"/>
      <c r="O41" s="347"/>
    </row>
    <row r="42" spans="2:31" x14ac:dyDescent="0.35">
      <c r="B42" s="347"/>
      <c r="C42" s="347"/>
      <c r="D42" s="347"/>
      <c r="E42" s="347"/>
      <c r="F42" s="347"/>
      <c r="G42" s="347"/>
      <c r="H42" s="347"/>
      <c r="I42" s="347"/>
      <c r="J42" s="347"/>
      <c r="K42" s="347"/>
      <c r="L42" s="347"/>
      <c r="M42" s="347"/>
      <c r="N42" s="347"/>
      <c r="O42" s="347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7" t="s">
        <v>220</v>
      </c>
      <c r="C49" s="347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</row>
    <row r="50" spans="2:14" x14ac:dyDescent="0.35">
      <c r="B50" s="347"/>
      <c r="C50" s="347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7" t="s">
        <v>221</v>
      </c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</row>
    <row r="72" spans="2:16" x14ac:dyDescent="0.35"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  <c r="P72" s="347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7" t="s">
        <v>230</v>
      </c>
      <c r="D84" s="347"/>
      <c r="E84" s="347"/>
      <c r="F84" s="347"/>
      <c r="G84" s="347"/>
      <c r="H84" s="347"/>
      <c r="I84" s="347"/>
      <c r="J84" s="347"/>
      <c r="K84" s="347"/>
      <c r="L84" s="347"/>
      <c r="M84" s="347"/>
      <c r="N84" s="347"/>
      <c r="O84" s="347"/>
      <c r="P84" s="347"/>
      <c r="Q84" s="347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7" t="s">
        <v>233</v>
      </c>
      <c r="AF93" s="347"/>
      <c r="AG93" s="347"/>
      <c r="AH93" s="347"/>
      <c r="AI93" s="347"/>
      <c r="AJ93" s="347"/>
      <c r="AK93" s="347"/>
      <c r="AL93" s="347"/>
      <c r="AM93" s="347"/>
      <c r="AN93" s="347"/>
      <c r="AO93" s="347"/>
      <c r="AP93" s="347"/>
      <c r="AQ93" s="347"/>
      <c r="AR93" s="347"/>
      <c r="AS93" s="347"/>
      <c r="AT93" s="347"/>
      <c r="AU93" s="347"/>
      <c r="AV93" s="347"/>
      <c r="AW93" s="347"/>
      <c r="AX93" s="347"/>
      <c r="AY93" s="347"/>
    </row>
    <row r="94" spans="3:69" x14ac:dyDescent="0.35">
      <c r="AE94" s="347"/>
      <c r="AF94" s="347"/>
      <c r="AG94" s="347"/>
      <c r="AH94" s="347"/>
      <c r="AI94" s="347"/>
      <c r="AJ94" s="347"/>
      <c r="AK94" s="347"/>
      <c r="AL94" s="347"/>
      <c r="AM94" s="347"/>
      <c r="AN94" s="347"/>
      <c r="AO94" s="347"/>
      <c r="AP94" s="347"/>
      <c r="AQ94" s="347"/>
      <c r="AR94" s="347"/>
      <c r="AS94" s="347"/>
      <c r="AT94" s="347"/>
      <c r="AU94" s="347"/>
      <c r="AV94" s="347"/>
      <c r="AW94" s="347"/>
      <c r="AX94" s="347"/>
      <c r="AY94" s="347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7" t="s">
        <v>236</v>
      </c>
      <c r="D104" s="347"/>
      <c r="E104" s="347"/>
      <c r="F104" s="347"/>
      <c r="G104" s="347"/>
      <c r="H104" s="347"/>
      <c r="I104" s="347"/>
      <c r="J104" s="347"/>
      <c r="K104" s="347"/>
      <c r="L104" s="347"/>
      <c r="M104" s="347"/>
      <c r="N104" s="347"/>
      <c r="O104" s="347"/>
      <c r="P104" s="347"/>
      <c r="Q104" s="347"/>
      <c r="R104" s="347"/>
      <c r="S104" s="347"/>
      <c r="T104" s="347"/>
      <c r="U104" s="347"/>
      <c r="V104" s="347"/>
      <c r="W104" s="347"/>
    </row>
    <row r="105" spans="3:23" x14ac:dyDescent="0.35">
      <c r="C105" s="347"/>
      <c r="D105" s="347"/>
      <c r="E105" s="347"/>
      <c r="F105" s="347"/>
      <c r="G105" s="347"/>
      <c r="H105" s="347"/>
      <c r="I105" s="347"/>
      <c r="J105" s="347"/>
      <c r="K105" s="347"/>
      <c r="L105" s="347"/>
      <c r="M105" s="347"/>
      <c r="N105" s="347"/>
      <c r="O105" s="347"/>
      <c r="P105" s="347"/>
      <c r="Q105" s="347"/>
      <c r="R105" s="347"/>
      <c r="S105" s="347"/>
      <c r="T105" s="347"/>
      <c r="U105" s="347"/>
      <c r="V105" s="347"/>
      <c r="W105" s="347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7" t="s">
        <v>242</v>
      </c>
      <c r="AG114" s="347"/>
      <c r="AH114" s="347"/>
      <c r="AI114" s="347"/>
      <c r="AJ114" s="347"/>
      <c r="AK114" s="347"/>
      <c r="AL114" s="347"/>
      <c r="AM114" s="347"/>
      <c r="AN114" s="347"/>
      <c r="AO114" s="347"/>
      <c r="AP114" s="347"/>
      <c r="AQ114" s="347"/>
      <c r="AR114" s="347"/>
      <c r="AS114" s="347"/>
      <c r="AT114" s="347"/>
      <c r="AU114" s="347"/>
      <c r="AV114" s="347"/>
      <c r="AW114" s="347"/>
      <c r="AX114" s="347"/>
      <c r="AY114" s="347"/>
      <c r="AZ114" s="347"/>
    </row>
    <row r="115" spans="3:52" x14ac:dyDescent="0.35">
      <c r="C115" s="160" t="s">
        <v>240</v>
      </c>
      <c r="AF115" s="347"/>
      <c r="AG115" s="347"/>
      <c r="AH115" s="347"/>
      <c r="AI115" s="347"/>
      <c r="AJ115" s="347"/>
      <c r="AK115" s="347"/>
      <c r="AL115" s="347"/>
      <c r="AM115" s="347"/>
      <c r="AN115" s="347"/>
      <c r="AO115" s="347"/>
      <c r="AP115" s="347"/>
      <c r="AQ115" s="347"/>
      <c r="AR115" s="347"/>
      <c r="AS115" s="347"/>
      <c r="AT115" s="347"/>
      <c r="AU115" s="347"/>
      <c r="AV115" s="347"/>
      <c r="AW115" s="347"/>
      <c r="AX115" s="347"/>
      <c r="AY115" s="347"/>
      <c r="AZ115" s="347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7" t="s">
        <v>243</v>
      </c>
      <c r="W121" s="347"/>
      <c r="X121" s="347"/>
      <c r="Y121" s="347"/>
      <c r="Z121" s="347"/>
      <c r="AA121" s="347"/>
      <c r="AB121" s="347"/>
      <c r="AC121" s="347"/>
      <c r="AD121" s="347"/>
      <c r="AE121" s="347"/>
      <c r="AF121" s="347"/>
      <c r="AG121" s="347"/>
      <c r="AH121" s="347"/>
      <c r="AI121" s="347"/>
      <c r="AJ121" s="347"/>
      <c r="AK121" s="347"/>
      <c r="AL121" s="347"/>
      <c r="AM121" s="347"/>
      <c r="AN121" s="347"/>
      <c r="AO121" s="347"/>
      <c r="AP121" s="347"/>
    </row>
    <row r="122" spans="3:52" x14ac:dyDescent="0.35">
      <c r="V122" s="347"/>
      <c r="W122" s="347"/>
      <c r="X122" s="347"/>
      <c r="Y122" s="347"/>
      <c r="Z122" s="347"/>
      <c r="AA122" s="347"/>
      <c r="AB122" s="347"/>
      <c r="AC122" s="347"/>
      <c r="AD122" s="347"/>
      <c r="AE122" s="347"/>
      <c r="AF122" s="347"/>
      <c r="AG122" s="347"/>
      <c r="AH122" s="347"/>
      <c r="AI122" s="347"/>
      <c r="AJ122" s="347"/>
      <c r="AK122" s="347"/>
      <c r="AL122" s="347"/>
      <c r="AM122" s="347"/>
      <c r="AN122" s="347"/>
      <c r="AO122" s="347"/>
      <c r="AP122" s="347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7" t="s">
        <v>249</v>
      </c>
      <c r="G130" s="347"/>
      <c r="H130" s="347"/>
      <c r="I130" s="347"/>
      <c r="J130" s="347"/>
      <c r="K130" s="347"/>
      <c r="L130" s="347"/>
      <c r="M130" s="347"/>
      <c r="N130" s="347"/>
      <c r="O130" s="347"/>
      <c r="P130" s="347"/>
      <c r="Q130" s="347"/>
      <c r="R130" s="347"/>
      <c r="S130" s="347"/>
      <c r="T130" s="347"/>
      <c r="U130" s="347"/>
      <c r="V130" s="347"/>
      <c r="W130" s="347"/>
      <c r="X130" s="347"/>
      <c r="Y130" s="347"/>
      <c r="Z130" s="347"/>
    </row>
    <row r="131" spans="4:26" x14ac:dyDescent="0.35">
      <c r="F131" s="347"/>
      <c r="G131" s="347"/>
      <c r="H131" s="347"/>
      <c r="I131" s="347"/>
      <c r="J131" s="347"/>
      <c r="K131" s="347"/>
      <c r="L131" s="347"/>
      <c r="M131" s="347"/>
      <c r="N131" s="347"/>
      <c r="O131" s="347"/>
      <c r="P131" s="347"/>
      <c r="Q131" s="347"/>
      <c r="R131" s="347"/>
      <c r="S131" s="347"/>
      <c r="T131" s="347"/>
      <c r="U131" s="347"/>
      <c r="V131" s="347"/>
      <c r="W131" s="347"/>
      <c r="X131" s="347"/>
      <c r="Y131" s="347"/>
      <c r="Z131" s="347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7" t="s">
        <v>252</v>
      </c>
      <c r="E143" s="347"/>
      <c r="F143" s="347"/>
      <c r="G143" s="347"/>
      <c r="H143" s="347"/>
      <c r="I143" s="347"/>
      <c r="J143" s="347"/>
      <c r="K143" s="347"/>
      <c r="L143" s="347"/>
      <c r="M143" s="347"/>
      <c r="N143" s="347"/>
      <c r="O143" s="347"/>
      <c r="P143" s="347"/>
      <c r="Q143" s="347"/>
      <c r="R143" s="347"/>
      <c r="S143" s="347"/>
      <c r="T143" s="347"/>
      <c r="U143" s="347"/>
      <c r="V143" s="347"/>
      <c r="W143" s="347"/>
      <c r="X143" s="347"/>
    </row>
    <row r="144" spans="4:26" x14ac:dyDescent="0.35">
      <c r="D144" s="347"/>
      <c r="E144" s="347"/>
      <c r="F144" s="347"/>
      <c r="G144" s="347"/>
      <c r="H144" s="347"/>
      <c r="I144" s="347"/>
      <c r="J144" s="347"/>
      <c r="K144" s="347"/>
      <c r="L144" s="347"/>
      <c r="M144" s="347"/>
      <c r="N144" s="347"/>
      <c r="O144" s="347"/>
      <c r="P144" s="347"/>
      <c r="Q144" s="347"/>
      <c r="R144" s="347"/>
      <c r="S144" s="347"/>
      <c r="T144" s="347"/>
      <c r="U144" s="347"/>
      <c r="V144" s="347"/>
      <c r="W144" s="347"/>
      <c r="X144" s="347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7" t="s">
        <v>257</v>
      </c>
      <c r="E152" s="347"/>
      <c r="F152" s="347"/>
      <c r="G152" s="347"/>
      <c r="H152" s="347"/>
      <c r="I152" s="347"/>
      <c r="J152" s="347"/>
      <c r="K152" s="347"/>
      <c r="L152" s="347"/>
      <c r="M152" s="347"/>
      <c r="N152" s="347"/>
      <c r="O152" s="347"/>
      <c r="P152" s="347"/>
      <c r="Q152" s="347"/>
      <c r="R152" s="347"/>
      <c r="S152" s="347"/>
      <c r="T152" s="347"/>
      <c r="U152" s="347"/>
      <c r="V152" s="347"/>
      <c r="W152" s="347"/>
      <c r="X152" s="347"/>
    </row>
    <row r="153" spans="4:24" x14ac:dyDescent="0.35">
      <c r="D153" s="347"/>
      <c r="E153" s="347"/>
      <c r="F153" s="347"/>
      <c r="G153" s="347"/>
      <c r="H153" s="347"/>
      <c r="I153" s="347"/>
      <c r="J153" s="347"/>
      <c r="K153" s="347"/>
      <c r="L153" s="347"/>
      <c r="M153" s="347"/>
      <c r="N153" s="347"/>
      <c r="O153" s="347"/>
      <c r="P153" s="347"/>
      <c r="Q153" s="347"/>
      <c r="R153" s="347"/>
      <c r="S153" s="347"/>
      <c r="T153" s="347"/>
      <c r="U153" s="347"/>
      <c r="V153" s="347"/>
      <c r="W153" s="347"/>
      <c r="X153" s="347"/>
    </row>
    <row r="154" spans="4:24" x14ac:dyDescent="0.35">
      <c r="G154" s="160" t="s">
        <v>258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9" t="s">
        <v>441</v>
      </c>
      <c r="E50" s="349"/>
      <c r="F50" s="349"/>
      <c r="G50" s="349"/>
      <c r="H50" t="s">
        <v>442</v>
      </c>
    </row>
    <row r="51" spans="2:20" x14ac:dyDescent="0.35">
      <c r="D51" s="349"/>
      <c r="E51" s="349"/>
      <c r="F51" s="349"/>
      <c r="G51" s="349"/>
    </row>
    <row r="52" spans="2:20" x14ac:dyDescent="0.35">
      <c r="D52" s="349"/>
      <c r="E52" s="349"/>
      <c r="F52" s="349"/>
      <c r="G52" s="349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2026-10-29T14:30:53Z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