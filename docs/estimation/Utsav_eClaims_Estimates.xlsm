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agarro-my.sharepoint.com/personal/utsav_verma_nagarro_com/Documents/MyWorkspace/Nagarro/Promotion/code/insurance-portal/docs/estimation/"/>
    </mc:Choice>
  </mc:AlternateContent>
  <xr:revisionPtr revIDLastSave="922" documentId="13_ncr:1_{9C200901-B545-4AB7-8A31-1AFA4242EC78}" xr6:coauthVersionLast="47" xr6:coauthVersionMax="47" xr10:uidLastSave="{5E97DAD7-3429-4E34-996F-56EA1DA8A59E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28680" yWindow="-120" windowWidth="29040" windowHeight="15720" tabRatio="431" firstSheet="1" activeTab="3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Estimation!$718:$718</definedName>
    <definedName name="AS_DEV_EFFORT">Estimation!$P$608</definedName>
    <definedName name="AS_DURATION_EFFORT">Estimation!$P$609</definedName>
    <definedName name="AS_MANUAL_DURATION_EFFORT">Estimation!$U$610</definedName>
    <definedName name="AUTOMATED_END_DATE">Estimation!$P$584</definedName>
    <definedName name="BUFFER_TYPES_LIST">Lists!$B$45:$B$48</definedName>
    <definedName name="BUFFERS_BY_TYPE">Estimation!$N$643:$O$645</definedName>
    <definedName name="CHOSEN_CURRENCY">Estimation!$O$602</definedName>
    <definedName name="CLIENT_NAME">Estimation!$O$595</definedName>
    <definedName name="COMPACT_WBS">Estimation!$L$10:$T$506</definedName>
    <definedName name="COPY_TYPE">Estimation!$R$9</definedName>
    <definedName name="CURRENCIES_LIST">Lists!$B$27:$B$29</definedName>
    <definedName name="CUSTOM_PERCENT">Estimation!$T$5</definedName>
    <definedName name="DESIGN_COST">Estimation!$W$570</definedName>
    <definedName name="DESIGN_EFFORT">Estimation!$O$570</definedName>
    <definedName name="DESIGN_RANGE">Estimation!$L$64:$AC$93</definedName>
    <definedName name="DESIGN_TA_COUNT">Estimation!$R$580</definedName>
    <definedName name="DESIGN_TA_PERCENT">Estimation!$R$570</definedName>
    <definedName name="DEV_COST">Estimation!$W$571</definedName>
    <definedName name="DEV_DEV_COUNT">Estimation!$T$581</definedName>
    <definedName name="DEV_DEV_PERCENT">Estimation!$T$571</definedName>
    <definedName name="DEV_EFFORT">Estimation!$O$571</definedName>
    <definedName name="DEV_RANGE">Estimation!$L$94:$AC$432</definedName>
    <definedName name="DURATION">Estimation!$P$585</definedName>
    <definedName name="EXTRA_FOR_H">Estimation!$O$630</definedName>
    <definedName name="EXTRAS_ARRAY">Estimation!$N$635:$O$640</definedName>
    <definedName name="EXTRAS_LIST">Estimation!$N$635:$N$640</definedName>
    <definedName name="FBS">Estimation!$L$508</definedName>
    <definedName name="FBS_FORMAT">Estimation!$S$513</definedName>
    <definedName name="FBS_INSERT_AT">Estimation!$M$558:$P$558</definedName>
    <definedName name="FBS_LINK">Estimation!$T$513</definedName>
    <definedName name="FBS_RANGE">Estimation!$M$514:$P$559</definedName>
    <definedName name="FULL_WBS">Estimation!$L$10:$AC$506</definedName>
    <definedName name="INCLUDE_OPTIONALS_LIST">Lists!$B$58:$B$59</definedName>
    <definedName name="IS_KEY_OPP">Estimation!$O$600</definedName>
    <definedName name="LESS_FOR_L">Estimation!$O$631</definedName>
    <definedName name="MANUAL_DURATION">Estimation!$P$586</definedName>
    <definedName name="MANUAL_END_DATE">Schedule!$L$1</definedName>
    <definedName name="MAX_EFFORT_PERCENT">Estimation!$P$605</definedName>
    <definedName name="MIN_EFFORT_PERCENT">Estimation!$O$605</definedName>
    <definedName name="MODULE_RANGE">Estimation!$722:$722</definedName>
    <definedName name="NOT_IN_COMPACT">Estimation!$O:$W</definedName>
    <definedName name="OTHER_COST">Estimation!$W$574</definedName>
    <definedName name="OTHER_EFFORT">Estimation!$O$574</definedName>
    <definedName name="OTHER_TL_COUNT">Estimation!$S$584</definedName>
    <definedName name="OTHER_TL_PERCENT">Estimation!$S$574</definedName>
    <definedName name="OTHERS_RANGE">Estimation!$L$499:$AC$505</definedName>
    <definedName name="PLATFORM">Estimation!$O$597</definedName>
    <definedName name="PLATFORMS_LIST">Lists!$B$38:$B$42</definedName>
    <definedName name="_xlnm.Print_Area" localSheetId="1">Estimation!$A$1:$AC$591</definedName>
    <definedName name="PROJECT_NAME">Estimation!$O$596</definedName>
    <definedName name="PROJECT_TYPE">Estimation!$O$598</definedName>
    <definedName name="PROJECT_TYPES_LIST">Lists!$B$32:$B$35</definedName>
    <definedName name="QA_COST">Estimation!$W$572</definedName>
    <definedName name="QA_EFFORT">Estimation!$O$572</definedName>
    <definedName name="QA_RANGE">Estimation!$L$433:$AC$470</definedName>
    <definedName name="REGIONS_LIST">Lists!$B$19:$B$24</definedName>
    <definedName name="REQ_BA_COUNT">Estimation!$Q$579</definedName>
    <definedName name="REQ_BA_PERCENT">Estimation!$Q$569</definedName>
    <definedName name="REQ_COST">Estimation!$W$569</definedName>
    <definedName name="REQ_EFFORT">Estimation!$O$569</definedName>
    <definedName name="REQ_RANGE">Estimation!$L$12:$AC$63</definedName>
    <definedName name="RFP_NAME">Estimation!$O$599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Estimation!$P$635:$P$636</definedName>
    <definedName name="SECTION_RANGE">Estimation!$714:$720</definedName>
    <definedName name="START_DATE">Estimation!$O$579</definedName>
    <definedName name="TASK_RANGE">Estimation!$716:$719</definedName>
    <definedName name="TEMPLATE_NAME">Estimation!$G$3</definedName>
    <definedName name="TEMPLATE_SECTION">Estimation!$713:$723</definedName>
    <definedName name="TEMPLATE_VER">Estimation!$K$3</definedName>
    <definedName name="TESTING_QA_COUNT">Estimation!$U$582</definedName>
    <definedName name="TESTING_QA_PERCENT">Estimation!$U$572</definedName>
    <definedName name="TOTAL_COST">Estimation!$W$575</definedName>
    <definedName name="TOTAL_EFFORT">Estimation!$O$575</definedName>
    <definedName name="Total_FRs">Estimation!$Q$23</definedName>
    <definedName name="Total_Screens">Estimation!$P$61</definedName>
    <definedName name="Total_Test_Cases">Estimation!$P$445</definedName>
    <definedName name="Total_Use_Cases">Estimation!$P$43</definedName>
    <definedName name="TOTAL_WEEKS">Estimation!$P$575</definedName>
    <definedName name="UAT_COST">Estimation!$W$573</definedName>
    <definedName name="UAT_DEV_COUNT">Estimation!$T$583</definedName>
    <definedName name="UAT_DEV_PERCENT">Estimation!$T$573</definedName>
    <definedName name="UAT_EFFORT">Estimation!$O$573</definedName>
    <definedName name="UAT_RANGE">Estimation!$L$471:$AC$498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22" i="2" l="1"/>
  <c r="AA122" i="2" s="1"/>
  <c r="S122" i="2" s="1"/>
  <c r="AD122" i="2" s="1"/>
  <c r="Y123" i="2"/>
  <c r="AA123" i="2" s="1"/>
  <c r="S123" i="2" s="1"/>
  <c r="AD123" i="2" s="1"/>
  <c r="Y124" i="2"/>
  <c r="AA124" i="2" s="1"/>
  <c r="S124" i="2" s="1"/>
  <c r="AD124" i="2" s="1"/>
  <c r="Y149" i="2"/>
  <c r="AA149" i="2" s="1"/>
  <c r="S149" i="2" s="1"/>
  <c r="AD149" i="2" s="1"/>
  <c r="Y163" i="2"/>
  <c r="AA163" i="2" s="1"/>
  <c r="S163" i="2" s="1"/>
  <c r="AD163" i="2" s="1"/>
  <c r="Y164" i="2"/>
  <c r="AA164" i="2" s="1"/>
  <c r="S164" i="2" s="1"/>
  <c r="AD164" i="2" s="1"/>
  <c r="Y165" i="2"/>
  <c r="AA165" i="2" s="1"/>
  <c r="S165" i="2" s="1"/>
  <c r="AD165" i="2" s="1"/>
  <c r="Y166" i="2"/>
  <c r="AA166" i="2" s="1"/>
  <c r="S166" i="2" s="1"/>
  <c r="AD166" i="2" s="1"/>
  <c r="Y162" i="2"/>
  <c r="AA162" i="2" s="1"/>
  <c r="S162" i="2" s="1"/>
  <c r="AD160" i="2"/>
  <c r="Y211" i="2"/>
  <c r="AA211" i="2" s="1"/>
  <c r="S211" i="2" s="1"/>
  <c r="AD211" i="2" s="1"/>
  <c r="Y212" i="2"/>
  <c r="AA212" i="2" s="1"/>
  <c r="S212" i="2" s="1"/>
  <c r="AD212" i="2" s="1"/>
  <c r="Y213" i="2"/>
  <c r="AA213" i="2" s="1"/>
  <c r="S213" i="2" s="1"/>
  <c r="AD213" i="2" s="1"/>
  <c r="Y214" i="2"/>
  <c r="AA214" i="2" s="1"/>
  <c r="S214" i="2" s="1"/>
  <c r="AD214" i="2" s="1"/>
  <c r="Y215" i="2"/>
  <c r="AA215" i="2" s="1"/>
  <c r="S215" i="2" s="1"/>
  <c r="AD215" i="2" s="1"/>
  <c r="Y210" i="2"/>
  <c r="AA210" i="2" s="1"/>
  <c r="S210" i="2" s="1"/>
  <c r="AD208" i="2"/>
  <c r="Y255" i="2"/>
  <c r="AA255" i="2" s="1"/>
  <c r="S255" i="2" s="1"/>
  <c r="AD255" i="2" s="1"/>
  <c r="Y256" i="2"/>
  <c r="AA256" i="2" s="1"/>
  <c r="S256" i="2" s="1"/>
  <c r="AD256" i="2" s="1"/>
  <c r="Y257" i="2"/>
  <c r="AA257" i="2" s="1"/>
  <c r="S257" i="2" s="1"/>
  <c r="AD257" i="2" s="1"/>
  <c r="Y247" i="2"/>
  <c r="AA247" i="2" s="1"/>
  <c r="S247" i="2" s="1"/>
  <c r="AD247" i="2" s="1"/>
  <c r="Y248" i="2"/>
  <c r="AA248" i="2" s="1"/>
  <c r="S248" i="2" s="1"/>
  <c r="AD248" i="2" s="1"/>
  <c r="Y249" i="2"/>
  <c r="AA249" i="2" s="1"/>
  <c r="S249" i="2" s="1"/>
  <c r="AD249" i="2" s="1"/>
  <c r="Y250" i="2"/>
  <c r="AA250" i="2" s="1"/>
  <c r="S250" i="2" s="1"/>
  <c r="AD250" i="2" s="1"/>
  <c r="Y246" i="2"/>
  <c r="AA246" i="2" s="1"/>
  <c r="S246" i="2" s="1"/>
  <c r="AD244" i="2"/>
  <c r="Y254" i="2"/>
  <c r="AA254" i="2" s="1"/>
  <c r="S254" i="2" s="1"/>
  <c r="AD252" i="2"/>
  <c r="Y267" i="2"/>
  <c r="AA267" i="2" s="1"/>
  <c r="S267" i="2" s="1"/>
  <c r="AD267" i="2" s="1"/>
  <c r="Y268" i="2"/>
  <c r="AA268" i="2" s="1"/>
  <c r="S268" i="2" s="1"/>
  <c r="AD268" i="2" s="1"/>
  <c r="Y269" i="2"/>
  <c r="AA269" i="2" s="1"/>
  <c r="S269" i="2" s="1"/>
  <c r="AD269" i="2" s="1"/>
  <c r="Y286" i="2"/>
  <c r="AA286" i="2" s="1"/>
  <c r="S286" i="2" s="1"/>
  <c r="AD286" i="2" s="1"/>
  <c r="Y287" i="2"/>
  <c r="AA287" i="2" s="1"/>
  <c r="S287" i="2" s="1"/>
  <c r="AD287" i="2" s="1"/>
  <c r="Y288" i="2"/>
  <c r="AA288" i="2" s="1"/>
  <c r="S288" i="2" s="1"/>
  <c r="AD288" i="2" s="1"/>
  <c r="Y297" i="2"/>
  <c r="AA297" i="2" s="1"/>
  <c r="S297" i="2" s="1"/>
  <c r="AD297" i="2" s="1"/>
  <c r="Y298" i="2"/>
  <c r="AA298" i="2" s="1"/>
  <c r="S298" i="2" s="1"/>
  <c r="AD298" i="2" s="1"/>
  <c r="Y299" i="2"/>
  <c r="AA299" i="2" s="1"/>
  <c r="S299" i="2" s="1"/>
  <c r="AD299" i="2" s="1"/>
  <c r="Y300" i="2"/>
  <c r="AA300" i="2" s="1"/>
  <c r="S300" i="2" s="1"/>
  <c r="AD300" i="2" s="1"/>
  <c r="Y316" i="2"/>
  <c r="AA316" i="2" s="1"/>
  <c r="S316" i="2" s="1"/>
  <c r="AD316" i="2" s="1"/>
  <c r="Y337" i="2"/>
  <c r="AA337" i="2" s="1"/>
  <c r="S337" i="2" s="1"/>
  <c r="Y382" i="2"/>
  <c r="AA382" i="2" s="1"/>
  <c r="S382" i="2" s="1"/>
  <c r="AD382" i="2" s="1"/>
  <c r="Y403" i="2"/>
  <c r="AA403" i="2" s="1"/>
  <c r="S403" i="2" s="1"/>
  <c r="AD403" i="2" s="1"/>
  <c r="Y404" i="2"/>
  <c r="AA404" i="2" s="1"/>
  <c r="S404" i="2" s="1"/>
  <c r="AD404" i="2" s="1"/>
  <c r="Y405" i="2"/>
  <c r="AA405" i="2" s="1"/>
  <c r="S405" i="2" s="1"/>
  <c r="AD405" i="2" s="1"/>
  <c r="Y468" i="2"/>
  <c r="AA468" i="2" s="1"/>
  <c r="S468" i="2" s="1"/>
  <c r="AD468" i="2" s="1"/>
  <c r="Y154" i="2"/>
  <c r="AA154" i="2" s="1"/>
  <c r="S154" i="2" s="1"/>
  <c r="AD154" i="2" s="1"/>
  <c r="Y155" i="2"/>
  <c r="AA155" i="2" s="1"/>
  <c r="S155" i="2" s="1"/>
  <c r="AD155" i="2" s="1"/>
  <c r="Y156" i="2"/>
  <c r="AA156" i="2" s="1"/>
  <c r="S156" i="2" s="1"/>
  <c r="AD156" i="2" s="1"/>
  <c r="Y157" i="2"/>
  <c r="AA157" i="2" s="1"/>
  <c r="S157" i="2" s="1"/>
  <c r="AD157" i="2" s="1"/>
  <c r="Y158" i="2"/>
  <c r="AA158" i="2" s="1"/>
  <c r="S158" i="2" s="1"/>
  <c r="AD158" i="2" s="1"/>
  <c r="Y153" i="2"/>
  <c r="AA153" i="2" s="1"/>
  <c r="S153" i="2" s="1"/>
  <c r="AD151" i="2"/>
  <c r="Y467" i="2"/>
  <c r="AA467" i="2" s="1"/>
  <c r="S467" i="2" s="1"/>
  <c r="AD467" i="2" s="1"/>
  <c r="Y487" i="2"/>
  <c r="AA487" i="2" s="1"/>
  <c r="S487" i="2" s="1"/>
  <c r="AD487" i="2" s="1"/>
  <c r="B2" i="8"/>
  <c r="B2" i="6"/>
  <c r="C20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G3" i="5"/>
  <c r="K3" i="5" s="1"/>
  <c r="O3" i="5" s="1"/>
  <c r="S3" i="5" s="1"/>
  <c r="W3" i="5" s="1"/>
  <c r="AA3" i="5" s="1"/>
  <c r="AE3" i="5" s="1"/>
  <c r="AI3" i="5" s="1"/>
  <c r="L1" i="5"/>
  <c r="C1" i="5"/>
  <c r="C55" i="4"/>
  <c r="C54" i="4"/>
  <c r="C52" i="4"/>
  <c r="C51" i="4"/>
  <c r="AD722" i="2"/>
  <c r="Y718" i="2"/>
  <c r="AA718" i="2" s="1"/>
  <c r="S718" i="2" s="1"/>
  <c r="AD716" i="2"/>
  <c r="AD714" i="2"/>
  <c r="N645" i="2"/>
  <c r="N644" i="2"/>
  <c r="N643" i="2"/>
  <c r="AB592" i="2"/>
  <c r="N584" i="2"/>
  <c r="B11" i="5" s="1"/>
  <c r="M584" i="2"/>
  <c r="N583" i="2"/>
  <c r="B10" i="5" s="1"/>
  <c r="M583" i="2"/>
  <c r="N582" i="2"/>
  <c r="B9" i="5" s="1"/>
  <c r="M582" i="2"/>
  <c r="N581" i="2"/>
  <c r="B8" i="5" s="1"/>
  <c r="M581" i="2"/>
  <c r="N580" i="2"/>
  <c r="B7" i="5" s="1"/>
  <c r="M580" i="2"/>
  <c r="N579" i="2"/>
  <c r="B6" i="5" s="1"/>
  <c r="M579" i="2"/>
  <c r="N574" i="2"/>
  <c r="M574" i="2"/>
  <c r="B574" i="2"/>
  <c r="N573" i="2"/>
  <c r="M573" i="2"/>
  <c r="B573" i="2"/>
  <c r="N572" i="2"/>
  <c r="M572" i="2"/>
  <c r="B572" i="2"/>
  <c r="N571" i="2"/>
  <c r="M571" i="2"/>
  <c r="B571" i="2"/>
  <c r="N570" i="2"/>
  <c r="M570" i="2"/>
  <c r="B570" i="2"/>
  <c r="N569" i="2"/>
  <c r="M569" i="2"/>
  <c r="B569" i="2"/>
  <c r="W567" i="2"/>
  <c r="V567" i="2"/>
  <c r="U567" i="2"/>
  <c r="T567" i="2"/>
  <c r="S567" i="2"/>
  <c r="R567" i="2"/>
  <c r="Q567" i="2"/>
  <c r="P513" i="2"/>
  <c r="AD501" i="2"/>
  <c r="Y496" i="2"/>
  <c r="AA496" i="2" s="1"/>
  <c r="S496" i="2" s="1"/>
  <c r="AD496" i="2" s="1"/>
  <c r="Y495" i="2"/>
  <c r="AA495" i="2" s="1"/>
  <c r="S495" i="2" s="1"/>
  <c r="Y494" i="2"/>
  <c r="AA494" i="2" s="1"/>
  <c r="S494" i="2" s="1"/>
  <c r="AD494" i="2" s="1"/>
  <c r="Y493" i="2"/>
  <c r="AA493" i="2" s="1"/>
  <c r="S493" i="2" s="1"/>
  <c r="AD493" i="2" s="1"/>
  <c r="AD491" i="2"/>
  <c r="Y489" i="2"/>
  <c r="AA489" i="2" s="1"/>
  <c r="S489" i="2" s="1"/>
  <c r="AD489" i="2" s="1"/>
  <c r="Y488" i="2"/>
  <c r="AA488" i="2" s="1"/>
  <c r="S488" i="2" s="1"/>
  <c r="Y486" i="2"/>
  <c r="AA486" i="2" s="1"/>
  <c r="S486" i="2" s="1"/>
  <c r="AD486" i="2" s="1"/>
  <c r="AD484" i="2"/>
  <c r="Y482" i="2"/>
  <c r="AA482" i="2" s="1"/>
  <c r="S482" i="2" s="1"/>
  <c r="AD482" i="2" s="1"/>
  <c r="Y481" i="2"/>
  <c r="AA481" i="2" s="1"/>
  <c r="S481" i="2" s="1"/>
  <c r="AD481" i="2" s="1"/>
  <c r="Y480" i="2"/>
  <c r="AA480" i="2" s="1"/>
  <c r="S480" i="2" s="1"/>
  <c r="AD478" i="2"/>
  <c r="Y476" i="2"/>
  <c r="AA476" i="2" s="1"/>
  <c r="S476" i="2" s="1"/>
  <c r="AD476" i="2" s="1"/>
  <c r="Y475" i="2"/>
  <c r="AA475" i="2" s="1"/>
  <c r="S475" i="2" s="1"/>
  <c r="AD473" i="2"/>
  <c r="Y466" i="2"/>
  <c r="AA466" i="2" s="1"/>
  <c r="S466" i="2" s="1"/>
  <c r="AD466" i="2" s="1"/>
  <c r="Y465" i="2"/>
  <c r="AA465" i="2" s="1"/>
  <c r="S465" i="2" s="1"/>
  <c r="AD465" i="2" s="1"/>
  <c r="Q464" i="2"/>
  <c r="Y464" i="2" s="1"/>
  <c r="AA464" i="2" s="1"/>
  <c r="S464" i="2" s="1"/>
  <c r="AD464" i="2" s="1"/>
  <c r="Q463" i="2"/>
  <c r="Y463" i="2" s="1"/>
  <c r="AA463" i="2" s="1"/>
  <c r="S463" i="2" s="1"/>
  <c r="AD461" i="2"/>
  <c r="Y459" i="2"/>
  <c r="AA459" i="2" s="1"/>
  <c r="S459" i="2" s="1"/>
  <c r="AD459" i="2" s="1"/>
  <c r="Y456" i="2"/>
  <c r="AA456" i="2" s="1"/>
  <c r="S456" i="2" s="1"/>
  <c r="AD454" i="2"/>
  <c r="Y451" i="2"/>
  <c r="AA451" i="2" s="1"/>
  <c r="S451" i="2" s="1"/>
  <c r="AD449" i="2"/>
  <c r="Y447" i="2"/>
  <c r="AA447" i="2" s="1"/>
  <c r="S447" i="2" s="1"/>
  <c r="AD447" i="2" s="1"/>
  <c r="AD446" i="2"/>
  <c r="S446" i="2"/>
  <c r="Y444" i="2"/>
  <c r="AA444" i="2" s="1"/>
  <c r="S444" i="2" s="1"/>
  <c r="AD442" i="2"/>
  <c r="AD441" i="2"/>
  <c r="Y438" i="2"/>
  <c r="AA438" i="2" s="1"/>
  <c r="S438" i="2" s="1"/>
  <c r="AD436" i="2"/>
  <c r="AD435" i="2"/>
  <c r="Y430" i="2"/>
  <c r="AA430" i="2" s="1"/>
  <c r="S430" i="2" s="1"/>
  <c r="AD430" i="2" s="1"/>
  <c r="Y429" i="2"/>
  <c r="AA429" i="2" s="1"/>
  <c r="S429" i="2" s="1"/>
  <c r="Y428" i="2"/>
  <c r="AA428" i="2" s="1"/>
  <c r="S428" i="2" s="1"/>
  <c r="AD428" i="2" s="1"/>
  <c r="AD426" i="2"/>
  <c r="AD425" i="2"/>
  <c r="Y423" i="2"/>
  <c r="AA423" i="2" s="1"/>
  <c r="S423" i="2" s="1"/>
  <c r="AD423" i="2" s="1"/>
  <c r="Y422" i="2"/>
  <c r="AA422" i="2" s="1"/>
  <c r="S422" i="2" s="1"/>
  <c r="AD422" i="2" s="1"/>
  <c r="Y421" i="2"/>
  <c r="AA421" i="2" s="1"/>
  <c r="S421" i="2" s="1"/>
  <c r="AD421" i="2" s="1"/>
  <c r="Y420" i="2"/>
  <c r="AA420" i="2" s="1"/>
  <c r="S420" i="2" s="1"/>
  <c r="AD420" i="2" s="1"/>
  <c r="Y419" i="2"/>
  <c r="AA419" i="2" s="1"/>
  <c r="S419" i="2" s="1"/>
  <c r="AD419" i="2" s="1"/>
  <c r="Y418" i="2"/>
  <c r="AA418" i="2" s="1"/>
  <c r="S418" i="2" s="1"/>
  <c r="AD418" i="2" s="1"/>
  <c r="Y417" i="2"/>
  <c r="AA417" i="2" s="1"/>
  <c r="S417" i="2" s="1"/>
  <c r="AD415" i="2"/>
  <c r="Y413" i="2"/>
  <c r="AA413" i="2" s="1"/>
  <c r="S413" i="2" s="1"/>
  <c r="AD413" i="2" s="1"/>
  <c r="Y412" i="2"/>
  <c r="AA412" i="2" s="1"/>
  <c r="S412" i="2" s="1"/>
  <c r="AD412" i="2" s="1"/>
  <c r="Y411" i="2"/>
  <c r="AA411" i="2" s="1"/>
  <c r="S411" i="2" s="1"/>
  <c r="AD411" i="2" s="1"/>
  <c r="Y410" i="2"/>
  <c r="AA410" i="2" s="1"/>
  <c r="S410" i="2" s="1"/>
  <c r="AD410" i="2" s="1"/>
  <c r="Y409" i="2"/>
  <c r="AA409" i="2" s="1"/>
  <c r="S409" i="2" s="1"/>
  <c r="AD407" i="2"/>
  <c r="Y402" i="2"/>
  <c r="AA402" i="2" s="1"/>
  <c r="S402" i="2" s="1"/>
  <c r="AD402" i="2" s="1"/>
  <c r="Y401" i="2"/>
  <c r="AA401" i="2" s="1"/>
  <c r="S401" i="2" s="1"/>
  <c r="AD401" i="2" s="1"/>
  <c r="Y400" i="2"/>
  <c r="AA400" i="2" s="1"/>
  <c r="S400" i="2" s="1"/>
  <c r="AD400" i="2" s="1"/>
  <c r="Y399" i="2"/>
  <c r="AA399" i="2" s="1"/>
  <c r="S399" i="2" s="1"/>
  <c r="AD399" i="2" s="1"/>
  <c r="Y398" i="2"/>
  <c r="AA398" i="2" s="1"/>
  <c r="S398" i="2" s="1"/>
  <c r="AD398" i="2" s="1"/>
  <c r="Y397" i="2"/>
  <c r="AA397" i="2" s="1"/>
  <c r="S397" i="2" s="1"/>
  <c r="AD395" i="2"/>
  <c r="Y393" i="2"/>
  <c r="AA393" i="2" s="1"/>
  <c r="S393" i="2" s="1"/>
  <c r="AD393" i="2" s="1"/>
  <c r="Y392" i="2"/>
  <c r="AA392" i="2" s="1"/>
  <c r="S392" i="2" s="1"/>
  <c r="AD392" i="2" s="1"/>
  <c r="Y391" i="2"/>
  <c r="AA391" i="2" s="1"/>
  <c r="S391" i="2" s="1"/>
  <c r="AD391" i="2" s="1"/>
  <c r="Y390" i="2"/>
  <c r="AA390" i="2" s="1"/>
  <c r="S390" i="2" s="1"/>
  <c r="AD390" i="2" s="1"/>
  <c r="Y389" i="2"/>
  <c r="AA389" i="2" s="1"/>
  <c r="S389" i="2" s="1"/>
  <c r="AD389" i="2" s="1"/>
  <c r="Y388" i="2"/>
  <c r="AA388" i="2" s="1"/>
  <c r="S388" i="2" s="1"/>
  <c r="AD388" i="2" s="1"/>
  <c r="Y387" i="2"/>
  <c r="AA387" i="2" s="1"/>
  <c r="S387" i="2" s="1"/>
  <c r="AD387" i="2" s="1"/>
  <c r="Y386" i="2"/>
  <c r="AA386" i="2" s="1"/>
  <c r="S386" i="2" s="1"/>
  <c r="AD384" i="2"/>
  <c r="Y381" i="2"/>
  <c r="AA381" i="2" s="1"/>
  <c r="S381" i="2" s="1"/>
  <c r="AD381" i="2" s="1"/>
  <c r="Y380" i="2"/>
  <c r="AA380" i="2" s="1"/>
  <c r="S380" i="2" s="1"/>
  <c r="AD380" i="2" s="1"/>
  <c r="Y379" i="2"/>
  <c r="AA379" i="2" s="1"/>
  <c r="S379" i="2" s="1"/>
  <c r="AD379" i="2" s="1"/>
  <c r="Y378" i="2"/>
  <c r="AA378" i="2" s="1"/>
  <c r="S378" i="2" s="1"/>
  <c r="AD378" i="2" s="1"/>
  <c r="Y377" i="2"/>
  <c r="AA377" i="2" s="1"/>
  <c r="S377" i="2" s="1"/>
  <c r="AD377" i="2" s="1"/>
  <c r="Y376" i="2"/>
  <c r="AA376" i="2" s="1"/>
  <c r="S376" i="2" s="1"/>
  <c r="AD376" i="2" s="1"/>
  <c r="Y375" i="2"/>
  <c r="AA375" i="2" s="1"/>
  <c r="S375" i="2" s="1"/>
  <c r="AD375" i="2" s="1"/>
  <c r="Y374" i="2"/>
  <c r="AA374" i="2" s="1"/>
  <c r="S374" i="2" s="1"/>
  <c r="AD374" i="2" s="1"/>
  <c r="Y373" i="2"/>
  <c r="AA373" i="2" s="1"/>
  <c r="S373" i="2" s="1"/>
  <c r="AD373" i="2" s="1"/>
  <c r="Y372" i="2"/>
  <c r="AA372" i="2" s="1"/>
  <c r="S372" i="2" s="1"/>
  <c r="AD370" i="2"/>
  <c r="Y368" i="2"/>
  <c r="AA368" i="2" s="1"/>
  <c r="S368" i="2" s="1"/>
  <c r="AD368" i="2" s="1"/>
  <c r="Y367" i="2"/>
  <c r="AA367" i="2" s="1"/>
  <c r="S367" i="2" s="1"/>
  <c r="AD367" i="2" s="1"/>
  <c r="Y366" i="2"/>
  <c r="AA366" i="2" s="1"/>
  <c r="S366" i="2" s="1"/>
  <c r="AD366" i="2" s="1"/>
  <c r="Y365" i="2"/>
  <c r="AA365" i="2" s="1"/>
  <c r="S365" i="2" s="1"/>
  <c r="AD365" i="2" s="1"/>
  <c r="Y364" i="2"/>
  <c r="AA364" i="2" s="1"/>
  <c r="S364" i="2" s="1"/>
  <c r="AD364" i="2" s="1"/>
  <c r="Y363" i="2"/>
  <c r="AA363" i="2" s="1"/>
  <c r="S363" i="2" s="1"/>
  <c r="AD363" i="2" s="1"/>
  <c r="Y362" i="2"/>
  <c r="AA362" i="2" s="1"/>
  <c r="S362" i="2" s="1"/>
  <c r="AD360" i="2"/>
  <c r="Y358" i="2"/>
  <c r="AA358" i="2" s="1"/>
  <c r="S358" i="2" s="1"/>
  <c r="AD358" i="2" s="1"/>
  <c r="Y357" i="2"/>
  <c r="AA357" i="2" s="1"/>
  <c r="S357" i="2" s="1"/>
  <c r="AD357" i="2" s="1"/>
  <c r="Y356" i="2"/>
  <c r="AA356" i="2" s="1"/>
  <c r="S356" i="2" s="1"/>
  <c r="AD356" i="2" s="1"/>
  <c r="Y355" i="2"/>
  <c r="AA355" i="2" s="1"/>
  <c r="S355" i="2" s="1"/>
  <c r="AD355" i="2" s="1"/>
  <c r="Y354" i="2"/>
  <c r="AA354" i="2" s="1"/>
  <c r="S354" i="2" s="1"/>
  <c r="AD354" i="2" s="1"/>
  <c r="Y353" i="2"/>
  <c r="AA353" i="2" s="1"/>
  <c r="S353" i="2" s="1"/>
  <c r="AD353" i="2" s="1"/>
  <c r="Y352" i="2"/>
  <c r="AA352" i="2" s="1"/>
  <c r="S352" i="2" s="1"/>
  <c r="AD350" i="2"/>
  <c r="AD349" i="2"/>
  <c r="Y347" i="2"/>
  <c r="AA347" i="2" s="1"/>
  <c r="S347" i="2" s="1"/>
  <c r="AD347" i="2" s="1"/>
  <c r="Y346" i="2"/>
  <c r="AA346" i="2" s="1"/>
  <c r="S346" i="2" s="1"/>
  <c r="AD344" i="2"/>
  <c r="Y342" i="2"/>
  <c r="AA342" i="2" s="1"/>
  <c r="S342" i="2" s="1"/>
  <c r="AD342" i="2" s="1"/>
  <c r="Y341" i="2"/>
  <c r="AA341" i="2" s="1"/>
  <c r="S341" i="2" s="1"/>
  <c r="AD341" i="2" s="1"/>
  <c r="AD339" i="2"/>
  <c r="Y336" i="2"/>
  <c r="AA336" i="2" s="1"/>
  <c r="S336" i="2" s="1"/>
  <c r="AD336" i="2" s="1"/>
  <c r="Y335" i="2"/>
  <c r="AA335" i="2" s="1"/>
  <c r="S335" i="2" s="1"/>
  <c r="AD333" i="2"/>
  <c r="Y331" i="2"/>
  <c r="AA331" i="2" s="1"/>
  <c r="S331" i="2" s="1"/>
  <c r="AD331" i="2" s="1"/>
  <c r="Y330" i="2"/>
  <c r="AA330" i="2" s="1"/>
  <c r="S330" i="2" s="1"/>
  <c r="AD330" i="2" s="1"/>
  <c r="Y329" i="2"/>
  <c r="AA329" i="2" s="1"/>
  <c r="S329" i="2" s="1"/>
  <c r="AD329" i="2" s="1"/>
  <c r="AD327" i="2"/>
  <c r="Y325" i="2"/>
  <c r="AA325" i="2" s="1"/>
  <c r="S325" i="2" s="1"/>
  <c r="AD325" i="2" s="1"/>
  <c r="Y324" i="2"/>
  <c r="AA324" i="2" s="1"/>
  <c r="S324" i="2" s="1"/>
  <c r="AD324" i="2" s="1"/>
  <c r="Y323" i="2"/>
  <c r="AA323" i="2" s="1"/>
  <c r="S323" i="2" s="1"/>
  <c r="AD323" i="2" s="1"/>
  <c r="Y322" i="2"/>
  <c r="AA322" i="2" s="1"/>
  <c r="S322" i="2" s="1"/>
  <c r="Y321" i="2"/>
  <c r="AA321" i="2" s="1"/>
  <c r="S321" i="2" s="1"/>
  <c r="AD321" i="2" s="1"/>
  <c r="AD319" i="2"/>
  <c r="AD318" i="2"/>
  <c r="Y315" i="2"/>
  <c r="AA315" i="2" s="1"/>
  <c r="S315" i="2" s="1"/>
  <c r="AD315" i="2" s="1"/>
  <c r="Y314" i="2"/>
  <c r="AA314" i="2" s="1"/>
  <c r="S314" i="2" s="1"/>
  <c r="Y313" i="2"/>
  <c r="AA313" i="2" s="1"/>
  <c r="S313" i="2" s="1"/>
  <c r="AD313" i="2" s="1"/>
  <c r="AD311" i="2"/>
  <c r="Y309" i="2"/>
  <c r="AA309" i="2" s="1"/>
  <c r="S309" i="2" s="1"/>
  <c r="AD309" i="2" s="1"/>
  <c r="Y308" i="2"/>
  <c r="AA308" i="2" s="1"/>
  <c r="S308" i="2" s="1"/>
  <c r="AD308" i="2" s="1"/>
  <c r="Y307" i="2"/>
  <c r="AA307" i="2" s="1"/>
  <c r="S307" i="2" s="1"/>
  <c r="AD307" i="2" s="1"/>
  <c r="Y306" i="2"/>
  <c r="AA306" i="2" s="1"/>
  <c r="S306" i="2" s="1"/>
  <c r="AD306" i="2" s="1"/>
  <c r="Y305" i="2"/>
  <c r="AA305" i="2" s="1"/>
  <c r="S305" i="2" s="1"/>
  <c r="AD303" i="2"/>
  <c r="AD302" i="2"/>
  <c r="Y296" i="2"/>
  <c r="AA296" i="2" s="1"/>
  <c r="S296" i="2" s="1"/>
  <c r="AD296" i="2" s="1"/>
  <c r="Y295" i="2"/>
  <c r="AA295" i="2" s="1"/>
  <c r="S295" i="2" s="1"/>
  <c r="AD295" i="2" s="1"/>
  <c r="Y294" i="2"/>
  <c r="AA294" i="2" s="1"/>
  <c r="S294" i="2" s="1"/>
  <c r="AD294" i="2" s="1"/>
  <c r="Y293" i="2"/>
  <c r="AA293" i="2" s="1"/>
  <c r="S293" i="2" s="1"/>
  <c r="AD293" i="2" s="1"/>
  <c r="Y292" i="2"/>
  <c r="AA292" i="2" s="1"/>
  <c r="S292" i="2" s="1"/>
  <c r="AD290" i="2"/>
  <c r="Y285" i="2"/>
  <c r="AA285" i="2" s="1"/>
  <c r="S285" i="2" s="1"/>
  <c r="AD285" i="2" s="1"/>
  <c r="Y284" i="2"/>
  <c r="AA284" i="2" s="1"/>
  <c r="S284" i="2" s="1"/>
  <c r="AD284" i="2" s="1"/>
  <c r="Y283" i="2"/>
  <c r="AA283" i="2" s="1"/>
  <c r="S283" i="2" s="1"/>
  <c r="AD283" i="2" s="1"/>
  <c r="Y282" i="2"/>
  <c r="AA282" i="2" s="1"/>
  <c r="S282" i="2" s="1"/>
  <c r="AD282" i="2" s="1"/>
  <c r="Y281" i="2"/>
  <c r="AA281" i="2" s="1"/>
  <c r="S281" i="2" s="1"/>
  <c r="AD279" i="2"/>
  <c r="Y277" i="2"/>
  <c r="AA277" i="2" s="1"/>
  <c r="S277" i="2" s="1"/>
  <c r="AD277" i="2" s="1"/>
  <c r="Y276" i="2"/>
  <c r="AA276" i="2" s="1"/>
  <c r="S276" i="2" s="1"/>
  <c r="AD276" i="2" s="1"/>
  <c r="Y275" i="2"/>
  <c r="AA275" i="2" s="1"/>
  <c r="S275" i="2" s="1"/>
  <c r="AD275" i="2" s="1"/>
  <c r="Y274" i="2"/>
  <c r="AA274" i="2" s="1"/>
  <c r="S274" i="2" s="1"/>
  <c r="AD274" i="2" s="1"/>
  <c r="Y273" i="2"/>
  <c r="AA273" i="2" s="1"/>
  <c r="S273" i="2" s="1"/>
  <c r="AD273" i="2" s="1"/>
  <c r="AD271" i="2"/>
  <c r="Y266" i="2"/>
  <c r="AA266" i="2" s="1"/>
  <c r="S266" i="2" s="1"/>
  <c r="AD266" i="2" s="1"/>
  <c r="Y265" i="2"/>
  <c r="AA265" i="2" s="1"/>
  <c r="S265" i="2" s="1"/>
  <c r="Y264" i="2"/>
  <c r="AA264" i="2" s="1"/>
  <c r="S264" i="2" s="1"/>
  <c r="AD264" i="2" s="1"/>
  <c r="Y263" i="2"/>
  <c r="AA263" i="2" s="1"/>
  <c r="S263" i="2" s="1"/>
  <c r="AD263" i="2" s="1"/>
  <c r="Y262" i="2"/>
  <c r="AA262" i="2" s="1"/>
  <c r="S262" i="2" s="1"/>
  <c r="AD260" i="2"/>
  <c r="AD259" i="2"/>
  <c r="Y242" i="2"/>
  <c r="AA242" i="2" s="1"/>
  <c r="S242" i="2" s="1"/>
  <c r="Y241" i="2"/>
  <c r="AA241" i="2" s="1"/>
  <c r="S241" i="2" s="1"/>
  <c r="AD241" i="2" s="1"/>
  <c r="Y240" i="2"/>
  <c r="AA240" i="2" s="1"/>
  <c r="S240" i="2" s="1"/>
  <c r="AD240" i="2" s="1"/>
  <c r="Y239" i="2"/>
  <c r="AA239" i="2" s="1"/>
  <c r="S239" i="2" s="1"/>
  <c r="AD239" i="2" s="1"/>
  <c r="Y238" i="2"/>
  <c r="AA238" i="2" s="1"/>
  <c r="S238" i="2" s="1"/>
  <c r="AD238" i="2" s="1"/>
  <c r="AD236" i="2"/>
  <c r="Y234" i="2"/>
  <c r="AA234" i="2" s="1"/>
  <c r="S234" i="2" s="1"/>
  <c r="AD234" i="2" s="1"/>
  <c r="Y233" i="2"/>
  <c r="AA233" i="2" s="1"/>
  <c r="S233" i="2" s="1"/>
  <c r="AD233" i="2" s="1"/>
  <c r="Y232" i="2"/>
  <c r="AA232" i="2" s="1"/>
  <c r="S232" i="2" s="1"/>
  <c r="AD232" i="2" s="1"/>
  <c r="Y231" i="2"/>
  <c r="AA231" i="2" s="1"/>
  <c r="S231" i="2" s="1"/>
  <c r="AD231" i="2" s="1"/>
  <c r="Y230" i="2"/>
  <c r="AA230" i="2" s="1"/>
  <c r="S230" i="2" s="1"/>
  <c r="Y229" i="2"/>
  <c r="AA229" i="2" s="1"/>
  <c r="S229" i="2" s="1"/>
  <c r="AD229" i="2" s="1"/>
  <c r="AD227" i="2"/>
  <c r="Y225" i="2"/>
  <c r="AA225" i="2" s="1"/>
  <c r="S225" i="2" s="1"/>
  <c r="AD225" i="2" s="1"/>
  <c r="Y224" i="2"/>
  <c r="AA224" i="2" s="1"/>
  <c r="S224" i="2" s="1"/>
  <c r="AD224" i="2" s="1"/>
  <c r="Y223" i="2"/>
  <c r="AA223" i="2" s="1"/>
  <c r="S223" i="2" s="1"/>
  <c r="AD223" i="2" s="1"/>
  <c r="Y222" i="2"/>
  <c r="AA222" i="2" s="1"/>
  <c r="S222" i="2" s="1"/>
  <c r="AD222" i="2" s="1"/>
  <c r="Y221" i="2"/>
  <c r="AA221" i="2" s="1"/>
  <c r="S221" i="2" s="1"/>
  <c r="AD221" i="2" s="1"/>
  <c r="Y220" i="2"/>
  <c r="AA220" i="2" s="1"/>
  <c r="S220" i="2" s="1"/>
  <c r="AD218" i="2"/>
  <c r="AD217" i="2"/>
  <c r="Y206" i="2"/>
  <c r="AA206" i="2" s="1"/>
  <c r="S206" i="2" s="1"/>
  <c r="AD206" i="2" s="1"/>
  <c r="Y205" i="2"/>
  <c r="AA205" i="2" s="1"/>
  <c r="S205" i="2" s="1"/>
  <c r="AD205" i="2" s="1"/>
  <c r="Y204" i="2"/>
  <c r="AA204" i="2" s="1"/>
  <c r="S204" i="2" s="1"/>
  <c r="AD204" i="2" s="1"/>
  <c r="Y203" i="2"/>
  <c r="AA203" i="2" s="1"/>
  <c r="S203" i="2" s="1"/>
  <c r="AD203" i="2" s="1"/>
  <c r="Y202" i="2"/>
  <c r="AA202" i="2" s="1"/>
  <c r="S202" i="2" s="1"/>
  <c r="AD200" i="2"/>
  <c r="Y198" i="2"/>
  <c r="AA198" i="2" s="1"/>
  <c r="S198" i="2" s="1"/>
  <c r="AD198" i="2" s="1"/>
  <c r="Y197" i="2"/>
  <c r="AA197" i="2" s="1"/>
  <c r="S197" i="2" s="1"/>
  <c r="AD197" i="2" s="1"/>
  <c r="Y196" i="2"/>
  <c r="AA196" i="2" s="1"/>
  <c r="S196" i="2" s="1"/>
  <c r="AD196" i="2" s="1"/>
  <c r="Y195" i="2"/>
  <c r="AA195" i="2" s="1"/>
  <c r="S195" i="2" s="1"/>
  <c r="AD193" i="2"/>
  <c r="Y191" i="2"/>
  <c r="AA191" i="2" s="1"/>
  <c r="S191" i="2" s="1"/>
  <c r="AD191" i="2" s="1"/>
  <c r="Y190" i="2"/>
  <c r="AA190" i="2" s="1"/>
  <c r="S190" i="2" s="1"/>
  <c r="AD190" i="2" s="1"/>
  <c r="Y189" i="2"/>
  <c r="AA189" i="2" s="1"/>
  <c r="S189" i="2" s="1"/>
  <c r="AD189" i="2" s="1"/>
  <c r="Y188" i="2"/>
  <c r="AA188" i="2" s="1"/>
  <c r="S188" i="2" s="1"/>
  <c r="AD188" i="2" s="1"/>
  <c r="Y187" i="2"/>
  <c r="AA187" i="2" s="1"/>
  <c r="S187" i="2" s="1"/>
  <c r="AD185" i="2"/>
  <c r="Y183" i="2"/>
  <c r="AA183" i="2" s="1"/>
  <c r="S183" i="2" s="1"/>
  <c r="AD183" i="2" s="1"/>
  <c r="Y182" i="2"/>
  <c r="AA182" i="2" s="1"/>
  <c r="S182" i="2" s="1"/>
  <c r="AD182" i="2" s="1"/>
  <c r="Y181" i="2"/>
  <c r="AA181" i="2" s="1"/>
  <c r="S181" i="2" s="1"/>
  <c r="AD181" i="2" s="1"/>
  <c r="Y180" i="2"/>
  <c r="AA180" i="2" s="1"/>
  <c r="S180" i="2" s="1"/>
  <c r="AD180" i="2" s="1"/>
  <c r="Y179" i="2"/>
  <c r="AA179" i="2" s="1"/>
  <c r="S179" i="2" s="1"/>
  <c r="AD179" i="2" s="1"/>
  <c r="AD177" i="2"/>
  <c r="Y175" i="2"/>
  <c r="AA175" i="2" s="1"/>
  <c r="S175" i="2" s="1"/>
  <c r="AD175" i="2" s="1"/>
  <c r="Y174" i="2"/>
  <c r="AA174" i="2" s="1"/>
  <c r="S174" i="2" s="1"/>
  <c r="AD174" i="2" s="1"/>
  <c r="Y173" i="2"/>
  <c r="AA173" i="2" s="1"/>
  <c r="S173" i="2" s="1"/>
  <c r="AD173" i="2" s="1"/>
  <c r="Y172" i="2"/>
  <c r="AA172" i="2" s="1"/>
  <c r="S172" i="2" s="1"/>
  <c r="AD172" i="2" s="1"/>
  <c r="Y171" i="2"/>
  <c r="AA171" i="2" s="1"/>
  <c r="S171" i="2" s="1"/>
  <c r="AD169" i="2"/>
  <c r="AD168" i="2"/>
  <c r="Y148" i="2"/>
  <c r="AA148" i="2" s="1"/>
  <c r="S148" i="2" s="1"/>
  <c r="AD148" i="2" s="1"/>
  <c r="Y147" i="2"/>
  <c r="AA147" i="2" s="1"/>
  <c r="S147" i="2" s="1"/>
  <c r="AD147" i="2" s="1"/>
  <c r="Y146" i="2"/>
  <c r="AA146" i="2" s="1"/>
  <c r="S146" i="2" s="1"/>
  <c r="AD146" i="2" s="1"/>
  <c r="Y145" i="2"/>
  <c r="AA145" i="2" s="1"/>
  <c r="S145" i="2" s="1"/>
  <c r="AD145" i="2" s="1"/>
  <c r="Y144" i="2"/>
  <c r="AA144" i="2" s="1"/>
  <c r="S144" i="2" s="1"/>
  <c r="AD144" i="2" s="1"/>
  <c r="AD142" i="2"/>
  <c r="Y140" i="2"/>
  <c r="AA140" i="2" s="1"/>
  <c r="S140" i="2" s="1"/>
  <c r="AD140" i="2" s="1"/>
  <c r="Y139" i="2"/>
  <c r="AA139" i="2" s="1"/>
  <c r="S139" i="2" s="1"/>
  <c r="AD139" i="2" s="1"/>
  <c r="Y138" i="2"/>
  <c r="AA138" i="2" s="1"/>
  <c r="S138" i="2" s="1"/>
  <c r="AD138" i="2" s="1"/>
  <c r="Y137" i="2"/>
  <c r="AA137" i="2" s="1"/>
  <c r="S137" i="2" s="1"/>
  <c r="AD137" i="2" s="1"/>
  <c r="Y136" i="2"/>
  <c r="AA136" i="2" s="1"/>
  <c r="S136" i="2" s="1"/>
  <c r="AD134" i="2"/>
  <c r="Y132" i="2"/>
  <c r="AA132" i="2" s="1"/>
  <c r="S132" i="2" s="1"/>
  <c r="AD132" i="2" s="1"/>
  <c r="Y131" i="2"/>
  <c r="AA131" i="2" s="1"/>
  <c r="S131" i="2" s="1"/>
  <c r="AD131" i="2" s="1"/>
  <c r="Y130" i="2"/>
  <c r="AA130" i="2" s="1"/>
  <c r="S130" i="2" s="1"/>
  <c r="AD130" i="2" s="1"/>
  <c r="Y129" i="2"/>
  <c r="AA129" i="2" s="1"/>
  <c r="S129" i="2" s="1"/>
  <c r="AD129" i="2" s="1"/>
  <c r="Y128" i="2"/>
  <c r="AA128" i="2" s="1"/>
  <c r="S128" i="2" s="1"/>
  <c r="AD128" i="2" s="1"/>
  <c r="AD126" i="2"/>
  <c r="Y121" i="2"/>
  <c r="AA121" i="2" s="1"/>
  <c r="S121" i="2" s="1"/>
  <c r="AD121" i="2" s="1"/>
  <c r="Y120" i="2"/>
  <c r="AA120" i="2" s="1"/>
  <c r="S120" i="2" s="1"/>
  <c r="AD120" i="2" s="1"/>
  <c r="Y119" i="2"/>
  <c r="AA119" i="2" s="1"/>
  <c r="S119" i="2" s="1"/>
  <c r="AD119" i="2" s="1"/>
  <c r="Y118" i="2"/>
  <c r="AA118" i="2" s="1"/>
  <c r="S118" i="2" s="1"/>
  <c r="AD118" i="2" s="1"/>
  <c r="Y117" i="2"/>
  <c r="AA117" i="2" s="1"/>
  <c r="S117" i="2" s="1"/>
  <c r="AD117" i="2" s="1"/>
  <c r="Y116" i="2"/>
  <c r="AA116" i="2" s="1"/>
  <c r="S116" i="2" s="1"/>
  <c r="AD116" i="2" s="1"/>
  <c r="Y115" i="2"/>
  <c r="AA115" i="2" s="1"/>
  <c r="S115" i="2" s="1"/>
  <c r="AD113" i="2"/>
  <c r="Y111" i="2"/>
  <c r="AA111" i="2" s="1"/>
  <c r="S111" i="2" s="1"/>
  <c r="AD111" i="2" s="1"/>
  <c r="Y110" i="2"/>
  <c r="AA110" i="2" s="1"/>
  <c r="S110" i="2" s="1"/>
  <c r="AD110" i="2" s="1"/>
  <c r="Y109" i="2"/>
  <c r="AA109" i="2" s="1"/>
  <c r="S109" i="2" s="1"/>
  <c r="AD109" i="2" s="1"/>
  <c r="Y108" i="2"/>
  <c r="AA108" i="2" s="1"/>
  <c r="S108" i="2" s="1"/>
  <c r="AD108" i="2" s="1"/>
  <c r="Y107" i="2"/>
  <c r="AA107" i="2" s="1"/>
  <c r="S107" i="2" s="1"/>
  <c r="AD107" i="2" s="1"/>
  <c r="Y106" i="2"/>
  <c r="AA106" i="2" s="1"/>
  <c r="S106" i="2" s="1"/>
  <c r="AD106" i="2" s="1"/>
  <c r="Y105" i="2"/>
  <c r="AA105" i="2" s="1"/>
  <c r="S105" i="2" s="1"/>
  <c r="AD103" i="2"/>
  <c r="AD102" i="2"/>
  <c r="Y100" i="2"/>
  <c r="AA100" i="2" s="1"/>
  <c r="S100" i="2" s="1"/>
  <c r="AD100" i="2" s="1"/>
  <c r="Y99" i="2"/>
  <c r="AA99" i="2" s="1"/>
  <c r="S99" i="2" s="1"/>
  <c r="AD99" i="2" s="1"/>
  <c r="Y98" i="2"/>
  <c r="AA98" i="2" s="1"/>
  <c r="S98" i="2" s="1"/>
  <c r="AD96" i="2"/>
  <c r="Y91" i="2"/>
  <c r="AA91" i="2" s="1"/>
  <c r="S91" i="2" s="1"/>
  <c r="AD91" i="2" s="1"/>
  <c r="Y90" i="2"/>
  <c r="AA90" i="2" s="1"/>
  <c r="S90" i="2" s="1"/>
  <c r="AD90" i="2" s="1"/>
  <c r="Y89" i="2"/>
  <c r="AA89" i="2" s="1"/>
  <c r="S89" i="2" s="1"/>
  <c r="AD89" i="2" s="1"/>
  <c r="Y88" i="2"/>
  <c r="AA88" i="2" s="1"/>
  <c r="S88" i="2" s="1"/>
  <c r="AD88" i="2" s="1"/>
  <c r="AD87" i="2"/>
  <c r="Y87" i="2"/>
  <c r="AA87" i="2" s="1"/>
  <c r="S87" i="2"/>
  <c r="Y86" i="2"/>
  <c r="AA86" i="2" s="1"/>
  <c r="S86" i="2" s="1"/>
  <c r="AD86" i="2" s="1"/>
  <c r="Y85" i="2"/>
  <c r="AA85" i="2" s="1"/>
  <c r="S85" i="2" s="1"/>
  <c r="AD85" i="2" s="1"/>
  <c r="Y84" i="2"/>
  <c r="AA84" i="2" s="1"/>
  <c r="S84" i="2" s="1"/>
  <c r="AD82" i="2"/>
  <c r="Y80" i="2"/>
  <c r="AA80" i="2" s="1"/>
  <c r="S80" i="2" s="1"/>
  <c r="AD80" i="2" s="1"/>
  <c r="Y79" i="2"/>
  <c r="AA79" i="2" s="1"/>
  <c r="S79" i="2" s="1"/>
  <c r="AD79" i="2" s="1"/>
  <c r="Y77" i="2"/>
  <c r="AA77" i="2" s="1"/>
  <c r="S77" i="2" s="1"/>
  <c r="AD75" i="2"/>
  <c r="Y73" i="2"/>
  <c r="AA73" i="2" s="1"/>
  <c r="S73" i="2" s="1"/>
  <c r="AD71" i="2"/>
  <c r="Y69" i="2"/>
  <c r="AA69" i="2" s="1"/>
  <c r="S69" i="2" s="1"/>
  <c r="AD69" i="2" s="1"/>
  <c r="Y68" i="2"/>
  <c r="AA68" i="2" s="1"/>
  <c r="S68" i="2" s="1"/>
  <c r="AD66" i="2"/>
  <c r="Y61" i="2"/>
  <c r="AA61" i="2" s="1"/>
  <c r="S61" i="2" s="1"/>
  <c r="AD61" i="2" s="1"/>
  <c r="Y59" i="2"/>
  <c r="AA59" i="2" s="1"/>
  <c r="S59" i="2" s="1"/>
  <c r="AD59" i="2" s="1"/>
  <c r="Y58" i="2"/>
  <c r="AA58" i="2" s="1"/>
  <c r="S58" i="2" s="1"/>
  <c r="AD56" i="2"/>
  <c r="Y54" i="2"/>
  <c r="AA54" i="2" s="1"/>
  <c r="S54" i="2" s="1"/>
  <c r="AD54" i="2" s="1"/>
  <c r="Y53" i="2"/>
  <c r="AA53" i="2" s="1"/>
  <c r="S53" i="2" s="1"/>
  <c r="AD53" i="2" s="1"/>
  <c r="Y52" i="2"/>
  <c r="AA52" i="2" s="1"/>
  <c r="S52" i="2" s="1"/>
  <c r="AD52" i="2" s="1"/>
  <c r="Y51" i="2"/>
  <c r="AA51" i="2" s="1"/>
  <c r="S51" i="2" s="1"/>
  <c r="AD51" i="2" s="1"/>
  <c r="Y50" i="2"/>
  <c r="AA50" i="2" s="1"/>
  <c r="S50" i="2" s="1"/>
  <c r="AD50" i="2" s="1"/>
  <c r="Y49" i="2"/>
  <c r="AA49" i="2" s="1"/>
  <c r="S49" i="2" s="1"/>
  <c r="AD47" i="2"/>
  <c r="Y45" i="2"/>
  <c r="AA45" i="2" s="1"/>
  <c r="S45" i="2" s="1"/>
  <c r="AD45" i="2" s="1"/>
  <c r="Y44" i="2"/>
  <c r="AA44" i="2" s="1"/>
  <c r="S44" i="2" s="1"/>
  <c r="AD44" i="2" s="1"/>
  <c r="Q43" i="2"/>
  <c r="P43" i="2"/>
  <c r="Q29" i="2" s="1"/>
  <c r="Y29" i="2" s="1"/>
  <c r="AA29" i="2" s="1"/>
  <c r="S29" i="2" s="1"/>
  <c r="AD29" i="2" s="1"/>
  <c r="AD41" i="2"/>
  <c r="Y39" i="2"/>
  <c r="AA39" i="2" s="1"/>
  <c r="S39" i="2" s="1"/>
  <c r="AD39" i="2" s="1"/>
  <c r="Y38" i="2"/>
  <c r="AA38" i="2" s="1"/>
  <c r="S38" i="2" s="1"/>
  <c r="AD38" i="2" s="1"/>
  <c r="Y37" i="2"/>
  <c r="AA37" i="2" s="1"/>
  <c r="S37" i="2" s="1"/>
  <c r="AD37" i="2" s="1"/>
  <c r="Y36" i="2"/>
  <c r="AA36" i="2" s="1"/>
  <c r="S36" i="2" s="1"/>
  <c r="AD36" i="2" s="1"/>
  <c r="Y35" i="2"/>
  <c r="AA35" i="2" s="1"/>
  <c r="S35" i="2" s="1"/>
  <c r="AD33" i="2"/>
  <c r="Y31" i="2"/>
  <c r="AA31" i="2" s="1"/>
  <c r="S31" i="2" s="1"/>
  <c r="AD31" i="2" s="1"/>
  <c r="Y28" i="2"/>
  <c r="AA28" i="2" s="1"/>
  <c r="S28" i="2" s="1"/>
  <c r="AD26" i="2"/>
  <c r="Y24" i="2"/>
  <c r="AA24" i="2" s="1"/>
  <c r="S24" i="2" s="1"/>
  <c r="AD24" i="2" s="1"/>
  <c r="Y23" i="2"/>
  <c r="AA23" i="2" s="1"/>
  <c r="S23" i="2" s="1"/>
  <c r="AD23" i="2" s="1"/>
  <c r="Y22" i="2"/>
  <c r="AA22" i="2" s="1"/>
  <c r="S22" i="2" s="1"/>
  <c r="AD20" i="2"/>
  <c r="Q18" i="2"/>
  <c r="Y18" i="2" s="1"/>
  <c r="AA18" i="2" s="1"/>
  <c r="S18" i="2" s="1"/>
  <c r="AD18" i="2" s="1"/>
  <c r="Y17" i="2"/>
  <c r="AA17" i="2" s="1"/>
  <c r="S17" i="2" s="1"/>
  <c r="AD17" i="2" s="1"/>
  <c r="Y16" i="2"/>
  <c r="AA16" i="2" s="1"/>
  <c r="S16" i="2" s="1"/>
  <c r="AD14" i="2"/>
  <c r="N3" i="2"/>
  <c r="M3" i="2"/>
  <c r="S722" i="2"/>
  <c r="L14" i="2"/>
  <c r="AD162" i="2" l="1"/>
  <c r="T160" i="2"/>
  <c r="AD210" i="2"/>
  <c r="T208" i="2"/>
  <c r="AD246" i="2"/>
  <c r="T244" i="2"/>
  <c r="AD254" i="2"/>
  <c r="T252" i="2"/>
  <c r="AD337" i="2"/>
  <c r="T333" i="2"/>
  <c r="T33" i="2"/>
  <c r="T260" i="2"/>
  <c r="AD265" i="2"/>
  <c r="Y43" i="2"/>
  <c r="AA43" i="2" s="1"/>
  <c r="S43" i="2" s="1"/>
  <c r="Q60" i="2"/>
  <c r="Y60" i="2" s="1"/>
  <c r="AA60" i="2" s="1"/>
  <c r="S60" i="2" s="1"/>
  <c r="AD153" i="2"/>
  <c r="T151" i="2"/>
  <c r="B567" i="2"/>
  <c r="T586" i="2"/>
  <c r="P586" i="2"/>
  <c r="AD386" i="2"/>
  <c r="T384" i="2"/>
  <c r="L15" i="2"/>
  <c r="T82" i="2"/>
  <c r="AD84" i="2"/>
  <c r="AD105" i="2"/>
  <c r="T103" i="2"/>
  <c r="T20" i="2"/>
  <c r="AD22" i="2"/>
  <c r="T66" i="2"/>
  <c r="AD68" i="2"/>
  <c r="T169" i="2"/>
  <c r="AD171" i="2"/>
  <c r="AD242" i="2"/>
  <c r="T236" i="2"/>
  <c r="S217" i="2" s="1"/>
  <c r="AD314" i="2"/>
  <c r="T311" i="2"/>
  <c r="S302" i="2" s="1"/>
  <c r="AD73" i="2"/>
  <c r="T71" i="2"/>
  <c r="T96" i="2"/>
  <c r="AD98" i="2"/>
  <c r="AD195" i="2"/>
  <c r="T193" i="2"/>
  <c r="T350" i="2"/>
  <c r="AD352" i="2"/>
  <c r="AD115" i="2"/>
  <c r="T113" i="2"/>
  <c r="AD77" i="2"/>
  <c r="T134" i="2"/>
  <c r="AD136" i="2"/>
  <c r="AD16" i="2"/>
  <c r="T14" i="2"/>
  <c r="T47" i="2"/>
  <c r="AD49" i="2"/>
  <c r="T370" i="2"/>
  <c r="AD372" i="2"/>
  <c r="T227" i="2"/>
  <c r="AD230" i="2"/>
  <c r="T279" i="2"/>
  <c r="AD281" i="2"/>
  <c r="AD28" i="2"/>
  <c r="T303" i="2"/>
  <c r="AD305" i="2"/>
  <c r="T319" i="2"/>
  <c r="AD202" i="2"/>
  <c r="T200" i="2"/>
  <c r="S168" i="2" s="1"/>
  <c r="AD292" i="2"/>
  <c r="T290" i="2"/>
  <c r="S259" i="2" s="1"/>
  <c r="T360" i="2"/>
  <c r="AD362" i="2"/>
  <c r="T126" i="2"/>
  <c r="AD322" i="2"/>
  <c r="T327" i="2"/>
  <c r="AD335" i="2"/>
  <c r="AD346" i="2"/>
  <c r="T344" i="2"/>
  <c r="S318" i="2" s="1"/>
  <c r="T407" i="2"/>
  <c r="AD409" i="2"/>
  <c r="AD417" i="2"/>
  <c r="T415" i="2"/>
  <c r="S349" i="2" s="1"/>
  <c r="AD429" i="2"/>
  <c r="T426" i="2"/>
  <c r="S425" i="2" s="1"/>
  <c r="AD58" i="2"/>
  <c r="AD451" i="2"/>
  <c r="T339" i="2"/>
  <c r="Q445" i="2"/>
  <c r="P445" i="2"/>
  <c r="Q446" i="2"/>
  <c r="P446" i="2"/>
  <c r="Q439" i="2"/>
  <c r="Y439" i="2" s="1"/>
  <c r="AA439" i="2" s="1"/>
  <c r="S439" i="2" s="1"/>
  <c r="AD439" i="2" s="1"/>
  <c r="Q78" i="2"/>
  <c r="Y78" i="2" s="1"/>
  <c r="AA78" i="2" s="1"/>
  <c r="S78" i="2" s="1"/>
  <c r="AD78" i="2" s="1"/>
  <c r="AD456" i="2"/>
  <c r="AD35" i="2"/>
  <c r="AD262" i="2"/>
  <c r="AD438" i="2"/>
  <c r="T473" i="2"/>
  <c r="AD475" i="2"/>
  <c r="AD495" i="2"/>
  <c r="T491" i="2"/>
  <c r="T177" i="2"/>
  <c r="Q30" i="2"/>
  <c r="Y30" i="2" s="1"/>
  <c r="AA30" i="2" s="1"/>
  <c r="S30" i="2" s="1"/>
  <c r="AD30" i="2" s="1"/>
  <c r="T271" i="2"/>
  <c r="AD397" i="2"/>
  <c r="T395" i="2"/>
  <c r="T461" i="2"/>
  <c r="AD463" i="2"/>
  <c r="AD488" i="2"/>
  <c r="T484" i="2"/>
  <c r="T185" i="2"/>
  <c r="T218" i="2"/>
  <c r="AD718" i="2"/>
  <c r="T716" i="2"/>
  <c r="S714" i="2" s="1"/>
  <c r="T142" i="2"/>
  <c r="S102" i="2" s="1"/>
  <c r="AD187" i="2"/>
  <c r="AD220" i="2"/>
  <c r="AD444" i="2"/>
  <c r="AD480" i="2"/>
  <c r="T478" i="2"/>
  <c r="L20" i="2"/>
  <c r="C27" i="5" l="1"/>
  <c r="AD43" i="2"/>
  <c r="T41" i="2"/>
  <c r="AD60" i="2"/>
  <c r="T56" i="2"/>
  <c r="L21" i="2"/>
  <c r="Y445" i="2"/>
  <c r="AA445" i="2" s="1"/>
  <c r="S445" i="2" s="1"/>
  <c r="Q458" i="2"/>
  <c r="Y458" i="2" s="1"/>
  <c r="AA458" i="2" s="1"/>
  <c r="S458" i="2" s="1"/>
  <c r="AD458" i="2" s="1"/>
  <c r="Q457" i="2"/>
  <c r="Y457" i="2" s="1"/>
  <c r="AA457" i="2" s="1"/>
  <c r="S457" i="2" s="1"/>
  <c r="Q452" i="2"/>
  <c r="Y452" i="2" s="1"/>
  <c r="AA452" i="2" s="1"/>
  <c r="S452" i="2" s="1"/>
  <c r="S471" i="2"/>
  <c r="O573" i="2" s="1"/>
  <c r="C26" i="5"/>
  <c r="T436" i="2"/>
  <c r="S435" i="2" s="1"/>
  <c r="T26" i="2"/>
  <c r="S94" i="2"/>
  <c r="O571" i="2" s="1"/>
  <c r="T75" i="2"/>
  <c r="S64" i="2" s="1"/>
  <c r="O570" i="2" s="1"/>
  <c r="Y446" i="2"/>
  <c r="AA446" i="2" s="1"/>
  <c r="M16" i="2"/>
  <c r="M17" i="2" s="1"/>
  <c r="M18" i="2" s="1"/>
  <c r="L26" i="2"/>
  <c r="S12" i="2" l="1"/>
  <c r="O569" i="2" s="1"/>
  <c r="L27" i="2"/>
  <c r="P570" i="2"/>
  <c r="W570" i="2"/>
  <c r="W573" i="2"/>
  <c r="P573" i="2"/>
  <c r="AD445" i="2"/>
  <c r="T442" i="2"/>
  <c r="AD452" i="2"/>
  <c r="T449" i="2"/>
  <c r="AD457" i="2"/>
  <c r="T454" i="2"/>
  <c r="S441" i="2" s="1"/>
  <c r="W571" i="2"/>
  <c r="G24" i="5" s="1"/>
  <c r="P571" i="2"/>
  <c r="C24" i="5"/>
  <c r="M22" i="2"/>
  <c r="M23" i="2" s="1"/>
  <c r="M24" i="2" s="1"/>
  <c r="L33" i="2"/>
  <c r="C23" i="5" l="1"/>
  <c r="W569" i="2"/>
  <c r="G23" i="5" s="1"/>
  <c r="P569" i="2"/>
  <c r="P579" i="2" s="1"/>
  <c r="O580" i="2" s="1"/>
  <c r="S433" i="2"/>
  <c r="O572" i="2" s="1"/>
  <c r="L34" i="2"/>
  <c r="M28" i="2"/>
  <c r="M29" i="2" s="1"/>
  <c r="M30" i="2" s="1"/>
  <c r="M31" i="2" s="1"/>
  <c r="G26" i="5"/>
  <c r="G27" i="5"/>
  <c r="L41" i="2"/>
  <c r="P572" i="2" l="1"/>
  <c r="C25" i="5"/>
  <c r="W572" i="2"/>
  <c r="G25" i="5" s="1"/>
  <c r="X503" i="2"/>
  <c r="Y503" i="2" s="1"/>
  <c r="AA503" i="2" s="1"/>
  <c r="S503" i="2" s="1"/>
  <c r="L42" i="2"/>
  <c r="P580" i="2"/>
  <c r="O581" i="2" s="1"/>
  <c r="M35" i="2"/>
  <c r="M36" i="2" s="1"/>
  <c r="M37" i="2" s="1"/>
  <c r="M38" i="2" s="1"/>
  <c r="M39" i="2" s="1"/>
  <c r="L47" i="2"/>
  <c r="AD503" i="2" l="1"/>
  <c r="T3" i="2" s="1"/>
  <c r="T501" i="2"/>
  <c r="S499" i="2" s="1"/>
  <c r="O574" i="2" s="1"/>
  <c r="L48" i="2"/>
  <c r="P581" i="2"/>
  <c r="O582" i="2" s="1"/>
  <c r="M43" i="2"/>
  <c r="M44" i="2" s="1"/>
  <c r="M45" i="2" s="1"/>
  <c r="L56" i="2"/>
  <c r="L66" i="2" s="1"/>
  <c r="P574" i="2" l="1"/>
  <c r="P575" i="2" s="1"/>
  <c r="C28" i="5"/>
  <c r="C29" i="5" s="1"/>
  <c r="M28" i="5" s="1"/>
  <c r="O575" i="2"/>
  <c r="W574" i="2"/>
  <c r="L67" i="2"/>
  <c r="L57" i="2"/>
  <c r="M58" i="2" s="1"/>
  <c r="M59" i="2" s="1"/>
  <c r="M60" i="2" s="1"/>
  <c r="M61" i="2" s="1"/>
  <c r="P582" i="2"/>
  <c r="O583" i="2" s="1"/>
  <c r="M49" i="2"/>
  <c r="M50" i="2" s="1"/>
  <c r="M51" i="2" s="1"/>
  <c r="M52" i="2" s="1"/>
  <c r="M53" i="2" s="1"/>
  <c r="M54" i="2" s="1"/>
  <c r="L71" i="2"/>
  <c r="O560" i="2" l="1"/>
  <c r="G20" i="5"/>
  <c r="S506" i="2"/>
  <c r="N604" i="2"/>
  <c r="W575" i="2"/>
  <c r="B34" i="5" s="1"/>
  <c r="G28" i="5"/>
  <c r="G29" i="5" s="1"/>
  <c r="L72" i="2"/>
  <c r="M27" i="5"/>
  <c r="M26" i="5"/>
  <c r="M24" i="5"/>
  <c r="M23" i="5"/>
  <c r="M25" i="5"/>
  <c r="M68" i="2"/>
  <c r="M69" i="2" s="1"/>
  <c r="P583" i="2"/>
  <c r="O584" i="2" s="1"/>
  <c r="P584" i="2" s="1"/>
  <c r="L75" i="2"/>
  <c r="L96" i="2"/>
  <c r="Q29" i="5" l="1"/>
  <c r="N5" i="2"/>
  <c r="P560" i="2"/>
  <c r="L97" i="2"/>
  <c r="M98" i="2" s="1"/>
  <c r="M99" i="2" s="1"/>
  <c r="M100" i="2" s="1"/>
  <c r="L76" i="2"/>
  <c r="T585" i="2"/>
  <c r="P585" i="2"/>
  <c r="N6" i="2" s="1"/>
  <c r="M29" i="5"/>
  <c r="M73" i="2"/>
  <c r="L82" i="2"/>
  <c r="L103" i="2" l="1"/>
  <c r="L104" i="2" s="1"/>
  <c r="L113" i="2" s="1"/>
  <c r="L83" i="2"/>
  <c r="M84" i="2" s="1"/>
  <c r="M85" i="2" s="1"/>
  <c r="M86" i="2" s="1"/>
  <c r="M87" i="2" s="1"/>
  <c r="M88" i="2" s="1"/>
  <c r="M89" i="2" s="1"/>
  <c r="M90" i="2" s="1"/>
  <c r="M91" i="2" s="1"/>
  <c r="M77" i="2"/>
  <c r="M78" i="2" s="1"/>
  <c r="M79" i="2" s="1"/>
  <c r="M80" i="2" s="1"/>
  <c r="L114" i="2" l="1"/>
  <c r="M105" i="2"/>
  <c r="M106" i="2" s="1"/>
  <c r="M107" i="2" s="1"/>
  <c r="M108" i="2" s="1"/>
  <c r="M109" i="2" s="1"/>
  <c r="M110" i="2" s="1"/>
  <c r="M111" i="2" s="1"/>
  <c r="L126" i="2"/>
  <c r="L127" i="2" l="1"/>
  <c r="M115" i="2"/>
  <c r="M116" i="2" s="1"/>
  <c r="M117" i="2" s="1"/>
  <c r="M118" i="2" s="1"/>
  <c r="M119" i="2" s="1"/>
  <c r="M120" i="2" s="1"/>
  <c r="M121" i="2" s="1"/>
  <c r="M122" i="2" s="1"/>
  <c r="M123" i="2" s="1"/>
  <c r="M124" i="2" s="1"/>
  <c r="L134" i="2"/>
  <c r="L135" i="2" l="1"/>
  <c r="M128" i="2"/>
  <c r="M129" i="2" s="1"/>
  <c r="M130" i="2" s="1"/>
  <c r="M131" i="2" s="1"/>
  <c r="M132" i="2" s="1"/>
  <c r="L142" i="2"/>
  <c r="L143" i="2" l="1"/>
  <c r="L151" i="2" s="1"/>
  <c r="M136" i="2"/>
  <c r="M137" i="2" s="1"/>
  <c r="M138" i="2" s="1"/>
  <c r="M139" i="2" s="1"/>
  <c r="M140" i="2" s="1"/>
  <c r="L152" i="2" l="1"/>
  <c r="M144" i="2"/>
  <c r="M145" i="2" s="1"/>
  <c r="M146" i="2" s="1"/>
  <c r="M147" i="2" s="1"/>
  <c r="M148" i="2" s="1"/>
  <c r="M149" i="2" s="1"/>
  <c r="M153" i="2" l="1"/>
  <c r="M154" i="2" s="1"/>
  <c r="M155" i="2" s="1"/>
  <c r="M156" i="2" s="1"/>
  <c r="M157" i="2" s="1"/>
  <c r="M158" i="2" s="1"/>
  <c r="L160" i="2"/>
  <c r="L169" i="2" l="1"/>
  <c r="L170" i="2" s="1"/>
  <c r="L161" i="2"/>
  <c r="M162" i="2" s="1"/>
  <c r="M163" i="2" s="1"/>
  <c r="M164" i="2" s="1"/>
  <c r="M165" i="2" s="1"/>
  <c r="M166" i="2" s="1"/>
  <c r="L177" i="2" l="1"/>
  <c r="M171" i="2"/>
  <c r="M172" i="2" s="1"/>
  <c r="M173" i="2" s="1"/>
  <c r="M174" i="2" s="1"/>
  <c r="M175" i="2" s="1"/>
  <c r="L178" i="2" l="1"/>
  <c r="M179" i="2" s="1"/>
  <c r="M180" i="2" s="1"/>
  <c r="M181" i="2" s="1"/>
  <c r="M182" i="2" s="1"/>
  <c r="M183" i="2" s="1"/>
  <c r="L185" i="2"/>
  <c r="L186" i="2" s="1"/>
  <c r="M187" i="2" l="1"/>
  <c r="M188" i="2" s="1"/>
  <c r="M189" i="2" s="1"/>
  <c r="M190" i="2" s="1"/>
  <c r="M191" i="2" s="1"/>
  <c r="L193" i="2"/>
  <c r="L200" i="2" l="1"/>
  <c r="L201" i="2" s="1"/>
  <c r="L194" i="2"/>
  <c r="M195" i="2" s="1"/>
  <c r="M196" i="2" s="1"/>
  <c r="M197" i="2" s="1"/>
  <c r="M198" i="2" s="1"/>
  <c r="M202" i="2" l="1"/>
  <c r="M203" i="2" s="1"/>
  <c r="M204" i="2" s="1"/>
  <c r="M205" i="2" s="1"/>
  <c r="M206" i="2" s="1"/>
  <c r="L208" i="2"/>
  <c r="L209" i="2" l="1"/>
  <c r="M210" i="2" s="1"/>
  <c r="M211" i="2" s="1"/>
  <c r="M212" i="2" s="1"/>
  <c r="M213" i="2" s="1"/>
  <c r="M214" i="2" s="1"/>
  <c r="M215" i="2" s="1"/>
  <c r="L218" i="2"/>
  <c r="L219" i="2" s="1"/>
  <c r="M220" i="2" l="1"/>
  <c r="M221" i="2" s="1"/>
  <c r="M222" i="2" s="1"/>
  <c r="M223" i="2" s="1"/>
  <c r="M224" i="2" s="1"/>
  <c r="M225" i="2" s="1"/>
  <c r="L227" i="2"/>
  <c r="L228" i="2" l="1"/>
  <c r="L236" i="2" l="1"/>
  <c r="M229" i="2"/>
  <c r="M230" i="2" s="1"/>
  <c r="M231" i="2" s="1"/>
  <c r="M232" i="2" s="1"/>
  <c r="M233" i="2" s="1"/>
  <c r="M234" i="2" s="1"/>
  <c r="L237" i="2" l="1"/>
  <c r="M238" i="2" l="1"/>
  <c r="M239" i="2" s="1"/>
  <c r="M240" i="2" s="1"/>
  <c r="M241" i="2" s="1"/>
  <c r="M242" i="2" s="1"/>
  <c r="L244" i="2"/>
  <c r="L252" i="2" l="1"/>
  <c r="L245" i="2"/>
  <c r="M246" i="2" s="1"/>
  <c r="M247" i="2" s="1"/>
  <c r="M248" i="2" s="1"/>
  <c r="M249" i="2" s="1"/>
  <c r="M250" i="2" s="1"/>
  <c r="L260" i="2" l="1"/>
  <c r="L253" i="2"/>
  <c r="M254" i="2" s="1"/>
  <c r="M255" i="2" s="1"/>
  <c r="M256" i="2" s="1"/>
  <c r="M257" i="2" s="1"/>
  <c r="L271" i="2" l="1"/>
  <c r="L261" i="2"/>
  <c r="M262" i="2" s="1"/>
  <c r="M263" i="2" s="1"/>
  <c r="M264" i="2" s="1"/>
  <c r="M265" i="2" s="1"/>
  <c r="M266" i="2" s="1"/>
  <c r="M267" i="2" s="1"/>
  <c r="M268" i="2" s="1"/>
  <c r="M269" i="2" s="1"/>
  <c r="L279" i="2" l="1"/>
  <c r="L272" i="2"/>
  <c r="M273" i="2" s="1"/>
  <c r="M274" i="2" s="1"/>
  <c r="M275" i="2" s="1"/>
  <c r="M276" i="2" s="1"/>
  <c r="M277" i="2" s="1"/>
  <c r="L290" i="2" l="1"/>
  <c r="L280" i="2"/>
  <c r="M281" i="2" s="1"/>
  <c r="M282" i="2" s="1"/>
  <c r="M283" i="2" s="1"/>
  <c r="M284" i="2" s="1"/>
  <c r="M285" i="2" s="1"/>
  <c r="M286" i="2" s="1"/>
  <c r="M287" i="2" s="1"/>
  <c r="M288" i="2" s="1"/>
  <c r="L303" i="2" l="1"/>
  <c r="L291" i="2"/>
  <c r="M292" i="2" s="1"/>
  <c r="M293" i="2" s="1"/>
  <c r="M294" i="2" s="1"/>
  <c r="M295" i="2" s="1"/>
  <c r="M296" i="2" s="1"/>
  <c r="M297" i="2" s="1"/>
  <c r="M298" i="2" s="1"/>
  <c r="M299" i="2" s="1"/>
  <c r="M300" i="2" s="1"/>
  <c r="L311" i="2" l="1"/>
  <c r="L304" i="2"/>
  <c r="L312" i="2" l="1"/>
  <c r="M313" i="2" s="1"/>
  <c r="M314" i="2" s="1"/>
  <c r="M315" i="2" s="1"/>
  <c r="M316" i="2" s="1"/>
  <c r="L319" i="2"/>
  <c r="M305" i="2"/>
  <c r="M306" i="2" s="1"/>
  <c r="M307" i="2" s="1"/>
  <c r="M308" i="2" s="1"/>
  <c r="M309" i="2" s="1"/>
  <c r="L320" i="2" l="1"/>
  <c r="M321" i="2" s="1"/>
  <c r="M322" i="2" s="1"/>
  <c r="M323" i="2" s="1"/>
  <c r="M324" i="2" s="1"/>
  <c r="M325" i="2" s="1"/>
  <c r="L327" i="2"/>
  <c r="L328" i="2" l="1"/>
  <c r="L333" i="2" l="1"/>
  <c r="M329" i="2"/>
  <c r="M330" i="2" s="1"/>
  <c r="M331" i="2" s="1"/>
  <c r="L339" i="2" l="1"/>
  <c r="L334" i="2"/>
  <c r="M335" i="2" s="1"/>
  <c r="M336" i="2" s="1"/>
  <c r="M337" i="2" s="1"/>
  <c r="L340" i="2" l="1"/>
  <c r="M341" i="2" s="1"/>
  <c r="M342" i="2" s="1"/>
  <c r="L344" i="2"/>
  <c r="L350" i="2" l="1"/>
  <c r="L345" i="2"/>
  <c r="M346" i="2" s="1"/>
  <c r="M347" i="2" s="1"/>
  <c r="L360" i="2" l="1"/>
  <c r="L351" i="2"/>
  <c r="L361" i="2" l="1"/>
  <c r="M362" i="2" s="1"/>
  <c r="M363" i="2" s="1"/>
  <c r="M364" i="2" s="1"/>
  <c r="M365" i="2" s="1"/>
  <c r="M366" i="2" s="1"/>
  <c r="M367" i="2" s="1"/>
  <c r="M368" i="2" s="1"/>
  <c r="L370" i="2"/>
  <c r="M352" i="2"/>
  <c r="M353" i="2" s="1"/>
  <c r="M354" i="2" s="1"/>
  <c r="M355" i="2" s="1"/>
  <c r="M356" i="2" s="1"/>
  <c r="M357" i="2" s="1"/>
  <c r="M358" i="2" s="1"/>
  <c r="L384" i="2" l="1"/>
  <c r="L371" i="2"/>
  <c r="M372" i="2" s="1"/>
  <c r="M373" i="2" s="1"/>
  <c r="M374" i="2" s="1"/>
  <c r="M375" i="2" s="1"/>
  <c r="M376" i="2" s="1"/>
  <c r="M377" i="2" s="1"/>
  <c r="M378" i="2" s="1"/>
  <c r="M379" i="2" s="1"/>
  <c r="M380" i="2" s="1"/>
  <c r="M381" i="2" s="1"/>
  <c r="M382" i="2" s="1"/>
  <c r="L716" i="2"/>
  <c r="L717" i="2" s="1"/>
  <c r="M718" i="2" s="1"/>
  <c r="L395" i="2" l="1"/>
  <c r="L385" i="2"/>
  <c r="M386" i="2" s="1"/>
  <c r="M387" i="2" s="1"/>
  <c r="M388" i="2" s="1"/>
  <c r="M389" i="2" s="1"/>
  <c r="M390" i="2" s="1"/>
  <c r="M391" i="2" s="1"/>
  <c r="M392" i="2" s="1"/>
  <c r="M393" i="2" s="1"/>
  <c r="L396" i="2" l="1"/>
  <c r="L407" i="2" l="1"/>
  <c r="M397" i="2"/>
  <c r="M398" i="2" s="1"/>
  <c r="M399" i="2" s="1"/>
  <c r="M400" i="2" s="1"/>
  <c r="M401" i="2" s="1"/>
  <c r="M402" i="2" s="1"/>
  <c r="M403" i="2" s="1"/>
  <c r="M404" i="2" s="1"/>
  <c r="M405" i="2" s="1"/>
  <c r="L415" i="2" l="1"/>
  <c r="L408" i="2"/>
  <c r="M409" i="2" s="1"/>
  <c r="M410" i="2" s="1"/>
  <c r="M411" i="2" s="1"/>
  <c r="M412" i="2" s="1"/>
  <c r="M413" i="2" s="1"/>
  <c r="L416" i="2" l="1"/>
  <c r="L426" i="2" l="1"/>
  <c r="M417" i="2"/>
  <c r="M418" i="2" s="1"/>
  <c r="M419" i="2" s="1"/>
  <c r="M420" i="2" s="1"/>
  <c r="M421" i="2" s="1"/>
  <c r="M422" i="2" s="1"/>
  <c r="M423" i="2" s="1"/>
  <c r="L436" i="2" l="1"/>
  <c r="L437" i="2" s="1"/>
  <c r="L427" i="2"/>
  <c r="M428" i="2" l="1"/>
  <c r="M429" i="2" s="1"/>
  <c r="M430" i="2" s="1"/>
  <c r="M438" i="2"/>
  <c r="M439" i="2" s="1"/>
  <c r="L442" i="2"/>
  <c r="L443" i="2" l="1"/>
  <c r="L449" i="2" l="1"/>
  <c r="M444" i="2"/>
  <c r="M445" i="2" s="1"/>
  <c r="M446" i="2" s="1"/>
  <c r="M447" i="2" s="1"/>
  <c r="L454" i="2" l="1"/>
  <c r="L450" i="2"/>
  <c r="M451" i="2" s="1"/>
  <c r="M452" i="2" s="1"/>
  <c r="L455" i="2" l="1"/>
  <c r="L461" i="2" l="1"/>
  <c r="M456" i="2"/>
  <c r="M457" i="2" s="1"/>
  <c r="M458" i="2" s="1"/>
  <c r="M459" i="2" s="1"/>
  <c r="L473" i="2" l="1"/>
  <c r="L462" i="2"/>
  <c r="L478" i="2" l="1"/>
  <c r="L474" i="2"/>
  <c r="M475" i="2" s="1"/>
  <c r="M476" i="2" s="1"/>
  <c r="M463" i="2"/>
  <c r="M464" i="2" s="1"/>
  <c r="M465" i="2" s="1"/>
  <c r="M466" i="2" s="1"/>
  <c r="M467" i="2" s="1"/>
  <c r="M468" i="2" s="1"/>
  <c r="L484" i="2" l="1"/>
  <c r="L479" i="2"/>
  <c r="M480" i="2" s="1"/>
  <c r="M481" i="2" s="1"/>
  <c r="M482" i="2" s="1"/>
  <c r="L491" i="2" l="1"/>
  <c r="L485" i="2"/>
  <c r="M486" i="2" s="1"/>
  <c r="M487" i="2" s="1"/>
  <c r="M488" i="2" s="1"/>
  <c r="M489" i="2" s="1"/>
  <c r="L492" i="2" l="1"/>
  <c r="M493" i="2" s="1"/>
  <c r="M494" i="2" s="1"/>
  <c r="M495" i="2" s="1"/>
  <c r="M496" i="2" s="1"/>
  <c r="L501" i="2"/>
  <c r="L502" i="2" s="1"/>
  <c r="M503" i="2" s="1"/>
</calcChain>
</file>

<file path=xl/sharedStrings.xml><?xml version="1.0" encoding="utf-8"?>
<sst xmlns="http://schemas.openxmlformats.org/spreadsheetml/2006/main" count="3453" uniqueCount="1212">
  <si>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</si>
  <si>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</si>
  <si>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</si>
  <si>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</si>
  <si>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</si>
  <si>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</si>
  <si>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</si>
  <si>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</si>
  <si>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</si>
  <si>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</si>
  <si>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</si>
  <si>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</si>
  <si>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</si>
  <si>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</si>
  <si>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</si>
  <si>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</si>
  <si>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</si>
  <si>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</si>
  <si>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</si>
  <si>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</si>
  <si>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</si>
  <si>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</si>
  <si>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</si>
  <si>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</si>
  <si>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</si>
  <si>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</si>
  <si>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</si>
  <si>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</si>
  <si>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</si>
  <si>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</si>
  <si>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</si>
  <si>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</si>
  <si>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</si>
  <si>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</si>
  <si>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</si>
  <si>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</si>
  <si>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</si>
  <si>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</si>
  <si>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</si>
  <si>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</si>
  <si>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</si>
  <si>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</si>
  <si>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</si>
  <si>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</si>
  <si>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</si>
  <si>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</si>
  <si>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</si>
  <si>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</si>
  <si>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</si>
  <si>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</si>
  <si>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</si>
  <si>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</si>
  <si>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</si>
  <si>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</si>
  <si>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</si>
  <si>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</si>
  <si>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</si>
  <si>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</si>
  <si>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</si>
  <si>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</si>
  <si>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</si>
  <si>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</si>
  <si>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</si>
  <si>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</si>
  <si>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</si>
  <si>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</si>
  <si>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</si>
  <si>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</si>
  <si>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</si>
  <si>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</si>
  <si>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</si>
  <si>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</si>
  <si>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</si>
  <si>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</si>
  <si>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</si>
  <si>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</si>
  <si>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</si>
  <si>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</si>
  <si>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</si>
  <si>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</si>
  <si>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</si>
  <si>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</si>
  <si>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</si>
  <si>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</si>
  <si>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</si>
  <si>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</si>
  <si>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</si>
  <si>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</si>
  <si>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</si>
  <si>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</si>
  <si>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</si>
  <si>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</si>
  <si>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</si>
  <si>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</si>
  <si>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</si>
  <si>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</si>
  <si>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</si>
  <si>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</si>
  <si>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</si>
  <si>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</si>
  <si>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</si>
  <si>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</si>
  <si>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</si>
  <si>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</si>
  <si>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</si>
  <si>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</si>
  <si>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</si>
  <si>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</si>
  <si>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</si>
  <si>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</si>
  <si>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</si>
  <si>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</si>
  <si>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</si>
  <si>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</si>
  <si>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</si>
  <si>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</si>
  <si>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</si>
  <si>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</si>
  <si>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</si>
  <si>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</si>
  <si>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</si>
  <si>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</si>
  <si>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</si>
  <si>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</si>
  <si>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</si>
  <si>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</si>
  <si>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</si>
  <si>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</si>
  <si>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</si>
  <si>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</si>
  <si>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</si>
  <si>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</si>
  <si>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</si>
  <si>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</si>
  <si>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</si>
  <si>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</si>
  <si>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</si>
  <si>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</si>
  <si>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</si>
  <si>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</si>
  <si>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</si>
  <si>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</si>
  <si>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</si>
  <si>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</si>
  <si>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</si>
  <si>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</si>
  <si>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</si>
  <si>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</si>
  <si>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</si>
  <si>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</si>
  <si>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</si>
  <si>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</si>
  <si>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</si>
  <si>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</si>
  <si>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</si>
  <si>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</si>
  <si>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</si>
  <si>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</si>
  <si>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</si>
  <si>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</si>
  <si>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</si>
  <si>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</si>
  <si>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</si>
  <si>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</si>
  <si>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</si>
  <si>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</si>
  <si>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</si>
  <si>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</si>
  <si>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</si>
  <si>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</si>
  <si>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</si>
  <si>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</si>
  <si>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</si>
  <si>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</si>
  <si>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</si>
  <si>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</si>
  <si>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</si>
  <si>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</si>
  <si>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</si>
  <si>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</si>
  <si>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</si>
  <si>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</si>
  <si>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</si>
  <si>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</si>
  <si>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</si>
  <si>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</si>
  <si>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</si>
  <si>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</si>
  <si>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</si>
  <si>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(Uses manual duration)</t>
  </si>
  <si>
    <t>(Do not use inside development phase)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</si>
  <si>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</si>
  <si>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</si>
  <si>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</si>
  <si>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</si>
  <si>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</si>
  <si>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</si>
  <si>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</si>
  <si>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</si>
  <si>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</si>
  <si>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</si>
  <si>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</si>
  <si>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</si>
  <si>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</si>
  <si>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</si>
  <si>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</si>
  <si>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</si>
  <si>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</si>
  <si>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</si>
  <si>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</si>
  <si>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</si>
  <si>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</si>
  <si>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</si>
  <si>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</si>
  <si>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</si>
  <si>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</si>
  <si>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</si>
  <si>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</si>
  <si>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</si>
  <si>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</si>
  <si>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</si>
  <si>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</si>
  <si>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</si>
  <si>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</si>
  <si>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</si>
  <si>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</si>
  <si>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</si>
  <si>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</si>
  <si>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</si>
  <si>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</si>
  <si>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</si>
  <si>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</si>
  <si>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</si>
  <si>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</si>
  <si>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</si>
  <si>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</si>
  <si>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</si>
  <si>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</si>
  <si>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</si>
  <si>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</si>
  <si>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</si>
  <si>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</si>
  <si>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</si>
  <si>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</si>
  <si>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</si>
  <si>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</si>
  <si>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</si>
  <si>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</si>
  <si>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</si>
  <si>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</si>
  <si>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</si>
  <si>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</si>
  <si>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</si>
  <si>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</si>
  <si>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</si>
  <si>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</si>
  <si>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</si>
  <si>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</si>
  <si>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</si>
  <si>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</si>
  <si>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</si>
  <si>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</si>
  <si>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</si>
  <si>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</si>
  <si>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</si>
  <si>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</si>
  <si>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</si>
  <si>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</si>
  <si>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</si>
  <si>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</si>
  <si>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</si>
  <si>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</si>
  <si>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</si>
  <si>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</si>
  <si>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</si>
  <si>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</si>
  <si>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</si>
  <si>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</si>
  <si>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</si>
  <si>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</si>
  <si>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</si>
  <si>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</si>
  <si>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</si>
  <si>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</si>
  <si>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</si>
  <si>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</si>
  <si>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</si>
  <si>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</si>
  <si>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</si>
  <si>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</si>
  <si>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</si>
  <si>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</si>
  <si>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</si>
  <si>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</si>
  <si>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</si>
  <si>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</si>
  <si>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</si>
  <si>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</si>
  <si>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</si>
  <si>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</si>
  <si>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</si>
  <si>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</si>
  <si>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</si>
  <si>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</si>
  <si>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</si>
  <si>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</si>
  <si>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</si>
  <si>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</si>
  <si>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</si>
  <si>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</si>
  <si>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</si>
  <si>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</si>
  <si>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</si>
  <si>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</si>
  <si>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</si>
  <si>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</si>
  <si>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</si>
  <si>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</si>
  <si>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</si>
  <si>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</si>
  <si>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</si>
  <si>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</si>
  <si>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</si>
  <si>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</si>
  <si>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</si>
  <si>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</si>
  <si>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</si>
  <si>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</si>
  <si>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</si>
  <si>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</si>
  <si>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</si>
  <si>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</si>
  <si>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</si>
  <si>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</si>
  <si>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</si>
  <si>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</si>
  <si>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</si>
  <si>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</si>
  <si>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</si>
  <si>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</si>
  <si>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</si>
  <si>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</si>
  <si>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</si>
  <si>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</si>
  <si>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</si>
  <si>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</si>
  <si>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</si>
  <si>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</si>
  <si>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</si>
  <si>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</si>
  <si>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</si>
  <si>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</si>
  <si>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</si>
  <si>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</si>
  <si>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</si>
  <si>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</si>
  <si>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</si>
  <si>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</si>
  <si>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</si>
  <si>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</si>
  <si>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</si>
  <si>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</si>
  <si>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</si>
  <si>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</si>
  <si>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</si>
  <si>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</si>
  <si>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</si>
  <si>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</si>
  <si>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</si>
  <si>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</si>
  <si>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</si>
  <si>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</si>
  <si>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</si>
  <si>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</si>
  <si>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</si>
  <si>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</si>
  <si>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</si>
  <si>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</si>
  <si>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</si>
  <si>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</si>
  <si>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</si>
  <si>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</si>
  <si>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</si>
  <si>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</si>
  <si>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</si>
  <si>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</si>
  <si>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</si>
  <si>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</si>
  <si>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</si>
  <si>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</si>
  <si>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</si>
  <si>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</si>
  <si>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</si>
  <si>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</si>
  <si>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</si>
  <si>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</si>
  <si>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</si>
  <si>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</si>
  <si>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</si>
  <si>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</si>
  <si>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</si>
  <si>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</si>
  <si>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</si>
  <si>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</si>
  <si>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</si>
  <si>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</si>
  <si>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</si>
  <si>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</si>
  <si>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</si>
  <si>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</si>
  <si>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</si>
  <si>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</si>
  <si>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</si>
  <si>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</si>
  <si>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</si>
  <si>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</si>
  <si>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</si>
  <si>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</si>
  <si>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</si>
  <si>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</si>
  <si>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</si>
  <si>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</si>
  <si>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</si>
  <si>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</si>
  <si>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</si>
  <si>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</si>
  <si>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</si>
  <si>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</si>
  <si>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</si>
  <si>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</si>
  <si>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</si>
  <si>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</si>
  <si>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</si>
  <si>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</si>
  <si>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</si>
  <si>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</si>
  <si>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</si>
  <si>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</si>
  <si>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</si>
  <si>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</si>
  <si>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</si>
  <si>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</si>
  <si>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</si>
  <si>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</si>
  <si>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</si>
  <si>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</si>
  <si>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</si>
  <si>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</si>
  <si>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</si>
  <si>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Usability Analysis
&gt;&gt; Analysis for information flow architecture and usability considerations</t>
  </si>
  <si>
    <t>POCs</t>
  </si>
  <si>
    <t>Application framework construction</t>
  </si>
  <si>
    <t>Functional test cases preparation and review</t>
  </si>
  <si>
    <t>Design Analysis and Documentation</t>
  </si>
  <si>
    <t>Test Cases</t>
  </si>
  <si>
    <t>Functional test cases execution</t>
  </si>
  <si>
    <t>Performance testing</t>
  </si>
  <si>
    <t>Environments</t>
  </si>
  <si>
    <t>Other Testing</t>
  </si>
  <si>
    <t>System Stabilization</t>
  </si>
  <si>
    <t>Staging releases (partial)</t>
  </si>
  <si>
    <t>UAT Release (Full)</t>
  </si>
  <si>
    <t>Releases</t>
  </si>
  <si>
    <t>Demos</t>
  </si>
  <si>
    <t>Production Release (Full)</t>
  </si>
  <si>
    <t>Documentation and training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</si>
  <si>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</si>
  <si>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</si>
  <si>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</si>
  <si>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</si>
  <si>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</si>
  <si>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PM Effort</t>
  </si>
  <si>
    <t>Project management effort</t>
  </si>
  <si>
    <t>Percentage</t>
  </si>
  <si>
    <t>AG Estimation Template -  Version</t>
  </si>
  <si>
    <t>Create User Profiles, User Journeys</t>
  </si>
  <si>
    <t>Audit</t>
  </si>
  <si>
    <t>Requirement Documentation and Review</t>
  </si>
  <si>
    <t>Information Architecture</t>
  </si>
  <si>
    <t>Prototyping Visual designs</t>
  </si>
  <si>
    <t>Based on Total Use Cases
(Filled automatically)</t>
  </si>
  <si>
    <t>Review and Sign-off
&gt;&gt; Client review iterations and sign-off on Final Wireframes</t>
  </si>
  <si>
    <t>Final Revisions</t>
  </si>
  <si>
    <t>This effort should be calculated by summing up all tasks/groups other than System Stabilization.</t>
  </si>
  <si>
    <t>Requirement Analysis and Planning</t>
  </si>
  <si>
    <t>Total Use Cases</t>
  </si>
  <si>
    <t>Percentage of Test Cases</t>
  </si>
  <si>
    <t>How much percentage of test cases you are intended to execute</t>
  </si>
  <si>
    <t>15% test cases considered for Performance testing</t>
  </si>
  <si>
    <t>Browsers
Screens</t>
  </si>
  <si>
    <t>Devices
Screens</t>
  </si>
  <si>
    <t>2.0.4</t>
  </si>
  <si>
    <t>Usability Testing</t>
  </si>
  <si>
    <t>Screens</t>
  </si>
  <si>
    <t>% of the Use cases</t>
  </si>
  <si>
    <t>FR ID</t>
  </si>
  <si>
    <t>Domain</t>
  </si>
  <si>
    <t>Functional Requirement</t>
  </si>
  <si>
    <t>FR-01</t>
  </si>
  <si>
    <t>Customer</t>
  </si>
  <si>
    <t>Customer registration / login using policy details</t>
  </si>
  <si>
    <t>FR-02</t>
  </si>
  <si>
    <t>FNOL submission</t>
  </si>
  <si>
    <t>FR-03</t>
  </si>
  <si>
    <t>Upload supporting documents</t>
  </si>
  <si>
    <t>FR-04</t>
  </si>
  <si>
    <t>Claim ID generation &amp; acknowledgement</t>
  </si>
  <si>
    <t>FR-05</t>
  </si>
  <si>
    <t>Real-time claim status tracking</t>
  </si>
  <si>
    <t>FR-06</t>
  </si>
  <si>
    <t>Partner workshop discovery (location-based)</t>
  </si>
  <si>
    <t>FR-07</t>
  </si>
  <si>
    <t>External workshop selection</t>
  </si>
  <si>
    <t>FR-08</t>
  </si>
  <si>
    <t>Appointment scheduling with partner workshop</t>
  </si>
  <si>
    <t>FR-09</t>
  </si>
  <si>
    <t>Rental vehicle booking (policy-based)</t>
  </si>
  <si>
    <t>FR-10</t>
  </si>
  <si>
    <t>Electronic payment of deductibles / balances</t>
  </si>
  <si>
    <t>FR-11</t>
  </si>
  <si>
    <t>Partner / Workshop</t>
  </si>
  <si>
    <t>Partner login &amp; authentication</t>
  </si>
  <si>
    <t>FR-12</t>
  </si>
  <si>
    <t>Receive repair assignment</t>
  </si>
  <si>
    <t>FR-13</t>
  </si>
  <si>
    <t>Submit repair estimates</t>
  </si>
  <si>
    <t>FR-14</t>
  </si>
  <si>
    <t>Provide repair status updates</t>
  </si>
  <si>
    <t>FR-15</t>
  </si>
  <si>
    <t>Submit final repair invoice</t>
  </si>
  <si>
    <t>FR-16</t>
  </si>
  <si>
    <t>Track payment status</t>
  </si>
  <si>
    <t>FR-17</t>
  </si>
  <si>
    <t>Receive notifications &amp; alerts</t>
  </si>
  <si>
    <t>FR-18</t>
  </si>
  <si>
    <t>Internal Claims</t>
  </si>
  <si>
    <t>Automatic claim assignment (case manager)</t>
  </si>
  <si>
    <t>FR-19</t>
  </si>
  <si>
    <t>Manual reassignment / delegation</t>
  </si>
  <si>
    <t>FR-20</t>
  </si>
  <si>
    <t>Surveyor assignment (automatic / manual)</t>
  </si>
  <si>
    <t>FR-21</t>
  </si>
  <si>
    <t>Surveyor assessment submission</t>
  </si>
  <si>
    <t>FR-22</t>
  </si>
  <si>
    <t>Upload assessment evidence</t>
  </si>
  <si>
    <t>FR-23</t>
  </si>
  <si>
    <t>Adjustor review of claim &amp; documents</t>
  </si>
  <si>
    <t>FR-24</t>
  </si>
  <si>
    <t>Adjustor adjudication (approve / reject)</t>
  </si>
  <si>
    <t>FR-25</t>
  </si>
  <si>
    <t>Case manager override capability</t>
  </si>
  <si>
    <t>FR-26</t>
  </si>
  <si>
    <t>Claim progression control</t>
  </si>
  <si>
    <t>FR-27</t>
  </si>
  <si>
    <t>Exception handling</t>
  </si>
  <si>
    <t>FR-28</t>
  </si>
  <si>
    <t>Claim rejection with reason</t>
  </si>
  <si>
    <t>FR-29</t>
  </si>
  <si>
    <t>Claim closure</t>
  </si>
  <si>
    <t>FR-30</t>
  </si>
  <si>
    <t>Payments</t>
  </si>
  <si>
    <t>Reimbursement to customer (external workshop)</t>
  </si>
  <si>
    <t>FR-31</t>
  </si>
  <si>
    <t>Partner workshop payment settlement</t>
  </si>
  <si>
    <t>FR-32</t>
  </si>
  <si>
    <t>Deductible calculation</t>
  </si>
  <si>
    <t>FR-33</t>
  </si>
  <si>
    <t>Payment confirmation &amp; notification</t>
  </si>
  <si>
    <t>FR-34</t>
  </si>
  <si>
    <t>Reporting</t>
  </si>
  <si>
    <t>Claims intake reporting</t>
  </si>
  <si>
    <t>FR-35</t>
  </si>
  <si>
    <t>Claims ageing reports</t>
  </si>
  <si>
    <t>FR-36</t>
  </si>
  <si>
    <t>Claims processing time reports</t>
  </si>
  <si>
    <t>FR-37</t>
  </si>
  <si>
    <t>Role-based performance reports</t>
  </si>
  <si>
    <t>FR-38</t>
  </si>
  <si>
    <t>Regional dashboards</t>
  </si>
  <si>
    <t>FR-39</t>
  </si>
  <si>
    <t>Management summary dashboards</t>
  </si>
  <si>
    <t>FR-40</t>
  </si>
  <si>
    <t>Audit &amp; compliance reporting</t>
  </si>
  <si>
    <t>FR-41</t>
  </si>
  <si>
    <t>Document Management</t>
  </si>
  <si>
    <t>Centralized document storage</t>
  </si>
  <si>
    <t>FR-42</t>
  </si>
  <si>
    <t>Metadata capture &amp; indexing</t>
  </si>
  <si>
    <t>FR-43</t>
  </si>
  <si>
    <t>Document retrieval &amp; viewing</t>
  </si>
  <si>
    <t>FR-44</t>
  </si>
  <si>
    <t>Retention &amp; archival for audit</t>
  </si>
  <si>
    <t>FR-45</t>
  </si>
  <si>
    <t>Notifications</t>
  </si>
  <si>
    <t>Event-driven notifications</t>
  </si>
  <si>
    <t>FR-46</t>
  </si>
  <si>
    <t>Multi-channel delivery (Email / SMS / In-app)</t>
  </si>
  <si>
    <t>FR-47</t>
  </si>
  <si>
    <t>Role-specific notification rules</t>
  </si>
  <si>
    <t>FR-48</t>
  </si>
  <si>
    <t>Communication history archival</t>
  </si>
  <si>
    <t>UC ID</t>
  </si>
  <si>
    <t>Use Case Name</t>
  </si>
  <si>
    <t>Primary Actor</t>
  </si>
  <si>
    <t>UC-01</t>
  </si>
  <si>
    <t>UC-02</t>
  </si>
  <si>
    <t>UC-03</t>
  </si>
  <si>
    <t>Track Claim Status</t>
  </si>
  <si>
    <t>UC-04</t>
  </si>
  <si>
    <t>UC-05</t>
  </si>
  <si>
    <t>Book Rental Vehicle</t>
  </si>
  <si>
    <t>UC-06</t>
  </si>
  <si>
    <t>Surveyor</t>
  </si>
  <si>
    <t>UC-07</t>
  </si>
  <si>
    <t>Review &amp; Adjudicate Claim</t>
  </si>
  <si>
    <t>Adjustor</t>
  </si>
  <si>
    <t>UC-08</t>
  </si>
  <si>
    <t>Case Manager</t>
  </si>
  <si>
    <t>UC-09</t>
  </si>
  <si>
    <t>UC-10</t>
  </si>
  <si>
    <t>UC-11</t>
  </si>
  <si>
    <t>System</t>
  </si>
  <si>
    <t>UC-12</t>
  </si>
  <si>
    <t>UC-13</t>
  </si>
  <si>
    <t>Manager</t>
  </si>
  <si>
    <t>UC-14</t>
  </si>
  <si>
    <t>Problem Statement</t>
  </si>
  <si>
    <t>No legacy code or DB analysis</t>
  </si>
  <si>
    <t>End-to-End Claims Lifecycle</t>
  </si>
  <si>
    <t>Policy rules assumed available</t>
  </si>
  <si>
    <t>Conceptual only, no data profiling</t>
  </si>
  <si>
    <t>Functional Requirement Analysis</t>
  </si>
  <si>
    <t>Project initiation and kick-off
&gt;&gt; Team Introductions
&gt;&gt; Alignment on scope, timelines and milestones
&gt;&gt; Finalize communication and escalation model
&gt;&gt; Confirmation of assumptions and constraints</t>
  </si>
  <si>
    <t>Single consolidated kickoff</t>
  </si>
  <si>
    <t>Analysis of Functional Requirements (FRs)</t>
  </si>
  <si>
    <t>FR list treated as baseline</t>
  </si>
  <si>
    <t>Functional requirement dependency &amp; grouping analysis</t>
  </si>
  <si>
    <t>No scope expansion beyond FR list</t>
  </si>
  <si>
    <t>User role analysis &amp; persona definition</t>
  </si>
  <si>
    <t>Roles fixed as per RFP</t>
  </si>
  <si>
    <t>Use-case identification &amp; definition</t>
  </si>
  <si>
    <t>Functional scope definition</t>
  </si>
  <si>
    <t>Use-case flow elaboration (main &amp; alternate flows)</t>
  </si>
  <si>
    <t>Edge cases refined later</t>
  </si>
  <si>
    <t>Client Presentation, review and Sign-off
&gt;&gt; Use-case walkthrough, validation &amp; sign-off</t>
  </si>
  <si>
    <t>Limited review cycles</t>
  </si>
  <si>
    <t>Observations limited to available processes and stakeholders
No time-and-motion or productivity studies included</t>
  </si>
  <si>
    <t>Expert review is advisory in nature
No formal certification or compliance assessment included</t>
  </si>
  <si>
    <t>FR Description</t>
  </si>
  <si>
    <t>Scenario Type</t>
  </si>
  <si>
    <t>Complexity</t>
  </si>
  <si>
    <t>Customer login using policy details</t>
  </si>
  <si>
    <t>UC-01.1</t>
  </si>
  <si>
    <t>Login with valid policy details</t>
  </si>
  <si>
    <t>Main</t>
  </si>
  <si>
    <t>UC-01.2</t>
  </si>
  <si>
    <t>Login failure due to invalid policy</t>
  </si>
  <si>
    <t>Exception</t>
  </si>
  <si>
    <t>S</t>
  </si>
  <si>
    <t>UC-01.3</t>
  </si>
  <si>
    <t>Locked account after repeated failures</t>
  </si>
  <si>
    <t>UC-02.1</t>
  </si>
  <si>
    <t>Submit FNOL with complete information</t>
  </si>
  <si>
    <t>UC-02.2</t>
  </si>
  <si>
    <t>Submit FNOL with missing optional details</t>
  </si>
  <si>
    <t>Alternate</t>
  </si>
  <si>
    <t>UC-02.3</t>
  </si>
  <si>
    <t>FNOL rejected due to invalid policy</t>
  </si>
  <si>
    <t>UC-03.1</t>
  </si>
  <si>
    <t>Upload photos and police report</t>
  </si>
  <si>
    <t>UC-03.2</t>
  </si>
  <si>
    <t>Upload additional documents post-FNOL</t>
  </si>
  <si>
    <t>UC-03.3</t>
  </si>
  <si>
    <t>Upload fails due to invalid file</t>
  </si>
  <si>
    <t>Claim ID generation</t>
  </si>
  <si>
    <t>UC-04.1</t>
  </si>
  <si>
    <t>Generate claim ID after FNOL</t>
  </si>
  <si>
    <t>UC-04.2</t>
  </si>
  <si>
    <t>Retry claim ID generation on failure</t>
  </si>
  <si>
    <t>Claim status tracking</t>
  </si>
  <si>
    <t>UC-05.1</t>
  </si>
  <si>
    <t>View current claim status</t>
  </si>
  <si>
    <t>UC-05.2</t>
  </si>
  <si>
    <t>View historical status changes</t>
  </si>
  <si>
    <t>Discover partner workshops</t>
  </si>
  <si>
    <t>UC-06.1</t>
  </si>
  <si>
    <t>Search partner workshops by location</t>
  </si>
  <si>
    <t>UC-06.2</t>
  </si>
  <si>
    <t>Filter workshops by availability</t>
  </si>
  <si>
    <t>Select external workshop</t>
  </si>
  <si>
    <t>UC-07.1</t>
  </si>
  <si>
    <t>Select non-partner workshop</t>
  </si>
  <si>
    <t>UC-07.2</t>
  </si>
  <si>
    <t>Upload external workshop invoice</t>
  </si>
  <si>
    <t>Schedule partner appointment</t>
  </si>
  <si>
    <t>UC-08.1</t>
  </si>
  <si>
    <t>Schedule workshop appointment</t>
  </si>
  <si>
    <t>UC-08.2</t>
  </si>
  <si>
    <t>Reschedule appointment</t>
  </si>
  <si>
    <t>Rental vehicle booking</t>
  </si>
  <si>
    <t>UC-09.1</t>
  </si>
  <si>
    <t>Book rental vehicle (policy eligible)</t>
  </si>
  <si>
    <t>UC-09.2</t>
  </si>
  <si>
    <t>Rental booking denied by policy</t>
  </si>
  <si>
    <t>Claim assignment</t>
  </si>
  <si>
    <t>UC-18.1</t>
  </si>
  <si>
    <t>Auto-assign case manager</t>
  </si>
  <si>
    <t>UC-18.2</t>
  </si>
  <si>
    <t>Manual reassignment of case</t>
  </si>
  <si>
    <t>Surveyor assignment</t>
  </si>
  <si>
    <t>UC-20.1</t>
  </si>
  <si>
    <t>Auto-assign surveyor by location</t>
  </si>
  <si>
    <t>UC-20.2</t>
  </si>
  <si>
    <t>Manual surveyor assignment</t>
  </si>
  <si>
    <t>Surveyor assessment</t>
  </si>
  <si>
    <t>UC-21.1</t>
  </si>
  <si>
    <t>Submit assessment report</t>
  </si>
  <si>
    <t>UC-21.2</t>
  </si>
  <si>
    <t>Revise assessment after review</t>
  </si>
  <si>
    <t>Claim adjudication</t>
  </si>
  <si>
    <t>UC-24.1</t>
  </si>
  <si>
    <t>Approve claim</t>
  </si>
  <si>
    <t>UC-24.2</t>
  </si>
  <si>
    <t>Reject claim with reason</t>
  </si>
  <si>
    <t>Case manager override</t>
  </si>
  <si>
    <t>UC-25.1</t>
  </si>
  <si>
    <t>Override adjustor decision</t>
  </si>
  <si>
    <t>UC-25.2</t>
  </si>
  <si>
    <t>Escalate claim for review</t>
  </si>
  <si>
    <t>Customer reimbursement</t>
  </si>
  <si>
    <t>UC-30.1</t>
  </si>
  <si>
    <t>Reimburse customer for external workshop</t>
  </si>
  <si>
    <t>UC-30.2</t>
  </si>
  <si>
    <t>Reimbursement delayed due to validation</t>
  </si>
  <si>
    <t>Partner payment settlement</t>
  </si>
  <si>
    <t>UC-31.1</t>
  </si>
  <si>
    <t>Settle payment with partner workshop</t>
  </si>
  <si>
    <t>UC-31.2</t>
  </si>
  <si>
    <t>Retry failed payment</t>
  </si>
  <si>
    <t>UC-32.1</t>
  </si>
  <si>
    <t>Calculate deductible automatically</t>
  </si>
  <si>
    <t>UC-32.2</t>
  </si>
  <si>
    <t>Recalculate deductible after invoice change</t>
  </si>
  <si>
    <t>UC-34.1</t>
  </si>
  <si>
    <t>Generate daily intake report</t>
  </si>
  <si>
    <t>UC-34.2</t>
  </si>
  <si>
    <t>Generate intake report by region</t>
  </si>
  <si>
    <t>Document storage</t>
  </si>
  <si>
    <t>UC-41.1</t>
  </si>
  <si>
    <t>Store claim documents</t>
  </si>
  <si>
    <t>UC-41.2</t>
  </si>
  <si>
    <t>Retrieve archived document</t>
  </si>
  <si>
    <t>Auditor</t>
  </si>
  <si>
    <t>UC-45.1</t>
  </si>
  <si>
    <t>Notify customer on status change</t>
  </si>
  <si>
    <t>UC-45.2</t>
  </si>
  <si>
    <t>Retry failed notification</t>
  </si>
  <si>
    <t>Workshop / Partner</t>
  </si>
  <si>
    <t>Internal Claims Processing</t>
  </si>
  <si>
    <t>Payments &amp; Settlement</t>
  </si>
  <si>
    <t>Reporting, Documents &amp; Notifications</t>
  </si>
  <si>
    <t xml:space="preserve">Domain </t>
  </si>
  <si>
    <t>eClaims</t>
  </si>
  <si>
    <t>Portal</t>
  </si>
  <si>
    <t>Critical Use Case</t>
  </si>
  <si>
    <t>Considered 20% of overall use cases.</t>
  </si>
  <si>
    <t>Use-case-ID</t>
  </si>
  <si>
    <t>Register / Login</t>
  </si>
  <si>
    <t>Submit FNOL (First Notice of Loss)</t>
  </si>
  <si>
    <t>Upload Supporting Documents</t>
  </si>
  <si>
    <t>Select Workshop</t>
  </si>
  <si>
    <t>Schedule Appointment</t>
  </si>
  <si>
    <t>Pay Deductibles / Balances</t>
  </si>
  <si>
    <t>Partner Login &amp; Authentication</t>
  </si>
  <si>
    <t>Manage Repair Assignments</t>
  </si>
  <si>
    <t>Submit Repair Estimates</t>
  </si>
  <si>
    <t>Update Repair Status</t>
  </si>
  <si>
    <t>Submit Final Repair Invoice</t>
  </si>
  <si>
    <t>Track Payment Status</t>
  </si>
  <si>
    <t>UC-15</t>
  </si>
  <si>
    <t>Assign Claim / Surveyor</t>
  </si>
  <si>
    <t>Internal User</t>
  </si>
  <si>
    <t>UC-16</t>
  </si>
  <si>
    <t>Submit Surveyor Assessment</t>
  </si>
  <si>
    <t>UC-17</t>
  </si>
  <si>
    <t>UC-18</t>
  </si>
  <si>
    <t>Manage Exceptions &amp; Overrides</t>
  </si>
  <si>
    <t>UC-19</t>
  </si>
  <si>
    <t>Close Claim</t>
  </si>
  <si>
    <t>UC-20</t>
  </si>
  <si>
    <t>Process Payments</t>
  </si>
  <si>
    <t>UC-21</t>
  </si>
  <si>
    <t>Generate Reports</t>
  </si>
  <si>
    <t>UC-22</t>
  </si>
  <si>
    <t>Manage Documents</t>
  </si>
  <si>
    <t>UC-23</t>
  </si>
  <si>
    <t>Trigger Notifications</t>
  </si>
  <si>
    <t>UC-24</t>
  </si>
  <si>
    <t>Maintain Communication Audit Trail</t>
  </si>
  <si>
    <t xml:space="preserve">Understand Stakeholder Requirements, Data Analysis
&gt;&gt; Stakeholders Interviews (Business, Operations, Finance)
&gt;&gt; Document interview findings, data analysis
&gt;&gt; Client Presentation (Stakeholder Interviews, Analysis)
</t>
  </si>
  <si>
    <t>Based on number of roles / personas</t>
  </si>
  <si>
    <t>High-level qualitative analysis only
No vendor calls
No paid reports
No deep benchmarking</t>
  </si>
  <si>
    <t xml:space="preserve">Competitor Analysis
&gt;&gt; Identify relevant competitors (3–5)
&gt;&gt; Review public material (websites, case studies, demos)
&gt;&gt; Extract best practices (transparency, TAT)
&gt;&gt; Summarize &amp; contextualize for eClaims
</t>
  </si>
  <si>
    <t xml:space="preserve">Expert Review
&gt;&gt; Prep &amp; share artefacts
&gt;&gt; Domain expert review
&gt;&gt; Technical expert review
&gt;&gt; Consolidate feedback
&gt;&gt; Apply minor updates
</t>
  </si>
  <si>
    <t>Task &amp; responsibility validation across roles
&gt;&gt; Identify tasks per role
&gt;&gt; Analyze dependencies &amp; handoffs
&gt;&gt; Map tasks to system / services
&gt;&gt; Validate coverage &amp; resolve overlaps
&gt;&gt; Document &amp; review</t>
  </si>
  <si>
    <t>Client Presentation, review and Sign-off
&gt;&gt; Prepare audit findings presentation
&gt;&gt; Stakeholder review session(s)
&gt;&gt; Clarifications &amp; minor updates
&gt;&gt; Final sign-off</t>
  </si>
  <si>
    <t>SRS: Software Requirement Specification
&gt;&gt; Preparation of SRS document with:
&gt;&gt; Detailed Use Cases/Stories
&gt;&gt; Business Rules and Validations
&gt;&gt; CRUD by field / function
&gt;&gt; BPMN / flow alignment
&gt;&gt; Wireframe linkage (UI / reports)</t>
  </si>
  <si>
    <t>Review and Sign-off
&gt;&gt; Prep &amp; share SRS
&gt;&gt; Client review session(s)
&gt;&gt; Clarifications &amp; minor updates
&gt;&gt; Final sign-off</t>
  </si>
  <si>
    <t>Card Sorting
&gt;&gt; Identify items to sort (features/screens)
&gt;&gt; Perform card sorting (workshop or desk exercise)
&gt;&gt; Analyze groupings &amp; navigation implications
&gt;&gt; Document outcomes &amp; recommendations</t>
  </si>
  <si>
    <t>Create Site Map &amp; Content Inventory
&gt;&gt; Define site map
&gt;&gt; Validate navigation &amp; hierarchy
&gt;&gt; Align with use cases
&gt;&gt; Document &amp; review</t>
  </si>
  <si>
    <t>Number of Wireframes (4-5)</t>
  </si>
  <si>
    <t>R1: Preliminary Wireframes</t>
  </si>
  <si>
    <t>Reverse Card Sort
&gt;&gt; Prepare navigation structure for validation
&gt;&gt; Conduct reverse card sort exercise
&gt;&gt; Analyze results &amp; identify issues
&gt;&gt; Apply minor navigation tweaks</t>
  </si>
  <si>
    <t>Number of Wireframes (15-20)</t>
  </si>
  <si>
    <t>R2: Detailed Wireframes + Interaction Tables (15-20)
&gt;&gt; Understand use case &amp; rules
&gt;&gt; Create detailed wireframe
&gt;&gt; Define interaction table
&gt;&gt; Review &amp; refinement</t>
  </si>
  <si>
    <t>Number of Portals</t>
  </si>
  <si>
    <t>Create Preliminary Visual Design Compositions (3-4 templates)
&gt;&gt; Review wireframe &amp; context
&gt;&gt; Apply visual style &amp; layout
&gt;&gt; Visual refinement &amp; consistency
&gt;&gt; Internal review &amp; polish</t>
  </si>
  <si>
    <t>Number of Templates</t>
  </si>
  <si>
    <t>Create Click through mockups
&gt;&gt; Identify key flows to prototype
&gt;&gt; Link screens for primary flows
&gt;&gt;Add basic interaction logic
&gt;&gt; Internal review &amp; refinement</t>
  </si>
  <si>
    <t>Key Screens ≈ 15–20</t>
  </si>
  <si>
    <t>Analysis of existing claims process &amp; business landscape
&gt;&gt; Review existing process material / inputs
&gt;&gt; Analyze current-state claims flow
&gt;&gt; Identify key pain points &amp; constraints
&gt;&gt; Frame problem statement
&gt;&gt; Review &amp; refinement</t>
  </si>
  <si>
    <t>Verification of current vs target claim lifecycle
&gt;&gt; Review current-state lifecycle
&gt;&gt; Review target-state lifecycle
&gt;&gt;Gap analysis &amp; verification
&gt;&gt;Update / validate E2E lifecycle diagram
&gt;&gt; Review &amp; alignment</t>
  </si>
  <si>
    <t>Multi-layered architecture:
&gt;&gt; Data Access Layer (DAL)
&gt;&gt;ORM / Persistence layer
&gt;&gt;Business Logic Layer (BLL)
&gt;&gt; Service Layer (REST APIs)
&gt;&gt;Presentation Layer (Web / Mobile)
&gt;&gt;Communication via interfaces &amp; DTOs</t>
  </si>
  <si>
    <t>Analysis of existing data sources &amp; document artefacts
&gt;&gt; Identify Policy master data source, Customer data ownership, Financial reconciliation inputs
&gt;&gt; Understand Manual documents (photos, estimates, invoices), Retention requirements</t>
  </si>
  <si>
    <t>POC:
&gt;&gt; Workflow engine integration validation
&gt;&gt; Payment gateway integration validation
&gt;&gt;Document storage integration validation</t>
  </si>
  <si>
    <t>High Level Analysis and design document preparation
&gt;&gt; Overall solution architecture
&gt;&gt; Logical and physical architecture diagrams
&gt;&gt; Service boundaries and component interactions
&gt;&gt; Integration architecture
&gt;&gt; Deployment architecture</t>
  </si>
  <si>
    <t>Low level analysis and design document preparation
&gt;&gt; API specifications (REST endpoints, request/response models)
&gt;&gt; Service responsibilities and interaction flows
&gt;&gt; Workflow state and transition modelling
&gt;&gt; Business rule and validation design
&gt;&gt; Error handling and exception management design</t>
  </si>
  <si>
    <t>Database design and analysis document preparation
&gt;&gt; ER diagrams and entity relationships
&gt;&gt;Data dictionary
&gt;&gt;Indexing and performance considerations
&gt;&gt;Audit and history schema design
&gt;&gt;Data retention structure</t>
  </si>
  <si>
    <t>Review and Sign-off
&gt;&gt; Design walkthrough sessions
&gt;&gt; Review iterations and refinements
&gt;&gt; Formal design baseline freeze</t>
  </si>
  <si>
    <t>X-cutting layers
&gt;&gt; Logging
&gt;&gt; Exception handling
&gt;&gt; Caching
&gt;&gt; Notification hooks
&gt;&gt; Audit Logging</t>
  </si>
  <si>
    <t>Security
&gt;&gt; Authentication mechanism (JWT / OAuth / IAM)
&gt;&gt; Authorization (Role-Based Access Control – RBAC)</t>
  </si>
  <si>
    <t>Multi-lingual support
&gt;&gt; Internationalization framework (if required by RFP)</t>
  </si>
  <si>
    <t>Not required.</t>
  </si>
  <si>
    <t>Workflow management framework
&gt;&gt; Workflow engine configuration
&gt;&gt; State transitions and lifecycle management
&gt;&gt; Escalation paths
&gt;&gt; Exception routing
&gt;&gt; Long-running process orchestration</t>
  </si>
  <si>
    <t>POCs are limited to technical feasibility validation only and are not production implementations</t>
  </si>
  <si>
    <t>Covers logical schema design only; performance tuning and production optimization excluded.</t>
  </si>
  <si>
    <t>Security certification, penetration testing, and compliance audits excluded.</t>
  </si>
  <si>
    <t>Included only if explicitly required; translation content not in scope.</t>
  </si>
  <si>
    <t>Baseline workflow configuration only; detailed tuning and optimization deferred to later phases.</t>
  </si>
  <si>
    <t>Framework setup includes base architecture only; business feature implementation excluded (covered in Phase-3)</t>
  </si>
  <si>
    <t>External System / Integration Point</t>
  </si>
  <si>
    <t>Data Domain / Artefact Group</t>
  </si>
  <si>
    <t>Technical POC</t>
  </si>
  <si>
    <t>Architectural View / Design Section</t>
  </si>
  <si>
    <t>Number of Use Cases</t>
  </si>
  <si>
    <t>Tables (~25-30)</t>
  </si>
  <si>
    <t>Claim</t>
  </si>
  <si>
    <t>ClaimStatus</t>
  </si>
  <si>
    <t>ClaimHistory</t>
  </si>
  <si>
    <t>Policy</t>
  </si>
  <si>
    <t>Coverage</t>
  </si>
  <si>
    <t>Assessment</t>
  </si>
  <si>
    <t>Workshop</t>
  </si>
  <si>
    <t>RepairEstimate</t>
  </si>
  <si>
    <t>RepairInvoice</t>
  </si>
  <si>
    <t>Payment</t>
  </si>
  <si>
    <t>Deductible</t>
  </si>
  <si>
    <t>Document</t>
  </si>
  <si>
    <t>DocumentMetadata</t>
  </si>
  <si>
    <t>Notification</t>
  </si>
  <si>
    <t>CommunicationLog</t>
  </si>
  <si>
    <t>User</t>
  </si>
  <si>
    <t>Role</t>
  </si>
  <si>
    <t>UserRole</t>
  </si>
  <si>
    <t>AuditLog</t>
  </si>
  <si>
    <t>WorkflowInstance</t>
  </si>
  <si>
    <t>WorkflowState</t>
  </si>
  <si>
    <t>ExceptionLog</t>
  </si>
  <si>
    <t>DB Tables</t>
  </si>
  <si>
    <t>Review Cycle</t>
  </si>
  <si>
    <t>Application Layer</t>
  </si>
  <si>
    <t>Cross-Cutting Component</t>
  </si>
  <si>
    <t>Integration Framework Components</t>
  </si>
  <si>
    <t>Integration adaptor framework
&gt;&gt; External system connectors
&gt;&gt; Standardized interface contracts
&gt;&gt; Error handling &amp; retries
&gt;&gt; Fallback mechanism framework</t>
  </si>
  <si>
    <t>Scheduler Components</t>
  </si>
  <si>
    <t>Navigation Components</t>
  </si>
  <si>
    <t>UI Navigation framework
&gt;&gt; Role-based navigation structure
&gt;&gt; Workflow-driven routing logic
&gt;&gt; Menu hierarchy Structure
&gt;&gt; UI access control Mapping</t>
  </si>
  <si>
    <t>Workflow Capability Component</t>
  </si>
  <si>
    <t>Platform Bootstrap</t>
  </si>
  <si>
    <t>Unit tests for base utilities</t>
  </si>
  <si>
    <t>Implement state machine definition</t>
  </si>
  <si>
    <t>Domain Service Layer Implementation</t>
  </si>
  <si>
    <t>Integration &amp; Adapter Layer</t>
  </si>
  <si>
    <t>Unit tests with mocked broker</t>
  </si>
  <si>
    <t>API Layer Implementation</t>
  </si>
  <si>
    <t>UI Layer Implementation</t>
  </si>
  <si>
    <t>Routing configuration</t>
  </si>
  <si>
    <t>Global state management</t>
  </si>
  <si>
    <t>API client abstraction</t>
  </si>
  <si>
    <t>Global error handling</t>
  </si>
  <si>
    <t>Auth token handling</t>
  </si>
  <si>
    <t>Environment configuration</t>
  </si>
  <si>
    <t>Role-based rendering wrapper</t>
  </si>
  <si>
    <t>Notification/toast framework</t>
  </si>
  <si>
    <t>FNOL submission screen (form + file upload)</t>
  </si>
  <si>
    <t>Claim status tracking screen</t>
  </si>
  <si>
    <t>Workshop selection screen</t>
  </si>
  <si>
    <t>Appointment scheduling screen</t>
  </si>
  <si>
    <t>Rental booking screen (conditional)</t>
  </si>
  <si>
    <t>Payment screen</t>
  </si>
  <si>
    <t>Claim history listing</t>
  </si>
  <si>
    <t>Document upload screen</t>
  </si>
  <si>
    <t>Status timeline component</t>
  </si>
  <si>
    <t>Claim search &amp; listing</t>
  </si>
  <si>
    <t>Claim detail view</t>
  </si>
  <si>
    <t>Surveyor assignment screen</t>
  </si>
  <si>
    <t>Assessment submission view</t>
  </si>
  <si>
    <t>Adjustor adjudication screen</t>
  </si>
  <si>
    <t>Case manager override &amp; approval screen</t>
  </si>
  <si>
    <t>Status transition controls</t>
  </si>
  <si>
    <t>Document viewer integration</t>
  </si>
  <si>
    <t>Partner login</t>
  </si>
  <si>
    <t>Claim listing</t>
  </si>
  <si>
    <t>Repair estimate submission</t>
  </si>
  <si>
    <t>Repair status updates</t>
  </si>
  <si>
    <t>Final invoice submission</t>
  </si>
  <si>
    <t>Payment tracking view</t>
  </si>
  <si>
    <t>Claims intake dashboard</t>
  </si>
  <si>
    <t>Processing time dashboard</t>
  </si>
  <si>
    <t>Ageing dashboard</t>
  </si>
  <si>
    <t>Regional breakdown charts</t>
  </si>
  <si>
    <t>Role performance dashboards</t>
  </si>
  <si>
    <t>Cross-browser validation</t>
  </si>
  <si>
    <t>Role-based scenario validation</t>
  </si>
  <si>
    <t>Error simulation</t>
  </si>
  <si>
    <t>API failure handling</t>
  </si>
  <si>
    <t>Performance optimization</t>
  </si>
  <si>
    <t>Accessibility validation</t>
  </si>
  <si>
    <t>UI test coverage</t>
  </si>
  <si>
    <t>Requirement Study and Analysis
&gt;&gt; Review approved SRS &amp; Design documents
&gt;&gt; Identify testable requirements
&gt;&gt; Map requirements to functional areas
&gt;&gt; Identify integration and workflow dependencies</t>
  </si>
  <si>
    <t>Test Plan document
&gt;&gt; Define testing scope (System + Integration)
&gt;&gt; Define test approach (manual + automation mix)
&gt;&gt; Define entry/exit criteria
&gt;&gt; Define defect severity matrix
&gt;&gt; Define test deliverables &amp; reporting format
&gt;&gt; Client review &amp; alignment</t>
  </si>
  <si>
    <t>Testing strategy and planning
&gt;&gt; Identify E2E workflow scenarios
&gt;&gt; Identify role-based test scenarios
&gt;&gt; Identify negative and edge-case scenarios
&gt;&gt;Identify integration test scenarios</t>
  </si>
  <si>
    <t xml:space="preserve">Test cases preparation (Manual)
&gt;&gt; Prepare system test cases (Customer Portal)
&gt;&gt; Prepare system test cases (Internal Portal)
&gt;&gt; Prepare system test cases (Partner Portal)
&gt;&gt; Prepare financial &amp; payment test cases
&gt;&gt; Prepare reporting &amp; dashboard test cases
&gt;&gt; Prepare integration test cases (PMS, Payment, Notification)
</t>
  </si>
  <si>
    <t>Test cases preparation (Automated)
&gt;&gt; Identify automation scope (critical paths)
&gt;&gt; Develop automated API test scripts
&gt;&gt; Develop automated UI regression scripts
&gt;&gt; Integrate automated tests with CI/CD</t>
  </si>
  <si>
    <t>Review and Sign-off
&gt;&gt; Internal QA review
&gt;&gt; Client walkthrough of test cases
&gt;&gt; Incorporate feedback
&gt;&gt; Final sign-off</t>
  </si>
  <si>
    <t>Testing environment setup
&gt;&gt; Deploy application in system test environment
&gt;&gt;Configure external sandbox integrations
&gt;&gt; Validate event bus &amp; reporting DB setup
&gt;&gt; Prepare user roles &amp; test data</t>
  </si>
  <si>
    <t>Test case execution
&gt;&gt; Execute system test cases
&gt;&gt; Execute integration test cases
&gt;&gt; Log defects
&gt;&gt; Track defect resolution
&gt;&gt; Re-test fixes
&gt;&gt; Execute regression suite
&gt;&gt; Prepare execution logs &amp; reports</t>
  </si>
  <si>
    <t>Performance testing environment setup
&gt;&gt; Provision load testing tools
&gt;&gt; Configure performance test environment
&gt;&gt; Prepare realistic dataset</t>
  </si>
  <si>
    <t>Scripts preparation
&gt;&gt; Prepare API load scripts
&gt;&gt; Prepare concurrent user simulation scripts
&gt;&gt; Prepare reporting dashboard load scripts</t>
  </si>
  <si>
    <t>Scripts execution
&gt;&gt; Execute baseline performance tests
&gt;&gt; Execute peak load tests
&gt;&gt; Execute stress scenarios
&gt;&gt; Monitor resource utilization</t>
  </si>
  <si>
    <t>Reports preparation
&gt;&gt; Analyze response times
&gt;&gt; Identify bottlenecks
&gt;&gt; Document findings
&gt;&gt; Recommend tuning actions</t>
  </si>
  <si>
    <t>Multi-browser testing
&gt;&gt; Validate UI on Chrome, Edge, Firefox
&gt;&gt; Fix UI inconsistencies
&gt;&gt; Validate responsive layout</t>
  </si>
  <si>
    <t>Multi-device testing
&gt;&gt; Validate UI on desktop resolutions
&gt;&gt; Validate tablet responsiveness
&gt;&gt; Validate mobile responsiveness</t>
  </si>
  <si>
    <t>Accessibility Testing 
&gt;&gt; Validate keyboard navigation
&gt;&gt; Validate contrast &amp; readability
&gt;&gt; Validate ARIA labels</t>
  </si>
  <si>
    <t>Usability Testing
&gt;&gt; Validate intuitive navigation
&gt;&gt; Validate error messaging clarity
&gt;&gt; Validate workflow smoothness
&gt;&gt; Incorporate UX improvements</t>
  </si>
  <si>
    <t>Reusable backend service template</t>
  </si>
  <si>
    <t>Automated build &amp; deployment pipeline</t>
  </si>
  <si>
    <t>Deployable containerized services</t>
  </si>
  <si>
    <t>Schema management framework</t>
  </si>
  <si>
    <t>Out of scope / Assumptions / Result</t>
  </si>
  <si>
    <t>Long-running workflows</t>
  </si>
  <si>
    <t>Claim State Enforcement &amp; Biz. Logic</t>
  </si>
  <si>
    <t>Async comm. module</t>
  </si>
  <si>
    <t>Email/SMS int. module</t>
  </si>
  <si>
    <t>Payment integration module</t>
  </si>
  <si>
    <t>DMS integration layer</t>
  </si>
  <si>
    <t>Batch Jobs</t>
  </si>
  <si>
    <t>API Framework &amp; common features</t>
  </si>
  <si>
    <t>Interim demos
&gt;&gt; Prepare demo dataset
&gt;&gt; Deploy latest build to staging
&gt;&gt; Validate demo environment
&gt;&gt; Conduct demo session (multi-role walkthrough)
&gt;&gt; Capture feedback &amp; action items
&gt;&gt;Update defect/observation tracker</t>
  </si>
  <si>
    <t>Interim staging releases
&gt;&gt; Prepare release branch
&gt;&gt; Generate build artifacts, Update Versioning
&gt;&gt; Prepare release notes
&gt;&gt; Deploy to staging
&gt;&gt; Run Smoke tests</t>
  </si>
  <si>
    <t>UAT release
&gt;&gt; Freeze UAT scope &amp; Prepare UAT build
&gt;&gt; Preparation of release notes, configuration checklist, etc.
&gt;&gt; Deploy UAT release
&gt;&gt; Execute smoke test</t>
  </si>
  <si>
    <t>UAT Support &amp; Coordination
&gt;&gt; UAT kickoff session 
&gt;&gt; UAT test data preparation
&gt;&gt; Support business users during execution
&gt;&gt; Clarify functional queries
&gt;&gt; Log UAT defects</t>
  </si>
  <si>
    <t>Production Readiness Validation
&gt;&gt; Production Readiness Validation 
&gt;&gt; Configuration validation
&gt;&gt; DB migration readiness check
&gt;&gt; Rollback plan validation</t>
  </si>
  <si>
    <t>Final production release
&gt;&gt; Tag final release
&gt;&gt; Generate production build
&gt;&gt; Prepare final release notes
&gt;&gt; Execute deployment
&gt;&gt; Execute smoke testing
&gt;&gt; Validate integrations
&gt;&gt; Validate monitoring &amp; logging</t>
  </si>
  <si>
    <t>Deployment document
&gt;&gt; Prepare Deployment guide
&gt;&gt; Prepare Rollback procedures
&gt;&gt; Environment configuration document
&gt;&gt; Monitoring runbook</t>
  </si>
  <si>
    <t>Training Plan and artifacts
&gt;&gt; Identify training audience
&gt;&gt; Prepare training agenda
&gt;&gt; Prepare slide decks
&gt;&gt; Prepare sample use cases</t>
  </si>
  <si>
    <t>User manual
&gt;&gt; Prepare customer portal guide
&gt;&gt; Prepare internal user guide
&gt;&gt; Prepare partner portal guide
&gt;&gt; Prepare FAQ Section
&gt;&gt; Version control documentation</t>
  </si>
  <si>
    <t>Train the trainer sessions
&gt;&gt; Conduct training sessions
&gt;&gt; Q&amp;A handling
&gt;&gt; Capture feedback
&gt;&gt; Update training material (if required)</t>
  </si>
  <si>
    <t>Resources X
UAT Cycles</t>
  </si>
  <si>
    <t>eClaims Solution</t>
  </si>
  <si>
    <t>Partner Interaction API endpoints</t>
  </si>
  <si>
    <t>Financial API endpoints</t>
  </si>
  <si>
    <t>Reporting &amp; Dashboard API endpoints</t>
  </si>
  <si>
    <t>UI Framework</t>
  </si>
  <si>
    <t>UI Shared Features</t>
  </si>
  <si>
    <t>Customer Portal UI Screens</t>
  </si>
  <si>
    <t>Internal Portal UI Screens</t>
  </si>
  <si>
    <t>Partner Portal UI Screens</t>
  </si>
  <si>
    <t>Reporting Portal UI Screens</t>
  </si>
  <si>
    <t>Integrated UI &amp; Tests</t>
  </si>
  <si>
    <t>Stable working System</t>
  </si>
  <si>
    <t>N/A</t>
  </si>
  <si>
    <t>Utsav Verma</t>
  </si>
  <si>
    <t>Only in-scope UCs</t>
  </si>
  <si>
    <t>User Observations
&gt;&gt; Plan observation sessions
&gt;&gt; Observe current claims-handling sessions
&gt;&gt; Capture notes &amp; pain points
&gt;&gt; Identify usability &amp; operational gaps
&gt;&gt; Summarize findings</t>
  </si>
  <si>
    <t>Analysis of existing business ecosystem &amp; integration touchpoints
&gt;&gt; Identify external systems PMS, Payment Gateway / Bank, Document Storage, Notification System
&gt;&gt; Identify data exchange needs</t>
  </si>
  <si>
    <t>Scheduler service
&gt;&gt; SLA checks
&gt;&gt; Escalation triggers
&gt;&gt; Background job processing
&gt;&gt; Batch reporting jobs</t>
  </si>
  <si>
    <t>Team ramp-up &amp; development environment setup</t>
  </si>
  <si>
    <t>Team onboarding &amp; role assignment</t>
  </si>
  <si>
    <t>Development environment &amp; tooling setup</t>
  </si>
  <si>
    <t>Coding standards, branching &amp; review guidelines</t>
  </si>
  <si>
    <t>Microservice base framework &amp; cross-cutting layers</t>
  </si>
  <si>
    <t>Project skeleton with layered architecture</t>
  </si>
  <si>
    <t>Configuration management setup</t>
  </si>
  <si>
    <t>Structured logging framework integration</t>
  </si>
  <si>
    <t>Health check &amp; readiness endpoints</t>
  </si>
  <si>
    <t>Global exception handling framework</t>
  </si>
  <si>
    <t>Dependency injection baseline</t>
  </si>
  <si>
    <t>CI/CD pipeline &amp; repository setup</t>
  </si>
  <si>
    <t>Git repository structure &amp; branching strategy</t>
  </si>
  <si>
    <t>Build pipeline configuration</t>
  </si>
  <si>
    <t>Automated test execution in pipeline</t>
  </si>
  <si>
    <t>Container image build pipeline</t>
  </si>
  <si>
    <t>Deployment pipeline to lower environments</t>
  </si>
  <si>
    <t>Pipeline dry-run validation</t>
  </si>
  <si>
    <t>Pipeline documentation &amp; handover</t>
  </si>
  <si>
    <t>Containerization &amp; AWS runtime (Terraform, ECS Fargate, Multi-AZ)</t>
  </si>
  <si>
    <t>Dockerfile templates per service</t>
  </si>
  <si>
    <t>Terraform modules for VPC &amp; networking (Multi-AZ)</t>
  </si>
  <si>
    <t>ECS Fargate cluster &amp; task definitions</t>
  </si>
  <si>
    <t>Environment configuration strategy (dev/stage/prod)</t>
  </si>
  <si>
    <t>Container startup/shutdown &amp; health validation</t>
  </si>
  <si>
    <t>ALB ingress, WAF &amp; edge security bootstrap</t>
  </si>
  <si>
    <t>Secured edge: WAF/Shield + ALB (no managed API GW)</t>
  </si>
  <si>
    <t>ALB listener rules, target groups &amp; path-based routing</t>
  </si>
  <si>
    <t>WAF rule set &amp; edge security policies</t>
  </si>
  <si>
    <t>OAuth2 / Okta SSO provider integration</t>
  </si>
  <si>
    <t>Rate limiting &amp; throttling via WAF rate-based rules</t>
  </si>
  <si>
    <t>Secured endpoint access validation</t>
  </si>
  <si>
    <t>Database &amp; migration framework (RDS PostgreSQL, ElastiCache Redis)</t>
  </si>
  <si>
    <t>RDS PostgreSQL schema design &amp; connection pooling</t>
  </si>
  <si>
    <t>PostgreSQL document-metadata tables, JSONB indexes &amp; partitioning</t>
  </si>
  <si>
    <t>ElastiCache Redis cache layer setup</t>
  </si>
  <si>
    <t>Migration tooling &amp; versioning</t>
  </si>
  <si>
    <t>Migration rollback validation</t>
  </si>
  <si>
    <t>Core Domain &amp; Workflow Foundation</t>
  </si>
  <si>
    <t>Auth Service &amp; User/RBAC Service (6 roles, config-driven)</t>
  </si>
  <si>
    <t>OAuth2/JWT auth + Okta SSO; 6-role RBAC</t>
  </si>
  <si>
    <t>Auth Service: JWT/OAuth login flow</t>
  </si>
  <si>
    <t>User/RBAC Service: 6-role permission model</t>
  </si>
  <si>
    <t>Config-driven role-permission mapping</t>
  </si>
  <si>
    <t>Session/token refresh &amp; revocation</t>
  </si>
  <si>
    <t>Unit tests for auth &amp; RBAC rules</t>
  </si>
  <si>
    <t>Configuration Service (feature flags, role-permission config)</t>
  </si>
  <si>
    <t>Feature flags &amp; role-permission config</t>
  </si>
  <si>
    <t>Configuration schema &amp; storage design</t>
  </si>
  <si>
    <t>Feature flag management API</t>
  </si>
  <si>
    <t>Role-permission config API</t>
  </si>
  <si>
    <t>Config caching &amp; propagation</t>
  </si>
  <si>
    <t>Unit tests for configuration service</t>
  </si>
  <si>
    <t>Claim lifecycle state model &amp; state machine</t>
  </si>
  <si>
    <t>Claim state machine &amp; transition rules</t>
  </si>
  <si>
    <t>Define claim lifecycle states &amp; terminal states</t>
  </si>
  <si>
    <t>Define allowed transitions &amp; rollback paths</t>
  </si>
  <si>
    <t>Configure branching &amp; compensation paths</t>
  </si>
  <si>
    <t>Unit tests for state transitions</t>
  </si>
  <si>
    <t>Workflow Engine — AWS Step Functions orchestration</t>
  </si>
  <si>
    <t>Step Functions state machine design per workflow</t>
  </si>
  <si>
    <t>Service invocation &amp; timeout handling</t>
  </si>
  <si>
    <t>Error propagation &amp; retry/compensation logic</t>
  </si>
  <si>
    <t>Unit tests for workflow orchestration</t>
  </si>
  <si>
    <t>Workflow event publishing &amp; EventBridge integration</t>
  </si>
  <si>
    <t>Event emission on state change</t>
  </si>
  <si>
    <t>Workflow event schema definition</t>
  </si>
  <si>
    <t>EventBridge rule &amp; bus integration</t>
  </si>
  <si>
    <t>Correlation ID &amp; callback mapping</t>
  </si>
  <si>
    <t>Idempotent event publishing validation</t>
  </si>
  <si>
    <t>Unit tests for event publishing</t>
  </si>
  <si>
    <t>Claims Service implementation</t>
  </si>
  <si>
    <t>Core claim entity model &amp; persistence</t>
  </si>
  <si>
    <t>Claim state transition enforcement</t>
  </si>
  <si>
    <t>Duplicate request &amp; concurrency protection</t>
  </si>
  <si>
    <t>Claim intake &amp; registration logic</t>
  </si>
  <si>
    <t>Claim query &amp; tracking logic</t>
  </si>
  <si>
    <t>Unit tests for claim business rules</t>
  </si>
  <si>
    <t>Incident Management Service (auto-assign, delegation, override)</t>
  </si>
  <si>
    <t>Auto-assign, delegation &amp; override rules</t>
  </si>
  <si>
    <t>Incident entity model &amp; lifecycle</t>
  </si>
  <si>
    <t>Auto-assignment rule engine</t>
  </si>
  <si>
    <t>Delegation &amp; reassignment workflow</t>
  </si>
  <si>
    <t>Case manager override &amp; approval logic</t>
  </si>
  <si>
    <t>Escalation &amp; SLA breach handling</t>
  </si>
  <si>
    <t>Unit tests for incident management rules</t>
  </si>
  <si>
    <t>Fraud Detection Service (rule-based flagging)</t>
  </si>
  <si>
    <t>Rule-based fraud flags + manual review queue</t>
  </si>
  <si>
    <t>Fraud rule definition &amp; scoring model</t>
  </si>
  <si>
    <t>Rule engine execution &amp; flagging logic</t>
  </si>
  <si>
    <t>Manual review queue integration</t>
  </si>
  <si>
    <t>Fraud event notification hooks</t>
  </si>
  <si>
    <t>Unit tests for fraud rules</t>
  </si>
  <si>
    <t>Event bus integration layer (EventBridge / SQS / SNS)</t>
  </si>
  <si>
    <t>Event publisher abstraction</t>
  </si>
  <si>
    <t>Event subscriber framework</t>
  </si>
  <si>
    <t>Retry logic &amp; dead-letter queue handling</t>
  </si>
  <si>
    <t>SQS/SNS topic &amp; queue provisioning</t>
  </si>
  <si>
    <t>Notification Service (SNS / SES, multi-channel)</t>
  </si>
  <si>
    <t>Notification contract &amp; template model</t>
  </si>
  <si>
    <t>SNS/SES provider integration</t>
  </si>
  <si>
    <t>Multi-channel dispatch (SMS/email/push)</t>
  </si>
  <si>
    <t>Retry &amp; delivery-failure handling</t>
  </si>
  <si>
    <t>Unit tests for notification dispatch</t>
  </si>
  <si>
    <t>Payment Service (Stripe, PCI-DSS hosted page)</t>
  </si>
  <si>
    <t>Payment request contract &amp; Stripe SDK integration</t>
  </si>
  <si>
    <t>PCI-DSS hosted payment page integration</t>
  </si>
  <si>
    <t>Payment callback &amp; webhook validation</t>
  </si>
  <si>
    <t>Failure/refund handling logic</t>
  </si>
  <si>
    <t>Unit tests for payment flows</t>
  </si>
  <si>
    <t>Document Service (S3 + OpenSearch, versioning, retention)</t>
  </si>
  <si>
    <t>S3 upload/download interface &amp; metadata mapping</t>
  </si>
  <si>
    <t>OpenSearch indexing for document search</t>
  </si>
  <si>
    <t>Document versioning logic</t>
  </si>
  <si>
    <t>Retention policy &amp; access control</t>
  </si>
  <si>
    <t>Unit tests for document service</t>
  </si>
  <si>
    <t>Background Jobs &amp; Location Services</t>
  </si>
  <si>
    <t>Location Service (workshop / rental lookup by geo)</t>
  </si>
  <si>
    <t>Geo lookup: workshops &amp; rental partners</t>
  </si>
  <si>
    <t>Geo-lookup data model &amp; indexing</t>
  </si>
  <si>
    <t>Workshop lookup by proximity</t>
  </si>
  <si>
    <t>Rental partner lookup by proximity</t>
  </si>
  <si>
    <t>Distance/ETA calculation integration</t>
  </si>
  <si>
    <t>Unit tests for location service</t>
  </si>
  <si>
    <t>Scheduled jobs &amp; batch processing (Lambda)</t>
  </si>
  <si>
    <t>Lambda scheduler configuration</t>
  </si>
  <si>
    <t>Claim ageing &amp; escalation batch job</t>
  </si>
  <si>
    <t>Reporting aggregation / ETL batch job</t>
  </si>
  <si>
    <t>Common API framework &amp; standards (OpenAPI, versioning)</t>
  </si>
  <si>
    <t>OpenAPI contract &amp; governance standards</t>
  </si>
  <si>
    <t>Request/response validation &amp; mapping framework</t>
  </si>
  <si>
    <t>API versioning strategy</t>
  </si>
  <si>
    <t>Auth/RBAC enforcement framework for APIs</t>
  </si>
  <si>
    <t>API exception, logging &amp; observability hooks</t>
  </si>
  <si>
    <t>Core claim capability APIs</t>
  </si>
  <si>
    <t>Claim-related API endpoints</t>
  </si>
  <si>
    <t>Claim intake &amp; registration APIs</t>
  </si>
  <si>
    <t>Claim query &amp; tracking APIs</t>
  </si>
  <si>
    <t>Claim processing &amp; role-action APIs</t>
  </si>
  <si>
    <t>Partner interaction APIs</t>
  </si>
  <si>
    <t>Workshop coordination APIs</t>
  </si>
  <si>
    <t>Invoice &amp; repair completion APIs</t>
  </si>
  <si>
    <t>Financial &amp; settlement APIs</t>
  </si>
  <si>
    <t>Deductible &amp; settlement calculation APIs</t>
  </si>
  <si>
    <t>Payment initiation &amp; callback APIs</t>
  </si>
  <si>
    <t>Reporting Service &amp; dashboard APIs (Redshift aggregation)</t>
  </si>
  <si>
    <t>Operational reporting APIs</t>
  </si>
  <si>
    <t>Redshift aggregation &amp; data transformation layer</t>
  </si>
  <si>
    <t>UI architecture &amp; platform setup (React, routing, state)</t>
  </si>
  <si>
    <t>Project structure &amp; build setup</t>
  </si>
  <si>
    <t>Shared UI component framework &amp; design system</t>
  </si>
  <si>
    <t>Reusable form components</t>
  </si>
  <si>
    <t>Validation framework</t>
  </si>
  <si>
    <t>Table/grid components</t>
  </si>
  <si>
    <t>Modal/dialog components</t>
  </si>
  <si>
    <t>File upload component</t>
  </si>
  <si>
    <t>Customer Portal screens</t>
  </si>
  <si>
    <t>Login / registration</t>
  </si>
  <si>
    <t>Internal Portal screens (all six roles)</t>
  </si>
  <si>
    <t>Partner Portal screens</t>
  </si>
  <si>
    <t>Reporting &amp; dashboard screens</t>
  </si>
  <si>
    <t>UI integration testing &amp; hardening</t>
  </si>
  <si>
    <t>Development hardening &amp; code stabilization</t>
  </si>
  <si>
    <t>Code quality &amp; unit-test stabilization</t>
  </si>
  <si>
    <t>Integration &amp; contract stabilization</t>
  </si>
  <si>
    <t>Build, deployment &amp; observability hardening</t>
  </si>
  <si>
    <t>Test Planning</t>
  </si>
  <si>
    <t>Test Preparation &amp; Execution</t>
  </si>
  <si>
    <t>&gt;&gt; Valid only in case of manual testing
&gt;&gt; Mutually exclusive with 2.3</t>
  </si>
  <si>
    <t>Name: Total Test Cases
# : Total Use Cases
xN : Test case Per Use case</t>
  </si>
  <si>
    <t>&gt;&gt; Valid only in case of automated testing
&gt;&gt; Mutually exclusive with 2.2</t>
  </si>
  <si>
    <t>Name: 50% of Total Test Cases
# : Total Use Cases
xN : Test case Per Use case</t>
  </si>
  <si>
    <t>UAT Defect Resolution &amp; Revalidation
&gt;&gt; Analyze UAT defects 
&gt;&gt; Prioritize fixes, implement hotfix builds.
&gt;&gt; Redeploy to UAT
&gt;&gt; Re-test Resolved Issues
&gt;&gt; Obtain UAT signoff</t>
  </si>
  <si>
    <t>Post-Go-Live Hypercare &amp; Handover to Operations
&gt;&gt; Monitor system behavior &amp; error logs
&gt;&gt; Resolve priority production issues
&gt;&gt; Support user queries; daily status reporting
&gt;&gt; Handover to operations: runbook walkthrough, KT sessions, support-model sign-off</t>
  </si>
  <si>
    <t>Hypercare W33–W35 (2 weeks); ends with operations handover sign-off</t>
  </si>
  <si>
    <t>6-phase view: Schedule!B21</t>
  </si>
  <si>
    <t>Assumptions: Schedule!B31</t>
  </si>
  <si>
    <t>Excl. contingency; +15% advised</t>
  </si>
  <si>
    <t>Auto-schedule chains phases, so PM (F) can only start after E starts. PM actually spans W0–W35. Plan of record = Schedule sheet (35 wks; go-live W33).</t>
  </si>
  <si>
    <t>YCompany</t>
  </si>
  <si>
    <t>◆</t>
  </si>
  <si>
    <t>Team FTE</t>
  </si>
  <si>
    <t>Grid effort (PD) = FTE-weeks × 5</t>
  </si>
  <si>
    <t>SIX-PHASE SUMMARY (assignment phases → template sections)</t>
  </si>
  <si>
    <t>Phase (template sections)</t>
  </si>
  <si>
    <t>PD</t>
  </si>
  <si>
    <t>% of total</t>
  </si>
  <si>
    <t>Calendar &amp; milestones (W0 = Mon 02-Nov-2026)</t>
  </si>
  <si>
    <t>1. Req Specs &amp; System Design (A+B)</t>
  </si>
  <si>
    <t>W0–W4 · kickoff W0; SAD &amp; architecture sign-off W4</t>
  </si>
  <si>
    <t>2. Implementation (C)</t>
  </si>
  <si>
    <t>3. Testing (D)</t>
  </si>
  <si>
    <t>4. UAT (E.T1 + E.T2)</t>
  </si>
  <si>
    <t>W22–W30 · staging releases W22–W26; UAT W26–W30; sign-off W30</t>
  </si>
  <si>
    <t>5. Docs, Go-Live, Transition (E.T3+T4)</t>
  </si>
  <si>
    <t>6. PM &amp; Coordination (F)</t>
  </si>
  <si>
    <t>W0–W35 · across the whole plan</t>
  </si>
  <si>
    <t>Total (all six phases)</t>
  </si>
  <si>
    <t>ASSUMPTIONS &amp; NOTES</t>
  </si>
  <si>
    <t>1. Role mapping (9 people): TA = Solution Architect · BA = Business Analyst · TL = Project Manager · DEV = 2 BE + 2 FE + 1 DevOps · QA = QA Engineer · no GD (UX/visual design by FE devs).</t>
  </si>
  <si>
    <t xml:space="preserve">   PM effort = Section F on TL (80%) with architecture governance on TA (20%), plus PM coordination shares in A–E; DevOps effort sits inside DEV.</t>
  </si>
  <si>
    <t>3. Mobile app is out of scope: customers and surveyors use the responsive web portals; a native app would need a separate estimate.</t>
  </si>
  <si>
    <t>5. Calendar: 35 weeks, W0 = Mon 02-Nov-2026 to hypercare end Fri 02-Jul-2027; Mon–Fri weeks, no holiday calendar. This sheet is the plan of record; the Estimation auto-schedule is indicative.</t>
  </si>
  <si>
    <t>Multi-Region warm standby (us-east-2, ARC failover)</t>
  </si>
  <si>
    <t>Warm standby per SAD §4; active-active out of scope</t>
  </si>
  <si>
    <t>Terraform: us-east-2 stack from the existing modules (VPC across us-east-2a/2b/2c, NAT, regional ALB, ECS services at minimum capacity)</t>
  </si>
  <si>
    <t>Assumes the us-east-1 modules are parameterised by Region</t>
  </si>
  <si>
    <t>Cross-Region data replication: RDS read replica, OpenSearch cross-cluster replication over VPC peering, S3 Cross-Region Replication incl. the Object Lock archive, Secrets Manager replica secrets, us-east-2 KMS keys</t>
  </si>
  <si>
    <t>Region failover routing: Route 53 failover records and health checks, ARC routing controls, CloudFront secondary origin</t>
  </si>
  <si>
    <t>Diagram G1, G3, G4</t>
  </si>
  <si>
    <t>Release to both Regions: ECR replication, cross-Region CodeDeploy blue/green, Terraform apply for both stacks</t>
  </si>
  <si>
    <t>Diagram P12, P13</t>
  </si>
  <si>
    <t>Standby readiness: SES production access, SNS SMS registration, partner allow-lists for the us-east-2 NAT addresses, raised Fargate quotas, paging alarms</t>
  </si>
  <si>
    <t>AWS and partner lead times are YCompany dependencies; start by W10</t>
  </si>
  <si>
    <t>Failover and failback runbook: promote the replica and its secret, pre-scale, flip the routing controls, re-drive in-flight claims from database status, fail back after re-seeding</t>
  </si>
  <si>
    <t>Region failover game day (staging)
&gt;&gt; Fail over us-east-1 → us-east-2 with the runbook
&gt;&gt; Measure RTO/RPO against SAD §7 (Region RTO &lt; 30 min; RPO &lt; 5 min database, &lt; 15 min S3)
&gt;&gt; Fail back after re-seeding
&gt;&gt; Record findings and re-run failed steps</t>
  </si>
  <si>
    <t>Staging; the production drill is E 3.2</t>
  </si>
  <si>
    <t>Production failover drill before go-live
&gt;&gt; Run the runbook against production before it takes traffic
&gt;&gt; Confirm routing controls, replica promotion and failback
&gt;&gt; Operations sign-off on the runbook</t>
  </si>
  <si>
    <t>Before go-live, while production takes no traffic</t>
  </si>
  <si>
    <t>W4–W24 · dev env W6; Auth + Claims MVP W10; portal betas W14/W18; us-east-2 standby W14–W21; integrated W22</t>
  </si>
  <si>
    <t>W20–W26 · overlaps the last 2 sprints; Region failover game day W24–W25; performance testing complete W26</t>
  </si>
  <si>
    <t>W30–W35 · docs, training &amp; release prep W30–W33; production failover drill W31–W32; go-live W33; hypercare + ops handover W33–W35</t>
  </si>
  <si>
    <t>4. AWS run costs (infrastructure OpEx, including the us-east-2 standby) are excluded, as are third-party SaaS/licence fees (Okta, Stripe, SES/SNS). Effort only, at a flat USD 224/PD.</t>
  </si>
  <si>
    <t>6. PM is funded at about 0.67 FTE on average (full-time W0–W3 and W22–W23); a full-time PM for all 35 weeks adds about 58 PD, which the reserve covers.</t>
  </si>
  <si>
    <t>7. The us-east-2 warm standby (SAD §4, Deployment Topology) is in Phase 1: 28 PD, of which 20 are build (C7), 4 the staging game day (D5.5), 2 the production drill (E3.2) and 2 PM. Multi-Region active-active is out of scope.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</si>
</sst>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0" tint="-0.1499984740745262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50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>
      <alignment vertical="top" wrapText="1"/>
    </xf>
    <xf numFmtId="0" fontId="2" fillId="3" borderId="1" xfId="0" applyFont="1" applyFill="1" applyBorder="1" applyAlignment="1">
      <alignment horizontal="center" vertical="top"/>
    </xf>
    <xf numFmtId="0" fontId="2" fillId="3" borderId="0" xfId="0" applyFont="1" applyFill="1" applyAlignment="1">
      <alignment horizontal="center"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top" wrapText="1"/>
    </xf>
    <xf numFmtId="0" fontId="3" fillId="6" borderId="0" xfId="0" applyFont="1" applyFill="1" applyAlignment="1">
      <alignment vertical="top"/>
    </xf>
    <xf numFmtId="0" fontId="0" fillId="6" borderId="0" xfId="0" applyFill="1" applyAlignment="1">
      <alignment vertical="center"/>
    </xf>
    <xf numFmtId="0" fontId="0" fillId="6" borderId="0" xfId="0" applyFill="1" applyAlignment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Alignment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>
      <alignment vertical="center"/>
    </xf>
    <xf numFmtId="1" fontId="4" fillId="6" borderId="0" xfId="0" applyNumberFormat="1" applyFont="1" applyFill="1" applyAlignment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>
      <alignment vertical="top"/>
    </xf>
    <xf numFmtId="0" fontId="9" fillId="4" borderId="0" xfId="0" applyFont="1" applyFill="1" applyAlignment="1">
      <alignment vertical="top"/>
    </xf>
    <xf numFmtId="2" fontId="0" fillId="4" borderId="0" xfId="0" applyNumberFormat="1" applyFill="1" applyAlignment="1">
      <alignment vertical="top"/>
    </xf>
    <xf numFmtId="0" fontId="0" fillId="4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8" fillId="2" borderId="0" xfId="0" applyFont="1" applyFill="1" applyAlignment="1">
      <alignment vertical="center"/>
    </xf>
    <xf numFmtId="2" fontId="7" fillId="2" borderId="0" xfId="0" applyNumberFormat="1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7" fillId="2" borderId="0" xfId="0" applyFont="1" applyFill="1" applyAlignment="1">
      <alignment vertical="center" wrapText="1"/>
    </xf>
    <xf numFmtId="0" fontId="0" fillId="6" borderId="4" xfId="0" applyFill="1" applyBorder="1" applyAlignment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>
      <alignment vertical="top"/>
    </xf>
    <xf numFmtId="0" fontId="0" fillId="8" borderId="0" xfId="0" applyFill="1" applyAlignment="1">
      <alignment vertical="top" wrapText="1"/>
    </xf>
    <xf numFmtId="0" fontId="2" fillId="8" borderId="0" xfId="0" applyFont="1" applyFill="1" applyAlignment="1">
      <alignment vertical="top"/>
    </xf>
    <xf numFmtId="9" fontId="14" fillId="8" borderId="2" xfId="0" applyNumberFormat="1" applyFont="1" applyFill="1" applyBorder="1" applyAlignment="1">
      <alignment vertical="top"/>
    </xf>
    <xf numFmtId="0" fontId="0" fillId="9" borderId="0" xfId="0" applyFill="1" applyAlignment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top"/>
    </xf>
    <xf numFmtId="0" fontId="2" fillId="8" borderId="17" xfId="0" applyFont="1" applyFill="1" applyBorder="1" applyAlignment="1">
      <alignment horizontal="center" vertical="top"/>
    </xf>
    <xf numFmtId="0" fontId="0" fillId="8" borderId="1" xfId="0" applyFill="1" applyBorder="1" applyAlignment="1">
      <alignment vertical="top"/>
    </xf>
    <xf numFmtId="0" fontId="2" fillId="3" borderId="17" xfId="0" applyFont="1" applyFill="1" applyBorder="1" applyAlignment="1">
      <alignment horizontal="center" vertical="top"/>
    </xf>
    <xf numFmtId="0" fontId="2" fillId="3" borderId="19" xfId="0" applyFont="1" applyFill="1" applyBorder="1" applyAlignment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Alignment="1" applyProtection="1">
      <alignment vertical="center"/>
      <protection locked="0"/>
    </xf>
    <xf numFmtId="0" fontId="5" fillId="10" borderId="0" xfId="0" applyFont="1" applyFill="1" applyAlignment="1" applyProtection="1">
      <alignment vertical="center" wrapText="1"/>
      <protection locked="0"/>
    </xf>
    <xf numFmtId="0" fontId="5" fillId="10" borderId="0" xfId="0" applyFont="1" applyFill="1" applyAlignment="1">
      <alignment vertical="center" wrapText="1"/>
    </xf>
    <xf numFmtId="0" fontId="5" fillId="10" borderId="0" xfId="0" applyFont="1" applyFill="1" applyAlignment="1">
      <alignment vertical="center"/>
    </xf>
    <xf numFmtId="0" fontId="0" fillId="10" borderId="0" xfId="0" applyFill="1" applyAlignment="1">
      <alignment vertical="top"/>
    </xf>
    <xf numFmtId="0" fontId="0" fillId="10" borderId="0" xfId="0" applyFill="1" applyAlignment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>
      <alignment vertical="top"/>
    </xf>
    <xf numFmtId="1" fontId="18" fillId="4" borderId="0" xfId="0" applyNumberFormat="1" applyFont="1" applyFill="1" applyAlignment="1">
      <alignment vertical="top"/>
    </xf>
    <xf numFmtId="0" fontId="9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Alignment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ill="1" applyAlignment="1">
      <alignment vertical="top" wrapText="1"/>
    </xf>
    <xf numFmtId="0" fontId="15" fillId="7" borderId="0" xfId="0" applyFont="1" applyFill="1" applyAlignment="1">
      <alignment horizontal="center" vertical="top"/>
    </xf>
    <xf numFmtId="0" fontId="15" fillId="7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top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top"/>
    </xf>
    <xf numFmtId="0" fontId="28" fillId="7" borderId="0" xfId="0" applyFont="1" applyFill="1" applyAlignment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>
      <alignment vertical="center"/>
    </xf>
    <xf numFmtId="2" fontId="7" fillId="13" borderId="0" xfId="0" applyNumberFormat="1" applyFont="1" applyFill="1" applyAlignment="1">
      <alignment vertical="center"/>
    </xf>
    <xf numFmtId="0" fontId="7" fillId="13" borderId="0" xfId="0" applyFont="1" applyFill="1" applyAlignment="1">
      <alignment vertical="center"/>
    </xf>
    <xf numFmtId="0" fontId="7" fillId="13" borderId="0" xfId="0" applyFont="1" applyFill="1" applyAlignment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Alignment="1">
      <alignment horizontal="center" vertical="top" textRotation="90"/>
    </xf>
    <xf numFmtId="0" fontId="0" fillId="14" borderId="0" xfId="0" applyFill="1" applyAlignment="1">
      <alignment vertical="top"/>
    </xf>
    <xf numFmtId="0" fontId="12" fillId="14" borderId="0" xfId="0" applyFont="1" applyFill="1" applyAlignment="1">
      <alignment vertical="top"/>
    </xf>
    <xf numFmtId="0" fontId="24" fillId="14" borderId="0" xfId="0" applyFont="1" applyFill="1" applyAlignment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Alignment="1">
      <alignment vertical="top"/>
    </xf>
    <xf numFmtId="166" fontId="0" fillId="4" borderId="13" xfId="0" applyNumberFormat="1" applyFill="1" applyBorder="1" applyAlignment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>
      <alignment horizontal="right" vertical="top" wrapText="1"/>
    </xf>
    <xf numFmtId="0" fontId="2" fillId="4" borderId="22" xfId="0" applyFont="1" applyFill="1" applyBorder="1" applyAlignment="1">
      <alignment horizontal="right" vertical="top"/>
    </xf>
    <xf numFmtId="15" fontId="0" fillId="4" borderId="10" xfId="0" applyNumberFormat="1" applyFill="1" applyBorder="1" applyAlignment="1">
      <alignment vertical="top" wrapText="1"/>
    </xf>
    <xf numFmtId="15" fontId="0" fillId="4" borderId="13" xfId="0" applyNumberFormat="1" applyFill="1" applyBorder="1" applyAlignment="1">
      <alignment vertical="top" wrapText="1"/>
    </xf>
    <xf numFmtId="15" fontId="0" fillId="4" borderId="18" xfId="0" applyNumberFormat="1" applyFill="1" applyBorder="1" applyAlignment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Alignment="1">
      <alignment horizontal="right" vertical="top"/>
    </xf>
    <xf numFmtId="0" fontId="18" fillId="4" borderId="0" xfId="0" applyFont="1" applyFill="1" applyAlignment="1">
      <alignment vertical="top"/>
    </xf>
    <xf numFmtId="0" fontId="36" fillId="19" borderId="0" xfId="0" applyFont="1" applyFill="1" applyAlignment="1">
      <alignment horizontal="right" vertical="top"/>
    </xf>
    <xf numFmtId="0" fontId="36" fillId="19" borderId="0" xfId="0" applyFont="1" applyFill="1" applyAlignment="1">
      <alignment vertical="top"/>
    </xf>
    <xf numFmtId="0" fontId="36" fillId="19" borderId="0" xfId="0" applyFont="1" applyFill="1" applyAlignment="1">
      <alignment horizontal="right" vertical="center"/>
    </xf>
    <xf numFmtId="15" fontId="2" fillId="4" borderId="12" xfId="0" applyNumberFormat="1" applyFont="1" applyFill="1" applyBorder="1" applyAlignment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Alignment="1">
      <alignment vertical="top"/>
    </xf>
    <xf numFmtId="0" fontId="37" fillId="19" borderId="0" xfId="0" applyFont="1" applyFill="1" applyAlignment="1">
      <alignment vertical="top"/>
    </xf>
    <xf numFmtId="1" fontId="38" fillId="19" borderId="0" xfId="0" applyNumberFormat="1" applyFont="1" applyFill="1" applyAlignment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>
      <alignment vertical="top"/>
    </xf>
    <xf numFmtId="0" fontId="0" fillId="4" borderId="0" xfId="0" applyFill="1" applyAlignment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>
      <alignment vertical="top"/>
    </xf>
    <xf numFmtId="0" fontId="42" fillId="4" borderId="0" xfId="0" applyFont="1" applyFill="1" applyAlignment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>
      <alignment horizontal="right" vertical="center"/>
    </xf>
    <xf numFmtId="0" fontId="33" fillId="9" borderId="0" xfId="0" applyFont="1" applyFill="1" applyAlignment="1">
      <alignment vertical="center"/>
    </xf>
    <xf numFmtId="0" fontId="0" fillId="23" borderId="0" xfId="0" applyFill="1" applyAlignment="1">
      <alignment vertical="top"/>
    </xf>
    <xf numFmtId="0" fontId="12" fillId="23" borderId="0" xfId="0" applyFont="1" applyFill="1" applyAlignment="1">
      <alignment vertical="top"/>
    </xf>
    <xf numFmtId="0" fontId="13" fillId="15" borderId="0" xfId="0" applyFont="1" applyFill="1" applyAlignment="1">
      <alignment vertical="center"/>
    </xf>
    <xf numFmtId="0" fontId="50" fillId="14" borderId="4" xfId="0" applyFont="1" applyFill="1" applyBorder="1" applyAlignment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>
      <alignment horizontal="left" vertical="top" indent="1"/>
    </xf>
    <xf numFmtId="0" fontId="0" fillId="5" borderId="0" xfId="0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0" fontId="21" fillId="4" borderId="0" xfId="0" applyFont="1" applyFill="1" applyAlignment="1">
      <alignment horizontal="left" vertical="top"/>
    </xf>
    <xf numFmtId="0" fontId="42" fillId="4" borderId="0" xfId="0" applyFont="1" applyFill="1" applyAlignment="1">
      <alignment horizontal="right" vertical="top"/>
    </xf>
    <xf numFmtId="0" fontId="42" fillId="4" borderId="0" xfId="0" applyFont="1" applyFill="1" applyAlignment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Protection="1">
      <protection locked="0"/>
    </xf>
    <xf numFmtId="0" fontId="51" fillId="4" borderId="0" xfId="0" applyFont="1" applyFill="1" applyAlignment="1">
      <alignment horizontal="right"/>
    </xf>
    <xf numFmtId="0" fontId="0" fillId="9" borderId="1" xfId="0" applyFill="1" applyBorder="1" applyAlignment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>
      <alignment horizontal="left" vertical="center"/>
    </xf>
    <xf numFmtId="0" fontId="8" fillId="2" borderId="0" xfId="0" applyFont="1" applyFill="1" applyAlignment="1">
      <alignment vertical="center" wrapText="1"/>
    </xf>
    <xf numFmtId="1" fontId="55" fillId="2" borderId="0" xfId="0" applyNumberFormat="1" applyFont="1" applyFill="1" applyAlignment="1">
      <alignment vertical="center"/>
    </xf>
    <xf numFmtId="0" fontId="55" fillId="2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8" borderId="19" xfId="0" applyFont="1" applyFill="1" applyBorder="1" applyAlignment="1">
      <alignment horizontal="center" vertical="top"/>
    </xf>
    <xf numFmtId="0" fontId="0" fillId="13" borderId="0" xfId="0" applyFill="1" applyAlignment="1">
      <alignment vertical="center"/>
    </xf>
    <xf numFmtId="0" fontId="44" fillId="4" borderId="0" xfId="0" applyFont="1" applyFill="1" applyAlignment="1">
      <alignment wrapText="1"/>
    </xf>
    <xf numFmtId="0" fontId="0" fillId="5" borderId="0" xfId="0" applyFill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Alignment="1">
      <alignment horizontal="center" vertical="top" wrapText="1"/>
    </xf>
    <xf numFmtId="0" fontId="2" fillId="3" borderId="0" xfId="0" applyFont="1" applyFill="1" applyAlignment="1">
      <alignment horizontal="center" vertical="top" wrapText="1"/>
    </xf>
    <xf numFmtId="0" fontId="50" fillId="14" borderId="9" xfId="0" applyFont="1" applyFill="1" applyBorder="1" applyAlignment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48" fillId="14" borderId="0" xfId="0" applyFont="1" applyFill="1" applyAlignment="1">
      <alignment horizontal="right" vertical="center"/>
    </xf>
    <xf numFmtId="0" fontId="0" fillId="14" borderId="4" xfId="0" applyFill="1" applyBorder="1" applyAlignment="1">
      <alignment vertical="top"/>
    </xf>
    <xf numFmtId="0" fontId="25" fillId="14" borderId="4" xfId="0" applyFont="1" applyFill="1" applyBorder="1" applyAlignment="1">
      <alignment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Alignment="1">
      <alignment horizontal="center" vertical="top"/>
    </xf>
    <xf numFmtId="0" fontId="2" fillId="24" borderId="0" xfId="0" applyFont="1" applyFill="1" applyAlignment="1">
      <alignment vertical="top" wrapText="1"/>
    </xf>
    <xf numFmtId="0" fontId="0" fillId="24" borderId="0" xfId="0" applyFill="1" applyAlignment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>
      <alignment horizontal="right" vertical="top"/>
    </xf>
    <xf numFmtId="0" fontId="2" fillId="24" borderId="0" xfId="0" applyFont="1" applyFill="1" applyAlignment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>
      <alignment horizontal="right" vertical="center"/>
    </xf>
    <xf numFmtId="0" fontId="25" fillId="14" borderId="0" xfId="0" applyFont="1" applyFill="1" applyAlignment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>
      <alignment horizontal="right" vertical="top"/>
    </xf>
    <xf numFmtId="0" fontId="0" fillId="8" borderId="0" xfId="0" applyFill="1" applyAlignment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>
      <alignment vertical="top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right" vertical="top"/>
    </xf>
    <xf numFmtId="0" fontId="8" fillId="13" borderId="0" xfId="0" applyFont="1" applyFill="1" applyAlignment="1">
      <alignment vertical="center" wrapText="1"/>
    </xf>
    <xf numFmtId="0" fontId="33" fillId="9" borderId="0" xfId="0" applyFont="1" applyFill="1" applyAlignment="1">
      <alignment vertical="top"/>
    </xf>
    <xf numFmtId="0" fontId="25" fillId="14" borderId="15" xfId="0" applyFont="1" applyFill="1" applyBorder="1" applyAlignment="1">
      <alignment vertical="center"/>
    </xf>
    <xf numFmtId="0" fontId="25" fillId="14" borderId="14" xfId="0" applyFont="1" applyFill="1" applyBorder="1" applyAlignment="1">
      <alignment vertical="center"/>
    </xf>
    <xf numFmtId="0" fontId="0" fillId="14" borderId="0" xfId="0" applyFill="1" applyAlignment="1">
      <alignment vertical="top" wrapText="1"/>
    </xf>
    <xf numFmtId="0" fontId="10" fillId="14" borderId="0" xfId="0" applyFont="1" applyFill="1" applyAlignment="1">
      <alignment horizontal="right"/>
    </xf>
    <xf numFmtId="0" fontId="2" fillId="8" borderId="2" xfId="0" applyFont="1" applyFill="1" applyBorder="1" applyAlignment="1">
      <alignment vertical="top"/>
    </xf>
    <xf numFmtId="0" fontId="33" fillId="9" borderId="0" xfId="0" applyFont="1" applyFill="1" applyAlignment="1">
      <alignment horizontal="right" vertical="top"/>
    </xf>
    <xf numFmtId="9" fontId="14" fillId="8" borderId="1" xfId="0" applyNumberFormat="1" applyFont="1" applyFill="1" applyBorder="1" applyAlignment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>
      <alignment vertical="center"/>
    </xf>
    <xf numFmtId="0" fontId="64" fillId="4" borderId="0" xfId="0" applyFont="1" applyFill="1" applyAlignment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>
      <alignment vertical="top"/>
    </xf>
    <xf numFmtId="0" fontId="43" fillId="4" borderId="0" xfId="0" applyFont="1" applyFill="1" applyAlignment="1">
      <alignment horizontal="right" vertical="top"/>
    </xf>
    <xf numFmtId="0" fontId="11" fillId="14" borderId="0" xfId="0" applyFont="1" applyFill="1" applyAlignment="1">
      <alignment horizontal="right" vertical="center"/>
    </xf>
    <xf numFmtId="0" fontId="78" fillId="14" borderId="4" xfId="0" applyFont="1" applyFill="1" applyBorder="1" applyAlignment="1">
      <alignment horizontal="right" vertical="center"/>
    </xf>
    <xf numFmtId="0" fontId="77" fillId="14" borderId="0" xfId="0" applyFont="1" applyFill="1" applyAlignment="1">
      <alignment vertical="center"/>
    </xf>
    <xf numFmtId="0" fontId="2" fillId="26" borderId="0" xfId="0" applyFont="1" applyFill="1" applyAlignment="1">
      <alignment vertical="top"/>
    </xf>
    <xf numFmtId="0" fontId="2" fillId="26" borderId="0" xfId="0" applyFont="1" applyFill="1" applyAlignment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>
      <alignment horizontal="left" vertical="top"/>
    </xf>
    <xf numFmtId="0" fontId="0" fillId="23" borderId="0" xfId="0" applyFill="1" applyAlignment="1">
      <alignment horizontal="left" vertical="top"/>
    </xf>
    <xf numFmtId="0" fontId="16" fillId="14" borderId="0" xfId="0" applyFont="1" applyFill="1" applyAlignment="1">
      <alignment horizontal="left"/>
    </xf>
    <xf numFmtId="0" fontId="0" fillId="14" borderId="0" xfId="0" applyFill="1" applyAlignment="1">
      <alignment horizontal="left" vertical="top"/>
    </xf>
    <xf numFmtId="0" fontId="46" fillId="14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top"/>
    </xf>
    <xf numFmtId="0" fontId="0" fillId="9" borderId="0" xfId="0" applyFill="1" applyAlignment="1">
      <alignment horizontal="left" vertical="top"/>
    </xf>
    <xf numFmtId="0" fontId="17" fillId="8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4" borderId="0" xfId="0" applyFill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10" borderId="0" xfId="0" applyFill="1" applyAlignment="1">
      <alignment horizontal="left" vertical="top"/>
    </xf>
    <xf numFmtId="0" fontId="17" fillId="8" borderId="0" xfId="0" applyFont="1" applyFill="1" applyAlignment="1">
      <alignment horizontal="left" vertical="center"/>
    </xf>
    <xf numFmtId="0" fontId="2" fillId="24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0" fillId="24" borderId="0" xfId="0" applyFill="1" applyAlignment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>
      <alignment horizontal="left" vertical="center"/>
    </xf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2" fillId="27" borderId="0" xfId="0" applyFont="1" applyFill="1" applyAlignment="1">
      <alignment horizontal="center" vertical="top" wrapText="1"/>
    </xf>
    <xf numFmtId="0" fontId="0" fillId="7" borderId="0" xfId="0" applyFill="1" applyAlignment="1">
      <alignment vertical="top" wrapText="1"/>
    </xf>
    <xf numFmtId="0" fontId="80" fillId="11" borderId="0" xfId="0" applyFont="1" applyFill="1" applyAlignment="1">
      <alignment horizontal="center" vertical="top" textRotation="90"/>
    </xf>
    <xf numFmtId="0" fontId="2" fillId="6" borderId="0" xfId="0" applyFont="1" applyFill="1" applyAlignment="1">
      <alignment vertical="top"/>
    </xf>
    <xf numFmtId="0" fontId="2" fillId="6" borderId="0" xfId="0" applyFont="1" applyFill="1" applyAlignment="1">
      <alignment horizontal="center" vertical="top"/>
    </xf>
    <xf numFmtId="0" fontId="77" fillId="7" borderId="0" xfId="0" applyFont="1" applyFill="1" applyAlignment="1">
      <alignment horizontal="center" vertical="top"/>
    </xf>
    <xf numFmtId="0" fontId="2" fillId="4" borderId="0" xfId="0" applyFont="1" applyFill="1" applyAlignment="1">
      <alignment vertical="top"/>
    </xf>
    <xf numFmtId="0" fontId="2" fillId="4" borderId="0" xfId="0" applyFont="1" applyFill="1" applyAlignment="1">
      <alignment horizontal="left" vertical="top"/>
    </xf>
    <xf numFmtId="0" fontId="2" fillId="4" borderId="0" xfId="0" applyFont="1" applyFill="1" applyAlignment="1">
      <alignment vertical="top" wrapText="1"/>
    </xf>
    <xf numFmtId="166" fontId="2" fillId="4" borderId="0" xfId="0" applyNumberFormat="1" applyFont="1" applyFill="1" applyAlignment="1">
      <alignment vertical="top" wrapText="1"/>
    </xf>
    <xf numFmtId="166" fontId="2" fillId="4" borderId="0" xfId="0" applyNumberFormat="1" applyFont="1" applyFill="1" applyAlignment="1">
      <alignment vertical="top"/>
    </xf>
    <xf numFmtId="0" fontId="2" fillId="6" borderId="0" xfId="0" applyFont="1" applyFill="1" applyAlignment="1">
      <alignment vertical="top" wrapText="1"/>
    </xf>
    <xf numFmtId="166" fontId="0" fillId="4" borderId="0" xfId="0" applyNumberFormat="1" applyFill="1" applyAlignment="1">
      <alignment vertical="top" wrapText="1"/>
    </xf>
    <xf numFmtId="166" fontId="0" fillId="4" borderId="0" xfId="0" applyNumberFormat="1" applyFill="1" applyAlignment="1">
      <alignment vertical="top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15" fontId="0" fillId="0" borderId="0" xfId="0" applyNumberFormat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1" fontId="0" fillId="0" borderId="0" xfId="0" applyNumberFormat="1"/>
    <xf numFmtId="0" fontId="0" fillId="0" borderId="0" xfId="0"/>
    <xf numFmtId="0" fontId="2" fillId="11" borderId="0" xfId="0" applyFont="1" applyFill="1" applyAlignment="1">
      <alignment horizontal="right"/>
    </xf>
    <xf numFmtId="3" fontId="0" fillId="0" borderId="0" xfId="0" applyNumberFormat="1"/>
    <xf numFmtId="9" fontId="0" fillId="0" borderId="0" xfId="0" applyNumberFormat="1"/>
    <xf numFmtId="1" fontId="2" fillId="0" borderId="0" xfId="0" applyNumberFormat="1" applyFont="1"/>
    <xf numFmtId="3" fontId="2" fillId="0" borderId="0" xfId="0" applyNumberFormat="1" applyFont="1"/>
    <xf numFmtId="9" fontId="2" fillId="0" borderId="0" xfId="0" applyNumberFormat="1" applyFont="1"/>
    <xf numFmtId="0" fontId="2" fillId="0" borderId="0" xfId="0" applyFont="1"/>
    <xf numFmtId="165" fontId="7" fillId="13" borderId="0" xfId="1" applyNumberFormat="1" applyFont="1" applyFill="1" applyAlignment="1" applyProtection="1">
      <alignment horizontal="left" vertical="center" indent="1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8" fillId="2" borderId="0" xfId="0" applyFont="1" applyFill="1" applyAlignment="1" applyProtection="1">
      <alignment horizontal="left" vertical="center" wrapText="1"/>
      <protection locked="0"/>
    </xf>
    <xf numFmtId="0" fontId="8" fillId="2" borderId="0" xfId="0" applyFont="1" applyFill="1" applyAlignment="1" applyProtection="1">
      <alignment horizontal="lef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0" fontId="0" fillId="4" borderId="0" xfId="0" applyFill="1" applyAlignment="1">
      <alignment horizontal="left" vertical="top" wrapText="1"/>
    </xf>
    <xf numFmtId="0" fontId="35" fillId="4" borderId="16" xfId="0" applyFont="1" applyFill="1" applyBorder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5" fillId="4" borderId="8" xfId="0" applyFont="1" applyFill="1" applyBorder="1" applyAlignment="1">
      <alignment horizontal="center" vertical="center"/>
    </xf>
    <xf numFmtId="0" fontId="35" fillId="4" borderId="4" xfId="0" applyFont="1" applyFill="1" applyBorder="1" applyAlignment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>
      <alignment horizontal="center" vertical="top"/>
    </xf>
    <xf numFmtId="0" fontId="65" fillId="4" borderId="0" xfId="0" applyFont="1" applyFill="1" applyAlignment="1" applyProtection="1">
      <alignment horizontal="left" vertical="top" wrapText="1"/>
      <protection locked="0"/>
    </xf>
    <xf numFmtId="0" fontId="2" fillId="3" borderId="0" xfId="0" applyFont="1" applyFill="1" applyAlignment="1">
      <alignment horizontal="center" vertical="top"/>
    </xf>
    <xf numFmtId="0" fontId="2" fillId="3" borderId="2" xfId="0" applyFont="1" applyFill="1" applyBorder="1" applyAlignment="1">
      <alignment horizontal="center" vertical="top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52" fillId="2" borderId="0" xfId="0" applyFont="1" applyFill="1" applyAlignment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>
      <alignment horizontal="center" vertical="top"/>
    </xf>
    <xf numFmtId="0" fontId="2" fillId="9" borderId="0" xfId="0" applyFont="1" applyFill="1" applyAlignment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>
      <alignment horizontal="center" vertical="center" wrapText="1"/>
    </xf>
    <xf numFmtId="15" fontId="0" fillId="14" borderId="0" xfId="0" applyNumberFormat="1" applyFill="1" applyAlignment="1">
      <alignment horizontal="left" vertical="top"/>
    </xf>
    <xf numFmtId="0" fontId="4" fillId="14" borderId="0" xfId="0" applyFont="1" applyFill="1" applyAlignment="1">
      <alignment horizontal="right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>
      <alignment horizontal="center" vertical="top"/>
    </xf>
    <xf numFmtId="0" fontId="0" fillId="4" borderId="0" xfId="0" applyFill="1" applyAlignment="1">
      <alignment horizontal="right" vertical="top" wrapText="1"/>
    </xf>
    <xf numFmtId="0" fontId="44" fillId="4" borderId="0" xfId="0" applyFont="1" applyFill="1" applyAlignment="1">
      <alignment horizontal="left" vertical="top" wrapText="1"/>
    </xf>
    <xf numFmtId="15" fontId="38" fillId="19" borderId="0" xfId="0" applyNumberFormat="1" applyFont="1" applyFill="1" applyAlignment="1">
      <alignment horizontal="left" vertical="center" wrapText="1"/>
    </xf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3267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Estimation!$L$569:$L$574</c:f>
            </c:multiLvlStrRef>
          </c:cat>
          <c:val>
            <c:numRef>
              <c:f>Estimation!$O$569:$O$574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2314573</xdr:colOff>
      <xdr:row>4</xdr:row>
      <xdr:rowOff>26477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567</xdr:row>
      <xdr:rowOff>100852</xdr:rowOff>
    </xdr:from>
    <xdr:to>
      <xdr:col>26</xdr:col>
      <xdr:colOff>515471</xdr:colOff>
      <xdr:row>575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8</xdr:row>
          <xdr:rowOff>12700</xdr:rowOff>
        </xdr:from>
        <xdr:to>
          <xdr:col>13</xdr:col>
          <xdr:colOff>76200</xdr:colOff>
          <xdr:row>9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825500</xdr:colOff>
          <xdr:row>9</xdr:row>
          <xdr:rowOff>63500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2292350</xdr:colOff>
          <xdr:row>9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63500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6350</xdr:colOff>
          <xdr:row>9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863600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153150" y="3101976"/>
          <a:ext cx="1123950" cy="129540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57450" y="18951575"/>
          <a:ext cx="387985" cy="352425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607425" y="20761325"/>
          <a:ext cx="375285" cy="352425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64225" y="22028150"/>
          <a:ext cx="384810" cy="352425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6425" y="24374475"/>
          <a:ext cx="375285" cy="352425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826000" y="25974675"/>
          <a:ext cx="384810" cy="34290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95350" y="28257500"/>
          <a:ext cx="387985" cy="34290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6019800" y="17713325"/>
          <a:ext cx="5914320" cy="269204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45050" y="26066750"/>
          <a:ext cx="6774644" cy="120634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E53F40-A145-433B-9EAE-CD525D489D89}" name="Table1" displayName="Table1" ref="A1:C49" totalsRowShown="0">
  <autoFilter ref="A1:C49" xr:uid="{18E53F40-A145-433B-9EAE-CD525D489D89}"/>
  <tableColumns count="3">
    <tableColumn id="1" xr3:uid="{2492D0C7-E6D5-4502-8966-C1A50D9F6E47}" name="FR ID" dataDxfId="3266"/>
    <tableColumn id="2" xr3:uid="{0F8F6660-2D00-4625-BBE6-F71E2E040B84}" name="Domain" dataDxfId="3265"/>
    <tableColumn id="3" xr3:uid="{041C478B-E1B5-4F42-9598-E65BF970BF50}" name="Functional Requirement" dataDxfId="326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FAEAFF-4FEC-4388-B28A-F74C79707E99}" name="Table3" displayName="Table3" ref="A58:H101" totalsRowShown="0" headerRowDxfId="3263" dataDxfId="3262">
  <autoFilter ref="A58:H101" xr:uid="{6FFAEAFF-4FEC-4388-B28A-F74C79707E99}"/>
  <tableColumns count="8">
    <tableColumn id="2" xr3:uid="{19B16CDA-12E3-4771-8F1B-DAF79DBFBC58}" name="FR ID" dataDxfId="3261"/>
    <tableColumn id="9" xr3:uid="{051A0721-089F-4BB3-8840-A5EBF0FE34B8}" name="Domain " dataDxfId="3260"/>
    <tableColumn id="3" xr3:uid="{1B881D4B-0FF3-4155-AEDC-460F6D36438B}" name="FR Description" dataDxfId="3259"/>
    <tableColumn id="4" xr3:uid="{F7DDFBA4-F0D8-4B94-A888-41B3433BD1CD}" name="UC ID" dataDxfId="3258"/>
    <tableColumn id="5" xr3:uid="{2F8AC885-77F3-4775-B2E8-6A0C94523A49}" name="Use Case Name" dataDxfId="3257"/>
    <tableColumn id="6" xr3:uid="{D4B0EF7F-9C41-430F-A537-74949248DCC0}" name="Primary Actor" dataDxfId="3256"/>
    <tableColumn id="7" xr3:uid="{8737C8CA-3C5C-4BBF-B836-ED434E00ED61}" name="Scenario Type" dataDxfId="3255"/>
    <tableColumn id="8" xr3:uid="{185B9EEF-EFD6-4554-AA77-D8C9266B3815}" name="Complexity" dataDxfId="325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2FEB66-3D4E-4DCD-BED9-DEB3B9A0E510}" name="Table4" displayName="Table4" ref="D1:F25" totalsRowShown="0" headerRowDxfId="3253" dataDxfId="3252">
  <autoFilter ref="D1:F25" xr:uid="{242FEB66-3D4E-4DCD-BED9-DEB3B9A0E510}"/>
  <tableColumns count="3">
    <tableColumn id="1" xr3:uid="{FC5A60FB-162F-437B-9D20-D7B8ED9CB2E8}" name="Use-case-ID" dataDxfId="3251"/>
    <tableColumn id="2" xr3:uid="{AE325896-5F74-4F6F-82C1-D0A2C45651FA}" name="Use Case Name" dataDxfId="3250"/>
    <tableColumn id="3" xr3:uid="{F22DF28E-9F7D-4C73-B137-C9CF0A52E7B5}" name="Primary Actor" dataDxfId="324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BC61992-B12D-47FC-A411-FDCA0BD81CED}" name="Table5" displayName="Table5" ref="H1:H25" totalsRowShown="0">
  <autoFilter ref="H1:H25" xr:uid="{4BC61992-B12D-47FC-A411-FDCA0BD81CED}"/>
  <tableColumns count="1">
    <tableColumn id="1" xr3:uid="{FED679E6-A89C-4DD2-9A25-9338D5A5BB72}" name="DB Tabl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179687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51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51">
        <f>CUSTOM_PERCENT*-1</f>
        <v>-0.25</v>
      </c>
    </row>
    <row r="53" spans="2:3" hidden="1" outlineLevel="1" x14ac:dyDescent="0.35">
      <c r="B53" s="2" t="s">
        <v>55</v>
      </c>
      <c r="C53" s="151">
        <v>0</v>
      </c>
    </row>
    <row r="54" spans="2:3" hidden="1" outlineLevel="1" x14ac:dyDescent="0.35">
      <c r="B54" s="2" t="s">
        <v>127</v>
      </c>
      <c r="C54" s="151">
        <f>CUSTOM_PERCENT</f>
        <v>0.25</v>
      </c>
    </row>
    <row r="55" spans="2:3" hidden="1" outlineLevel="1" x14ac:dyDescent="0.35">
      <c r="B55" s="2" t="s">
        <v>53</v>
      </c>
      <c r="C55" s="151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724"/>
  <sheetViews>
    <sheetView showGridLines="0" zoomScale="85" zoomScaleNormal="85" workbookViewId="0">
      <pane xSplit="11" ySplit="11" topLeftCell="L12" activePane="bottomRight" state="frozenSplit"/>
      <selection pane="topRight" activeCell="M1" sqref="M1"/>
      <selection pane="bottomLeft" activeCell="A17" sqref="A17"/>
      <selection pane="bottomRight" activeCell="Q103" sqref="Q103"/>
    </sheetView>
  </sheetViews>
  <sheetFormatPr defaultColWidth="9.1796875" defaultRowHeight="14.5" outlineLevelRow="2" outlineLevelCol="1" x14ac:dyDescent="0.35"/>
  <cols>
    <col min="1" max="1" width="1" style="86" customWidth="1"/>
    <col min="2" max="2" width="1" style="9" customWidth="1"/>
    <col min="3" max="5" width="1" style="74" customWidth="1"/>
    <col min="6" max="6" width="3" style="74" customWidth="1" collapsed="1"/>
    <col min="7" max="7" width="8.54296875" style="16" hidden="1" customWidth="1" outlineLevel="1"/>
    <col min="8" max="8" width="8.453125" style="16" hidden="1" customWidth="1" outlineLevel="1"/>
    <col min="9" max="9" width="7.1796875" style="16" hidden="1" customWidth="1" outlineLevel="1"/>
    <col min="10" max="10" width="7.81640625" style="16" hidden="1" customWidth="1" outlineLevel="1"/>
    <col min="11" max="11" width="37.453125" style="16" hidden="1" customWidth="1" outlineLevel="1"/>
    <col min="12" max="12" width="3.81640625" style="16" customWidth="1"/>
    <col min="13" max="13" width="5.81640625" style="269" customWidth="1"/>
    <col min="14" max="14" width="42.81640625" style="24" customWidth="1"/>
    <col min="15" max="15" width="13.1796875" style="24" customWidth="1"/>
    <col min="16" max="16" width="17.1796875" style="16" customWidth="1"/>
    <col min="17" max="17" width="7" style="16" customWidth="1"/>
    <col min="18" max="18" width="6.453125" style="16" customWidth="1"/>
    <col min="19" max="19" width="12" style="16" customWidth="1"/>
    <col min="20" max="20" width="10.81640625" style="16" customWidth="1"/>
    <col min="21" max="21" width="6.81640625" style="16" customWidth="1" outlineLevel="1"/>
    <col min="22" max="22" width="6.1796875" style="16" customWidth="1" outlineLevel="1"/>
    <col min="23" max="23" width="6" style="16" customWidth="1" outlineLevel="1"/>
    <col min="24" max="24" width="11.81640625" style="16" customWidth="1" outlineLevel="1"/>
    <col min="25" max="25" width="11" style="16" customWidth="1" outlineLevel="1"/>
    <col min="26" max="26" width="6.54296875" style="16" customWidth="1" outlineLevel="1"/>
    <col min="27" max="27" width="11" style="16" customWidth="1" outlineLevel="1"/>
    <col min="28" max="28" width="35.81640625" style="24" customWidth="1"/>
    <col min="29" max="29" width="1.453125" style="10" customWidth="1"/>
    <col min="30" max="30" width="19" style="10" customWidth="1"/>
    <col min="31" max="16384" width="9.1796875" style="16"/>
  </cols>
  <sheetData>
    <row r="1" spans="1:30" s="9" customFormat="1" ht="4.5" customHeight="1" x14ac:dyDescent="0.35">
      <c r="A1" s="86"/>
      <c r="C1" s="72"/>
      <c r="D1" s="72"/>
      <c r="E1" s="72"/>
      <c r="F1" s="72"/>
      <c r="M1" s="252"/>
      <c r="N1" s="10"/>
      <c r="O1" s="10"/>
      <c r="AB1" s="10"/>
      <c r="AC1" s="10"/>
      <c r="AD1" s="10"/>
    </row>
    <row r="2" spans="1:30" s="9" customFormat="1" ht="4.5" customHeight="1" x14ac:dyDescent="0.35">
      <c r="A2" s="86"/>
      <c r="C2" s="331" t="s">
        <v>151</v>
      </c>
      <c r="D2" s="331"/>
      <c r="E2" s="331"/>
      <c r="F2" s="331"/>
      <c r="G2" s="137"/>
      <c r="H2" s="137"/>
      <c r="I2" s="137"/>
      <c r="J2" s="137"/>
      <c r="K2" s="137"/>
      <c r="L2" s="137"/>
      <c r="M2" s="253"/>
      <c r="N2" s="138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0"/>
    </row>
    <row r="3" spans="1:30" s="9" customFormat="1" ht="23.25" customHeight="1" x14ac:dyDescent="0.6">
      <c r="A3" s="86"/>
      <c r="C3" s="331"/>
      <c r="D3" s="331"/>
      <c r="E3" s="331"/>
      <c r="F3" s="331"/>
      <c r="G3" s="337" t="s">
        <v>474</v>
      </c>
      <c r="H3" s="337"/>
      <c r="I3" s="337"/>
      <c r="J3" s="337"/>
      <c r="K3" s="273" t="s">
        <v>491</v>
      </c>
      <c r="L3" s="87"/>
      <c r="M3" s="254">
        <f>IF(IS_KEY_OPP="Yes", 2, IF(IS_KEY_OPP="No", 0, 1))</f>
        <v>1</v>
      </c>
      <c r="N3" s="139" t="str">
        <f>CLIENT_NAME&amp;" - "&amp;PROJECT_NAME&amp;" ("&amp;PLATFORM&amp;" "&amp;PROJECT_TYPE&amp;" Project)"&amp;IF(RFP_NAME&lt;&gt;"", " - "&amp;RFP_NAME, "")</f>
        <v>YCompany - eClaims (Enterprise Development Project) - eClaims Solution</v>
      </c>
      <c r="O3" s="139"/>
      <c r="P3" s="139"/>
      <c r="Q3" s="139"/>
      <c r="R3" s="139"/>
      <c r="S3" s="179"/>
      <c r="T3" s="241" t="str">
        <f>IF(COUNTIF(AD9:AD506, "Error:*") = 0, "", COUNTIF(AD9:AD506, "Error:*") &amp; " errors")</f>
        <v>41 errors</v>
      </c>
      <c r="U3" s="139"/>
      <c r="V3" s="139"/>
      <c r="W3" s="139"/>
      <c r="X3" s="191" t="s">
        <v>186</v>
      </c>
      <c r="Y3" s="193" t="s">
        <v>981</v>
      </c>
      <c r="Z3" s="195"/>
      <c r="AA3" s="194"/>
      <c r="AB3" s="243"/>
      <c r="AC3" s="87"/>
      <c r="AD3" s="10"/>
    </row>
    <row r="4" spans="1:30" s="9" customFormat="1" ht="4.5" customHeight="1" x14ac:dyDescent="0.35">
      <c r="A4" s="86"/>
      <c r="C4" s="331"/>
      <c r="D4" s="331"/>
      <c r="E4" s="331"/>
      <c r="F4" s="331"/>
      <c r="G4" s="87"/>
      <c r="H4" s="87"/>
      <c r="I4" s="87"/>
      <c r="J4" s="87"/>
      <c r="K4" s="87"/>
      <c r="L4" s="87"/>
      <c r="M4" s="255"/>
      <c r="N4" s="88"/>
      <c r="O4" s="87"/>
      <c r="P4" s="87"/>
      <c r="Q4" s="180"/>
      <c r="R4" s="87"/>
      <c r="S4" s="181"/>
      <c r="T4" s="242"/>
      <c r="U4" s="139"/>
      <c r="V4" s="139"/>
      <c r="W4" s="139"/>
      <c r="X4" s="192"/>
      <c r="Y4" s="193"/>
      <c r="Z4" s="195"/>
      <c r="AA4" s="195"/>
      <c r="AB4" s="87"/>
      <c r="AC4" s="87"/>
      <c r="AD4" s="10"/>
    </row>
    <row r="5" spans="1:30" s="9" customFormat="1" ht="20.25" customHeight="1" x14ac:dyDescent="0.35">
      <c r="A5" s="86"/>
      <c r="C5" s="331"/>
      <c r="D5" s="331"/>
      <c r="E5" s="331"/>
      <c r="F5" s="331"/>
      <c r="G5" s="87"/>
      <c r="H5" s="199"/>
      <c r="I5" s="199" t="s">
        <v>271</v>
      </c>
      <c r="J5" s="338">
        <v>46324</v>
      </c>
      <c r="K5" s="338"/>
      <c r="L5" s="87"/>
      <c r="M5" s="255"/>
      <c r="N5" s="90" t="str">
        <f>IF(TOTAL_EFFORT&lt;=0, "", CHOSEN_CURRENCY&amp;" "&amp;TEXT(CEILING(($W$575/1000),1),"##,##,###")&amp;" K  ●  "&amp;TEXT(TOTAL_EFFORT,"##,##,###")&amp;" PDs ("&amp;TEXT(TOTAL_WEEKS,"##,###"&amp;" Wk)"))</f>
        <v>USD 219 K  ●  977 PDs (195 Wk)</v>
      </c>
      <c r="O5" s="225"/>
      <c r="P5" s="224"/>
      <c r="Q5" s="231"/>
      <c r="R5" s="176" t="s">
        <v>88</v>
      </c>
      <c r="S5" s="177" t="s">
        <v>55</v>
      </c>
      <c r="T5" s="178">
        <v>0.25</v>
      </c>
      <c r="U5" s="139"/>
      <c r="V5" s="139"/>
      <c r="W5" s="139"/>
      <c r="X5" s="191" t="s">
        <v>187</v>
      </c>
      <c r="Y5" s="193" t="s">
        <v>982</v>
      </c>
      <c r="Z5" s="194"/>
      <c r="AA5" s="194"/>
      <c r="AB5" s="339" t="s">
        <v>110</v>
      </c>
      <c r="AC5" s="89"/>
      <c r="AD5" s="10"/>
    </row>
    <row r="6" spans="1:30" s="9" customFormat="1" ht="20.25" customHeight="1" x14ac:dyDescent="0.35">
      <c r="A6" s="86"/>
      <c r="C6" s="331"/>
      <c r="D6" s="331"/>
      <c r="E6" s="331"/>
      <c r="F6" s="331"/>
      <c r="G6" s="87"/>
      <c r="H6" s="199"/>
      <c r="I6" s="199" t="s">
        <v>272</v>
      </c>
      <c r="J6" s="87" t="s">
        <v>982</v>
      </c>
      <c r="K6" s="87"/>
      <c r="L6" s="87"/>
      <c r="M6" s="256"/>
      <c r="N6" s="133" t="str">
        <f>IF(TOTAL_EFFORT&lt;=0, "", "Auto: "&amp;DURATION&amp;" Wk  ("&amp;CEILING(DURATION/4,0.5)&amp;" M)"&amp;", Manual: "&amp;MANUAL_DURATION&amp;" Wk ("&amp;CEILING(MANUAL_DURATION/4,0.5)&amp;" M)")</f>
        <v>Auto: 35.6 Wk  (9 M), Manual: 35 Wk (9 M)</v>
      </c>
      <c r="O6" s="226"/>
      <c r="P6" s="224"/>
      <c r="Q6" s="223"/>
      <c r="R6" s="140" t="s">
        <v>62</v>
      </c>
      <c r="S6" s="166" t="s">
        <v>63</v>
      </c>
      <c r="T6" s="167"/>
      <c r="U6" s="139"/>
      <c r="V6" s="139"/>
      <c r="W6" s="139"/>
      <c r="X6" s="191" t="s">
        <v>188</v>
      </c>
      <c r="Y6" s="193" t="s">
        <v>982</v>
      </c>
      <c r="Z6" s="194"/>
      <c r="AA6" s="194"/>
      <c r="AB6" s="339"/>
      <c r="AC6" s="89"/>
      <c r="AD6" s="10"/>
    </row>
    <row r="7" spans="1:30" s="9" customFormat="1" ht="4.5" customHeight="1" x14ac:dyDescent="0.35">
      <c r="A7" s="86"/>
      <c r="C7" s="331"/>
      <c r="D7" s="331"/>
      <c r="E7" s="331"/>
      <c r="F7" s="331"/>
      <c r="G7" s="87"/>
      <c r="H7" s="87"/>
      <c r="I7" s="87"/>
      <c r="J7" s="87"/>
      <c r="K7" s="87"/>
      <c r="L7" s="87"/>
      <c r="M7" s="255"/>
      <c r="N7" s="88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10"/>
    </row>
    <row r="8" spans="1:30" s="9" customFormat="1" ht="1.5" customHeight="1" x14ac:dyDescent="0.35">
      <c r="A8" s="86"/>
      <c r="C8" s="331"/>
      <c r="D8" s="331"/>
      <c r="E8" s="331"/>
      <c r="F8" s="331"/>
      <c r="G8" s="11"/>
      <c r="H8" s="11"/>
      <c r="I8" s="11"/>
      <c r="J8" s="11"/>
      <c r="K8" s="11"/>
      <c r="L8" s="11"/>
      <c r="M8" s="257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0"/>
      <c r="AC8" s="10"/>
      <c r="AD8" s="10"/>
    </row>
    <row r="9" spans="1:30" s="9" customFormat="1" ht="15" customHeight="1" x14ac:dyDescent="0.35">
      <c r="A9" s="86"/>
      <c r="C9" s="331"/>
      <c r="D9" s="331"/>
      <c r="E9" s="331"/>
      <c r="F9" s="331"/>
      <c r="G9" s="333" t="s">
        <v>131</v>
      </c>
      <c r="H9" s="333"/>
      <c r="I9" s="333"/>
      <c r="J9" s="333"/>
      <c r="K9" s="154"/>
      <c r="L9" s="144"/>
      <c r="M9" s="258"/>
      <c r="N9" s="40"/>
      <c r="O9" s="40"/>
      <c r="P9" s="40"/>
      <c r="Q9" s="222"/>
      <c r="R9" s="228" t="s">
        <v>147</v>
      </c>
      <c r="S9" s="189" t="s">
        <v>145</v>
      </c>
      <c r="T9" s="189" t="s">
        <v>146</v>
      </c>
      <c r="U9" s="222"/>
      <c r="V9" s="222"/>
      <c r="W9" s="222"/>
      <c r="X9" s="40"/>
      <c r="Y9" s="40"/>
      <c r="Z9" s="40"/>
      <c r="AA9" s="40"/>
      <c r="AB9" s="143" t="s">
        <v>175</v>
      </c>
      <c r="AC9" s="40"/>
      <c r="AD9" s="10"/>
    </row>
    <row r="10" spans="1:30" s="9" customFormat="1" ht="13.5" customHeight="1" x14ac:dyDescent="0.35">
      <c r="A10" s="86" t="s">
        <v>148</v>
      </c>
      <c r="C10" s="332" t="s">
        <v>109</v>
      </c>
      <c r="D10" s="332"/>
      <c r="E10" s="332"/>
      <c r="F10" s="332"/>
      <c r="G10" s="45" t="s">
        <v>81</v>
      </c>
      <c r="H10" s="46" t="s">
        <v>80</v>
      </c>
      <c r="I10" s="45"/>
      <c r="J10" s="169"/>
      <c r="K10" s="47"/>
      <c r="L10" s="128"/>
      <c r="M10" s="259"/>
      <c r="N10" s="37"/>
      <c r="O10" s="174"/>
      <c r="P10" s="313" t="s">
        <v>57</v>
      </c>
      <c r="Q10" s="314"/>
      <c r="R10" s="315"/>
      <c r="S10" s="38"/>
      <c r="T10" s="227"/>
      <c r="U10" s="313" t="s">
        <v>58</v>
      </c>
      <c r="V10" s="314"/>
      <c r="W10" s="315"/>
      <c r="X10" s="229" t="s">
        <v>89</v>
      </c>
      <c r="Y10" s="63"/>
      <c r="Z10" s="39"/>
      <c r="AA10" s="202"/>
      <c r="AB10" s="37"/>
      <c r="AC10" s="37"/>
      <c r="AD10" s="10"/>
    </row>
    <row r="11" spans="1:30" s="9" customFormat="1" ht="15" customHeight="1" x14ac:dyDescent="0.35">
      <c r="A11" s="86" t="s">
        <v>104</v>
      </c>
      <c r="C11" s="332" t="s">
        <v>152</v>
      </c>
      <c r="D11" s="332"/>
      <c r="E11" s="332"/>
      <c r="F11" s="332"/>
      <c r="G11" s="8" t="s">
        <v>60</v>
      </c>
      <c r="H11" s="48" t="s">
        <v>2</v>
      </c>
      <c r="I11" s="8" t="s">
        <v>133</v>
      </c>
      <c r="J11" s="48" t="s">
        <v>1</v>
      </c>
      <c r="K11" s="7" t="s">
        <v>48</v>
      </c>
      <c r="L11" s="71"/>
      <c r="M11" s="260" t="s">
        <v>82</v>
      </c>
      <c r="N11" s="71"/>
      <c r="O11" s="175" t="s">
        <v>426</v>
      </c>
      <c r="P11" s="7" t="s">
        <v>3</v>
      </c>
      <c r="Q11" s="49" t="s">
        <v>153</v>
      </c>
      <c r="R11" s="48" t="s">
        <v>51</v>
      </c>
      <c r="S11" s="328" t="s">
        <v>59</v>
      </c>
      <c r="T11" s="329"/>
      <c r="U11" s="8" t="s">
        <v>46</v>
      </c>
      <c r="V11" s="8" t="s">
        <v>90</v>
      </c>
      <c r="W11" s="8" t="s">
        <v>47</v>
      </c>
      <c r="X11" s="48" t="s">
        <v>57</v>
      </c>
      <c r="Y11" s="7" t="s">
        <v>64</v>
      </c>
      <c r="Z11" s="48" t="s">
        <v>50</v>
      </c>
      <c r="AA11" s="48" t="s">
        <v>139</v>
      </c>
      <c r="AB11" s="173" t="s">
        <v>949</v>
      </c>
      <c r="AC11" s="6"/>
      <c r="AD11" s="10"/>
    </row>
    <row r="12" spans="1:30" s="14" customFormat="1" ht="18.5" collapsed="1" x14ac:dyDescent="0.35">
      <c r="A12" s="86" t="s">
        <v>98</v>
      </c>
      <c r="B12" s="12"/>
      <c r="C12" s="335" t="s">
        <v>150</v>
      </c>
      <c r="D12" s="336"/>
      <c r="E12" s="336"/>
      <c r="F12" s="182" t="s">
        <v>149</v>
      </c>
      <c r="G12" s="52"/>
      <c r="H12" s="52"/>
      <c r="I12" s="52"/>
      <c r="J12" s="52"/>
      <c r="K12" s="52"/>
      <c r="L12" s="52" t="s">
        <v>0</v>
      </c>
      <c r="M12" s="261" t="s">
        <v>49</v>
      </c>
      <c r="N12" s="196"/>
      <c r="O12" s="54"/>
      <c r="P12" s="55"/>
      <c r="Q12" s="55"/>
      <c r="R12" s="55"/>
      <c r="S12" s="330">
        <f>CEILING(SUMIF(J13:J63, "&lt;&gt;Yes", T13:T63),1)</f>
        <v>70</v>
      </c>
      <c r="T12" s="330"/>
      <c r="U12" s="55"/>
      <c r="V12" s="55"/>
      <c r="W12" s="55"/>
      <c r="X12" s="55"/>
      <c r="Y12" s="55"/>
      <c r="Z12" s="55"/>
      <c r="AA12" s="55"/>
      <c r="AB12" s="55"/>
      <c r="AC12" s="55"/>
      <c r="AD12" s="13"/>
    </row>
    <row r="13" spans="1:30" s="9" customFormat="1" ht="3" hidden="1" customHeight="1" outlineLevel="1" x14ac:dyDescent="0.35">
      <c r="A13" s="86" t="s">
        <v>99</v>
      </c>
      <c r="B13" s="15"/>
      <c r="C13" s="183"/>
      <c r="D13" s="183"/>
      <c r="E13" s="183"/>
      <c r="F13" s="183"/>
      <c r="G13" s="25"/>
      <c r="H13" s="25"/>
      <c r="I13" s="25"/>
      <c r="J13" s="25"/>
      <c r="K13" s="25"/>
      <c r="L13" s="26">
        <v>0</v>
      </c>
      <c r="M13" s="262"/>
      <c r="N13" s="25"/>
      <c r="O13" s="25"/>
      <c r="P13" s="25"/>
      <c r="Q13" s="25"/>
      <c r="R13" s="25"/>
      <c r="S13" s="25"/>
      <c r="T13" s="27"/>
      <c r="U13" s="25"/>
      <c r="V13" s="25"/>
      <c r="W13" s="25"/>
      <c r="X13" s="27"/>
      <c r="Y13" s="25"/>
      <c r="Z13" s="25"/>
      <c r="AA13" s="25"/>
      <c r="AB13" s="28"/>
      <c r="AC13" s="28"/>
      <c r="AD13" s="10"/>
    </row>
    <row r="14" spans="1:30" s="14" customFormat="1" ht="15.5" hidden="1" outlineLevel="1" collapsed="1" x14ac:dyDescent="0.35">
      <c r="A14" s="86" t="s">
        <v>100</v>
      </c>
      <c r="B14" s="18"/>
      <c r="C14" s="77"/>
      <c r="D14" s="77"/>
      <c r="E14" s="77"/>
      <c r="F14" s="76"/>
      <c r="G14" s="29"/>
      <c r="H14" s="29"/>
      <c r="I14" s="29"/>
      <c r="J14" s="29"/>
      <c r="K14" s="29"/>
      <c r="L14" s="17">
        <f ca="1">LOOKUP(1000,INDIRECT("L1:"&amp;CELL("address",INDIRECT("R[-1]C",FALSE))))+1</f>
        <v>1</v>
      </c>
      <c r="M14" s="310" t="s">
        <v>448</v>
      </c>
      <c r="N14" s="310"/>
      <c r="O14" s="5"/>
      <c r="P14" s="30"/>
      <c r="Q14" s="30"/>
      <c r="R14" s="30"/>
      <c r="S14" s="30"/>
      <c r="T14" s="155">
        <f>IF($S$6="Exclude", SUMIFS(S15:S19, J15:J19, "&lt;&gt;Yes", G15:G19, "&lt;&gt;Yes"), SUMIFS(S15:S19, J15:J19, "&lt;&gt;Yes"))</f>
        <v>6</v>
      </c>
      <c r="U14" s="30"/>
      <c r="V14" s="30"/>
      <c r="W14" s="30"/>
      <c r="X14" s="31"/>
      <c r="Y14" s="32"/>
      <c r="Z14" s="32"/>
      <c r="AA14" s="32"/>
      <c r="AB14" s="219"/>
      <c r="AC14" s="33"/>
      <c r="AD14" s="23" t="str">
        <f>IF(M14="", "Error: Task name cannot be empty.", "")</f>
        <v/>
      </c>
    </row>
    <row r="15" spans="1:30" s="12" customFormat="1" ht="1.5" hidden="1" customHeight="1" outlineLevel="2" x14ac:dyDescent="0.35">
      <c r="A15" s="86" t="s">
        <v>101</v>
      </c>
      <c r="B15" s="18"/>
      <c r="C15" s="77"/>
      <c r="D15" s="77"/>
      <c r="E15" s="77"/>
      <c r="F15" s="76"/>
      <c r="G15" s="29"/>
      <c r="H15" s="29"/>
      <c r="I15" s="29"/>
      <c r="J15" s="29"/>
      <c r="K15" s="29"/>
      <c r="L15" s="163">
        <f ca="1">L14</f>
        <v>1</v>
      </c>
      <c r="M15" s="164" t="s">
        <v>105</v>
      </c>
      <c r="N15" s="161"/>
      <c r="O15" s="162"/>
      <c r="P15" s="30"/>
      <c r="Q15" s="30"/>
      <c r="R15" s="30"/>
      <c r="S15" s="30"/>
      <c r="T15" s="155"/>
      <c r="U15" s="30"/>
      <c r="V15" s="30"/>
      <c r="W15" s="30"/>
      <c r="X15" s="31"/>
      <c r="Y15" s="32"/>
      <c r="Z15" s="32"/>
      <c r="AA15" s="32"/>
      <c r="AB15" s="33"/>
      <c r="AC15" s="33"/>
      <c r="AD15" s="23"/>
    </row>
    <row r="16" spans="1:30" ht="101.5" hidden="1" outlineLevel="2" x14ac:dyDescent="0.35">
      <c r="A16" s="86" t="s">
        <v>0</v>
      </c>
      <c r="B16" s="18"/>
      <c r="C16" s="78"/>
      <c r="D16" s="78"/>
      <c r="E16" s="78"/>
      <c r="F16" s="79"/>
      <c r="G16" s="19" t="s">
        <v>6</v>
      </c>
      <c r="H16" s="19" t="s">
        <v>23</v>
      </c>
      <c r="I16" s="20" t="s">
        <v>23</v>
      </c>
      <c r="J16" s="19" t="s">
        <v>23</v>
      </c>
      <c r="K16" s="35" t="s">
        <v>466</v>
      </c>
      <c r="L16" s="19"/>
      <c r="M16" s="263" t="str">
        <f ca="1">IFERROR(OFFSET(M16,-1,,1,1)+0.1,OFFSET(M16,-1,-1,1,1)&amp;".1")</f>
        <v>1.1</v>
      </c>
      <c r="N16" s="20" t="s">
        <v>820</v>
      </c>
      <c r="O16" s="20" t="s">
        <v>626</v>
      </c>
      <c r="P16" s="20"/>
      <c r="Q16" s="134"/>
      <c r="R16" s="127">
        <v>1</v>
      </c>
      <c r="S16" s="157">
        <f>CEILING((IF(J16="Yes", 0, IF(H16="-",AA16,AA16+AA16*VLOOKUP(H16,BUFFERS_BY_TYPE,2,FALSE)))) +
   (IF(J16="Yes", 0, IF(H16="-",AA16,AA16+AA16*VLOOKUP(H16,BUFFERS_BY_TYPE,2,FALSE))))*VLOOKUP($S$5, SALES_CALL_SCALE_ARRAY, 2,FALSE),0.25)</f>
        <v>2</v>
      </c>
      <c r="T16" s="158"/>
      <c r="U16" s="21">
        <v>0.2</v>
      </c>
      <c r="V16" s="21">
        <v>0.4</v>
      </c>
      <c r="W16" s="21">
        <v>0.4</v>
      </c>
      <c r="X16" s="156">
        <v>2</v>
      </c>
      <c r="Y16" s="157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2</v>
      </c>
      <c r="Z16" s="22"/>
      <c r="AA16" s="157">
        <f>Y16+Y16*VLOOKUP(I16,EXTRAS_ARRAY,2,FALSE)</f>
        <v>2</v>
      </c>
      <c r="AB16" s="20" t="s">
        <v>627</v>
      </c>
      <c r="AC16" s="34"/>
      <c r="AD16" s="23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87" hidden="1" outlineLevel="2" x14ac:dyDescent="0.35">
      <c r="A17" s="86" t="s">
        <v>0</v>
      </c>
      <c r="B17" s="18"/>
      <c r="C17" s="78"/>
      <c r="D17" s="78"/>
      <c r="E17" s="78"/>
      <c r="F17" s="79"/>
      <c r="G17" s="19" t="s">
        <v>23</v>
      </c>
      <c r="H17" s="19" t="s">
        <v>23</v>
      </c>
      <c r="I17" s="20" t="s">
        <v>23</v>
      </c>
      <c r="J17" s="19" t="s">
        <v>23</v>
      </c>
      <c r="K17" s="35"/>
      <c r="L17" s="19"/>
      <c r="M17" s="263">
        <f ca="1">IFERROR(OFFSET(M17,-1,,1,1)+0.1,OFFSET(M17,-1,-1,1,1)&amp;".1")</f>
        <v>1.2000000000000002</v>
      </c>
      <c r="N17" s="20" t="s">
        <v>821</v>
      </c>
      <c r="O17" s="20" t="s">
        <v>628</v>
      </c>
      <c r="P17" s="20"/>
      <c r="Q17" s="134"/>
      <c r="R17" s="127">
        <v>1</v>
      </c>
      <c r="S17" s="157">
        <f>CEILING((IF(J17="Yes", 0, IF(H17="-",AA17,AA17+AA17*VLOOKUP(H17,BUFFERS_BY_TYPE,2,FALSE)))) +
   (IF(J17="Yes", 0, IF(H17="-",AA17,AA17+AA17*VLOOKUP(H17,BUFFERS_BY_TYPE,2,FALSE))))*VLOOKUP($S$5, SALES_CALL_SCALE_ARRAY, 2,FALSE),0.25)</f>
        <v>2</v>
      </c>
      <c r="T17" s="158"/>
      <c r="U17" s="21">
        <v>0</v>
      </c>
      <c r="V17" s="21">
        <v>0.6</v>
      </c>
      <c r="W17" s="21">
        <v>0.4</v>
      </c>
      <c r="X17" s="156">
        <v>2</v>
      </c>
      <c r="Y17" s="157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2</v>
      </c>
      <c r="Z17" s="22"/>
      <c r="AA17" s="157">
        <f>Y17+Y17*VLOOKUP(I17,EXTRAS_ARRAY,2,FALSE)</f>
        <v>2</v>
      </c>
      <c r="AB17" s="20" t="s">
        <v>629</v>
      </c>
      <c r="AC17" s="34"/>
      <c r="AD17" s="23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hidden="1" outlineLevel="2" x14ac:dyDescent="0.35">
      <c r="A18" s="86" t="s">
        <v>0</v>
      </c>
      <c r="B18" s="18"/>
      <c r="C18" s="78"/>
      <c r="D18" s="78"/>
      <c r="E18" s="78"/>
      <c r="F18" s="79"/>
      <c r="G18" s="19" t="s">
        <v>23</v>
      </c>
      <c r="H18" s="19" t="s">
        <v>23</v>
      </c>
      <c r="I18" s="20" t="s">
        <v>23</v>
      </c>
      <c r="J18" s="19" t="s">
        <v>23</v>
      </c>
      <c r="K18" s="35"/>
      <c r="L18" s="19"/>
      <c r="M18" s="263">
        <f ca="1">IFERROR(OFFSET(M18,-1,,1,1)+0.1,OFFSET(M18,-1,-1,1,1)&amp;".1")</f>
        <v>1.3000000000000003</v>
      </c>
      <c r="N18" s="20" t="s">
        <v>799</v>
      </c>
      <c r="O18" s="20"/>
      <c r="P18" s="20" t="s">
        <v>480</v>
      </c>
      <c r="Q18" s="134">
        <f>Total_Use_Cases</f>
        <v>24</v>
      </c>
      <c r="R18" s="127">
        <v>1</v>
      </c>
      <c r="S18" s="157">
        <f>CEILING((IF(J18="Yes", 0, IF(H18="-",AA18,AA18+AA18*VLOOKUP(H18,BUFFERS_BY_TYPE,2,FALSE)))) +
   (IF(J18="Yes", 0, IF(H18="-",AA18,AA18+AA18*VLOOKUP(H18,BUFFERS_BY_TYPE,2,FALSE))))*VLOOKUP($S$5, SALES_CALL_SCALE_ARRAY, 2,FALSE),0.25)</f>
        <v>2</v>
      </c>
      <c r="T18" s="158"/>
      <c r="U18" s="21">
        <v>0.2</v>
      </c>
      <c r="V18" s="21">
        <v>0.5</v>
      </c>
      <c r="W18" s="21">
        <v>0.3</v>
      </c>
      <c r="X18" s="156">
        <v>0.1</v>
      </c>
      <c r="Y18" s="157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2</v>
      </c>
      <c r="Z18" s="22">
        <v>-0.46100000000000002</v>
      </c>
      <c r="AA18" s="157">
        <f>Y18+Y18*VLOOKUP(I18,EXTRAS_ARRAY,2,FALSE)</f>
        <v>2</v>
      </c>
      <c r="AB18" s="20" t="s">
        <v>630</v>
      </c>
      <c r="AC18" s="34"/>
      <c r="AD18" s="23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9" customFormat="1" ht="7.5" hidden="1" customHeight="1" outlineLevel="2" x14ac:dyDescent="0.35">
      <c r="A19" s="86" t="s">
        <v>132</v>
      </c>
      <c r="B19" s="15"/>
      <c r="C19" s="72"/>
      <c r="D19" s="72"/>
      <c r="E19" s="72"/>
      <c r="F19" s="72"/>
      <c r="M19" s="252"/>
      <c r="T19" s="15"/>
      <c r="X19" s="15"/>
      <c r="AB19" s="10"/>
      <c r="AC19" s="10"/>
      <c r="AD19" s="10"/>
    </row>
    <row r="20" spans="1:30" s="14" customFormat="1" ht="15.5" hidden="1" outlineLevel="1" collapsed="1" x14ac:dyDescent="0.35">
      <c r="A20" s="86" t="s">
        <v>100</v>
      </c>
      <c r="B20" s="18"/>
      <c r="C20" s="77"/>
      <c r="D20" s="77"/>
      <c r="E20" s="77"/>
      <c r="F20" s="76"/>
      <c r="G20" s="29"/>
      <c r="H20" s="29"/>
      <c r="I20" s="29"/>
      <c r="J20" s="29"/>
      <c r="K20" s="29"/>
      <c r="L20" s="17">
        <f ca="1">LOOKUP(1000,INDIRECT("L1:"&amp;CELL("address",INDIRECT("R[-1]C",FALSE))))+1</f>
        <v>2</v>
      </c>
      <c r="M20" s="310" t="s">
        <v>631</v>
      </c>
      <c r="N20" s="310"/>
      <c r="O20" s="5"/>
      <c r="P20" s="30"/>
      <c r="Q20" s="30"/>
      <c r="R20" s="30"/>
      <c r="S20" s="30"/>
      <c r="T20" s="155">
        <f>IF($S$6="Exclude", SUMIFS(S21:S25, J21:J25, "&lt;&gt;Yes", G21:G25, "&lt;&gt;Yes"), SUMIFS(S21:S25, J21:J25, "&lt;&gt;Yes"))</f>
        <v>10</v>
      </c>
      <c r="U20" s="30"/>
      <c r="V20" s="30"/>
      <c r="W20" s="30"/>
      <c r="X20" s="31"/>
      <c r="Y20" s="32"/>
      <c r="Z20" s="32"/>
      <c r="AA20" s="32"/>
      <c r="AB20" s="219"/>
      <c r="AC20" s="33"/>
      <c r="AD20" s="23" t="str">
        <f>IF(M20="", "Error: Task name cannot be empty.", "")</f>
        <v/>
      </c>
    </row>
    <row r="21" spans="1:30" s="12" customFormat="1" ht="1.5" hidden="1" customHeight="1" outlineLevel="2" x14ac:dyDescent="0.35">
      <c r="A21" s="86" t="s">
        <v>101</v>
      </c>
      <c r="B21" s="18"/>
      <c r="C21" s="77"/>
      <c r="D21" s="77"/>
      <c r="E21" s="77"/>
      <c r="F21" s="76"/>
      <c r="G21" s="29"/>
      <c r="H21" s="29"/>
      <c r="I21" s="29"/>
      <c r="J21" s="29"/>
      <c r="K21" s="29"/>
      <c r="L21" s="163">
        <f ca="1">L20</f>
        <v>2</v>
      </c>
      <c r="M21" s="164" t="s">
        <v>105</v>
      </c>
      <c r="N21" s="161"/>
      <c r="O21" s="162"/>
      <c r="P21" s="30"/>
      <c r="Q21" s="30"/>
      <c r="R21" s="30"/>
      <c r="S21" s="30"/>
      <c r="T21" s="155"/>
      <c r="U21" s="30"/>
      <c r="V21" s="30"/>
      <c r="W21" s="30"/>
      <c r="X21" s="31"/>
      <c r="Y21" s="32"/>
      <c r="Z21" s="32"/>
      <c r="AA21" s="32"/>
      <c r="AB21" s="33"/>
      <c r="AC21" s="33"/>
      <c r="AD21" s="23"/>
    </row>
    <row r="22" spans="1:30" ht="72.5" hidden="1" outlineLevel="2" x14ac:dyDescent="0.35">
      <c r="A22" s="86" t="s">
        <v>0</v>
      </c>
      <c r="B22" s="18"/>
      <c r="C22" s="78"/>
      <c r="D22" s="78"/>
      <c r="E22" s="78"/>
      <c r="F22" s="79"/>
      <c r="G22" s="19" t="s">
        <v>23</v>
      </c>
      <c r="H22" s="19" t="s">
        <v>23</v>
      </c>
      <c r="I22" s="20" t="s">
        <v>23</v>
      </c>
      <c r="J22" s="19" t="s">
        <v>23</v>
      </c>
      <c r="K22" s="35"/>
      <c r="L22" s="19"/>
      <c r="M22" s="263" t="str">
        <f ca="1">IFERROR(OFFSET(M22,-1,,1,1)+0.1,OFFSET(M22,-1,-1,1,1)&amp;".1")</f>
        <v>2.1</v>
      </c>
      <c r="N22" s="20" t="s">
        <v>632</v>
      </c>
      <c r="O22" s="20"/>
      <c r="P22" s="20"/>
      <c r="Q22" s="134">
        <v>1</v>
      </c>
      <c r="R22" s="127">
        <v>1</v>
      </c>
      <c r="S22" s="157">
        <f>CEILING((IF(J22="Yes", 0, IF(H22="-",AA22,AA22+AA22*VLOOKUP(H22,BUFFERS_BY_TYPE,2,FALSE)))) +
   (IF(J22="Yes", 0, IF(H22="-",AA22,AA22+AA22*VLOOKUP(H22,BUFFERS_BY_TYPE,2,FALSE))))*VLOOKUP($S$5, SALES_CALL_SCALE_ARRAY, 2,FALSE),0.25)</f>
        <v>3</v>
      </c>
      <c r="T22" s="158"/>
      <c r="U22" s="21">
        <v>0</v>
      </c>
      <c r="V22" s="21">
        <v>1</v>
      </c>
      <c r="W22" s="21">
        <v>0</v>
      </c>
      <c r="X22" s="156">
        <v>3</v>
      </c>
      <c r="Y22" s="157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3</v>
      </c>
      <c r="Z22" s="22"/>
      <c r="AA22" s="157">
        <f>Y22+Y22*VLOOKUP(I22,EXTRAS_ARRAY,2,FALSE)</f>
        <v>3</v>
      </c>
      <c r="AB22" s="20" t="s">
        <v>633</v>
      </c>
      <c r="AC22" s="34"/>
      <c r="AD22" s="23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15.5" hidden="1" outlineLevel="2" x14ac:dyDescent="0.35">
      <c r="A23" s="86" t="s">
        <v>0</v>
      </c>
      <c r="B23" s="18"/>
      <c r="C23" s="78"/>
      <c r="D23" s="78"/>
      <c r="E23" s="78"/>
      <c r="F23" s="79"/>
      <c r="G23" s="19" t="s">
        <v>23</v>
      </c>
      <c r="H23" s="19" t="s">
        <v>23</v>
      </c>
      <c r="I23" s="20" t="s">
        <v>23</v>
      </c>
      <c r="J23" s="19" t="s">
        <v>23</v>
      </c>
      <c r="K23" s="35"/>
      <c r="L23" s="19"/>
      <c r="M23" s="263">
        <f ca="1">IFERROR(OFFSET(M23,-1,,1,1)+0.1,OFFSET(M23,-1,-1,1,1)&amp;".1")</f>
        <v>2.2000000000000002</v>
      </c>
      <c r="N23" s="20" t="s">
        <v>634</v>
      </c>
      <c r="O23" s="20" t="s">
        <v>468</v>
      </c>
      <c r="P23" s="20"/>
      <c r="Q23" s="134">
        <v>48</v>
      </c>
      <c r="R23" s="127">
        <v>1</v>
      </c>
      <c r="S23" s="157">
        <f>CEILING((IF(J23="Yes", 0, IF(H23="-",AA23,AA23+AA23*VLOOKUP(H23,BUFFERS_BY_TYPE,2,FALSE)))) +
   (IF(J23="Yes", 0, IF(H23="-",AA23,AA23+AA23*VLOOKUP(H23,BUFFERS_BY_TYPE,2,FALSE))))*VLOOKUP($S$5, SALES_CALL_SCALE_ARRAY, 2,FALSE),0.25)</f>
        <v>4</v>
      </c>
      <c r="T23" s="158"/>
      <c r="U23" s="21">
        <v>0.3</v>
      </c>
      <c r="V23" s="21">
        <v>0.5</v>
      </c>
      <c r="W23" s="21">
        <v>0.2</v>
      </c>
      <c r="X23" s="156">
        <v>0.05</v>
      </c>
      <c r="Y23" s="157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4</v>
      </c>
      <c r="Z23" s="22">
        <v>1.359</v>
      </c>
      <c r="AA23" s="157">
        <f>Y23+Y23*VLOOKUP(I23,EXTRAS_ARRAY,2,FALSE)</f>
        <v>4</v>
      </c>
      <c r="AB23" s="20" t="s">
        <v>635</v>
      </c>
      <c r="AC23" s="34"/>
      <c r="AD23" s="23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29" hidden="1" outlineLevel="2" x14ac:dyDescent="0.35">
      <c r="A24" s="86" t="s">
        <v>0</v>
      </c>
      <c r="B24" s="18"/>
      <c r="C24" s="78"/>
      <c r="D24" s="78"/>
      <c r="E24" s="78"/>
      <c r="F24" s="79"/>
      <c r="G24" s="19" t="s">
        <v>23</v>
      </c>
      <c r="H24" s="19" t="s">
        <v>23</v>
      </c>
      <c r="I24" s="20" t="s">
        <v>23</v>
      </c>
      <c r="J24" s="19" t="s">
        <v>23</v>
      </c>
      <c r="K24" s="35" t="s">
        <v>467</v>
      </c>
      <c r="L24" s="19"/>
      <c r="M24" s="263">
        <f ca="1">IFERROR(OFFSET(M24,-1,,1,1)+0.1,OFFSET(M24,-1,-1,1,1)&amp;".1")</f>
        <v>2.3000000000000003</v>
      </c>
      <c r="N24" s="20" t="s">
        <v>636</v>
      </c>
      <c r="O24" s="20"/>
      <c r="P24" s="20"/>
      <c r="Q24" s="134"/>
      <c r="R24" s="127">
        <v>1</v>
      </c>
      <c r="S24" s="157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58"/>
      <c r="U24" s="21">
        <v>0.3</v>
      </c>
      <c r="V24" s="21">
        <v>0.5</v>
      </c>
      <c r="W24" s="21">
        <v>0.2</v>
      </c>
      <c r="X24" s="156">
        <v>3</v>
      </c>
      <c r="Y24" s="157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2"/>
      <c r="AA24" s="157">
        <f>Y24+Y24*VLOOKUP(I24,EXTRAS_ARRAY,2,FALSE)</f>
        <v>3</v>
      </c>
      <c r="AB24" s="20" t="s">
        <v>637</v>
      </c>
      <c r="AC24" s="34"/>
      <c r="AD24" s="23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9" customFormat="1" ht="7.5" hidden="1" customHeight="1" outlineLevel="2" x14ac:dyDescent="0.35">
      <c r="A25" s="86" t="s">
        <v>132</v>
      </c>
      <c r="B25" s="15"/>
      <c r="C25" s="72"/>
      <c r="D25" s="72"/>
      <c r="E25" s="72"/>
      <c r="F25" s="72"/>
      <c r="M25" s="252"/>
      <c r="T25" s="15"/>
      <c r="X25" s="15"/>
      <c r="AB25" s="10"/>
      <c r="AC25" s="10"/>
      <c r="AD25" s="10"/>
    </row>
    <row r="26" spans="1:30" s="14" customFormat="1" ht="15.5" hidden="1" outlineLevel="1" collapsed="1" x14ac:dyDescent="0.35">
      <c r="A26" s="86" t="s">
        <v>100</v>
      </c>
      <c r="B26" s="18"/>
      <c r="C26" s="77"/>
      <c r="D26" s="77"/>
      <c r="E26" s="77"/>
      <c r="F26" s="76"/>
      <c r="G26" s="29"/>
      <c r="H26" s="29"/>
      <c r="I26" s="29"/>
      <c r="J26" s="29"/>
      <c r="K26" s="29"/>
      <c r="L26" s="17">
        <f ca="1">LOOKUP(1000,INDIRECT("L1:"&amp;CELL("address",INDIRECT("R[-1]C",FALSE))))+1</f>
        <v>3</v>
      </c>
      <c r="M26" s="310" t="s">
        <v>475</v>
      </c>
      <c r="N26" s="310"/>
      <c r="O26" s="5"/>
      <c r="P26" s="30"/>
      <c r="Q26" s="30"/>
      <c r="R26" s="30"/>
      <c r="S26" s="30"/>
      <c r="T26" s="155">
        <f>IF($S$6="Exclude", SUMIFS(S27:S32, J27:J32, "&lt;&gt;Yes", G27:G32, "&lt;&gt;Yes"), SUMIFS(S27:S32, J27:J32, "&lt;&gt;Yes"))</f>
        <v>12</v>
      </c>
      <c r="U26" s="30"/>
      <c r="V26" s="30"/>
      <c r="W26" s="30"/>
      <c r="X26" s="31"/>
      <c r="Y26" s="32"/>
      <c r="Z26" s="32"/>
      <c r="AA26" s="32"/>
      <c r="AB26" s="219"/>
      <c r="AC26" s="33"/>
      <c r="AD26" s="23" t="str">
        <f>IF(M26="", "Error: Task name cannot be empty.", "")</f>
        <v/>
      </c>
    </row>
    <row r="27" spans="1:30" s="12" customFormat="1" ht="1.5" hidden="1" customHeight="1" outlineLevel="2" x14ac:dyDescent="0.35">
      <c r="A27" s="86" t="s">
        <v>101</v>
      </c>
      <c r="B27" s="18"/>
      <c r="C27" s="77"/>
      <c r="D27" s="77"/>
      <c r="E27" s="77"/>
      <c r="F27" s="76"/>
      <c r="G27" s="29"/>
      <c r="H27" s="29"/>
      <c r="I27" s="29"/>
      <c r="J27" s="29"/>
      <c r="K27" s="29"/>
      <c r="L27" s="163">
        <f ca="1">L26</f>
        <v>3</v>
      </c>
      <c r="M27" s="164" t="s">
        <v>105</v>
      </c>
      <c r="N27" s="161"/>
      <c r="O27" s="162"/>
      <c r="P27" s="30"/>
      <c r="Q27" s="30"/>
      <c r="R27" s="30"/>
      <c r="S27" s="30"/>
      <c r="T27" s="155"/>
      <c r="U27" s="30"/>
      <c r="V27" s="30"/>
      <c r="W27" s="30"/>
      <c r="X27" s="31"/>
      <c r="Y27" s="32"/>
      <c r="Z27" s="32"/>
      <c r="AA27" s="32"/>
      <c r="AB27" s="33"/>
      <c r="AC27" s="33"/>
      <c r="AD27" s="23"/>
    </row>
    <row r="28" spans="1:30" ht="58" hidden="1" outlineLevel="2" x14ac:dyDescent="0.35">
      <c r="A28" s="86" t="s">
        <v>0</v>
      </c>
      <c r="B28" s="18"/>
      <c r="C28" s="78"/>
      <c r="D28" s="78"/>
      <c r="E28" s="78"/>
      <c r="F28" s="79"/>
      <c r="G28" s="19" t="s">
        <v>23</v>
      </c>
      <c r="H28" s="19" t="s">
        <v>23</v>
      </c>
      <c r="I28" s="20" t="s">
        <v>23</v>
      </c>
      <c r="J28" s="19" t="s">
        <v>23</v>
      </c>
      <c r="K28" s="35"/>
      <c r="L28" s="19"/>
      <c r="M28" s="263" t="str">
        <f ca="1">IFERROR(OFFSET(M28,-1,,1,1)+0.1,OFFSET(M28,-1,-1,1,1)&amp;".1")</f>
        <v>3.1</v>
      </c>
      <c r="N28" s="20" t="s">
        <v>638</v>
      </c>
      <c r="O28" s="20" t="s">
        <v>800</v>
      </c>
      <c r="P28" s="20"/>
      <c r="Q28" s="134"/>
      <c r="R28" s="127">
        <v>1</v>
      </c>
      <c r="S28" s="157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58"/>
      <c r="U28" s="21">
        <v>0.3</v>
      </c>
      <c r="V28" s="21">
        <v>0.35</v>
      </c>
      <c r="W28" s="21">
        <v>0.35</v>
      </c>
      <c r="X28" s="156">
        <v>3</v>
      </c>
      <c r="Y28" s="157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2"/>
      <c r="AA28" s="157">
        <f>Y28+Y28*VLOOKUP(I28,EXTRAS_ARRAY,2,FALSE)</f>
        <v>3</v>
      </c>
      <c r="AB28" s="20" t="s">
        <v>639</v>
      </c>
      <c r="AC28" s="34"/>
      <c r="AD28" s="23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43.5" hidden="1" outlineLevel="2" x14ac:dyDescent="0.35">
      <c r="A29" s="86" t="s">
        <v>0</v>
      </c>
      <c r="B29" s="18"/>
      <c r="C29" s="78"/>
      <c r="D29" s="78"/>
      <c r="E29" s="78"/>
      <c r="F29" s="79"/>
      <c r="G29" s="19" t="s">
        <v>23</v>
      </c>
      <c r="H29" s="19" t="s">
        <v>23</v>
      </c>
      <c r="I29" s="20" t="s">
        <v>23</v>
      </c>
      <c r="J29" s="19" t="s">
        <v>23</v>
      </c>
      <c r="K29" s="35"/>
      <c r="L29" s="19"/>
      <c r="M29" s="263">
        <f ca="1">IFERROR(OFFSET(M29,-1,,1,1)+0.1,OFFSET(M29,-1,-1,1,1)&amp;".1")</f>
        <v>3.2</v>
      </c>
      <c r="N29" s="20" t="s">
        <v>640</v>
      </c>
      <c r="O29" s="20" t="s">
        <v>641</v>
      </c>
      <c r="P29" s="20"/>
      <c r="Q29" s="134">
        <f>Total_Use_Cases</f>
        <v>24</v>
      </c>
      <c r="R29" s="127">
        <v>1</v>
      </c>
      <c r="S29" s="157">
        <f>CEILING((IF(J29="Yes", 0, IF(H29="-",AA29,AA29+AA29*VLOOKUP(H29,BUFFERS_BY_TYPE,2,FALSE)))) +
   (IF(J29="Yes", 0, IF(H29="-",AA29,AA29+AA29*VLOOKUP(H29,BUFFERS_BY_TYPE,2,FALSE))))*VLOOKUP($S$5, SALES_CALL_SCALE_ARRAY, 2,FALSE),0.25)</f>
        <v>2.5</v>
      </c>
      <c r="T29" s="158"/>
      <c r="U29" s="21">
        <v>0.25</v>
      </c>
      <c r="V29" s="21">
        <v>0.4</v>
      </c>
      <c r="W29" s="21">
        <v>0.35</v>
      </c>
      <c r="X29" s="156">
        <v>0.05</v>
      </c>
      <c r="Y29" s="157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2.5</v>
      </c>
      <c r="Z29" s="22">
        <v>1.254</v>
      </c>
      <c r="AA29" s="157">
        <f>Y29+Y29*VLOOKUP(I29,EXTRAS_ARRAY,2,FALSE)</f>
        <v>2.5</v>
      </c>
      <c r="AB29" s="20" t="s">
        <v>983</v>
      </c>
      <c r="AC29" s="34"/>
      <c r="AD29" s="23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29" hidden="1" outlineLevel="2" x14ac:dyDescent="0.35">
      <c r="A30" s="86" t="s">
        <v>0</v>
      </c>
      <c r="B30" s="18"/>
      <c r="C30" s="78"/>
      <c r="D30" s="78"/>
      <c r="E30" s="78"/>
      <c r="F30" s="79"/>
      <c r="G30" s="19" t="s">
        <v>23</v>
      </c>
      <c r="H30" s="19" t="s">
        <v>23</v>
      </c>
      <c r="I30" s="20" t="s">
        <v>23</v>
      </c>
      <c r="J30" s="19" t="s">
        <v>23</v>
      </c>
      <c r="K30" s="35"/>
      <c r="L30" s="19"/>
      <c r="M30" s="263">
        <f ca="1">IFERROR(OFFSET(M30,-1,,1,1)+0.1,OFFSET(M30,-1,-1,1,1)&amp;".1")</f>
        <v>3.3000000000000003</v>
      </c>
      <c r="N30" s="20" t="s">
        <v>642</v>
      </c>
      <c r="O30" s="20"/>
      <c r="P30" s="20"/>
      <c r="Q30" s="134">
        <f>Total_Use_Cases</f>
        <v>24</v>
      </c>
      <c r="R30" s="127">
        <v>1</v>
      </c>
      <c r="S30" s="157">
        <f>CEILING((IF(J30="Yes", 0, IF(H30="-",AA30,AA30+AA30*VLOOKUP(H30,BUFFERS_BY_TYPE,2,FALSE)))) +
   (IF(J30="Yes", 0, IF(H30="-",AA30,AA30+AA30*VLOOKUP(H30,BUFFERS_BY_TYPE,2,FALSE))))*VLOOKUP($S$5, SALES_CALL_SCALE_ARRAY, 2,FALSE),0.25)</f>
        <v>3</v>
      </c>
      <c r="T30" s="158"/>
      <c r="U30" s="21">
        <v>0.25</v>
      </c>
      <c r="V30" s="21">
        <v>0.4</v>
      </c>
      <c r="W30" s="21">
        <v>0.35</v>
      </c>
      <c r="X30" s="156">
        <v>0.2</v>
      </c>
      <c r="Y30" s="157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3</v>
      </c>
      <c r="Z30" s="22">
        <v>-1.9810000000000001</v>
      </c>
      <c r="AA30" s="157">
        <f>Y30+Y30*VLOOKUP(I30,EXTRAS_ARRAY,2,FALSE)</f>
        <v>3</v>
      </c>
      <c r="AB30" s="20" t="s">
        <v>643</v>
      </c>
      <c r="AC30" s="34"/>
      <c r="AD30" s="23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29" hidden="1" outlineLevel="2" x14ac:dyDescent="0.35">
      <c r="A31" s="86" t="s">
        <v>0</v>
      </c>
      <c r="B31" s="18"/>
      <c r="C31" s="78"/>
      <c r="D31" s="78"/>
      <c r="E31" s="78"/>
      <c r="F31" s="79"/>
      <c r="G31" s="19" t="s">
        <v>23</v>
      </c>
      <c r="H31" s="19" t="s">
        <v>23</v>
      </c>
      <c r="I31" s="20" t="s">
        <v>23</v>
      </c>
      <c r="J31" s="19" t="s">
        <v>23</v>
      </c>
      <c r="K31" s="35"/>
      <c r="L31" s="19"/>
      <c r="M31" s="263">
        <f ca="1">IFERROR(OFFSET(M31,-1,,1,1)+0.1,OFFSET(M31,-1,-1,1,1)&amp;".1")</f>
        <v>3.4000000000000004</v>
      </c>
      <c r="N31" s="20" t="s">
        <v>644</v>
      </c>
      <c r="O31" s="20"/>
      <c r="P31" s="20"/>
      <c r="Q31" s="134">
        <v>1</v>
      </c>
      <c r="R31" s="127">
        <v>1</v>
      </c>
      <c r="S31" s="157">
        <f>CEILING((IF(J31="Yes", 0, IF(H31="-",AA31,AA31+AA31*VLOOKUP(H31,BUFFERS_BY_TYPE,2,FALSE)))) +
   (IF(J31="Yes", 0, IF(H31="-",AA31,AA31+AA31*VLOOKUP(H31,BUFFERS_BY_TYPE,2,FALSE))))*VLOOKUP($S$5, SALES_CALL_SCALE_ARRAY, 2,FALSE),0.25)</f>
        <v>3.5</v>
      </c>
      <c r="T31" s="158"/>
      <c r="U31" s="21">
        <v>0</v>
      </c>
      <c r="V31" s="21">
        <v>0.7</v>
      </c>
      <c r="W31" s="21">
        <v>0.3</v>
      </c>
      <c r="X31" s="156">
        <v>3.5</v>
      </c>
      <c r="Y31" s="157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3.5</v>
      </c>
      <c r="Z31" s="22"/>
      <c r="AA31" s="157">
        <f>Y31+Y31*VLOOKUP(I31,EXTRAS_ARRAY,2,FALSE)</f>
        <v>3.5</v>
      </c>
      <c r="AB31" s="20" t="s">
        <v>645</v>
      </c>
      <c r="AC31" s="34"/>
      <c r="AD31" s="23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9" customFormat="1" ht="7.5" hidden="1" customHeight="1" outlineLevel="2" x14ac:dyDescent="0.35">
      <c r="A32" s="86" t="s">
        <v>132</v>
      </c>
      <c r="B32" s="15"/>
      <c r="C32" s="72"/>
      <c r="D32" s="72"/>
      <c r="E32" s="72"/>
      <c r="F32" s="72"/>
      <c r="M32" s="252"/>
      <c r="T32" s="15"/>
      <c r="X32" s="15"/>
      <c r="AB32" s="10"/>
      <c r="AC32" s="10"/>
      <c r="AD32" s="10"/>
    </row>
    <row r="33" spans="1:30" s="14" customFormat="1" ht="15.5" hidden="1" outlineLevel="1" collapsed="1" x14ac:dyDescent="0.35">
      <c r="A33" s="86" t="s">
        <v>100</v>
      </c>
      <c r="B33" s="18"/>
      <c r="C33" s="77"/>
      <c r="D33" s="77"/>
      <c r="E33" s="77"/>
      <c r="F33" s="76"/>
      <c r="G33" s="29"/>
      <c r="H33" s="29"/>
      <c r="I33" s="29"/>
      <c r="J33" s="29"/>
      <c r="K33" s="29"/>
      <c r="L33" s="17">
        <f ca="1">LOOKUP(1000,INDIRECT("L1:"&amp;CELL("address",INDIRECT("R[-1]C",FALSE))))+1</f>
        <v>4</v>
      </c>
      <c r="M33" s="310" t="s">
        <v>476</v>
      </c>
      <c r="N33" s="310"/>
      <c r="O33" s="5"/>
      <c r="P33" s="30"/>
      <c r="Q33" s="30"/>
      <c r="R33" s="30"/>
      <c r="S33" s="30"/>
      <c r="T33" s="155">
        <f>IF($S$6="Exclude", SUMIFS(S34:S40, J34:J40, "&lt;&gt;Yes", G34:G40, "&lt;&gt;Yes"), SUMIFS(S34:S40, J34:J40, "&lt;&gt;Yes"))</f>
        <v>8</v>
      </c>
      <c r="U33" s="30"/>
      <c r="V33" s="30"/>
      <c r="W33" s="30"/>
      <c r="X33" s="31"/>
      <c r="Y33" s="32"/>
      <c r="Z33" s="32"/>
      <c r="AA33" s="32"/>
      <c r="AB33" s="219"/>
      <c r="AC33" s="33"/>
      <c r="AD33" s="23" t="str">
        <f>IF(M33="", "Error: Task name cannot be empty.", "")</f>
        <v/>
      </c>
    </row>
    <row r="34" spans="1:30" s="12" customFormat="1" ht="1.5" hidden="1" customHeight="1" outlineLevel="2" x14ac:dyDescent="0.35">
      <c r="A34" s="86" t="s">
        <v>101</v>
      </c>
      <c r="B34" s="18"/>
      <c r="C34" s="77"/>
      <c r="D34" s="77"/>
      <c r="E34" s="77"/>
      <c r="F34" s="76"/>
      <c r="G34" s="29"/>
      <c r="H34" s="29"/>
      <c r="I34" s="29"/>
      <c r="J34" s="29"/>
      <c r="K34" s="29"/>
      <c r="L34" s="163">
        <f ca="1">L33</f>
        <v>4</v>
      </c>
      <c r="M34" s="164" t="s">
        <v>105</v>
      </c>
      <c r="N34" s="161"/>
      <c r="O34" s="162"/>
      <c r="P34" s="30"/>
      <c r="Q34" s="30"/>
      <c r="R34" s="30"/>
      <c r="S34" s="30"/>
      <c r="T34" s="155"/>
      <c r="U34" s="30"/>
      <c r="V34" s="30"/>
      <c r="W34" s="30"/>
      <c r="X34" s="31"/>
      <c r="Y34" s="32"/>
      <c r="Z34" s="32"/>
      <c r="AA34" s="32"/>
      <c r="AB34" s="33"/>
      <c r="AC34" s="33"/>
      <c r="AD34" s="23"/>
    </row>
    <row r="35" spans="1:30" ht="101.5" hidden="1" outlineLevel="2" x14ac:dyDescent="0.35">
      <c r="A35" s="86" t="s">
        <v>0</v>
      </c>
      <c r="B35" s="18"/>
      <c r="C35" s="78"/>
      <c r="D35" s="78"/>
      <c r="E35" s="78"/>
      <c r="F35" s="79"/>
      <c r="G35" s="19" t="s">
        <v>23</v>
      </c>
      <c r="H35" s="19" t="s">
        <v>23</v>
      </c>
      <c r="I35" s="20" t="s">
        <v>23</v>
      </c>
      <c r="J35" s="19" t="s">
        <v>23</v>
      </c>
      <c r="K35" s="35"/>
      <c r="L35" s="19"/>
      <c r="M35" s="263" t="str">
        <f ca="1">IFERROR(OFFSET(M35,-1,,1,1)+0.1,OFFSET(M35,-1,-1,1,1)&amp;".1")</f>
        <v>4.1</v>
      </c>
      <c r="N35" s="20" t="s">
        <v>802</v>
      </c>
      <c r="O35" s="20"/>
      <c r="P35" s="20"/>
      <c r="Q35" s="134"/>
      <c r="R35" s="127">
        <v>1</v>
      </c>
      <c r="S35" s="157">
        <f>CEILING((IF(J35="Yes", 0, IF(H35="-",AA35,AA35+AA35*VLOOKUP(H35,BUFFERS_BY_TYPE,2,FALSE)))) +
   (IF(J35="Yes", 0, IF(H35="-",AA35,AA35+AA35*VLOOKUP(H35,BUFFERS_BY_TYPE,2,FALSE))))*VLOOKUP($S$5, SALES_CALL_SCALE_ARRAY, 2,FALSE),0.25)</f>
        <v>1.5</v>
      </c>
      <c r="T35" s="158"/>
      <c r="U35" s="21">
        <v>0.25</v>
      </c>
      <c r="V35" s="21">
        <v>0.5</v>
      </c>
      <c r="W35" s="21">
        <v>0.25</v>
      </c>
      <c r="X35" s="156">
        <v>1.5</v>
      </c>
      <c r="Y35" s="157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1.5</v>
      </c>
      <c r="Z35" s="22"/>
      <c r="AA35" s="157">
        <f>Y35+Y35*VLOOKUP(I35,EXTRAS_ARRAY,2,FALSE)</f>
        <v>1.5</v>
      </c>
      <c r="AB35" s="20" t="s">
        <v>801</v>
      </c>
      <c r="AC35" s="34"/>
      <c r="AD35" s="23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87" hidden="1" outlineLevel="2" x14ac:dyDescent="0.35">
      <c r="A36" s="86" t="s">
        <v>0</v>
      </c>
      <c r="B36" s="18"/>
      <c r="C36" s="78"/>
      <c r="D36" s="78"/>
      <c r="E36" s="78"/>
      <c r="F36" s="79"/>
      <c r="G36" s="19" t="s">
        <v>23</v>
      </c>
      <c r="H36" s="19" t="s">
        <v>23</v>
      </c>
      <c r="I36" s="20" t="s">
        <v>23</v>
      </c>
      <c r="J36" s="19" t="s">
        <v>23</v>
      </c>
      <c r="K36" s="35"/>
      <c r="L36" s="19"/>
      <c r="M36" s="263">
        <f ca="1">IFERROR(OFFSET(M36,-1,,1,1)+0.1,OFFSET(M36,-1,-1,1,1)&amp;".1")</f>
        <v>4.1999999999999993</v>
      </c>
      <c r="N36" s="20" t="s">
        <v>984</v>
      </c>
      <c r="O36" s="20"/>
      <c r="P36" s="20"/>
      <c r="Q36" s="134"/>
      <c r="R36" s="127">
        <v>1</v>
      </c>
      <c r="S36" s="157">
        <f>CEILING((IF(J36="Yes", 0, IF(H36="-",AA36,AA36+AA36*VLOOKUP(H36,BUFFERS_BY_TYPE,2,FALSE)))) +
   (IF(J36="Yes", 0, IF(H36="-",AA36,AA36+AA36*VLOOKUP(H36,BUFFERS_BY_TYPE,2,FALSE))))*VLOOKUP($S$5, SALES_CALL_SCALE_ARRAY, 2,FALSE),0.25)</f>
        <v>1.5</v>
      </c>
      <c r="T36" s="158"/>
      <c r="U36" s="21">
        <v>0.1</v>
      </c>
      <c r="V36" s="21">
        <v>0.5</v>
      </c>
      <c r="W36" s="21">
        <v>0.4</v>
      </c>
      <c r="X36" s="156">
        <v>1.5</v>
      </c>
      <c r="Y36" s="157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1.5</v>
      </c>
      <c r="Z36" s="22"/>
      <c r="AA36" s="157">
        <f>Y36+Y36*VLOOKUP(I36,EXTRAS_ARRAY,2,FALSE)</f>
        <v>1.5</v>
      </c>
      <c r="AB36" s="20" t="s">
        <v>646</v>
      </c>
      <c r="AC36" s="34"/>
      <c r="AD36" s="23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101.5" hidden="1" outlineLevel="2" x14ac:dyDescent="0.35">
      <c r="A37" s="86" t="s">
        <v>0</v>
      </c>
      <c r="B37" s="18"/>
      <c r="C37" s="78"/>
      <c r="D37" s="78"/>
      <c r="E37" s="78"/>
      <c r="F37" s="79"/>
      <c r="G37" s="19" t="s">
        <v>23</v>
      </c>
      <c r="H37" s="19" t="s">
        <v>23</v>
      </c>
      <c r="I37" s="20" t="s">
        <v>23</v>
      </c>
      <c r="J37" s="19" t="s">
        <v>23</v>
      </c>
      <c r="K37" s="35"/>
      <c r="L37" s="19"/>
      <c r="M37" s="263">
        <f ca="1">IFERROR(OFFSET(M37,-1,,1,1)+0.1,OFFSET(M37,-1,-1,1,1)&amp;".1")</f>
        <v>4.2999999999999989</v>
      </c>
      <c r="N37" s="20" t="s">
        <v>803</v>
      </c>
      <c r="O37" s="20"/>
      <c r="P37" s="20"/>
      <c r="Q37" s="134"/>
      <c r="R37" s="127">
        <v>1</v>
      </c>
      <c r="S37" s="157">
        <f>CEILING((IF(J37="Yes", 0, IF(H37="-",AA37,AA37+AA37*VLOOKUP(H37,BUFFERS_BY_TYPE,2,FALSE)))) +
   (IF(J37="Yes", 0, IF(H37="-",AA37,AA37+AA37*VLOOKUP(H37,BUFFERS_BY_TYPE,2,FALSE))))*VLOOKUP($S$5, SALES_CALL_SCALE_ARRAY, 2,FALSE),0.25)</f>
        <v>1.5</v>
      </c>
      <c r="T37" s="158"/>
      <c r="U37" s="21">
        <v>0.4</v>
      </c>
      <c r="V37" s="21">
        <v>0.2</v>
      </c>
      <c r="W37" s="21">
        <v>0.4</v>
      </c>
      <c r="X37" s="156">
        <v>1.5</v>
      </c>
      <c r="Y37" s="157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1.5</v>
      </c>
      <c r="Z37" s="22"/>
      <c r="AA37" s="157">
        <f>Y37+Y37*VLOOKUP(I37,EXTRAS_ARRAY,2,FALSE)</f>
        <v>1.5</v>
      </c>
      <c r="AB37" s="20" t="s">
        <v>647</v>
      </c>
      <c r="AC37" s="34"/>
      <c r="AD37" s="23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ht="87" hidden="1" outlineLevel="2" x14ac:dyDescent="0.35">
      <c r="A38" s="86" t="s">
        <v>0</v>
      </c>
      <c r="B38" s="18"/>
      <c r="C38" s="78"/>
      <c r="D38" s="78"/>
      <c r="E38" s="78"/>
      <c r="F38" s="79"/>
      <c r="G38" s="19" t="s">
        <v>23</v>
      </c>
      <c r="H38" s="19" t="s">
        <v>23</v>
      </c>
      <c r="I38" s="20" t="s">
        <v>23</v>
      </c>
      <c r="J38" s="19" t="s">
        <v>23</v>
      </c>
      <c r="K38" s="35"/>
      <c r="L38" s="19"/>
      <c r="M38" s="263">
        <f ca="1">IFERROR(OFFSET(M38,-1,,1,1)+0.1,OFFSET(M38,-1,-1,1,1)&amp;".1")</f>
        <v>4.3999999999999986</v>
      </c>
      <c r="N38" s="20" t="s">
        <v>804</v>
      </c>
      <c r="O38" s="20"/>
      <c r="P38" s="20"/>
      <c r="Q38" s="134"/>
      <c r="R38" s="127">
        <v>1</v>
      </c>
      <c r="S38" s="157">
        <f>CEILING((IF(J38="Yes", 0, IF(H38="-",AA38,AA38+AA38*VLOOKUP(H38,BUFFERS_BY_TYPE,2,FALSE)))) +
   (IF(J38="Yes", 0, IF(H38="-",AA38,AA38+AA38*VLOOKUP(H38,BUFFERS_BY_TYPE,2,FALSE))))*VLOOKUP($S$5, SALES_CALL_SCALE_ARRAY, 2,FALSE),0.25)</f>
        <v>2</v>
      </c>
      <c r="T38" s="158"/>
      <c r="U38" s="21">
        <v>0</v>
      </c>
      <c r="V38" s="21">
        <v>0.8</v>
      </c>
      <c r="W38" s="21">
        <v>0.2</v>
      </c>
      <c r="X38" s="156">
        <v>2</v>
      </c>
      <c r="Y38" s="157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>2</v>
      </c>
      <c r="Z38" s="22"/>
      <c r="AA38" s="157">
        <f>Y38+Y38*VLOOKUP(I38,EXTRAS_ARRAY,2,FALSE)</f>
        <v>2</v>
      </c>
      <c r="AB38" s="20"/>
      <c r="AC38" s="34"/>
      <c r="AD38" s="23" t="str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spans="1:30" ht="72.5" hidden="1" outlineLevel="2" x14ac:dyDescent="0.35">
      <c r="A39" s="86" t="s">
        <v>0</v>
      </c>
      <c r="B39" s="18"/>
      <c r="C39" s="78"/>
      <c r="D39" s="78"/>
      <c r="E39" s="78"/>
      <c r="F39" s="79"/>
      <c r="G39" s="19" t="s">
        <v>23</v>
      </c>
      <c r="H39" s="19" t="s">
        <v>23</v>
      </c>
      <c r="I39" s="20" t="s">
        <v>23</v>
      </c>
      <c r="J39" s="19" t="s">
        <v>23</v>
      </c>
      <c r="K39" s="35"/>
      <c r="L39" s="19"/>
      <c r="M39" s="263">
        <f ca="1">IFERROR(OFFSET(M39,-1,,1,1)+0.1,OFFSET(M39,-1,-1,1,1)&amp;".1")</f>
        <v>4.4999999999999982</v>
      </c>
      <c r="N39" s="20" t="s">
        <v>805</v>
      </c>
      <c r="O39" s="20"/>
      <c r="P39" s="20"/>
      <c r="Q39" s="134"/>
      <c r="R39" s="127">
        <v>1</v>
      </c>
      <c r="S39" s="157">
        <f>CEILING((IF(J39="Yes", 0, IF(H39="-",AA39,AA39+AA39*VLOOKUP(H39,BUFFERS_BY_TYPE,2,FALSE)))) +
   (IF(J39="Yes", 0, IF(H39="-",AA39,AA39+AA39*VLOOKUP(H39,BUFFERS_BY_TYPE,2,FALSE))))*VLOOKUP($S$5, SALES_CALL_SCALE_ARRAY, 2,FALSE),0.25)</f>
        <v>1.5</v>
      </c>
      <c r="T39" s="158"/>
      <c r="U39" s="21">
        <v>0</v>
      </c>
      <c r="V39" s="21">
        <v>0.7</v>
      </c>
      <c r="W39" s="21">
        <v>0.3</v>
      </c>
      <c r="X39" s="156">
        <v>1.5</v>
      </c>
      <c r="Y39" s="157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>1.5</v>
      </c>
      <c r="Z39" s="22"/>
      <c r="AA39" s="157">
        <f>Y39+Y39*VLOOKUP(I39,EXTRAS_ARRAY,2,FALSE)</f>
        <v>1.5</v>
      </c>
      <c r="AB39" s="20"/>
      <c r="AC39" s="34"/>
      <c r="AD39" s="23" t="str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spans="1:30" s="9" customFormat="1" ht="7.5" hidden="1" customHeight="1" outlineLevel="2" x14ac:dyDescent="0.35">
      <c r="A40" s="86" t="s">
        <v>132</v>
      </c>
      <c r="B40" s="15"/>
      <c r="C40" s="72"/>
      <c r="D40" s="72"/>
      <c r="E40" s="72"/>
      <c r="F40" s="72"/>
      <c r="M40" s="252"/>
      <c r="T40" s="15"/>
      <c r="X40" s="15"/>
      <c r="AB40" s="10"/>
      <c r="AC40" s="10"/>
      <c r="AD40" s="10"/>
    </row>
    <row r="41" spans="1:30" s="14" customFormat="1" ht="15.5" hidden="1" outlineLevel="1" collapsed="1" x14ac:dyDescent="0.35">
      <c r="A41" s="86" t="s">
        <v>100</v>
      </c>
      <c r="B41" s="18"/>
      <c r="C41" s="77"/>
      <c r="D41" s="77"/>
      <c r="E41" s="77"/>
      <c r="F41" s="76"/>
      <c r="G41" s="29"/>
      <c r="H41" s="29"/>
      <c r="I41" s="29"/>
      <c r="J41" s="29"/>
      <c r="K41" s="29"/>
      <c r="L41" s="17">
        <f ca="1">LOOKUP(1000,INDIRECT("L1:"&amp;CELL("address",INDIRECT("R[-1]C",FALSE))))+1</f>
        <v>5</v>
      </c>
      <c r="M41" s="310" t="s">
        <v>477</v>
      </c>
      <c r="N41" s="310"/>
      <c r="O41" s="5"/>
      <c r="P41" s="30"/>
      <c r="Q41" s="30"/>
      <c r="R41" s="30"/>
      <c r="S41" s="30"/>
      <c r="T41" s="155">
        <f>IF($S$6="Exclude", SUMIFS(S42:S46, J42:J46, "&lt;&gt;Yes", G42:G46, "&lt;&gt;Yes"), SUMIFS(S42:S46, J42:J46, "&lt;&gt;Yes"))</f>
        <v>16</v>
      </c>
      <c r="U41" s="30"/>
      <c r="V41" s="30"/>
      <c r="W41" s="30"/>
      <c r="X41" s="31"/>
      <c r="Y41" s="32"/>
      <c r="Z41" s="32"/>
      <c r="AA41" s="32"/>
      <c r="AB41" s="219"/>
      <c r="AC41" s="33"/>
      <c r="AD41" s="23" t="str">
        <f>IF(M41="", "Error: Task name cannot be empty.", "")</f>
        <v/>
      </c>
    </row>
    <row r="42" spans="1:30" s="12" customFormat="1" ht="1.5" hidden="1" customHeight="1" outlineLevel="2" x14ac:dyDescent="0.35">
      <c r="A42" s="86" t="s">
        <v>101</v>
      </c>
      <c r="B42" s="18"/>
      <c r="C42" s="77"/>
      <c r="D42" s="77"/>
      <c r="E42" s="77"/>
      <c r="F42" s="76"/>
      <c r="G42" s="29"/>
      <c r="H42" s="29"/>
      <c r="I42" s="29"/>
      <c r="J42" s="29"/>
      <c r="K42" s="29"/>
      <c r="L42" s="163">
        <f ca="1">L41</f>
        <v>5</v>
      </c>
      <c r="M42" s="164" t="s">
        <v>105</v>
      </c>
      <c r="N42" s="161"/>
      <c r="O42" s="162"/>
      <c r="P42" s="30"/>
      <c r="Q42" s="30"/>
      <c r="R42" s="30"/>
      <c r="S42" s="30"/>
      <c r="T42" s="155"/>
      <c r="U42" s="30"/>
      <c r="V42" s="30"/>
      <c r="W42" s="30"/>
      <c r="X42" s="31"/>
      <c r="Y42" s="32"/>
      <c r="Z42" s="32"/>
      <c r="AA42" s="32"/>
      <c r="AB42" s="33"/>
      <c r="AC42" s="33"/>
      <c r="AD42" s="23"/>
    </row>
    <row r="43" spans="1:30" ht="101.5" hidden="1" outlineLevel="2" x14ac:dyDescent="0.35">
      <c r="A43" s="86" t="s">
        <v>0</v>
      </c>
      <c r="B43" s="18"/>
      <c r="C43" s="78"/>
      <c r="D43" s="78"/>
      <c r="E43" s="78"/>
      <c r="F43" s="79"/>
      <c r="G43" s="19" t="s">
        <v>23</v>
      </c>
      <c r="H43" s="19" t="s">
        <v>23</v>
      </c>
      <c r="I43" s="20" t="s">
        <v>23</v>
      </c>
      <c r="J43" s="19" t="s">
        <v>23</v>
      </c>
      <c r="K43" s="35"/>
      <c r="L43" s="19"/>
      <c r="M43" s="263" t="str">
        <f ca="1">IFERROR(OFFSET(M43,-1,,1,1)+0.1,OFFSET(M43,-1,-1,1,1)&amp;".1")</f>
        <v>5.1</v>
      </c>
      <c r="N43" s="20" t="s">
        <v>806</v>
      </c>
      <c r="O43" s="20" t="s">
        <v>469</v>
      </c>
      <c r="P43" s="20">
        <f>Total_FRs * R43</f>
        <v>24</v>
      </c>
      <c r="Q43" s="134">
        <f>Total_FRs</f>
        <v>48</v>
      </c>
      <c r="R43" s="127">
        <v>0.5</v>
      </c>
      <c r="S43" s="157">
        <f>CEILING((IF(J43="Yes", 0, IF(H43="-",AA43,AA43+AA43*VLOOKUP(H43,BUFFERS_BY_TYPE,2,FALSE)))) +
   (IF(J43="Yes", 0, IF(H43="-",AA43,AA43+AA43*VLOOKUP(H43,BUFFERS_BY_TYPE,2,FALSE))))*VLOOKUP($S$5, SALES_CALL_SCALE_ARRAY, 2,FALSE),0.25)</f>
        <v>10</v>
      </c>
      <c r="T43" s="158"/>
      <c r="U43" s="21">
        <v>0.25</v>
      </c>
      <c r="V43" s="21">
        <v>0.4</v>
      </c>
      <c r="W43" s="21">
        <v>0.35</v>
      </c>
      <c r="X43" s="156">
        <v>0.8</v>
      </c>
      <c r="Y43" s="157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10</v>
      </c>
      <c r="Z43" s="22">
        <v>-9.9209999999999994</v>
      </c>
      <c r="AA43" s="157">
        <f>Y43+Y43*VLOOKUP(I43,EXTRAS_ARRAY,2,FALSE)</f>
        <v>10</v>
      </c>
      <c r="AB43" s="20"/>
      <c r="AC43" s="34"/>
      <c r="AD43" s="23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ht="43.5" hidden="1" outlineLevel="2" x14ac:dyDescent="0.35">
      <c r="A44" s="86" t="s">
        <v>0</v>
      </c>
      <c r="B44" s="18"/>
      <c r="C44" s="78"/>
      <c r="D44" s="78"/>
      <c r="E44" s="78"/>
      <c r="F44" s="79"/>
      <c r="G44" s="19" t="s">
        <v>23</v>
      </c>
      <c r="H44" s="19" t="s">
        <v>23</v>
      </c>
      <c r="I44" s="20" t="s">
        <v>23</v>
      </c>
      <c r="J44" s="19" t="s">
        <v>23</v>
      </c>
      <c r="K44" s="35"/>
      <c r="L44" s="19"/>
      <c r="M44" s="263">
        <f ca="1">IFERROR(OFFSET(M44,-1,,1,1)+0.1,OFFSET(M44,-1,-1,1,1)&amp;".1")</f>
        <v>5.1999999999999993</v>
      </c>
      <c r="N44" s="20" t="s">
        <v>449</v>
      </c>
      <c r="O44" s="20" t="s">
        <v>763</v>
      </c>
      <c r="P44" s="20"/>
      <c r="Q44" s="134"/>
      <c r="R44" s="127">
        <v>1</v>
      </c>
      <c r="S44" s="157">
        <f>CEILING((IF(J44="Yes", 0, IF(H44="-",AA44,AA44+AA44*VLOOKUP(H44,BUFFERS_BY_TYPE,2,FALSE)))) +
   (IF(J44="Yes", 0, IF(H44="-",AA44,AA44+AA44*VLOOKUP(H44,BUFFERS_BY_TYPE,2,FALSE))))*VLOOKUP($S$5, SALES_CALL_SCALE_ARRAY, 2,FALSE),0.25)</f>
        <v>3</v>
      </c>
      <c r="T44" s="158"/>
      <c r="U44" s="21">
        <v>0.1</v>
      </c>
      <c r="V44" s="21">
        <v>0.6</v>
      </c>
      <c r="W44" s="21">
        <v>0.3</v>
      </c>
      <c r="X44" s="156">
        <v>3</v>
      </c>
      <c r="Y44" s="157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>3</v>
      </c>
      <c r="Z44" s="22"/>
      <c r="AA44" s="157">
        <f>Y44+Y44*VLOOKUP(I44,EXTRAS_ARRAY,2,FALSE)</f>
        <v>3</v>
      </c>
      <c r="AB44" s="20"/>
      <c r="AC44" s="34"/>
      <c r="AD44" s="23" t="str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spans="1:30" ht="72.5" hidden="1" outlineLevel="2" x14ac:dyDescent="0.35">
      <c r="A45" s="86" t="s">
        <v>0</v>
      </c>
      <c r="B45" s="18"/>
      <c r="C45" s="78"/>
      <c r="D45" s="78"/>
      <c r="E45" s="78"/>
      <c r="F45" s="79"/>
      <c r="G45" s="19" t="s">
        <v>23</v>
      </c>
      <c r="H45" s="19" t="s">
        <v>23</v>
      </c>
      <c r="I45" s="20" t="s">
        <v>23</v>
      </c>
      <c r="J45" s="19" t="s">
        <v>23</v>
      </c>
      <c r="K45" s="35"/>
      <c r="L45" s="19"/>
      <c r="M45" s="263">
        <f ca="1">IFERROR(OFFSET(M45,-1,,1,1)+0.1,OFFSET(M45,-1,-1,1,1)&amp;".1")</f>
        <v>5.2999999999999989</v>
      </c>
      <c r="N45" s="20" t="s">
        <v>807</v>
      </c>
      <c r="O45" s="20"/>
      <c r="P45" s="20"/>
      <c r="Q45" s="134"/>
      <c r="R45" s="127">
        <v>1</v>
      </c>
      <c r="S45" s="157">
        <f>CEILING((IF(J45="Yes", 0, IF(H45="-",AA45,AA45+AA45*VLOOKUP(H45,BUFFERS_BY_TYPE,2,FALSE)))) +
   (IF(J45="Yes", 0, IF(H45="-",AA45,AA45+AA45*VLOOKUP(H45,BUFFERS_BY_TYPE,2,FALSE))))*VLOOKUP($S$5, SALES_CALL_SCALE_ARRAY, 2,FALSE),0.25)</f>
        <v>3</v>
      </c>
      <c r="T45" s="158"/>
      <c r="U45" s="21">
        <v>0</v>
      </c>
      <c r="V45" s="21">
        <v>0.5</v>
      </c>
      <c r="W45" s="21">
        <v>0.5</v>
      </c>
      <c r="X45" s="156">
        <v>3</v>
      </c>
      <c r="Y45" s="157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>3</v>
      </c>
      <c r="Z45" s="22"/>
      <c r="AA45" s="157">
        <f>Y45+Y45*VLOOKUP(I45,EXTRAS_ARRAY,2,FALSE)</f>
        <v>3</v>
      </c>
      <c r="AB45" s="20"/>
      <c r="AC45" s="34"/>
      <c r="AD45" s="23" t="str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spans="1:30" s="9" customFormat="1" ht="7.5" hidden="1" customHeight="1" outlineLevel="2" x14ac:dyDescent="0.35">
      <c r="A46" s="86" t="s">
        <v>132</v>
      </c>
      <c r="B46" s="15"/>
      <c r="C46" s="72"/>
      <c r="D46" s="72"/>
      <c r="E46" s="72"/>
      <c r="F46" s="72"/>
      <c r="M46" s="252"/>
      <c r="T46" s="15"/>
      <c r="X46" s="15"/>
      <c r="AB46" s="10"/>
      <c r="AC46" s="10"/>
      <c r="AD46" s="10"/>
    </row>
    <row r="47" spans="1:30" s="14" customFormat="1" ht="15.5" hidden="1" outlineLevel="1" collapsed="1" x14ac:dyDescent="0.35">
      <c r="A47" s="86" t="s">
        <v>100</v>
      </c>
      <c r="B47" s="18"/>
      <c r="C47" s="77"/>
      <c r="D47" s="77"/>
      <c r="E47" s="77"/>
      <c r="F47" s="76"/>
      <c r="G47" s="29"/>
      <c r="H47" s="29"/>
      <c r="I47" s="29"/>
      <c r="J47" s="29"/>
      <c r="K47" s="29"/>
      <c r="L47" s="17">
        <f ca="1">LOOKUP(1000,INDIRECT("L1:"&amp;CELL("address",INDIRECT("R[-1]C",FALSE))))+1</f>
        <v>6</v>
      </c>
      <c r="M47" s="310" t="s">
        <v>478</v>
      </c>
      <c r="N47" s="310"/>
      <c r="O47" s="5"/>
      <c r="P47" s="30"/>
      <c r="Q47" s="30"/>
      <c r="R47" s="30"/>
      <c r="S47" s="30"/>
      <c r="T47" s="155">
        <f>IF($S$6="Exclude", SUMIFS(S48:S55, J48:J55, "&lt;&gt;Yes", G48:G55, "&lt;&gt;Yes"), SUMIFS(S48:S55, J48:J55, "&lt;&gt;Yes"))</f>
        <v>12</v>
      </c>
      <c r="U47" s="30"/>
      <c r="V47" s="30"/>
      <c r="W47" s="30"/>
      <c r="X47" s="31"/>
      <c r="Y47" s="32"/>
      <c r="Z47" s="32"/>
      <c r="AA47" s="32"/>
      <c r="AB47" s="219"/>
      <c r="AC47" s="33"/>
      <c r="AD47" s="23" t="str">
        <f>IF(M47="", "Error: Task name cannot be empty.", "")</f>
        <v/>
      </c>
    </row>
    <row r="48" spans="1:30" s="12" customFormat="1" ht="1.5" hidden="1" customHeight="1" outlineLevel="2" x14ac:dyDescent="0.35">
      <c r="A48" s="86" t="s">
        <v>101</v>
      </c>
      <c r="B48" s="18"/>
      <c r="C48" s="77"/>
      <c r="D48" s="77"/>
      <c r="E48" s="77"/>
      <c r="F48" s="76"/>
      <c r="G48" s="29"/>
      <c r="H48" s="29"/>
      <c r="I48" s="29"/>
      <c r="J48" s="29"/>
      <c r="K48" s="29"/>
      <c r="L48" s="163">
        <f ca="1">L47</f>
        <v>6</v>
      </c>
      <c r="M48" s="164" t="s">
        <v>105</v>
      </c>
      <c r="N48" s="161"/>
      <c r="O48" s="162"/>
      <c r="P48" s="30"/>
      <c r="Q48" s="30"/>
      <c r="R48" s="30"/>
      <c r="S48" s="30"/>
      <c r="T48" s="155"/>
      <c r="U48" s="30"/>
      <c r="V48" s="30"/>
      <c r="W48" s="30"/>
      <c r="X48" s="31"/>
      <c r="Y48" s="32"/>
      <c r="Z48" s="32"/>
      <c r="AA48" s="32"/>
      <c r="AB48" s="33"/>
      <c r="AC48" s="33"/>
      <c r="AD48" s="23"/>
    </row>
    <row r="49" spans="1:30" ht="87" hidden="1" outlineLevel="2" x14ac:dyDescent="0.35">
      <c r="A49" s="86" t="s">
        <v>0</v>
      </c>
      <c r="B49" s="18"/>
      <c r="C49" s="78"/>
      <c r="D49" s="78"/>
      <c r="E49" s="78"/>
      <c r="F49" s="79"/>
      <c r="G49" s="19" t="s">
        <v>6</v>
      </c>
      <c r="H49" s="19" t="s">
        <v>23</v>
      </c>
      <c r="I49" s="20" t="s">
        <v>23</v>
      </c>
      <c r="J49" s="19" t="s">
        <v>23</v>
      </c>
      <c r="K49" s="35"/>
      <c r="L49" s="19"/>
      <c r="M49" s="263" t="str">
        <f t="shared" ref="M49:M54" ca="1" si="0">IFERROR(OFFSET(M49,-1,,1,1)+0.1,OFFSET(M49,-1,-1,1,1)&amp;".1")</f>
        <v>6.1</v>
      </c>
      <c r="N49" s="20" t="s">
        <v>808</v>
      </c>
      <c r="O49" s="20"/>
      <c r="P49" s="20" t="s">
        <v>815</v>
      </c>
      <c r="Q49" s="134"/>
      <c r="R49" s="127">
        <v>1</v>
      </c>
      <c r="S49" s="157">
        <f t="shared" ref="S49:S54" si="1">CEILING((IF(J49="Yes", 0, IF(H49="-",AA49,AA49+AA49*VLOOKUP(H49,BUFFERS_BY_TYPE,2,FALSE)))) +
   (IF(J49="Yes", 0, IF(H49="-",AA49,AA49+AA49*VLOOKUP(H49,BUFFERS_BY_TYPE,2,FALSE))))*VLOOKUP($S$5, SALES_CALL_SCALE_ARRAY, 2,FALSE),0.25)</f>
        <v>2</v>
      </c>
      <c r="T49" s="158"/>
      <c r="U49" s="21">
        <v>0.2</v>
      </c>
      <c r="V49" s="21">
        <v>0.6</v>
      </c>
      <c r="W49" s="21">
        <v>0.2</v>
      </c>
      <c r="X49" s="156">
        <v>2</v>
      </c>
      <c r="Y49" s="157">
        <f t="shared" ref="Y49:Y54" si="2"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>2</v>
      </c>
      <c r="Z49" s="22"/>
      <c r="AA49" s="157">
        <f t="shared" ref="AA49:AA54" si="3">Y49+Y49*VLOOKUP(I49,EXTRAS_ARRAY,2,FALSE)</f>
        <v>2</v>
      </c>
      <c r="AB49" s="20"/>
      <c r="AC49" s="34"/>
      <c r="AD49" s="23" t="str">
        <f t="shared" ref="AD49:AD54" si="4"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spans="1:30" ht="72.5" hidden="1" outlineLevel="2" x14ac:dyDescent="0.35">
      <c r="A50" s="86" t="s">
        <v>0</v>
      </c>
      <c r="B50" s="18"/>
      <c r="C50" s="78"/>
      <c r="D50" s="78"/>
      <c r="E50" s="78"/>
      <c r="F50" s="79"/>
      <c r="G50" s="19" t="s">
        <v>6</v>
      </c>
      <c r="H50" s="19" t="s">
        <v>23</v>
      </c>
      <c r="I50" s="20" t="s">
        <v>23</v>
      </c>
      <c r="J50" s="19" t="s">
        <v>23</v>
      </c>
      <c r="K50" s="35"/>
      <c r="L50" s="19"/>
      <c r="M50" s="263">
        <f t="shared" ca="1" si="0"/>
        <v>6.1999999999999993</v>
      </c>
      <c r="N50" s="20" t="s">
        <v>809</v>
      </c>
      <c r="O50" s="20"/>
      <c r="P50" s="20" t="s">
        <v>815</v>
      </c>
      <c r="Q50" s="134"/>
      <c r="R50" s="127">
        <v>5</v>
      </c>
      <c r="S50" s="157">
        <f t="shared" si="1"/>
        <v>2</v>
      </c>
      <c r="T50" s="158"/>
      <c r="U50" s="21">
        <v>0.2</v>
      </c>
      <c r="V50" s="21">
        <v>0.2</v>
      </c>
      <c r="W50" s="21">
        <v>0.6</v>
      </c>
      <c r="X50" s="156">
        <v>2</v>
      </c>
      <c r="Y50" s="157">
        <f t="shared" si="2"/>
        <v>2</v>
      </c>
      <c r="Z50" s="22"/>
      <c r="AA50" s="157">
        <f t="shared" si="3"/>
        <v>2</v>
      </c>
      <c r="AB50" s="20"/>
      <c r="AC50" s="34"/>
      <c r="AD50" s="23" t="str">
        <f t="shared" si="4"/>
        <v/>
      </c>
    </row>
    <row r="51" spans="1:30" ht="29" hidden="1" outlineLevel="2" x14ac:dyDescent="0.35">
      <c r="A51" s="86" t="s">
        <v>0</v>
      </c>
      <c r="B51" s="18"/>
      <c r="C51" s="78"/>
      <c r="D51" s="78"/>
      <c r="E51" s="78"/>
      <c r="F51" s="79"/>
      <c r="G51" s="19" t="s">
        <v>6</v>
      </c>
      <c r="H51" s="19" t="s">
        <v>23</v>
      </c>
      <c r="I51" s="20" t="s">
        <v>23</v>
      </c>
      <c r="J51" s="19" t="s">
        <v>23</v>
      </c>
      <c r="K51" s="35"/>
      <c r="L51" s="19"/>
      <c r="M51" s="263">
        <f t="shared" ca="1" si="0"/>
        <v>6.2999999999999989</v>
      </c>
      <c r="N51" s="20" t="s">
        <v>811</v>
      </c>
      <c r="O51" s="20"/>
      <c r="P51" s="20" t="s">
        <v>810</v>
      </c>
      <c r="Q51" s="134"/>
      <c r="R51" s="127">
        <v>1</v>
      </c>
      <c r="S51" s="157">
        <f t="shared" si="1"/>
        <v>2</v>
      </c>
      <c r="T51" s="158"/>
      <c r="U51" s="21">
        <v>0</v>
      </c>
      <c r="V51" s="21">
        <v>1</v>
      </c>
      <c r="W51" s="21">
        <v>0</v>
      </c>
      <c r="X51" s="156">
        <v>2</v>
      </c>
      <c r="Y51" s="157">
        <f t="shared" si="2"/>
        <v>2</v>
      </c>
      <c r="Z51" s="22"/>
      <c r="AA51" s="157">
        <f t="shared" si="3"/>
        <v>2</v>
      </c>
      <c r="AB51" s="20"/>
      <c r="AC51" s="34"/>
      <c r="AD51" s="23" t="str">
        <f t="shared" si="4"/>
        <v/>
      </c>
    </row>
    <row r="52" spans="1:30" ht="72.5" hidden="1" outlineLevel="2" x14ac:dyDescent="0.35">
      <c r="A52" s="86" t="s">
        <v>0</v>
      </c>
      <c r="B52" s="18"/>
      <c r="C52" s="78"/>
      <c r="D52" s="78"/>
      <c r="E52" s="78"/>
      <c r="F52" s="79"/>
      <c r="G52" s="19" t="s">
        <v>6</v>
      </c>
      <c r="H52" s="19" t="s">
        <v>23</v>
      </c>
      <c r="I52" s="20" t="s">
        <v>23</v>
      </c>
      <c r="J52" s="19" t="s">
        <v>23</v>
      </c>
      <c r="K52" s="35"/>
      <c r="L52" s="19"/>
      <c r="M52" s="263">
        <f t="shared" ca="1" si="0"/>
        <v>6.3999999999999986</v>
      </c>
      <c r="N52" s="20" t="s">
        <v>812</v>
      </c>
      <c r="O52" s="20"/>
      <c r="P52" s="20" t="s">
        <v>815</v>
      </c>
      <c r="Q52" s="134"/>
      <c r="R52" s="127">
        <v>1</v>
      </c>
      <c r="S52" s="157">
        <f t="shared" si="1"/>
        <v>2</v>
      </c>
      <c r="T52" s="158"/>
      <c r="U52" s="21">
        <v>0</v>
      </c>
      <c r="V52" s="21">
        <v>0.7</v>
      </c>
      <c r="W52" s="21">
        <v>0.3</v>
      </c>
      <c r="X52" s="156">
        <v>2</v>
      </c>
      <c r="Y52" s="157">
        <f t="shared" si="2"/>
        <v>2</v>
      </c>
      <c r="Z52" s="22"/>
      <c r="AA52" s="157">
        <f t="shared" si="3"/>
        <v>2</v>
      </c>
      <c r="AB52" s="20"/>
      <c r="AC52" s="34"/>
      <c r="AD52" s="23" t="str">
        <f t="shared" si="4"/>
        <v/>
      </c>
    </row>
    <row r="53" spans="1:30" ht="87" hidden="1" outlineLevel="2" x14ac:dyDescent="0.35">
      <c r="A53" s="86" t="s">
        <v>0</v>
      </c>
      <c r="B53" s="18"/>
      <c r="C53" s="78"/>
      <c r="D53" s="78"/>
      <c r="E53" s="78"/>
      <c r="F53" s="79"/>
      <c r="G53" s="19" t="s">
        <v>6</v>
      </c>
      <c r="H53" s="19" t="s">
        <v>23</v>
      </c>
      <c r="I53" s="20" t="s">
        <v>23</v>
      </c>
      <c r="J53" s="19" t="s">
        <v>23</v>
      </c>
      <c r="K53" s="35"/>
      <c r="L53" s="19"/>
      <c r="M53" s="263">
        <f t="shared" ca="1" si="0"/>
        <v>6.4999999999999982</v>
      </c>
      <c r="N53" s="20" t="s">
        <v>814</v>
      </c>
      <c r="O53" s="20"/>
      <c r="P53" s="20" t="s">
        <v>813</v>
      </c>
      <c r="Q53" s="134"/>
      <c r="R53" s="127">
        <v>1</v>
      </c>
      <c r="S53" s="157">
        <f t="shared" si="1"/>
        <v>2</v>
      </c>
      <c r="T53" s="158"/>
      <c r="U53" s="21">
        <v>0</v>
      </c>
      <c r="V53" s="21">
        <v>1</v>
      </c>
      <c r="W53" s="21">
        <v>0</v>
      </c>
      <c r="X53" s="156">
        <v>2</v>
      </c>
      <c r="Y53" s="157">
        <f t="shared" si="2"/>
        <v>2</v>
      </c>
      <c r="Z53" s="22"/>
      <c r="AA53" s="157">
        <f t="shared" si="3"/>
        <v>2</v>
      </c>
      <c r="AB53" s="20"/>
      <c r="AC53" s="34"/>
      <c r="AD53" s="23" t="str">
        <f t="shared" si="4"/>
        <v/>
      </c>
    </row>
    <row r="54" spans="1:30" ht="43.5" hidden="1" outlineLevel="2" x14ac:dyDescent="0.35">
      <c r="A54" s="86" t="s">
        <v>0</v>
      </c>
      <c r="B54" s="18"/>
      <c r="C54" s="78"/>
      <c r="D54" s="78"/>
      <c r="E54" s="78"/>
      <c r="F54" s="79"/>
      <c r="G54" s="19" t="s">
        <v>6</v>
      </c>
      <c r="H54" s="19" t="s">
        <v>23</v>
      </c>
      <c r="I54" s="20" t="s">
        <v>23</v>
      </c>
      <c r="J54" s="19" t="s">
        <v>23</v>
      </c>
      <c r="K54" s="35"/>
      <c r="L54" s="19"/>
      <c r="M54" s="263">
        <f t="shared" ca="1" si="0"/>
        <v>6.5999999999999979</v>
      </c>
      <c r="N54" s="20" t="s">
        <v>481</v>
      </c>
      <c r="O54" s="20"/>
      <c r="P54" s="20"/>
      <c r="Q54" s="134">
        <v>1</v>
      </c>
      <c r="R54" s="127">
        <v>1</v>
      </c>
      <c r="S54" s="157">
        <f t="shared" si="1"/>
        <v>2</v>
      </c>
      <c r="T54" s="158"/>
      <c r="U54" s="21">
        <v>0</v>
      </c>
      <c r="V54" s="21">
        <v>0.7</v>
      </c>
      <c r="W54" s="21">
        <v>0.3</v>
      </c>
      <c r="X54" s="156">
        <v>2</v>
      </c>
      <c r="Y54" s="157">
        <f t="shared" si="2"/>
        <v>2</v>
      </c>
      <c r="Z54" s="22"/>
      <c r="AA54" s="157">
        <f t="shared" si="3"/>
        <v>2</v>
      </c>
      <c r="AB54" s="20"/>
      <c r="AC54" s="34"/>
      <c r="AD54" s="23" t="str">
        <f t="shared" si="4"/>
        <v/>
      </c>
    </row>
    <row r="55" spans="1:30" s="9" customFormat="1" ht="7.5" hidden="1" customHeight="1" outlineLevel="2" x14ac:dyDescent="0.35">
      <c r="A55" s="86" t="s">
        <v>132</v>
      </c>
      <c r="B55" s="15"/>
      <c r="C55" s="72"/>
      <c r="D55" s="72"/>
      <c r="E55" s="72"/>
      <c r="F55" s="72"/>
      <c r="M55" s="252"/>
      <c r="T55" s="15"/>
      <c r="X55" s="15"/>
      <c r="AB55" s="10"/>
      <c r="AC55" s="10"/>
      <c r="AD55" s="10"/>
    </row>
    <row r="56" spans="1:30" s="14" customFormat="1" ht="15.5" hidden="1" outlineLevel="1" collapsed="1" x14ac:dyDescent="0.35">
      <c r="A56" s="86" t="s">
        <v>100</v>
      </c>
      <c r="B56" s="18"/>
      <c r="C56" s="77"/>
      <c r="D56" s="77"/>
      <c r="E56" s="77"/>
      <c r="F56" s="76"/>
      <c r="G56" s="29"/>
      <c r="H56" s="29"/>
      <c r="I56" s="29"/>
      <c r="J56" s="29"/>
      <c r="K56" s="29"/>
      <c r="L56" s="17">
        <f ca="1">LOOKUP(1000,INDIRECT("L1:"&amp;CELL("address",INDIRECT("R[-1]C",FALSE))))+1</f>
        <v>7</v>
      </c>
      <c r="M56" s="310" t="s">
        <v>479</v>
      </c>
      <c r="N56" s="310"/>
      <c r="O56" s="5"/>
      <c r="P56" s="30"/>
      <c r="Q56" s="30"/>
      <c r="R56" s="30"/>
      <c r="S56" s="30"/>
      <c r="T56" s="155">
        <f>IF($S$6="Exclude", SUMIFS(S57:S62, J57:J62, "&lt;&gt;Yes", G57:G62, "&lt;&gt;Yes"), SUMIFS(S57:S62, J57:J62, "&lt;&gt;Yes"))</f>
        <v>6</v>
      </c>
      <c r="U56" s="30"/>
      <c r="V56" s="30"/>
      <c r="W56" s="30"/>
      <c r="X56" s="31"/>
      <c r="Y56" s="32"/>
      <c r="Z56" s="32"/>
      <c r="AA56" s="32"/>
      <c r="AB56" s="219"/>
      <c r="AC56" s="33"/>
      <c r="AD56" s="23" t="str">
        <f>IF(M56="", "Error: Task name cannot be empty.", "")</f>
        <v/>
      </c>
    </row>
    <row r="57" spans="1:30" s="12" customFormat="1" ht="1.5" hidden="1" customHeight="1" outlineLevel="2" x14ac:dyDescent="0.35">
      <c r="A57" s="86" t="s">
        <v>101</v>
      </c>
      <c r="B57" s="18"/>
      <c r="C57" s="77"/>
      <c r="D57" s="77"/>
      <c r="E57" s="77"/>
      <c r="F57" s="76"/>
      <c r="G57" s="29"/>
      <c r="H57" s="29"/>
      <c r="I57" s="29"/>
      <c r="J57" s="29"/>
      <c r="K57" s="29"/>
      <c r="L57" s="163">
        <f ca="1">L56</f>
        <v>7</v>
      </c>
      <c r="M57" s="164" t="s">
        <v>105</v>
      </c>
      <c r="N57" s="161"/>
      <c r="O57" s="162"/>
      <c r="P57" s="30"/>
      <c r="Q57" s="30"/>
      <c r="R57" s="30"/>
      <c r="S57" s="30"/>
      <c r="T57" s="155"/>
      <c r="U57" s="30"/>
      <c r="V57" s="30"/>
      <c r="W57" s="30"/>
      <c r="X57" s="31"/>
      <c r="Y57" s="32"/>
      <c r="Z57" s="32"/>
      <c r="AA57" s="32"/>
      <c r="AB57" s="33"/>
      <c r="AC57" s="33"/>
      <c r="AD57" s="23"/>
    </row>
    <row r="58" spans="1:30" ht="87" hidden="1" outlineLevel="2" x14ac:dyDescent="0.35">
      <c r="A58" s="86" t="s">
        <v>0</v>
      </c>
      <c r="B58" s="18"/>
      <c r="C58" s="78"/>
      <c r="D58" s="78"/>
      <c r="E58" s="78"/>
      <c r="F58" s="79"/>
      <c r="G58" s="19" t="s">
        <v>23</v>
      </c>
      <c r="H58" s="19" t="s">
        <v>23</v>
      </c>
      <c r="I58" s="20" t="s">
        <v>23</v>
      </c>
      <c r="J58" s="19" t="s">
        <v>23</v>
      </c>
      <c r="K58" s="35"/>
      <c r="L58" s="19"/>
      <c r="M58" s="263" t="str">
        <f ca="1">IFERROR(OFFSET(M58,-1,,1,1)+0.1,OFFSET(M58,-1,-1,1,1)&amp;".1")</f>
        <v>7.1</v>
      </c>
      <c r="N58" s="20" t="s">
        <v>816</v>
      </c>
      <c r="O58" s="20" t="s">
        <v>125</v>
      </c>
      <c r="P58" s="20" t="s">
        <v>817</v>
      </c>
      <c r="Q58" s="134"/>
      <c r="R58" s="127">
        <v>1</v>
      </c>
      <c r="S58" s="157">
        <f>CEILING((IF(J58="Yes", 0, IF(H58="-",AA58,AA58+AA58*VLOOKUP(H58,BUFFERS_BY_TYPE,2,FALSE)))) +
   (IF(J58="Yes", 0, IF(H58="-",AA58,AA58+AA58*VLOOKUP(H58,BUFFERS_BY_TYPE,2,FALSE))))*VLOOKUP($S$5, SALES_CALL_SCALE_ARRAY, 2,FALSE),0.25)</f>
        <v>1.5</v>
      </c>
      <c r="T58" s="158"/>
      <c r="U58" s="21">
        <v>0</v>
      </c>
      <c r="V58" s="21">
        <v>1</v>
      </c>
      <c r="W58" s="21">
        <v>0</v>
      </c>
      <c r="X58" s="156">
        <v>1.5</v>
      </c>
      <c r="Y58" s="157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>1.5</v>
      </c>
      <c r="Z58" s="22"/>
      <c r="AA58" s="157">
        <f>Y58+Y58*VLOOKUP(I58,EXTRAS_ARRAY,2,FALSE)</f>
        <v>1.5</v>
      </c>
      <c r="AB58" s="20"/>
      <c r="AC58" s="34"/>
      <c r="AD58" s="23" t="str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spans="1:30" ht="72.5" hidden="1" outlineLevel="2" x14ac:dyDescent="0.35">
      <c r="A59" s="86" t="s">
        <v>0</v>
      </c>
      <c r="B59" s="18"/>
      <c r="C59" s="78"/>
      <c r="D59" s="78"/>
      <c r="E59" s="78"/>
      <c r="F59" s="79"/>
      <c r="G59" s="19" t="s">
        <v>23</v>
      </c>
      <c r="H59" s="19" t="s">
        <v>23</v>
      </c>
      <c r="I59" s="20" t="s">
        <v>23</v>
      </c>
      <c r="J59" s="19" t="s">
        <v>23</v>
      </c>
      <c r="K59" s="35"/>
      <c r="L59" s="19"/>
      <c r="M59" s="263">
        <f ca="1">IFERROR(OFFSET(M59,-1,,1,1)+0.1,OFFSET(M59,-1,-1,1,1)&amp;".1")</f>
        <v>7.1999999999999993</v>
      </c>
      <c r="N59" s="20" t="s">
        <v>818</v>
      </c>
      <c r="O59" s="20" t="s">
        <v>764</v>
      </c>
      <c r="P59" s="20"/>
      <c r="Q59" s="134"/>
      <c r="R59" s="127">
        <v>1</v>
      </c>
      <c r="S59" s="157">
        <f>CEILING((IF(J59="Yes", 0, IF(H59="-",AA59,AA59+AA59*VLOOKUP(H59,BUFFERS_BY_TYPE,2,FALSE)))) +
   (IF(J59="Yes", 0, IF(H59="-",AA59,AA59+AA59*VLOOKUP(H59,BUFFERS_BY_TYPE,2,FALSE))))*VLOOKUP($S$5, SALES_CALL_SCALE_ARRAY, 2,FALSE),0.25)</f>
        <v>1.5</v>
      </c>
      <c r="T59" s="158"/>
      <c r="U59" s="21">
        <v>0.25</v>
      </c>
      <c r="V59" s="21">
        <v>0.25</v>
      </c>
      <c r="W59" s="21">
        <v>0.5</v>
      </c>
      <c r="X59" s="156">
        <v>1.5</v>
      </c>
      <c r="Y59" s="157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>1.5</v>
      </c>
      <c r="Z59" s="22"/>
      <c r="AA59" s="157">
        <f>Y59+Y59*VLOOKUP(I59,EXTRAS_ARRAY,2,FALSE)</f>
        <v>1.5</v>
      </c>
      <c r="AB59" s="20"/>
      <c r="AC59" s="34"/>
      <c r="AD59" s="23" t="str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spans="1:30" ht="29" hidden="1" outlineLevel="2" x14ac:dyDescent="0.35">
      <c r="A60" s="86" t="s">
        <v>0</v>
      </c>
      <c r="B60" s="18"/>
      <c r="C60" s="78"/>
      <c r="D60" s="78"/>
      <c r="E60" s="78"/>
      <c r="F60" s="79"/>
      <c r="G60" s="19" t="s">
        <v>6</v>
      </c>
      <c r="H60" s="19" t="s">
        <v>23</v>
      </c>
      <c r="I60" s="20" t="s">
        <v>23</v>
      </c>
      <c r="J60" s="19" t="s">
        <v>23</v>
      </c>
      <c r="K60" s="35"/>
      <c r="L60" s="19"/>
      <c r="M60" s="263">
        <f ca="1">IFERROR(OFFSET(M60,-1,,1,1)+0.1,OFFSET(M60,-1,-1,1,1)&amp;".1")</f>
        <v>7.2999999999999989</v>
      </c>
      <c r="N60" s="20" t="s">
        <v>492</v>
      </c>
      <c r="O60" s="20" t="s">
        <v>494</v>
      </c>
      <c r="P60" s="251">
        <v>0.2</v>
      </c>
      <c r="Q60" s="134">
        <f>Total_Use_Cases * P60</f>
        <v>4.8000000000000007</v>
      </c>
      <c r="R60" s="127">
        <v>1</v>
      </c>
      <c r="S60" s="157">
        <f>CEILING((IF(J60="Yes", 0, IF(H60="-",AA60,AA60+AA60*VLOOKUP(H60,BUFFERS_BY_TYPE,2,FALSE)))) +
   (IF(J60="Yes", 0, IF(H60="-",AA60,AA60+AA60*VLOOKUP(H60,BUFFERS_BY_TYPE,2,FALSE))))*VLOOKUP($S$5, SALES_CALL_SCALE_ARRAY, 2,FALSE),0.25)</f>
        <v>1.5</v>
      </c>
      <c r="T60" s="158"/>
      <c r="U60" s="21">
        <v>0</v>
      </c>
      <c r="V60" s="21">
        <v>1</v>
      </c>
      <c r="W60" s="21">
        <v>0</v>
      </c>
      <c r="X60" s="156">
        <v>0.2</v>
      </c>
      <c r="Y60" s="157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>1.5</v>
      </c>
      <c r="Z60" s="22">
        <v>0.53900000000000003</v>
      </c>
      <c r="AA60" s="157">
        <f>Y60+Y60*VLOOKUP(I60,EXTRAS_ARRAY,2,FALSE)</f>
        <v>1.5</v>
      </c>
      <c r="AB60" s="20" t="s">
        <v>765</v>
      </c>
      <c r="AC60" s="34"/>
      <c r="AD60" s="23" t="str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spans="1:30" ht="43.5" hidden="1" outlineLevel="2" x14ac:dyDescent="0.35">
      <c r="A61" s="86" t="s">
        <v>0</v>
      </c>
      <c r="B61" s="18"/>
      <c r="C61" s="78"/>
      <c r="D61" s="78"/>
      <c r="E61" s="78"/>
      <c r="F61" s="79"/>
      <c r="G61" s="19" t="s">
        <v>23</v>
      </c>
      <c r="H61" s="19" t="s">
        <v>23</v>
      </c>
      <c r="I61" s="20" t="s">
        <v>23</v>
      </c>
      <c r="J61" s="19" t="s">
        <v>23</v>
      </c>
      <c r="K61" s="35"/>
      <c r="L61" s="19"/>
      <c r="M61" s="263">
        <f ca="1">IFERROR(OFFSET(M61,-1,,1,1)+0.1,OFFSET(M61,-1,-1,1,1)&amp;".1")</f>
        <v>7.3999999999999986</v>
      </c>
      <c r="N61" s="20" t="s">
        <v>482</v>
      </c>
      <c r="O61" s="20" t="s">
        <v>470</v>
      </c>
      <c r="P61" s="20">
        <v>18</v>
      </c>
      <c r="Q61" s="134"/>
      <c r="R61" s="127">
        <v>1</v>
      </c>
      <c r="S61" s="157">
        <f>CEILING((IF(J61="Yes", 0, IF(H61="-",AA61,AA61+AA61*VLOOKUP(H61,BUFFERS_BY_TYPE,2,FALSE)))) +
   (IF(J61="Yes", 0, IF(H61="-",AA61,AA61+AA61*VLOOKUP(H61,BUFFERS_BY_TYPE,2,FALSE))))*VLOOKUP($S$5, SALES_CALL_SCALE_ARRAY, 2,FALSE),0.25)</f>
        <v>1.5</v>
      </c>
      <c r="T61" s="158"/>
      <c r="U61" s="21">
        <v>0</v>
      </c>
      <c r="V61" s="21">
        <v>0.8</v>
      </c>
      <c r="W61" s="21">
        <v>0.2</v>
      </c>
      <c r="X61" s="156">
        <v>1.5</v>
      </c>
      <c r="Y61" s="157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>1.5</v>
      </c>
      <c r="Z61" s="22"/>
      <c r="AA61" s="157">
        <f>Y61+Y61*VLOOKUP(I61,EXTRAS_ARRAY,2,FALSE)</f>
        <v>1.5</v>
      </c>
      <c r="AB61" s="20" t="s">
        <v>819</v>
      </c>
      <c r="AC61" s="34"/>
      <c r="AD61" s="23" t="str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spans="1:30" s="9" customFormat="1" ht="7.5" hidden="1" customHeight="1" outlineLevel="2" x14ac:dyDescent="0.35">
      <c r="A62" s="86" t="s">
        <v>132</v>
      </c>
      <c r="B62" s="15"/>
      <c r="C62" s="72"/>
      <c r="D62" s="72"/>
      <c r="E62" s="72"/>
      <c r="F62" s="72"/>
      <c r="M62" s="252"/>
      <c r="T62" s="15"/>
      <c r="X62" s="15"/>
      <c r="AB62" s="10"/>
      <c r="AC62" s="10"/>
      <c r="AD62" s="10"/>
    </row>
    <row r="63" spans="1:30" s="9" customFormat="1" ht="3" hidden="1" customHeight="1" outlineLevel="1" x14ac:dyDescent="0.35">
      <c r="A63" s="86" t="s">
        <v>102</v>
      </c>
      <c r="C63" s="72"/>
      <c r="D63" s="72"/>
      <c r="E63" s="72"/>
      <c r="F63" s="72"/>
      <c r="G63" s="25"/>
      <c r="H63" s="25"/>
      <c r="I63" s="25"/>
      <c r="J63" s="25"/>
      <c r="K63" s="25"/>
      <c r="L63" s="56"/>
      <c r="M63" s="264"/>
      <c r="N63" s="57"/>
      <c r="O63" s="57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7"/>
      <c r="AC63" s="57"/>
      <c r="AD63" s="10"/>
    </row>
    <row r="64" spans="1:30" s="14" customFormat="1" ht="18.5" collapsed="1" x14ac:dyDescent="0.35">
      <c r="A64" s="86" t="s">
        <v>98</v>
      </c>
      <c r="B64" s="12"/>
      <c r="C64" s="73"/>
      <c r="D64" s="73"/>
      <c r="E64" s="73"/>
      <c r="F64" s="72"/>
      <c r="G64" s="52"/>
      <c r="H64" s="52"/>
      <c r="I64" s="52"/>
      <c r="J64" s="52"/>
      <c r="K64" s="52"/>
      <c r="L64" s="52" t="s">
        <v>68</v>
      </c>
      <c r="M64" s="261" t="s">
        <v>72</v>
      </c>
      <c r="N64" s="53"/>
      <c r="O64" s="54"/>
      <c r="P64" s="55"/>
      <c r="Q64" s="55"/>
      <c r="R64" s="55"/>
      <c r="S64" s="330">
        <f>CEILING(SUMIF(J65:J93, "&lt;&gt;Yes", T65:T93),1)</f>
        <v>73</v>
      </c>
      <c r="T64" s="330"/>
      <c r="U64" s="55"/>
      <c r="V64" s="55"/>
      <c r="W64" s="55"/>
      <c r="X64" s="55"/>
      <c r="Y64" s="55"/>
      <c r="Z64" s="55"/>
      <c r="AA64" s="55"/>
      <c r="AB64" s="55"/>
      <c r="AC64" s="55"/>
      <c r="AD64" s="13"/>
    </row>
    <row r="65" spans="1:30" s="9" customFormat="1" ht="3" hidden="1" customHeight="1" outlineLevel="1" x14ac:dyDescent="0.35">
      <c r="A65" s="86" t="s">
        <v>99</v>
      </c>
      <c r="B65" s="15"/>
      <c r="C65" s="72"/>
      <c r="D65" s="72"/>
      <c r="E65" s="72"/>
      <c r="F65" s="72"/>
      <c r="G65" s="25"/>
      <c r="H65" s="25"/>
      <c r="I65" s="25"/>
      <c r="J65" s="25"/>
      <c r="K65" s="25"/>
      <c r="L65" s="26">
        <v>0</v>
      </c>
      <c r="M65" s="262"/>
      <c r="N65" s="25"/>
      <c r="O65" s="25"/>
      <c r="P65" s="25"/>
      <c r="Q65" s="25"/>
      <c r="R65" s="25"/>
      <c r="S65" s="25"/>
      <c r="T65" s="27"/>
      <c r="U65" s="25"/>
      <c r="V65" s="25"/>
      <c r="W65" s="25"/>
      <c r="X65" s="27"/>
      <c r="Y65" s="25"/>
      <c r="Z65" s="25"/>
      <c r="AA65" s="25"/>
      <c r="AB65" s="28"/>
      <c r="AC65" s="28"/>
      <c r="AD65" s="10"/>
    </row>
    <row r="66" spans="1:30" s="14" customFormat="1" ht="15.5" hidden="1" outlineLevel="1" collapsed="1" x14ac:dyDescent="0.35">
      <c r="A66" s="86" t="s">
        <v>100</v>
      </c>
      <c r="B66" s="18"/>
      <c r="C66" s="77"/>
      <c r="D66" s="77"/>
      <c r="E66" s="77"/>
      <c r="F66" s="76"/>
      <c r="G66" s="29"/>
      <c r="H66" s="29"/>
      <c r="I66" s="29"/>
      <c r="J66" s="29"/>
      <c r="K66" s="29"/>
      <c r="L66" s="17">
        <f ca="1">LOOKUP(1000,INDIRECT("L1:"&amp;CELL("address",INDIRECT("R[-1]C",FALSE))))+1</f>
        <v>1</v>
      </c>
      <c r="M66" s="310" t="s">
        <v>448</v>
      </c>
      <c r="N66" s="310"/>
      <c r="O66" s="5"/>
      <c r="P66" s="30"/>
      <c r="Q66" s="30"/>
      <c r="R66" s="30"/>
      <c r="S66" s="30"/>
      <c r="T66" s="155">
        <f>IF($S$6="Exclude", SUMIFS(S67:S70, J67:J70, "&lt;&gt;Yes", G67:G70, "&lt;&gt;Yes"), SUMIFS(S67:S70, J67:J70, "&lt;&gt;Yes"))</f>
        <v>5</v>
      </c>
      <c r="U66" s="30"/>
      <c r="V66" s="30"/>
      <c r="W66" s="30"/>
      <c r="X66" s="31"/>
      <c r="Y66" s="32"/>
      <c r="Z66" s="32"/>
      <c r="AA66" s="32"/>
      <c r="AB66" s="219"/>
      <c r="AC66" s="33"/>
      <c r="AD66" s="23" t="str">
        <f>IF(M66="", "Error: Task name cannot be empty.", "")</f>
        <v/>
      </c>
    </row>
    <row r="67" spans="1:30" s="12" customFormat="1" ht="1.5" hidden="1" customHeight="1" outlineLevel="2" x14ac:dyDescent="0.35">
      <c r="A67" s="86" t="s">
        <v>101</v>
      </c>
      <c r="B67" s="18"/>
      <c r="C67" s="77"/>
      <c r="D67" s="77"/>
      <c r="E67" s="77"/>
      <c r="F67" s="76"/>
      <c r="G67" s="29"/>
      <c r="H67" s="29"/>
      <c r="I67" s="29"/>
      <c r="J67" s="29"/>
      <c r="K67" s="29"/>
      <c r="L67" s="163">
        <f ca="1">L66</f>
        <v>1</v>
      </c>
      <c r="M67" s="164" t="s">
        <v>105</v>
      </c>
      <c r="N67" s="161"/>
      <c r="O67" s="162"/>
      <c r="P67" s="30"/>
      <c r="Q67" s="30"/>
      <c r="R67" s="30"/>
      <c r="S67" s="30"/>
      <c r="T67" s="155"/>
      <c r="U67" s="30"/>
      <c r="V67" s="30"/>
      <c r="W67" s="30"/>
      <c r="X67" s="31"/>
      <c r="Y67" s="32"/>
      <c r="Z67" s="32"/>
      <c r="AA67" s="32"/>
      <c r="AB67" s="33"/>
      <c r="AC67" s="33"/>
      <c r="AD67" s="23"/>
    </row>
    <row r="68" spans="1:30" ht="87" hidden="1" outlineLevel="2" x14ac:dyDescent="0.35">
      <c r="A68" s="86" t="s">
        <v>0</v>
      </c>
      <c r="B68" s="18"/>
      <c r="C68" s="78"/>
      <c r="D68" s="78"/>
      <c r="E68" s="78"/>
      <c r="F68" s="79"/>
      <c r="G68" s="19" t="s">
        <v>23</v>
      </c>
      <c r="H68" s="19" t="s">
        <v>23</v>
      </c>
      <c r="I68" s="20" t="s">
        <v>23</v>
      </c>
      <c r="J68" s="19" t="s">
        <v>23</v>
      </c>
      <c r="K68" s="35"/>
      <c r="L68" s="19"/>
      <c r="M68" s="263" t="str">
        <f ca="1">IFERROR(OFFSET(M68,-1,,1,1)+0.1,OFFSET(M68,-1,-1,1,1)&amp;".1")</f>
        <v>1.1</v>
      </c>
      <c r="N68" s="20" t="s">
        <v>985</v>
      </c>
      <c r="O68" s="20"/>
      <c r="P68" s="20" t="s">
        <v>840</v>
      </c>
      <c r="Q68" s="134"/>
      <c r="R68" s="127">
        <v>1</v>
      </c>
      <c r="S68" s="157">
        <f>CEILING((IF(J68="Yes", 0, IF(H68="-",AA68,AA68+AA68*VLOOKUP(H68,BUFFERS_BY_TYPE,2,FALSE)))) +
   (IF(J68="Yes", 0, IF(H68="-",AA68,AA68+AA68*VLOOKUP(H68,BUFFERS_BY_TYPE,2,FALSE))))*VLOOKUP($S$5, SALES_CALL_SCALE_ARRAY, 2,FALSE),0.25)</f>
        <v>2.5</v>
      </c>
      <c r="T68" s="158"/>
      <c r="U68" s="21">
        <v>0.25</v>
      </c>
      <c r="V68" s="21">
        <v>0.5</v>
      </c>
      <c r="W68" s="21">
        <v>0.25</v>
      </c>
      <c r="X68" s="156">
        <v>2.5</v>
      </c>
      <c r="Y68" s="157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2.5</v>
      </c>
      <c r="Z68" s="22"/>
      <c r="AA68" s="157">
        <f>Y68+Y68*VLOOKUP(I68,EXTRAS_ARRAY,2,FALSE)</f>
        <v>2.5</v>
      </c>
      <c r="AB68" s="20"/>
      <c r="AC68" s="34"/>
      <c r="AD68" s="23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ht="87" hidden="1" outlineLevel="2" x14ac:dyDescent="0.35">
      <c r="A69" s="86" t="s">
        <v>0</v>
      </c>
      <c r="B69" s="18"/>
      <c r="C69" s="78"/>
      <c r="D69" s="78"/>
      <c r="E69" s="78"/>
      <c r="F69" s="79"/>
      <c r="G69" s="19" t="s">
        <v>23</v>
      </c>
      <c r="H69" s="19" t="s">
        <v>23</v>
      </c>
      <c r="I69" s="20" t="s">
        <v>23</v>
      </c>
      <c r="J69" s="19" t="s">
        <v>23</v>
      </c>
      <c r="K69" s="35"/>
      <c r="L69" s="19"/>
      <c r="M69" s="263">
        <f ca="1">IFERROR(OFFSET(M69,-1,,1,1)+0.1,OFFSET(M69,-1,-1,1,1)&amp;".1")</f>
        <v>1.2000000000000002</v>
      </c>
      <c r="N69" s="20" t="s">
        <v>823</v>
      </c>
      <c r="O69" s="20"/>
      <c r="P69" s="20" t="s">
        <v>841</v>
      </c>
      <c r="Q69" s="134"/>
      <c r="R69" s="127">
        <v>1</v>
      </c>
      <c r="S69" s="157">
        <f>CEILING((IF(J69="Yes", 0, IF(H69="-",AA69,AA69+AA69*VLOOKUP(H69,BUFFERS_BY_TYPE,2,FALSE)))) +
   (IF(J69="Yes", 0, IF(H69="-",AA69,AA69+AA69*VLOOKUP(H69,BUFFERS_BY_TYPE,2,FALSE))))*VLOOKUP($S$5, SALES_CALL_SCALE_ARRAY, 2,FALSE),0.25)</f>
        <v>2.5</v>
      </c>
      <c r="T69" s="158"/>
      <c r="U69" s="21">
        <v>0.25</v>
      </c>
      <c r="V69" s="21">
        <v>0.5</v>
      </c>
      <c r="W69" s="21">
        <v>0.25</v>
      </c>
      <c r="X69" s="156">
        <v>2.5</v>
      </c>
      <c r="Y69" s="157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>2.5</v>
      </c>
      <c r="Z69" s="22"/>
      <c r="AA69" s="157">
        <f>Y69+Y69*VLOOKUP(I69,EXTRAS_ARRAY,2,FALSE)</f>
        <v>2.5</v>
      </c>
      <c r="AB69" s="20"/>
      <c r="AC69" s="34"/>
      <c r="AD69" s="23" t="str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spans="1:30" s="9" customFormat="1" ht="7.5" hidden="1" customHeight="1" outlineLevel="2" x14ac:dyDescent="0.35">
      <c r="A70" s="86" t="s">
        <v>132</v>
      </c>
      <c r="B70" s="15"/>
      <c r="C70" s="72"/>
      <c r="D70" s="72"/>
      <c r="E70" s="72"/>
      <c r="F70" s="72"/>
      <c r="M70" s="252"/>
      <c r="T70" s="15"/>
      <c r="X70" s="15"/>
      <c r="AB70" s="10"/>
      <c r="AC70" s="10"/>
      <c r="AD70" s="10"/>
    </row>
    <row r="71" spans="1:30" s="14" customFormat="1" ht="15.5" hidden="1" outlineLevel="1" collapsed="1" x14ac:dyDescent="0.35">
      <c r="A71" s="86" t="s">
        <v>100</v>
      </c>
      <c r="B71" s="18"/>
      <c r="C71" s="77"/>
      <c r="D71" s="77"/>
      <c r="E71" s="77"/>
      <c r="F71" s="76"/>
      <c r="G71" s="29"/>
      <c r="H71" s="29"/>
      <c r="I71" s="29"/>
      <c r="J71" s="29"/>
      <c r="K71" s="29"/>
      <c r="L71" s="17">
        <f ca="1">LOOKUP(1000,INDIRECT("L1:"&amp;CELL("address",INDIRECT("R[-1]C",FALSE))))+1</f>
        <v>2</v>
      </c>
      <c r="M71" s="310" t="s">
        <v>450</v>
      </c>
      <c r="N71" s="310"/>
      <c r="O71" s="5"/>
      <c r="P71" s="30"/>
      <c r="Q71" s="30"/>
      <c r="R71" s="30"/>
      <c r="S71" s="30"/>
      <c r="T71" s="155">
        <f>IF($S$6="Exclude", SUMIFS(S72:S74, J72:J74, "&lt;&gt;Yes", G72:G74, "&lt;&gt;Yes"), SUMIFS(S72:S74, J72:J74, "&lt;&gt;Yes"))</f>
        <v>8</v>
      </c>
      <c r="U71" s="30"/>
      <c r="V71" s="30"/>
      <c r="W71" s="30"/>
      <c r="X71" s="31"/>
      <c r="Y71" s="32"/>
      <c r="Z71" s="32"/>
      <c r="AA71" s="32"/>
      <c r="AB71" s="219"/>
      <c r="AC71" s="33"/>
      <c r="AD71" s="23" t="str">
        <f>IF(M71="", "Error: Task name cannot be empty.", "")</f>
        <v/>
      </c>
    </row>
    <row r="72" spans="1:30" s="12" customFormat="1" ht="1.5" hidden="1" customHeight="1" outlineLevel="2" x14ac:dyDescent="0.35">
      <c r="A72" s="86" t="s">
        <v>101</v>
      </c>
      <c r="B72" s="18"/>
      <c r="C72" s="77"/>
      <c r="D72" s="77"/>
      <c r="E72" s="77"/>
      <c r="F72" s="76"/>
      <c r="G72" s="29"/>
      <c r="H72" s="29"/>
      <c r="I72" s="29"/>
      <c r="J72" s="29"/>
      <c r="K72" s="29"/>
      <c r="L72" s="163">
        <f ca="1">L71</f>
        <v>2</v>
      </c>
      <c r="M72" s="164" t="s">
        <v>105</v>
      </c>
      <c r="N72" s="161"/>
      <c r="O72" s="162"/>
      <c r="P72" s="30"/>
      <c r="Q72" s="30"/>
      <c r="R72" s="30"/>
      <c r="S72" s="30"/>
      <c r="T72" s="155"/>
      <c r="U72" s="30"/>
      <c r="V72" s="30"/>
      <c r="W72" s="30"/>
      <c r="X72" s="31"/>
      <c r="Y72" s="32"/>
      <c r="Z72" s="32"/>
      <c r="AA72" s="32"/>
      <c r="AB72" s="33"/>
      <c r="AC72" s="33"/>
      <c r="AD72" s="23"/>
    </row>
    <row r="73" spans="1:30" ht="58" hidden="1" outlineLevel="2" x14ac:dyDescent="0.35">
      <c r="A73" s="86" t="s">
        <v>0</v>
      </c>
      <c r="B73" s="18"/>
      <c r="C73" s="78"/>
      <c r="D73" s="78"/>
      <c r="E73" s="78"/>
      <c r="F73" s="79"/>
      <c r="G73" s="19" t="s">
        <v>23</v>
      </c>
      <c r="H73" s="19" t="s">
        <v>23</v>
      </c>
      <c r="I73" s="20" t="s">
        <v>23</v>
      </c>
      <c r="J73" s="19" t="s">
        <v>23</v>
      </c>
      <c r="K73" s="35"/>
      <c r="L73" s="19"/>
      <c r="M73" s="263" t="str">
        <f ca="1">IFERROR(OFFSET(M73,-1,,1,1)+0.1,OFFSET(M73,-1,-1,1,1)&amp;".1")</f>
        <v>2.1</v>
      </c>
      <c r="N73" s="20" t="s">
        <v>824</v>
      </c>
      <c r="O73" s="20"/>
      <c r="P73" s="20" t="s">
        <v>842</v>
      </c>
      <c r="Q73" s="134"/>
      <c r="R73" s="127">
        <v>1</v>
      </c>
      <c r="S73" s="157">
        <f>CEILING((IF(J73="Yes", 0, IF(H73="-",AA73,AA73+AA73*VLOOKUP(H73,BUFFERS_BY_TYPE,2,FALSE)))) +
   (IF(J73="Yes", 0, IF(H73="-",AA73,AA73+AA73*VLOOKUP(H73,BUFFERS_BY_TYPE,2,FALSE))))*VLOOKUP($S$5, SALES_CALL_SCALE_ARRAY, 2,FALSE),0.25)</f>
        <v>8</v>
      </c>
      <c r="T73" s="158"/>
      <c r="U73" s="21">
        <v>0.67</v>
      </c>
      <c r="V73" s="21">
        <v>0.33</v>
      </c>
      <c r="W73" s="21">
        <v>0</v>
      </c>
      <c r="X73" s="156">
        <v>8</v>
      </c>
      <c r="Y73" s="157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8</v>
      </c>
      <c r="Z73" s="22"/>
      <c r="AA73" s="157">
        <f>Y73+Y73*VLOOKUP(I73,EXTRAS_ARRAY,2,FALSE)</f>
        <v>8</v>
      </c>
      <c r="AB73" s="20" t="s">
        <v>834</v>
      </c>
      <c r="AC73" s="34"/>
      <c r="AD73" s="23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s="9" customFormat="1" ht="7.5" hidden="1" customHeight="1" outlineLevel="2" x14ac:dyDescent="0.35">
      <c r="A74" s="86" t="s">
        <v>132</v>
      </c>
      <c r="B74" s="15"/>
      <c r="C74" s="72"/>
      <c r="D74" s="72"/>
      <c r="E74" s="72"/>
      <c r="F74" s="72"/>
      <c r="M74" s="252"/>
      <c r="T74" s="15"/>
      <c r="X74" s="15"/>
      <c r="AB74" s="10"/>
      <c r="AC74" s="10"/>
      <c r="AD74" s="10"/>
    </row>
    <row r="75" spans="1:30" s="14" customFormat="1" ht="15.5" hidden="1" outlineLevel="1" collapsed="1" x14ac:dyDescent="0.35">
      <c r="A75" s="86" t="s">
        <v>100</v>
      </c>
      <c r="B75" s="18"/>
      <c r="C75" s="77"/>
      <c r="D75" s="77"/>
      <c r="E75" s="77"/>
      <c r="F75" s="76"/>
      <c r="G75" s="29"/>
      <c r="H75" s="29"/>
      <c r="I75" s="29"/>
      <c r="J75" s="29"/>
      <c r="K75" s="29"/>
      <c r="L75" s="17">
        <f ca="1">LOOKUP(1000,INDIRECT("L1:"&amp;CELL("address",INDIRECT("R[-1]C",FALSE))))+1</f>
        <v>3</v>
      </c>
      <c r="M75" s="310" t="s">
        <v>453</v>
      </c>
      <c r="N75" s="310"/>
      <c r="O75" s="5"/>
      <c r="P75" s="30"/>
      <c r="Q75" s="30"/>
      <c r="R75" s="30"/>
      <c r="S75" s="30"/>
      <c r="T75" s="155">
        <f>IF($S$6="Exclude", SUMIFS(S76:S81, J76:J81, "&lt;&gt;Yes", G76:G81, "&lt;&gt;Yes"), SUMIFS(S76:S81, J76:J81, "&lt;&gt;Yes"))</f>
        <v>30</v>
      </c>
      <c r="U75" s="30"/>
      <c r="V75" s="30"/>
      <c r="W75" s="30"/>
      <c r="X75" s="31"/>
      <c r="Y75" s="32"/>
      <c r="Z75" s="32"/>
      <c r="AA75" s="32"/>
      <c r="AB75" s="219"/>
      <c r="AC75" s="33"/>
      <c r="AD75" s="23" t="str">
        <f>IF(M75="", "Error: Task name cannot be empty.", "")</f>
        <v/>
      </c>
    </row>
    <row r="76" spans="1:30" s="12" customFormat="1" ht="1.5" hidden="1" customHeight="1" outlineLevel="2" x14ac:dyDescent="0.35">
      <c r="A76" s="86" t="s">
        <v>101</v>
      </c>
      <c r="B76" s="18"/>
      <c r="C76" s="77"/>
      <c r="D76" s="77"/>
      <c r="E76" s="77"/>
      <c r="F76" s="76"/>
      <c r="G76" s="29"/>
      <c r="H76" s="29"/>
      <c r="I76" s="29"/>
      <c r="J76" s="29"/>
      <c r="K76" s="29"/>
      <c r="L76" s="163">
        <f ca="1">L75</f>
        <v>3</v>
      </c>
      <c r="M76" s="164" t="s">
        <v>105</v>
      </c>
      <c r="N76" s="161"/>
      <c r="O76" s="162"/>
      <c r="P76" s="30"/>
      <c r="Q76" s="30"/>
      <c r="R76" s="30"/>
      <c r="S76" s="30"/>
      <c r="T76" s="155"/>
      <c r="U76" s="30"/>
      <c r="V76" s="30"/>
      <c r="W76" s="30"/>
      <c r="X76" s="31"/>
      <c r="Y76" s="32"/>
      <c r="Z76" s="32"/>
      <c r="AA76" s="32"/>
      <c r="AB76" s="33"/>
      <c r="AC76" s="33"/>
      <c r="AD76" s="23"/>
    </row>
    <row r="77" spans="1:30" ht="116" hidden="1" outlineLevel="2" x14ac:dyDescent="0.35">
      <c r="A77" s="86" t="s">
        <v>0</v>
      </c>
      <c r="B77" s="18"/>
      <c r="C77" s="78"/>
      <c r="D77" s="78"/>
      <c r="E77" s="78"/>
      <c r="F77" s="79"/>
      <c r="G77" s="19" t="s">
        <v>23</v>
      </c>
      <c r="H77" s="19" t="s">
        <v>23</v>
      </c>
      <c r="I77" s="20" t="s">
        <v>23</v>
      </c>
      <c r="J77" s="19" t="s">
        <v>23</v>
      </c>
      <c r="K77" s="35"/>
      <c r="L77" s="19"/>
      <c r="M77" s="263" t="str">
        <f ca="1">IFERROR(OFFSET(M77,-1,,1,1)+0.1,OFFSET(M77,-1,-1,1,1)&amp;".1")</f>
        <v>3.1</v>
      </c>
      <c r="N77" s="20" t="s">
        <v>825</v>
      </c>
      <c r="O77" s="20"/>
      <c r="P77" s="20" t="s">
        <v>843</v>
      </c>
      <c r="Q77" s="134"/>
      <c r="R77" s="127">
        <v>1</v>
      </c>
      <c r="S77" s="157">
        <f>CEILING((IF(J77="Yes", 0, IF(H77="-",AA77,AA77+AA77*VLOOKUP(H77,BUFFERS_BY_TYPE,2,FALSE)))) +
   (IF(J77="Yes", 0, IF(H77="-",AA77,AA77+AA77*VLOOKUP(H77,BUFFERS_BY_TYPE,2,FALSE))))*VLOOKUP($S$5, SALES_CALL_SCALE_ARRAY, 2,FALSE),0.25)</f>
        <v>8</v>
      </c>
      <c r="T77" s="158"/>
      <c r="U77" s="21">
        <v>0.4</v>
      </c>
      <c r="V77" s="21">
        <v>0.6</v>
      </c>
      <c r="W77" s="21">
        <v>0</v>
      </c>
      <c r="X77" s="156">
        <v>8</v>
      </c>
      <c r="Y77" s="157">
        <f>CEILING((IF(P77=AS_DEV_EFFORT, DEV_EFFORT*Q77%,
                           IF(P77=AS_DURATION_EFFORT, (MANUAL_DURATION*5)*Q77%,
                                    (IF(Q77&lt;=1,X77,
                                          IF(SUM(U77:W77)=0,(Q77*X77),
                                               (((Q77*U77)*(X77+(X77*EXTRA_FOR_H)))+
                                               ((Q77*V77)*X77)+
                                               ((Q77*W77)*(X77-(X77*LESS_FOR_L)))
                                    )*IF(R77=0,1,R77))))))+Z77), 0.25)</f>
        <v>8</v>
      </c>
      <c r="Z77" s="22"/>
      <c r="AA77" s="157">
        <f>Y77+Y77*VLOOKUP(I77,EXTRAS_ARRAY,2,FALSE)</f>
        <v>8</v>
      </c>
      <c r="AB77" s="20"/>
      <c r="AC77" s="34"/>
      <c r="AD77" s="23" t="str">
        <f>IF(J77&lt;&gt;"Yes",
IF(S77&lt;=0,"Error: Effort value is not defined or is invalid.",
IF(AND(SUM(U77:W77)&gt;0,SUM(U77:W77)&lt;&gt;1),"Error: Complexity % distribution should sum to 100%.",
IF(AND(P77=AS_DEV_EFFORT,X77&lt;&gt;0),"Error: PDs should not be defined when defining as dev effort %.",
IF(AND(P77=AS_DURATION_EFFORT,X77&lt;&gt;0),"Error: PDs should not be defined when defining as duration effort %.","")))))</f>
        <v/>
      </c>
    </row>
    <row r="78" spans="1:30" ht="130.5" hidden="1" outlineLevel="2" x14ac:dyDescent="0.35">
      <c r="A78" s="86" t="s">
        <v>0</v>
      </c>
      <c r="B78" s="18"/>
      <c r="C78" s="78"/>
      <c r="D78" s="78"/>
      <c r="E78" s="78"/>
      <c r="F78" s="79"/>
      <c r="G78" s="19" t="s">
        <v>23</v>
      </c>
      <c r="H78" s="19" t="s">
        <v>23</v>
      </c>
      <c r="I78" s="20" t="s">
        <v>23</v>
      </c>
      <c r="J78" s="19" t="s">
        <v>23</v>
      </c>
      <c r="K78" s="35"/>
      <c r="L78" s="19"/>
      <c r="M78" s="263">
        <f ca="1">IFERROR(OFFSET(M78,-1,,1,1)+0.1,OFFSET(M78,-1,-1,1,1)&amp;".1")</f>
        <v>3.2</v>
      </c>
      <c r="N78" s="20" t="s">
        <v>826</v>
      </c>
      <c r="O78" s="20"/>
      <c r="P78" s="20" t="s">
        <v>844</v>
      </c>
      <c r="Q78" s="134">
        <f>Total_Use_Cases</f>
        <v>24</v>
      </c>
      <c r="R78" s="127">
        <v>1</v>
      </c>
      <c r="S78" s="157">
        <f>CEILING((IF(J78="Yes", 0, IF(H78="-",AA78,AA78+AA78*VLOOKUP(H78,BUFFERS_BY_TYPE,2,FALSE)))) +
   (IF(J78="Yes", 0, IF(H78="-",AA78,AA78+AA78*VLOOKUP(H78,BUFFERS_BY_TYPE,2,FALSE))))*VLOOKUP($S$5, SALES_CALL_SCALE_ARRAY, 2,FALSE),0.25)</f>
        <v>8</v>
      </c>
      <c r="T78" s="158"/>
      <c r="U78" s="21">
        <v>0.35</v>
      </c>
      <c r="V78" s="21">
        <v>0.45</v>
      </c>
      <c r="W78" s="21">
        <v>0.2</v>
      </c>
      <c r="X78" s="156">
        <v>0.75</v>
      </c>
      <c r="Y78" s="157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>8</v>
      </c>
      <c r="Z78" s="22">
        <v>-12.250999999999999</v>
      </c>
      <c r="AA78" s="157">
        <f>Y78+Y78*VLOOKUP(I78,EXTRAS_ARRAY,2,FALSE)</f>
        <v>8</v>
      </c>
      <c r="AB78" s="20"/>
      <c r="AC78" s="34"/>
      <c r="AD78" s="23" t="str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spans="1:30" ht="101.5" hidden="1" outlineLevel="2" x14ac:dyDescent="0.35">
      <c r="A79" s="86" t="s">
        <v>0</v>
      </c>
      <c r="B79" s="18"/>
      <c r="C79" s="78"/>
      <c r="D79" s="78"/>
      <c r="E79" s="78"/>
      <c r="F79" s="79"/>
      <c r="G79" s="19" t="s">
        <v>23</v>
      </c>
      <c r="H79" s="19" t="s">
        <v>23</v>
      </c>
      <c r="I79" s="20" t="s">
        <v>23</v>
      </c>
      <c r="J79" s="19" t="s">
        <v>23</v>
      </c>
      <c r="K79" s="35"/>
      <c r="L79" s="19"/>
      <c r="M79" s="263">
        <f ca="1">IFERROR(OFFSET(M79,-1,,1,1)+0.1,OFFSET(M79,-1,-1,1,1)&amp;".1")</f>
        <v>3.3000000000000003</v>
      </c>
      <c r="N79" s="20" t="s">
        <v>827</v>
      </c>
      <c r="O79" s="20"/>
      <c r="P79" s="20" t="s">
        <v>845</v>
      </c>
      <c r="Q79" s="134"/>
      <c r="R79" s="127">
        <v>1</v>
      </c>
      <c r="S79" s="157">
        <f>CEILING((IF(J79="Yes", 0, IF(H79="-",AA79,AA79+AA79*VLOOKUP(H79,BUFFERS_BY_TYPE,2,FALSE)))) +
   (IF(J79="Yes", 0, IF(H79="-",AA79,AA79+AA79*VLOOKUP(H79,BUFFERS_BY_TYPE,2,FALSE))))*VLOOKUP($S$5, SALES_CALL_SCALE_ARRAY, 2,FALSE),0.25)</f>
        <v>8</v>
      </c>
      <c r="T79" s="158"/>
      <c r="U79" s="21">
        <v>0.25</v>
      </c>
      <c r="V79" s="21">
        <v>0.5</v>
      </c>
      <c r="W79" s="21">
        <v>0.25</v>
      </c>
      <c r="X79" s="156">
        <v>8</v>
      </c>
      <c r="Y79" s="157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>8</v>
      </c>
      <c r="Z79" s="22"/>
      <c r="AA79" s="157">
        <f>Y79+Y79*VLOOKUP(I79,EXTRAS_ARRAY,2,FALSE)</f>
        <v>8</v>
      </c>
      <c r="AB79" s="20" t="s">
        <v>835</v>
      </c>
      <c r="AC79" s="34"/>
      <c r="AD79" s="23" t="str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spans="1:30" ht="58" hidden="1" outlineLevel="2" x14ac:dyDescent="0.35">
      <c r="A80" s="86" t="s">
        <v>0</v>
      </c>
      <c r="B80" s="18"/>
      <c r="C80" s="78"/>
      <c r="D80" s="78"/>
      <c r="E80" s="78"/>
      <c r="F80" s="79"/>
      <c r="G80" s="19" t="s">
        <v>23</v>
      </c>
      <c r="H80" s="19" t="s">
        <v>23</v>
      </c>
      <c r="I80" s="20" t="s">
        <v>23</v>
      </c>
      <c r="J80" s="19" t="s">
        <v>23</v>
      </c>
      <c r="K80" s="35"/>
      <c r="L80" s="19"/>
      <c r="M80" s="263">
        <f ca="1">IFERROR(OFFSET(M80,-1,,1,1)+0.1,OFFSET(M80,-1,-1,1,1)&amp;".1")</f>
        <v>3.4000000000000004</v>
      </c>
      <c r="N80" s="20" t="s">
        <v>828</v>
      </c>
      <c r="O80" s="20"/>
      <c r="P80" s="20" t="s">
        <v>869</v>
      </c>
      <c r="Q80" s="134"/>
      <c r="R80" s="127">
        <v>1</v>
      </c>
      <c r="S80" s="157">
        <f>CEILING((IF(J80="Yes", 0, IF(H80="-",AA80,AA80+AA80*VLOOKUP(H80,BUFFERS_BY_TYPE,2,FALSE)))) +
   (IF(J80="Yes", 0, IF(H80="-",AA80,AA80+AA80*VLOOKUP(H80,BUFFERS_BY_TYPE,2,FALSE))))*VLOOKUP($S$5, SALES_CALL_SCALE_ARRAY, 2,FALSE),0.25)</f>
        <v>6</v>
      </c>
      <c r="T80" s="158"/>
      <c r="U80" s="21">
        <v>0</v>
      </c>
      <c r="V80" s="21">
        <v>0.7</v>
      </c>
      <c r="W80" s="21">
        <v>0.3</v>
      </c>
      <c r="X80" s="156">
        <v>6</v>
      </c>
      <c r="Y80" s="157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6</v>
      </c>
      <c r="Z80" s="22"/>
      <c r="AA80" s="157">
        <f>Y80+Y80*VLOOKUP(I80,EXTRAS_ARRAY,2,FALSE)</f>
        <v>6</v>
      </c>
      <c r="AB80" s="20"/>
      <c r="AC80" s="34"/>
      <c r="AD80" s="23" t="str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s="9" customFormat="1" ht="7.5" hidden="1" customHeight="1" outlineLevel="2" x14ac:dyDescent="0.35">
      <c r="A81" s="86" t="s">
        <v>132</v>
      </c>
      <c r="B81" s="15"/>
      <c r="C81" s="72"/>
      <c r="D81" s="72"/>
      <c r="E81" s="72"/>
      <c r="F81" s="72"/>
      <c r="M81" s="252"/>
      <c r="T81" s="15"/>
      <c r="X81" s="15"/>
      <c r="AB81" s="10"/>
      <c r="AC81" s="10"/>
      <c r="AD81" s="10"/>
    </row>
    <row r="82" spans="1:30" s="14" customFormat="1" ht="15.5" hidden="1" outlineLevel="1" collapsed="1" x14ac:dyDescent="0.35">
      <c r="A82" s="86" t="s">
        <v>100</v>
      </c>
      <c r="B82" s="18"/>
      <c r="C82" s="77"/>
      <c r="D82" s="77"/>
      <c r="E82" s="77"/>
      <c r="F82" s="76"/>
      <c r="G82" s="29"/>
      <c r="H82" s="29"/>
      <c r="I82" s="29"/>
      <c r="J82" s="29"/>
      <c r="K82" s="29"/>
      <c r="L82" s="17">
        <f ca="1">LOOKUP(1000,INDIRECT("L1:"&amp;CELL("address",INDIRECT("R[-1]C",FALSE))))+1</f>
        <v>4</v>
      </c>
      <c r="M82" s="310" t="s">
        <v>451</v>
      </c>
      <c r="N82" s="310"/>
      <c r="O82" s="5"/>
      <c r="P82" s="30"/>
      <c r="Q82" s="30"/>
      <c r="R82" s="30"/>
      <c r="S82" s="30"/>
      <c r="T82" s="155">
        <f>IF($S$6="Exclude", SUMIFS(S83:S92, J83:J92, "&lt;&gt;Yes", G83:G92, "&lt;&gt;Yes"), SUMIFS(S83:S92, J83:J92, "&lt;&gt;Yes"))</f>
        <v>30</v>
      </c>
      <c r="U82" s="30"/>
      <c r="V82" s="30"/>
      <c r="W82" s="30"/>
      <c r="X82" s="31"/>
      <c r="Y82" s="32"/>
      <c r="Z82" s="32"/>
      <c r="AA82" s="32"/>
      <c r="AB82" s="219"/>
      <c r="AC82" s="33"/>
      <c r="AD82" s="23" t="str">
        <f>IF(M82="", "Error: Task name cannot be empty.", "")</f>
        <v/>
      </c>
    </row>
    <row r="83" spans="1:30" s="12" customFormat="1" ht="1.5" hidden="1" customHeight="1" outlineLevel="2" x14ac:dyDescent="0.35">
      <c r="A83" s="86" t="s">
        <v>101</v>
      </c>
      <c r="B83" s="18"/>
      <c r="C83" s="77"/>
      <c r="D83" s="77"/>
      <c r="E83" s="77"/>
      <c r="F83" s="76"/>
      <c r="G83" s="29"/>
      <c r="H83" s="29"/>
      <c r="I83" s="29"/>
      <c r="J83" s="29"/>
      <c r="K83" s="29"/>
      <c r="L83" s="163">
        <f ca="1">L82</f>
        <v>4</v>
      </c>
      <c r="M83" s="164" t="s">
        <v>105</v>
      </c>
      <c r="N83" s="161"/>
      <c r="O83" s="162"/>
      <c r="P83" s="30"/>
      <c r="Q83" s="30"/>
      <c r="R83" s="30"/>
      <c r="S83" s="30"/>
      <c r="T83" s="155"/>
      <c r="U83" s="30"/>
      <c r="V83" s="30"/>
      <c r="W83" s="30"/>
      <c r="X83" s="31"/>
      <c r="Y83" s="32"/>
      <c r="Z83" s="32"/>
      <c r="AA83" s="32"/>
      <c r="AB83" s="33"/>
      <c r="AC83" s="33"/>
      <c r="AD83" s="23"/>
    </row>
    <row r="84" spans="1:30" ht="101.5" hidden="1" outlineLevel="2" x14ac:dyDescent="0.35">
      <c r="A84" s="86" t="s">
        <v>0</v>
      </c>
      <c r="B84" s="18"/>
      <c r="C84" s="78"/>
      <c r="D84" s="78"/>
      <c r="E84" s="78"/>
      <c r="F84" s="79"/>
      <c r="G84" s="19" t="s">
        <v>23</v>
      </c>
      <c r="H84" s="19" t="s">
        <v>23</v>
      </c>
      <c r="I84" s="20" t="s">
        <v>23</v>
      </c>
      <c r="J84" s="19" t="s">
        <v>23</v>
      </c>
      <c r="K84" s="35"/>
      <c r="L84" s="19"/>
      <c r="M84" s="263" t="str">
        <f t="shared" ref="M84:M91" ca="1" si="5">IFERROR(OFFSET(M84,-1,,1,1)+0.1,OFFSET(M84,-1,-1,1,1)&amp;".1")</f>
        <v>4.1</v>
      </c>
      <c r="N84" s="20" t="s">
        <v>822</v>
      </c>
      <c r="O84" s="20"/>
      <c r="P84" s="20" t="s">
        <v>870</v>
      </c>
      <c r="Q84" s="134"/>
      <c r="R84" s="127"/>
      <c r="S84" s="157">
        <f t="shared" ref="S84:S91" si="6">CEILING((IF(J84="Yes", 0, IF(H84="-",AA84,AA84+AA84*VLOOKUP(H84,BUFFERS_BY_TYPE,2,FALSE)))) +
   (IF(J84="Yes", 0, IF(H84="-",AA84,AA84+AA84*VLOOKUP(H84,BUFFERS_BY_TYPE,2,FALSE))))*VLOOKUP($S$5, SALES_CALL_SCALE_ARRAY, 2,FALSE),0.25)</f>
        <v>4</v>
      </c>
      <c r="T84" s="158"/>
      <c r="U84" s="21">
        <v>0.33</v>
      </c>
      <c r="V84" s="21">
        <v>0.67</v>
      </c>
      <c r="W84" s="21">
        <v>0</v>
      </c>
      <c r="X84" s="156">
        <v>4</v>
      </c>
      <c r="Y84" s="157">
        <f t="shared" ref="Y84:Y91" si="7">CEILING((IF(P84=AS_DEV_EFFORT, DEV_EFFORT*Q84%,
                           IF(P84=AS_DURATION_EFFORT, (MANUAL_DURATION*5)*Q84%,
                                    (IF(Q84&lt;=1,X84,
                                          IF(SUM(U84:W84)=0,(Q84*X84),
                                               (((Q84*U84)*(X84+(X84*EXTRA_FOR_H)))+
                                               ((Q84*V84)*X84)+
                                               ((Q84*W84)*(X84-(X84*LESS_FOR_L)))
                                    )*IF(R84=0,1,R84))))))+Z84), 0.25)</f>
        <v>4</v>
      </c>
      <c r="Z84" s="22"/>
      <c r="AA84" s="157">
        <f t="shared" ref="AA84:AA91" si="8">Y84+Y84*VLOOKUP(I84,EXTRAS_ARRAY,2,FALSE)</f>
        <v>4</v>
      </c>
      <c r="AB84" s="20" t="s">
        <v>839</v>
      </c>
      <c r="AC84" s="34"/>
      <c r="AD84" s="23" t="str">
        <f t="shared" ref="AD84:AD91" si="9">IF(J84&lt;&gt;"Yes",
IF(S84&lt;=0,"Error: Effort value is not defined or is invalid.",
IF(AND(SUM(U84:W84)&gt;0,SUM(U84:W84)&lt;&gt;1),"Error: Complexity % distribution should sum to 100%.",
IF(AND(P84=AS_DEV_EFFORT,X84&lt;&gt;0),"Error: PDs should not be defined when defining as dev effort %.",
IF(AND(P84=AS_DURATION_EFFORT,X84&lt;&gt;0),"Error: PDs should not be defined when defining as duration effort %.","")))))</f>
        <v/>
      </c>
    </row>
    <row r="85" spans="1:30" ht="87" hidden="1" outlineLevel="2" x14ac:dyDescent="0.35">
      <c r="A85" s="86" t="s">
        <v>0</v>
      </c>
      <c r="B85" s="18"/>
      <c r="C85" s="78"/>
      <c r="D85" s="78"/>
      <c r="E85" s="78"/>
      <c r="F85" s="79"/>
      <c r="G85" s="19" t="s">
        <v>23</v>
      </c>
      <c r="H85" s="19" t="s">
        <v>23</v>
      </c>
      <c r="I85" s="20" t="s">
        <v>23</v>
      </c>
      <c r="J85" s="19" t="s">
        <v>23</v>
      </c>
      <c r="K85" s="35"/>
      <c r="L85" s="19"/>
      <c r="M85" s="263">
        <f t="shared" ca="1" si="5"/>
        <v>4.1999999999999993</v>
      </c>
      <c r="N85" s="20" t="s">
        <v>829</v>
      </c>
      <c r="O85" s="20"/>
      <c r="P85" s="20" t="s">
        <v>871</v>
      </c>
      <c r="Q85" s="134"/>
      <c r="R85" s="127">
        <v>1</v>
      </c>
      <c r="S85" s="157">
        <f t="shared" si="6"/>
        <v>4</v>
      </c>
      <c r="T85" s="158"/>
      <c r="U85" s="21">
        <v>0.2</v>
      </c>
      <c r="V85" s="21">
        <v>0.8</v>
      </c>
      <c r="W85" s="21">
        <v>0</v>
      </c>
      <c r="X85" s="156">
        <v>4</v>
      </c>
      <c r="Y85" s="157">
        <f t="shared" si="7"/>
        <v>4</v>
      </c>
      <c r="Z85" s="22"/>
      <c r="AA85" s="157">
        <f t="shared" si="8"/>
        <v>4</v>
      </c>
      <c r="AB85" s="20"/>
      <c r="AC85" s="34"/>
      <c r="AD85" s="23" t="str">
        <f t="shared" si="9"/>
        <v/>
      </c>
    </row>
    <row r="86" spans="1:30" ht="72.5" hidden="1" outlineLevel="2" x14ac:dyDescent="0.35">
      <c r="A86" s="86" t="s">
        <v>0</v>
      </c>
      <c r="B86" s="18"/>
      <c r="C86" s="78"/>
      <c r="D86" s="78"/>
      <c r="E86" s="78"/>
      <c r="F86" s="79"/>
      <c r="G86" s="19" t="s">
        <v>23</v>
      </c>
      <c r="H86" s="19" t="s">
        <v>23</v>
      </c>
      <c r="I86" s="20" t="s">
        <v>23</v>
      </c>
      <c r="J86" s="19" t="s">
        <v>23</v>
      </c>
      <c r="K86" s="35"/>
      <c r="L86" s="19"/>
      <c r="M86" s="263">
        <f t="shared" ca="1" si="5"/>
        <v>4.2999999999999989</v>
      </c>
      <c r="N86" s="20" t="s">
        <v>830</v>
      </c>
      <c r="O86" s="20"/>
      <c r="P86" s="20"/>
      <c r="Q86" s="134"/>
      <c r="R86" s="127">
        <v>1</v>
      </c>
      <c r="S86" s="157">
        <f t="shared" si="6"/>
        <v>4</v>
      </c>
      <c r="T86" s="158"/>
      <c r="U86" s="21">
        <v>0.5</v>
      </c>
      <c r="V86" s="21">
        <v>0.5</v>
      </c>
      <c r="W86" s="21">
        <v>0</v>
      </c>
      <c r="X86" s="156">
        <v>4</v>
      </c>
      <c r="Y86" s="157">
        <f t="shared" si="7"/>
        <v>4</v>
      </c>
      <c r="Z86" s="22"/>
      <c r="AA86" s="157">
        <f t="shared" si="8"/>
        <v>4</v>
      </c>
      <c r="AB86" s="20" t="s">
        <v>836</v>
      </c>
      <c r="AC86" s="34"/>
      <c r="AD86" s="23" t="str">
        <f t="shared" si="9"/>
        <v/>
      </c>
    </row>
    <row r="87" spans="1:30" ht="43.5" hidden="1" outlineLevel="2" x14ac:dyDescent="0.35">
      <c r="A87" s="86" t="s">
        <v>0</v>
      </c>
      <c r="B87" s="18"/>
      <c r="C87" s="78"/>
      <c r="D87" s="78"/>
      <c r="E87" s="78"/>
      <c r="F87" s="79"/>
      <c r="G87" s="19" t="s">
        <v>6</v>
      </c>
      <c r="H87" s="19" t="s">
        <v>23</v>
      </c>
      <c r="I87" s="20" t="s">
        <v>23</v>
      </c>
      <c r="J87" s="19" t="s">
        <v>6</v>
      </c>
      <c r="K87" s="35"/>
      <c r="L87" s="19"/>
      <c r="M87" s="263">
        <f t="shared" ca="1" si="5"/>
        <v>4.3999999999999986</v>
      </c>
      <c r="N87" s="20" t="s">
        <v>831</v>
      </c>
      <c r="O87" s="20" t="s">
        <v>832</v>
      </c>
      <c r="P87" s="20"/>
      <c r="Q87" s="134">
        <v>0</v>
      </c>
      <c r="R87" s="127">
        <v>0</v>
      </c>
      <c r="S87" s="157">
        <f t="shared" si="6"/>
        <v>0</v>
      </c>
      <c r="T87" s="158"/>
      <c r="U87" s="21">
        <v>0</v>
      </c>
      <c r="V87" s="21">
        <v>1</v>
      </c>
      <c r="W87" s="21">
        <v>0</v>
      </c>
      <c r="X87" s="156">
        <v>2</v>
      </c>
      <c r="Y87" s="157">
        <f t="shared" si="7"/>
        <v>2</v>
      </c>
      <c r="Z87" s="22"/>
      <c r="AA87" s="157">
        <f t="shared" si="8"/>
        <v>2</v>
      </c>
      <c r="AB87" s="20" t="s">
        <v>837</v>
      </c>
      <c r="AC87" s="34"/>
      <c r="AD87" s="23" t="b">
        <f t="shared" si="9"/>
        <v>0</v>
      </c>
    </row>
    <row r="88" spans="1:30" ht="72.5" hidden="1" outlineLevel="2" x14ac:dyDescent="0.35">
      <c r="A88" s="86" t="s">
        <v>0</v>
      </c>
      <c r="B88" s="18"/>
      <c r="C88" s="78"/>
      <c r="D88" s="78"/>
      <c r="E88" s="78"/>
      <c r="F88" s="79"/>
      <c r="G88" s="19" t="s">
        <v>23</v>
      </c>
      <c r="H88" s="19" t="s">
        <v>23</v>
      </c>
      <c r="I88" s="20" t="s">
        <v>23</v>
      </c>
      <c r="J88" s="19" t="s">
        <v>23</v>
      </c>
      <c r="K88" s="35"/>
      <c r="L88" s="19"/>
      <c r="M88" s="263">
        <f t="shared" ca="1" si="5"/>
        <v>4.4999999999999982</v>
      </c>
      <c r="N88" s="20" t="s">
        <v>873</v>
      </c>
      <c r="O88" s="20"/>
      <c r="P88" s="20" t="s">
        <v>872</v>
      </c>
      <c r="Q88" s="134"/>
      <c r="R88" s="127">
        <v>1</v>
      </c>
      <c r="S88" s="157">
        <f t="shared" si="6"/>
        <v>4</v>
      </c>
      <c r="T88" s="158"/>
      <c r="U88" s="21">
        <v>0.5</v>
      </c>
      <c r="V88" s="21">
        <v>0.5</v>
      </c>
      <c r="W88" s="21">
        <v>0</v>
      </c>
      <c r="X88" s="156">
        <v>4</v>
      </c>
      <c r="Y88" s="157">
        <f t="shared" si="7"/>
        <v>4</v>
      </c>
      <c r="Z88" s="22"/>
      <c r="AA88" s="157">
        <f t="shared" si="8"/>
        <v>4</v>
      </c>
      <c r="AB88" s="20"/>
      <c r="AC88" s="34"/>
      <c r="AD88" s="23" t="str">
        <f t="shared" si="9"/>
        <v/>
      </c>
    </row>
    <row r="89" spans="1:30" ht="72.5" hidden="1" outlineLevel="2" x14ac:dyDescent="0.35">
      <c r="A89" s="86" t="s">
        <v>0</v>
      </c>
      <c r="B89" s="18"/>
      <c r="C89" s="78"/>
      <c r="D89" s="78"/>
      <c r="E89" s="78"/>
      <c r="F89" s="79"/>
      <c r="G89" s="19" t="s">
        <v>23</v>
      </c>
      <c r="H89" s="19" t="s">
        <v>23</v>
      </c>
      <c r="I89" s="20" t="s">
        <v>23</v>
      </c>
      <c r="J89" s="19" t="s">
        <v>23</v>
      </c>
      <c r="K89" s="35"/>
      <c r="L89" s="19"/>
      <c r="M89" s="263">
        <f t="shared" ca="1" si="5"/>
        <v>4.5999999999999979</v>
      </c>
      <c r="N89" s="20" t="s">
        <v>986</v>
      </c>
      <c r="O89" s="20"/>
      <c r="P89" s="20" t="s">
        <v>874</v>
      </c>
      <c r="Q89" s="134"/>
      <c r="R89" s="127">
        <v>1</v>
      </c>
      <c r="S89" s="157">
        <f t="shared" si="6"/>
        <v>4</v>
      </c>
      <c r="T89" s="158"/>
      <c r="U89" s="21">
        <v>0.25</v>
      </c>
      <c r="V89" s="21">
        <v>0.75</v>
      </c>
      <c r="W89" s="21">
        <v>0</v>
      </c>
      <c r="X89" s="156">
        <v>4</v>
      </c>
      <c r="Y89" s="157">
        <f t="shared" si="7"/>
        <v>4</v>
      </c>
      <c r="Z89" s="22"/>
      <c r="AA89" s="157">
        <f t="shared" si="8"/>
        <v>4</v>
      </c>
      <c r="AB89" s="20"/>
      <c r="AC89" s="34"/>
      <c r="AD89" s="23" t="str">
        <f t="shared" si="9"/>
        <v/>
      </c>
    </row>
    <row r="90" spans="1:30" ht="72.5" hidden="1" outlineLevel="2" x14ac:dyDescent="0.35">
      <c r="A90" s="86" t="s">
        <v>0</v>
      </c>
      <c r="B90" s="18"/>
      <c r="C90" s="78"/>
      <c r="D90" s="78"/>
      <c r="E90" s="78"/>
      <c r="F90" s="79"/>
      <c r="G90" s="19" t="s">
        <v>23</v>
      </c>
      <c r="H90" s="19" t="s">
        <v>23</v>
      </c>
      <c r="I90" s="20" t="s">
        <v>23</v>
      </c>
      <c r="J90" s="19" t="s">
        <v>23</v>
      </c>
      <c r="K90" s="35"/>
      <c r="L90" s="19"/>
      <c r="M90" s="263">
        <f t="shared" ca="1" si="5"/>
        <v>4.6999999999999975</v>
      </c>
      <c r="N90" s="20" t="s">
        <v>876</v>
      </c>
      <c r="O90" s="20"/>
      <c r="P90" s="20" t="s">
        <v>875</v>
      </c>
      <c r="Q90" s="134"/>
      <c r="R90" s="127">
        <v>1</v>
      </c>
      <c r="S90" s="157">
        <f t="shared" si="6"/>
        <v>4</v>
      </c>
      <c r="T90" s="158"/>
      <c r="U90" s="21">
        <v>0.25</v>
      </c>
      <c r="V90" s="21">
        <v>0.75</v>
      </c>
      <c r="W90" s="21">
        <v>0</v>
      </c>
      <c r="X90" s="156">
        <v>4</v>
      </c>
      <c r="Y90" s="157">
        <f t="shared" si="7"/>
        <v>4</v>
      </c>
      <c r="Z90" s="22"/>
      <c r="AA90" s="157">
        <f t="shared" si="8"/>
        <v>4</v>
      </c>
      <c r="AB90" s="20"/>
      <c r="AC90" s="34"/>
      <c r="AD90" s="23" t="str">
        <f t="shared" si="9"/>
        <v/>
      </c>
    </row>
    <row r="91" spans="1:30" ht="87" hidden="1" outlineLevel="2" x14ac:dyDescent="0.35">
      <c r="A91" s="86" t="s">
        <v>0</v>
      </c>
      <c r="B91" s="18"/>
      <c r="C91" s="78"/>
      <c r="D91" s="78"/>
      <c r="E91" s="78"/>
      <c r="F91" s="79"/>
      <c r="G91" s="19" t="s">
        <v>23</v>
      </c>
      <c r="H91" s="19" t="s">
        <v>23</v>
      </c>
      <c r="I91" s="20" t="s">
        <v>23</v>
      </c>
      <c r="J91" s="19" t="s">
        <v>23</v>
      </c>
      <c r="K91" s="35"/>
      <c r="L91" s="19"/>
      <c r="M91" s="263">
        <f t="shared" ca="1" si="5"/>
        <v>4.7999999999999972</v>
      </c>
      <c r="N91" s="20" t="s">
        <v>833</v>
      </c>
      <c r="O91" s="20"/>
      <c r="P91" s="20" t="s">
        <v>877</v>
      </c>
      <c r="Q91" s="134"/>
      <c r="R91" s="127">
        <v>1</v>
      </c>
      <c r="S91" s="157">
        <f t="shared" si="6"/>
        <v>6</v>
      </c>
      <c r="T91" s="158"/>
      <c r="U91" s="21">
        <v>0.6</v>
      </c>
      <c r="V91" s="21">
        <v>0.4</v>
      </c>
      <c r="W91" s="21">
        <v>0</v>
      </c>
      <c r="X91" s="156">
        <v>6</v>
      </c>
      <c r="Y91" s="157">
        <f t="shared" si="7"/>
        <v>6</v>
      </c>
      <c r="Z91" s="22"/>
      <c r="AA91" s="157">
        <f t="shared" si="8"/>
        <v>6</v>
      </c>
      <c r="AB91" s="20" t="s">
        <v>838</v>
      </c>
      <c r="AC91" s="34"/>
      <c r="AD91" s="23" t="str">
        <f t="shared" si="9"/>
        <v/>
      </c>
    </row>
    <row r="92" spans="1:30" s="9" customFormat="1" ht="7.5" hidden="1" customHeight="1" outlineLevel="2" x14ac:dyDescent="0.35">
      <c r="A92" s="86" t="s">
        <v>132</v>
      </c>
      <c r="B92" s="15"/>
      <c r="C92" s="72"/>
      <c r="D92" s="72"/>
      <c r="E92" s="72"/>
      <c r="F92" s="72"/>
      <c r="M92" s="252"/>
      <c r="T92" s="15"/>
      <c r="X92" s="15"/>
      <c r="AB92" s="10"/>
      <c r="AC92" s="10"/>
      <c r="AD92" s="10"/>
    </row>
    <row r="93" spans="1:30" s="9" customFormat="1" ht="3" hidden="1" customHeight="1" outlineLevel="1" x14ac:dyDescent="0.35">
      <c r="A93" s="86" t="s">
        <v>102</v>
      </c>
      <c r="C93" s="72"/>
      <c r="D93" s="72"/>
      <c r="E93" s="72"/>
      <c r="F93" s="72"/>
      <c r="G93" s="25"/>
      <c r="H93" s="25"/>
      <c r="I93" s="25"/>
      <c r="J93" s="25"/>
      <c r="K93" s="25"/>
      <c r="L93" s="56"/>
      <c r="M93" s="264"/>
      <c r="N93" s="57"/>
      <c r="O93" s="57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7"/>
      <c r="AC93" s="57"/>
      <c r="AD93" s="10"/>
    </row>
    <row r="94" spans="1:30" s="14" customFormat="1" ht="18.5" x14ac:dyDescent="0.35">
      <c r="A94" s="86" t="s">
        <v>98</v>
      </c>
      <c r="B94" s="12"/>
      <c r="C94" s="73"/>
      <c r="D94" s="73"/>
      <c r="E94" s="73"/>
      <c r="F94" s="72"/>
      <c r="G94" s="52"/>
      <c r="H94" s="52"/>
      <c r="I94" s="52"/>
      <c r="J94" s="52"/>
      <c r="K94" s="52"/>
      <c r="L94" s="52" t="s">
        <v>69</v>
      </c>
      <c r="M94" s="261" t="s">
        <v>73</v>
      </c>
      <c r="N94" s="53"/>
      <c r="O94" s="54"/>
      <c r="P94" s="55"/>
      <c r="Q94" s="55"/>
      <c r="R94" s="55"/>
      <c r="S94" s="330">
        <f>CEILING(SUMIF(J95:J432, "&lt;&gt;Yes", T95:T432),1)</f>
        <v>540</v>
      </c>
      <c r="T94" s="330"/>
      <c r="U94" s="55"/>
      <c r="V94" s="55"/>
      <c r="W94" s="55"/>
      <c r="X94" s="168"/>
      <c r="Y94" s="168"/>
      <c r="Z94" s="55"/>
      <c r="AA94" s="168"/>
      <c r="AB94" s="55"/>
      <c r="AC94" s="55"/>
      <c r="AD94" s="13"/>
    </row>
    <row r="95" spans="1:30" s="9" customFormat="1" ht="3" customHeight="1" outlineLevel="1" x14ac:dyDescent="0.35">
      <c r="A95" s="86" t="s">
        <v>99</v>
      </c>
      <c r="B95" s="15"/>
      <c r="C95" s="72"/>
      <c r="D95" s="72"/>
      <c r="E95" s="72"/>
      <c r="F95" s="72"/>
      <c r="G95" s="25"/>
      <c r="H95" s="25"/>
      <c r="I95" s="25"/>
      <c r="J95" s="25"/>
      <c r="K95" s="25"/>
      <c r="L95" s="26">
        <v>0</v>
      </c>
      <c r="M95" s="262"/>
      <c r="N95" s="25"/>
      <c r="O95" s="25"/>
      <c r="P95" s="25"/>
      <c r="Q95" s="25"/>
      <c r="R95" s="25"/>
      <c r="S95" s="25"/>
      <c r="T95" s="27"/>
      <c r="U95" s="25"/>
      <c r="V95" s="25"/>
      <c r="W95" s="25"/>
      <c r="X95" s="27"/>
      <c r="Y95" s="25"/>
      <c r="Z95" s="25"/>
      <c r="AA95" s="25"/>
      <c r="AB95" s="28"/>
      <c r="AC95" s="28"/>
      <c r="AD95" s="10"/>
    </row>
    <row r="96" spans="1:30" s="14" customFormat="1" ht="15.5" outlineLevel="1" collapsed="1" x14ac:dyDescent="0.35">
      <c r="A96" s="86" t="s">
        <v>100</v>
      </c>
      <c r="B96" s="18"/>
      <c r="C96" s="77"/>
      <c r="D96" s="77"/>
      <c r="E96" s="77"/>
      <c r="F96" s="76"/>
      <c r="G96" s="29"/>
      <c r="H96" s="29"/>
      <c r="I96" s="29"/>
      <c r="J96" s="29"/>
      <c r="K96" s="29"/>
      <c r="L96" s="17">
        <f ca="1">LOOKUP(1000,INDIRECT("L1:"&amp;CELL("address",INDIRECT("R[-1]C",FALSE))))+1</f>
        <v>1</v>
      </c>
      <c r="M96" s="310" t="s">
        <v>987</v>
      </c>
      <c r="N96" s="310"/>
      <c r="O96" s="5"/>
      <c r="P96" s="30"/>
      <c r="Q96" s="30"/>
      <c r="R96" s="30"/>
      <c r="S96" s="30"/>
      <c r="T96" s="155">
        <f>IF($S$6="Exclude", SUMIFS(S97:S101, J97:J101, "&lt;&gt;Yes", G97:G101, "&lt;&gt;Yes"), SUMIFS(S97:S101, J97:J101, "&lt;&gt;Yes"))</f>
        <v>8</v>
      </c>
      <c r="U96" s="30"/>
      <c r="V96" s="30"/>
      <c r="W96" s="30"/>
      <c r="X96" s="31"/>
      <c r="Y96" s="32"/>
      <c r="Z96" s="32"/>
      <c r="AA96" s="32"/>
      <c r="AB96" s="219"/>
      <c r="AC96" s="33"/>
      <c r="AD96" s="23" t="str">
        <f>IF(M96="", "Error: Task name cannot be empty.", "")</f>
        <v/>
      </c>
    </row>
    <row r="97" spans="1:30" s="12" customFormat="1" ht="1.5" hidden="1" customHeight="1" outlineLevel="2" x14ac:dyDescent="0.35">
      <c r="A97" s="86" t="s">
        <v>101</v>
      </c>
      <c r="B97" s="18"/>
      <c r="C97" s="77"/>
      <c r="D97" s="77"/>
      <c r="E97" s="77"/>
      <c r="F97" s="76"/>
      <c r="G97" s="29"/>
      <c r="H97" s="29"/>
      <c r="I97" s="29"/>
      <c r="J97" s="29"/>
      <c r="K97" s="29"/>
      <c r="L97" s="163">
        <f ca="1">L96</f>
        <v>1</v>
      </c>
      <c r="M97" s="164" t="s">
        <v>105</v>
      </c>
      <c r="N97" s="161"/>
      <c r="O97" s="162"/>
      <c r="P97" s="30"/>
      <c r="Q97" s="30"/>
      <c r="R97" s="30"/>
      <c r="S97" s="30"/>
      <c r="T97" s="155"/>
      <c r="U97" s="30"/>
      <c r="V97" s="30"/>
      <c r="W97" s="30"/>
      <c r="X97" s="31"/>
      <c r="Y97" s="32"/>
      <c r="Z97" s="32"/>
      <c r="AA97" s="32"/>
      <c r="AB97" s="33"/>
      <c r="AC97" s="33"/>
      <c r="AD97" s="23"/>
    </row>
    <row r="98" spans="1:30" ht="15.5" hidden="1" outlineLevel="2" x14ac:dyDescent="0.35">
      <c r="A98" s="86" t="s">
        <v>0</v>
      </c>
      <c r="B98" s="18"/>
      <c r="C98" s="78"/>
      <c r="D98" s="78"/>
      <c r="E98" s="78"/>
      <c r="F98" s="79"/>
      <c r="G98" s="19" t="s">
        <v>23</v>
      </c>
      <c r="H98" s="19" t="s">
        <v>23</v>
      </c>
      <c r="I98" s="20" t="s">
        <v>23</v>
      </c>
      <c r="J98" s="19" t="s">
        <v>23</v>
      </c>
      <c r="K98" s="35"/>
      <c r="L98" s="19"/>
      <c r="M98" s="263" t="str">
        <f ca="1">IFERROR(OFFSET(M98,-1,,1,1)+0.1,OFFSET(M98,-1,-1,1,1)&amp;".1")</f>
        <v>1.1</v>
      </c>
      <c r="N98" s="20" t="s">
        <v>988</v>
      </c>
      <c r="O98" s="20"/>
      <c r="P98" s="20"/>
      <c r="Q98" s="134"/>
      <c r="R98" s="127"/>
      <c r="S98" s="157">
        <f>CEILING((IF(J98="Yes", 0, IF(H98="-",AA98,AA98+AA98*VLOOKUP(H98,BUFFERS_BY_TYPE,2,FALSE)))) +
   (IF(J98="Yes", 0, IF(H98="-",AA98,AA98+AA98*VLOOKUP(H98,BUFFERS_BY_TYPE,2,FALSE))))*VLOOKUP($S$5, SALES_CALL_SCALE_ARRAY, 2,FALSE),0.25)</f>
        <v>2</v>
      </c>
      <c r="T98" s="158"/>
      <c r="U98" s="21">
        <v>0.2</v>
      </c>
      <c r="V98" s="21">
        <v>0.5</v>
      </c>
      <c r="W98" s="21">
        <v>0.3</v>
      </c>
      <c r="X98" s="156">
        <v>2</v>
      </c>
      <c r="Y98" s="157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2</v>
      </c>
      <c r="Z98" s="22"/>
      <c r="AA98" s="157">
        <f>Y98+Y98*VLOOKUP(I98,EXTRAS_ARRAY,2,FALSE)</f>
        <v>2</v>
      </c>
      <c r="AB98" s="20"/>
      <c r="AC98" s="34"/>
      <c r="AD98" s="23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15.5" hidden="1" outlineLevel="2" x14ac:dyDescent="0.35">
      <c r="A99" s="86" t="s">
        <v>0</v>
      </c>
      <c r="B99" s="18"/>
      <c r="C99" s="78"/>
      <c r="D99" s="78"/>
      <c r="E99" s="78"/>
      <c r="F99" s="79"/>
      <c r="G99" s="19" t="s">
        <v>23</v>
      </c>
      <c r="H99" s="19" t="s">
        <v>23</v>
      </c>
      <c r="I99" s="20" t="s">
        <v>23</v>
      </c>
      <c r="J99" s="19" t="s">
        <v>23</v>
      </c>
      <c r="K99" s="35"/>
      <c r="L99" s="19"/>
      <c r="M99" s="263">
        <f ca="1">IFERROR(OFFSET(M99,-1,,1,1)+0.1,OFFSET(M99,-1,-1,1,1)&amp;".1")</f>
        <v>1.2000000000000002</v>
      </c>
      <c r="N99" s="20" t="s">
        <v>989</v>
      </c>
      <c r="O99" s="20"/>
      <c r="P99" s="20"/>
      <c r="Q99" s="134"/>
      <c r="R99" s="127"/>
      <c r="S99" s="157">
        <f>CEILING((IF(J99="Yes", 0, IF(H99="-",AA99,AA99+AA99*VLOOKUP(H99,BUFFERS_BY_TYPE,2,FALSE)))) +
   (IF(J99="Yes", 0, IF(H99="-",AA99,AA99+AA99*VLOOKUP(H99,BUFFERS_BY_TYPE,2,FALSE))))*VLOOKUP($S$5, SALES_CALL_SCALE_ARRAY, 2,FALSE),0.25)</f>
        <v>3</v>
      </c>
      <c r="T99" s="158"/>
      <c r="U99" s="21">
        <v>0.25</v>
      </c>
      <c r="V99" s="21">
        <v>0.55000000000000004</v>
      </c>
      <c r="W99" s="21">
        <v>0.2</v>
      </c>
      <c r="X99" s="156">
        <v>3</v>
      </c>
      <c r="Y99" s="157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3</v>
      </c>
      <c r="Z99" s="22"/>
      <c r="AA99" s="157">
        <f>Y99+Y99*VLOOKUP(I99,EXTRAS_ARRAY,2,FALSE)</f>
        <v>3</v>
      </c>
      <c r="AB99" s="20"/>
      <c r="AC99" s="34"/>
      <c r="AD99" s="23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15.5" hidden="1" outlineLevel="2" x14ac:dyDescent="0.35">
      <c r="A100" s="86" t="s">
        <v>0</v>
      </c>
      <c r="B100" s="18"/>
      <c r="C100" s="78"/>
      <c r="D100" s="78"/>
      <c r="E100" s="78"/>
      <c r="F100" s="79"/>
      <c r="G100" s="19" t="s">
        <v>23</v>
      </c>
      <c r="H100" s="19" t="s">
        <v>23</v>
      </c>
      <c r="I100" s="20" t="s">
        <v>23</v>
      </c>
      <c r="J100" s="19" t="s">
        <v>23</v>
      </c>
      <c r="K100" s="35"/>
      <c r="L100" s="19"/>
      <c r="M100" s="263">
        <f ca="1">IFERROR(OFFSET(M100,-1,,1,1)+0.1,OFFSET(M100,-1,-1,1,1)&amp;".1")</f>
        <v>1.3000000000000003</v>
      </c>
      <c r="N100" s="20" t="s">
        <v>990</v>
      </c>
      <c r="O100" s="20"/>
      <c r="P100" s="20"/>
      <c r="Q100" s="134"/>
      <c r="R100" s="127"/>
      <c r="S100" s="157">
        <f>CEILING((IF(J100="Yes", 0, IF(H100="-",AA100,AA100+AA100*VLOOKUP(H100,BUFFERS_BY_TYPE,2,FALSE)))) +
   (IF(J100="Yes", 0, IF(H100="-",AA100,AA100+AA100*VLOOKUP(H100,BUFFERS_BY_TYPE,2,FALSE))))*VLOOKUP($S$5, SALES_CALL_SCALE_ARRAY, 2,FALSE),0.25)</f>
        <v>3</v>
      </c>
      <c r="T100" s="158"/>
      <c r="U100" s="21">
        <v>0.1</v>
      </c>
      <c r="V100" s="21">
        <v>0.8</v>
      </c>
      <c r="W100" s="21">
        <v>0.1</v>
      </c>
      <c r="X100" s="156">
        <v>3</v>
      </c>
      <c r="Y100" s="157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3</v>
      </c>
      <c r="Z100" s="22"/>
      <c r="AA100" s="157">
        <f>Y100+Y100*VLOOKUP(I100,EXTRAS_ARRAY,2,FALSE)</f>
        <v>3</v>
      </c>
      <c r="AB100" s="20"/>
      <c r="AC100" s="34"/>
      <c r="AD100" s="23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s="9" customFormat="1" ht="7.5" hidden="1" customHeight="1" outlineLevel="2" x14ac:dyDescent="0.35">
      <c r="A101" s="86" t="s">
        <v>132</v>
      </c>
      <c r="B101" s="15"/>
      <c r="C101" s="72"/>
      <c r="D101" s="72"/>
      <c r="E101" s="72"/>
      <c r="F101" s="72"/>
      <c r="M101" s="252"/>
      <c r="T101" s="15"/>
      <c r="X101" s="15"/>
      <c r="AB101" s="10"/>
      <c r="AC101" s="10"/>
      <c r="AD101" s="10"/>
    </row>
    <row r="102" spans="1:30" s="14" customFormat="1" ht="15.5" outlineLevel="1" x14ac:dyDescent="0.35">
      <c r="A102" s="86" t="s">
        <v>107</v>
      </c>
      <c r="B102" s="18"/>
      <c r="C102" s="77"/>
      <c r="D102" s="77"/>
      <c r="E102" s="77"/>
      <c r="F102" s="76"/>
      <c r="G102" s="170"/>
      <c r="H102" s="170"/>
      <c r="I102" s="170"/>
      <c r="J102" s="170"/>
      <c r="K102" s="170"/>
      <c r="L102" s="85" t="s">
        <v>109</v>
      </c>
      <c r="M102" s="311" t="s">
        <v>878</v>
      </c>
      <c r="N102" s="311"/>
      <c r="O102" s="80"/>
      <c r="P102" s="81"/>
      <c r="Q102" s="81"/>
      <c r="R102" s="81"/>
      <c r="S102" s="307">
        <f>SUMGROUP(ROW(), "T")</f>
        <v>93</v>
      </c>
      <c r="T102" s="307"/>
      <c r="U102" s="308"/>
      <c r="V102" s="308"/>
      <c r="W102" s="308"/>
      <c r="X102" s="82"/>
      <c r="Y102" s="83"/>
      <c r="Z102" s="83"/>
      <c r="AA102" s="83"/>
      <c r="AB102" s="221"/>
      <c r="AC102" s="84"/>
      <c r="AD102" s="23" t="str">
        <f>IF(M102="", "Error: Module name cannot be empty.", "")</f>
        <v/>
      </c>
    </row>
    <row r="103" spans="1:30" s="14" customFormat="1" ht="15.5" outlineLevel="1" collapsed="1" x14ac:dyDescent="0.35">
      <c r="A103" s="86" t="s">
        <v>100</v>
      </c>
      <c r="B103" s="18"/>
      <c r="C103" s="77"/>
      <c r="D103" s="77"/>
      <c r="E103" s="77"/>
      <c r="F103" s="76"/>
      <c r="G103" s="29"/>
      <c r="H103" s="29"/>
      <c r="I103" s="29"/>
      <c r="J103" s="29"/>
      <c r="K103" s="29"/>
      <c r="L103" s="17">
        <f ca="1">LOOKUP(1000,INDIRECT("L1:"&amp;CELL("address",INDIRECT("R[-1]C",FALSE))))+1</f>
        <v>2</v>
      </c>
      <c r="M103" s="310" t="s">
        <v>991</v>
      </c>
      <c r="N103" s="310"/>
      <c r="O103" s="5"/>
      <c r="P103" s="30"/>
      <c r="Q103" s="30"/>
      <c r="R103" s="30"/>
      <c r="S103" s="30"/>
      <c r="T103" s="155">
        <f>IF($S$6="Exclude", SUMIFS(S104:S112, J104:J112, "&lt;&gt;Yes", G104:G112, "&lt;&gt;Yes"), SUMIFS(S104:S112, J104:J112, "&lt;&gt;Yes"))</f>
        <v>16</v>
      </c>
      <c r="U103" s="30"/>
      <c r="V103" s="30"/>
      <c r="W103" s="30"/>
      <c r="X103" s="31"/>
      <c r="Y103" s="32"/>
      <c r="Z103" s="32"/>
      <c r="AA103" s="32"/>
      <c r="AB103" s="219" t="s">
        <v>945</v>
      </c>
      <c r="AC103" s="33"/>
      <c r="AD103" s="23" t="str">
        <f>IF(M103="", "Error: Task name cannot be empty.", "")</f>
        <v/>
      </c>
    </row>
    <row r="104" spans="1:30" s="12" customFormat="1" ht="1.5" hidden="1" customHeight="1" outlineLevel="2" x14ac:dyDescent="0.35">
      <c r="A104" s="86" t="s">
        <v>101</v>
      </c>
      <c r="B104" s="18"/>
      <c r="C104" s="77"/>
      <c r="D104" s="77"/>
      <c r="E104" s="77"/>
      <c r="F104" s="76"/>
      <c r="G104" s="29"/>
      <c r="H104" s="29"/>
      <c r="I104" s="29"/>
      <c r="J104" s="29"/>
      <c r="K104" s="29"/>
      <c r="L104" s="163">
        <f ca="1">L103</f>
        <v>2</v>
      </c>
      <c r="M104" s="164" t="s">
        <v>105</v>
      </c>
      <c r="N104" s="161"/>
      <c r="O104" s="162"/>
      <c r="P104" s="30"/>
      <c r="Q104" s="30"/>
      <c r="R104" s="30"/>
      <c r="S104" s="30"/>
      <c r="T104" s="155"/>
      <c r="U104" s="30"/>
      <c r="V104" s="30"/>
      <c r="W104" s="30"/>
      <c r="X104" s="31"/>
      <c r="Y104" s="32"/>
      <c r="Z104" s="32"/>
      <c r="AA104" s="32"/>
      <c r="AB104" s="33"/>
      <c r="AC104" s="33"/>
      <c r="AD104" s="23"/>
    </row>
    <row r="105" spans="1:30" ht="15.5" hidden="1" outlineLevel="2" x14ac:dyDescent="0.35">
      <c r="A105" s="86" t="s">
        <v>0</v>
      </c>
      <c r="B105" s="18"/>
      <c r="C105" s="78"/>
      <c r="D105" s="78"/>
      <c r="E105" s="78"/>
      <c r="F105" s="79"/>
      <c r="G105" s="19" t="s">
        <v>23</v>
      </c>
      <c r="H105" s="19" t="s">
        <v>23</v>
      </c>
      <c r="I105" s="20" t="s">
        <v>23</v>
      </c>
      <c r="J105" s="19" t="s">
        <v>23</v>
      </c>
      <c r="K105" s="35"/>
      <c r="L105" s="19"/>
      <c r="M105" s="263" t="str">
        <f t="shared" ref="M105:M111" ca="1" si="10">IFERROR(OFFSET(M105,-1,,1,1)+0.1,OFFSET(M105,-1,-1,1,1)&amp;".1")</f>
        <v>2.1</v>
      </c>
      <c r="N105" s="20" t="s">
        <v>992</v>
      </c>
      <c r="O105" s="20"/>
      <c r="P105" s="20"/>
      <c r="Q105" s="134"/>
      <c r="R105" s="127"/>
      <c r="S105" s="157">
        <f t="shared" ref="S105:S111" si="11">CEILING((IF(J105="Yes", 0, IF(H105="-",AA105,AA105+AA105*VLOOKUP(H105,BUFFERS_BY_TYPE,2,FALSE)))) +
   (IF(J105="Yes", 0, IF(H105="-",AA105,AA105+AA105*VLOOKUP(H105,BUFFERS_BY_TYPE,2,FALSE))))*VLOOKUP($S$5, SALES_CALL_SCALE_ARRAY, 2,FALSE),0.25)</f>
        <v>2.5</v>
      </c>
      <c r="T105" s="158"/>
      <c r="U105" s="21">
        <v>0.2</v>
      </c>
      <c r="V105" s="21">
        <v>0.5</v>
      </c>
      <c r="W105" s="21">
        <v>0.3</v>
      </c>
      <c r="X105" s="156">
        <v>2.5</v>
      </c>
      <c r="Y105" s="157">
        <f t="shared" ref="Y105:Y111" si="12">CEILING((IF(P105=AS_DEV_EFFORT, DEV_EFFORT*Q105%,
                           IF(P105=AS_DURATION_EFFORT, (MANUAL_DURATION*5)*Q105%,
                                    (IF(Q105&lt;=1,X105,
                                          IF(SUM(U105:W105)=0,(Q105*X105),
                                               (((Q105*U105)*(X105+(X105*EXTRA_FOR_H)))+
                                               ((Q105*V105)*X105)+
                                               ((Q105*W105)*(X105-(X105*LESS_FOR_L)))
                                    )*IF(R105=0,1,R105))))))+Z105), 0.25)</f>
        <v>2.5</v>
      </c>
      <c r="Z105" s="22"/>
      <c r="AA105" s="157">
        <f t="shared" ref="AA105:AA111" si="13">Y105+Y105*VLOOKUP(I105,EXTRAS_ARRAY,2,FALSE)</f>
        <v>2.5</v>
      </c>
      <c r="AB105" s="20"/>
      <c r="AC105" s="34"/>
      <c r="AD105" s="23" t="str">
        <f t="shared" ref="AD105:AD111" si="14">IF(J105&lt;&gt;"Yes",
IF(S105&lt;=0,"Error: Effort value is not defined or is invalid.",
IF(AND(SUM(U105:W105)&gt;0,SUM(U105:W105)&lt;&gt;1),"Error: Complexity % distribution should sum to 100%.",
IF(AND(P105=AS_DEV_EFFORT,X105&lt;&gt;0),"Error: PDs should not be defined when defining as dev effort %.",
IF(AND(P105=AS_DURATION_EFFORT,X105&lt;&gt;0),"Error: PDs should not be defined when defining as duration effort %.","")))))</f>
        <v/>
      </c>
    </row>
    <row r="106" spans="1:30" ht="15.5" hidden="1" outlineLevel="2" x14ac:dyDescent="0.35">
      <c r="A106" s="86" t="s">
        <v>0</v>
      </c>
      <c r="B106" s="18"/>
      <c r="C106" s="78"/>
      <c r="D106" s="78"/>
      <c r="E106" s="78"/>
      <c r="F106" s="79"/>
      <c r="G106" s="19" t="s">
        <v>23</v>
      </c>
      <c r="H106" s="19" t="s">
        <v>23</v>
      </c>
      <c r="I106" s="20" t="s">
        <v>23</v>
      </c>
      <c r="J106" s="19" t="s">
        <v>23</v>
      </c>
      <c r="K106" s="35"/>
      <c r="L106" s="19"/>
      <c r="M106" s="263">
        <f t="shared" ca="1" si="10"/>
        <v>2.2000000000000002</v>
      </c>
      <c r="N106" s="20" t="s">
        <v>993</v>
      </c>
      <c r="O106" s="20"/>
      <c r="P106" s="20"/>
      <c r="Q106" s="134"/>
      <c r="R106" s="127"/>
      <c r="S106" s="157">
        <f t="shared" si="11"/>
        <v>2.5</v>
      </c>
      <c r="T106" s="158"/>
      <c r="U106" s="21">
        <v>0</v>
      </c>
      <c r="V106" s="21">
        <v>1</v>
      </c>
      <c r="W106" s="21">
        <v>0</v>
      </c>
      <c r="X106" s="156">
        <v>2.5</v>
      </c>
      <c r="Y106" s="157">
        <f t="shared" si="12"/>
        <v>2.5</v>
      </c>
      <c r="Z106" s="22"/>
      <c r="AA106" s="157">
        <f t="shared" si="13"/>
        <v>2.5</v>
      </c>
      <c r="AB106" s="20"/>
      <c r="AC106" s="34"/>
      <c r="AD106" s="23" t="str">
        <f t="shared" si="14"/>
        <v/>
      </c>
    </row>
    <row r="107" spans="1:30" ht="15.5" hidden="1" outlineLevel="2" x14ac:dyDescent="0.35">
      <c r="A107" s="86" t="s">
        <v>0</v>
      </c>
      <c r="B107" s="18"/>
      <c r="C107" s="78"/>
      <c r="D107" s="78"/>
      <c r="E107" s="78"/>
      <c r="F107" s="79"/>
      <c r="G107" s="19" t="s">
        <v>23</v>
      </c>
      <c r="H107" s="19" t="s">
        <v>23</v>
      </c>
      <c r="I107" s="20" t="s">
        <v>23</v>
      </c>
      <c r="J107" s="19" t="s">
        <v>23</v>
      </c>
      <c r="K107" s="35"/>
      <c r="L107" s="19"/>
      <c r="M107" s="263">
        <f t="shared" ca="1" si="10"/>
        <v>2.3000000000000003</v>
      </c>
      <c r="N107" s="20" t="s">
        <v>994</v>
      </c>
      <c r="O107" s="20"/>
      <c r="P107" s="20"/>
      <c r="Q107" s="134"/>
      <c r="R107" s="127"/>
      <c r="S107" s="157">
        <f t="shared" si="11"/>
        <v>2.5</v>
      </c>
      <c r="T107" s="158"/>
      <c r="U107" s="21">
        <v>0</v>
      </c>
      <c r="V107" s="21">
        <v>1</v>
      </c>
      <c r="W107" s="21">
        <v>0</v>
      </c>
      <c r="X107" s="156">
        <v>2.5</v>
      </c>
      <c r="Y107" s="157">
        <f t="shared" si="12"/>
        <v>2.5</v>
      </c>
      <c r="Z107" s="22"/>
      <c r="AA107" s="157">
        <f t="shared" si="13"/>
        <v>2.5</v>
      </c>
      <c r="AB107" s="20"/>
      <c r="AC107" s="34"/>
      <c r="AD107" s="23" t="str">
        <f t="shared" si="14"/>
        <v/>
      </c>
    </row>
    <row r="108" spans="1:30" ht="15.5" hidden="1" outlineLevel="2" x14ac:dyDescent="0.35">
      <c r="A108" s="86" t="s">
        <v>0</v>
      </c>
      <c r="B108" s="18"/>
      <c r="C108" s="78"/>
      <c r="D108" s="78"/>
      <c r="E108" s="78"/>
      <c r="F108" s="79"/>
      <c r="G108" s="19" t="s">
        <v>23</v>
      </c>
      <c r="H108" s="19" t="s">
        <v>23</v>
      </c>
      <c r="I108" s="20" t="s">
        <v>23</v>
      </c>
      <c r="J108" s="19" t="s">
        <v>23</v>
      </c>
      <c r="K108" s="35"/>
      <c r="L108" s="19"/>
      <c r="M108" s="263">
        <f t="shared" ca="1" si="10"/>
        <v>2.4000000000000004</v>
      </c>
      <c r="N108" s="20" t="s">
        <v>995</v>
      </c>
      <c r="O108" s="20"/>
      <c r="P108" s="20"/>
      <c r="Q108" s="134"/>
      <c r="R108" s="127"/>
      <c r="S108" s="157">
        <f t="shared" si="11"/>
        <v>1.5</v>
      </c>
      <c r="T108" s="158"/>
      <c r="U108" s="21">
        <v>0</v>
      </c>
      <c r="V108" s="21">
        <v>1</v>
      </c>
      <c r="W108" s="21">
        <v>0</v>
      </c>
      <c r="X108" s="156">
        <v>1.5</v>
      </c>
      <c r="Y108" s="157">
        <f t="shared" si="12"/>
        <v>1.5</v>
      </c>
      <c r="Z108" s="22"/>
      <c r="AA108" s="157">
        <f t="shared" si="13"/>
        <v>1.5</v>
      </c>
      <c r="AB108" s="20"/>
      <c r="AC108" s="34"/>
      <c r="AD108" s="23" t="str">
        <f t="shared" si="14"/>
        <v/>
      </c>
    </row>
    <row r="109" spans="1:30" ht="15.5" hidden="1" outlineLevel="2" x14ac:dyDescent="0.35">
      <c r="A109" s="86" t="s">
        <v>0</v>
      </c>
      <c r="B109" s="18"/>
      <c r="C109" s="78"/>
      <c r="D109" s="78"/>
      <c r="E109" s="78"/>
      <c r="F109" s="79"/>
      <c r="G109" s="19" t="s">
        <v>23</v>
      </c>
      <c r="H109" s="19" t="s">
        <v>23</v>
      </c>
      <c r="I109" s="20" t="s">
        <v>23</v>
      </c>
      <c r="J109" s="19" t="s">
        <v>23</v>
      </c>
      <c r="K109" s="35"/>
      <c r="L109" s="19"/>
      <c r="M109" s="263">
        <f t="shared" ca="1" si="10"/>
        <v>2.5000000000000004</v>
      </c>
      <c r="N109" s="20" t="s">
        <v>996</v>
      </c>
      <c r="O109" s="20"/>
      <c r="P109" s="20"/>
      <c r="Q109" s="134"/>
      <c r="R109" s="127"/>
      <c r="S109" s="157">
        <f t="shared" si="11"/>
        <v>2.5</v>
      </c>
      <c r="T109" s="158"/>
      <c r="U109" s="21">
        <v>0</v>
      </c>
      <c r="V109" s="21">
        <v>1</v>
      </c>
      <c r="W109" s="21">
        <v>0</v>
      </c>
      <c r="X109" s="156">
        <v>2.5</v>
      </c>
      <c r="Y109" s="157">
        <f t="shared" si="12"/>
        <v>2.5</v>
      </c>
      <c r="Z109" s="22"/>
      <c r="AA109" s="157">
        <f t="shared" si="13"/>
        <v>2.5</v>
      </c>
      <c r="AB109" s="20"/>
      <c r="AC109" s="34"/>
      <c r="AD109" s="23" t="str">
        <f t="shared" si="14"/>
        <v/>
      </c>
    </row>
    <row r="110" spans="1:30" ht="15.5" hidden="1" outlineLevel="2" x14ac:dyDescent="0.35">
      <c r="A110" s="86" t="s">
        <v>0</v>
      </c>
      <c r="B110" s="18"/>
      <c r="C110" s="78"/>
      <c r="D110" s="78"/>
      <c r="E110" s="78"/>
      <c r="F110" s="79"/>
      <c r="G110" s="19" t="s">
        <v>23</v>
      </c>
      <c r="H110" s="19" t="s">
        <v>23</v>
      </c>
      <c r="I110" s="20" t="s">
        <v>23</v>
      </c>
      <c r="J110" s="19" t="s">
        <v>23</v>
      </c>
      <c r="K110" s="35"/>
      <c r="L110" s="19"/>
      <c r="M110" s="263">
        <f t="shared" ca="1" si="10"/>
        <v>2.6000000000000005</v>
      </c>
      <c r="N110" s="20" t="s">
        <v>997</v>
      </c>
      <c r="O110" s="20"/>
      <c r="P110" s="20"/>
      <c r="Q110" s="134"/>
      <c r="R110" s="127"/>
      <c r="S110" s="157">
        <f t="shared" si="11"/>
        <v>2</v>
      </c>
      <c r="T110" s="158"/>
      <c r="U110" s="21">
        <v>0</v>
      </c>
      <c r="V110" s="21">
        <v>1</v>
      </c>
      <c r="W110" s="21">
        <v>0</v>
      </c>
      <c r="X110" s="156">
        <v>2</v>
      </c>
      <c r="Y110" s="157">
        <f t="shared" si="12"/>
        <v>2</v>
      </c>
      <c r="Z110" s="22"/>
      <c r="AA110" s="157">
        <f t="shared" si="13"/>
        <v>2</v>
      </c>
      <c r="AB110" s="20"/>
      <c r="AC110" s="34"/>
      <c r="AD110" s="23" t="str">
        <f t="shared" si="14"/>
        <v/>
      </c>
    </row>
    <row r="111" spans="1:30" ht="15.5" hidden="1" outlineLevel="2" x14ac:dyDescent="0.35">
      <c r="A111" s="86" t="s">
        <v>0</v>
      </c>
      <c r="B111" s="18"/>
      <c r="C111" s="78"/>
      <c r="D111" s="78"/>
      <c r="E111" s="78"/>
      <c r="F111" s="79"/>
      <c r="G111" s="19" t="s">
        <v>23</v>
      </c>
      <c r="H111" s="19" t="s">
        <v>23</v>
      </c>
      <c r="I111" s="20" t="s">
        <v>23</v>
      </c>
      <c r="J111" s="19" t="s">
        <v>23</v>
      </c>
      <c r="K111" s="35"/>
      <c r="L111" s="19"/>
      <c r="M111" s="263">
        <f t="shared" ca="1" si="10"/>
        <v>2.7000000000000006</v>
      </c>
      <c r="N111" s="20" t="s">
        <v>879</v>
      </c>
      <c r="O111" s="20"/>
      <c r="P111" s="20"/>
      <c r="Q111" s="134"/>
      <c r="R111" s="127"/>
      <c r="S111" s="157">
        <f t="shared" si="11"/>
        <v>2.5</v>
      </c>
      <c r="T111" s="158"/>
      <c r="U111" s="21">
        <v>0.3</v>
      </c>
      <c r="V111" s="21">
        <v>0.5</v>
      </c>
      <c r="W111" s="21">
        <v>0.2</v>
      </c>
      <c r="X111" s="156">
        <v>2.5</v>
      </c>
      <c r="Y111" s="157">
        <f t="shared" si="12"/>
        <v>2.5</v>
      </c>
      <c r="Z111" s="22"/>
      <c r="AA111" s="157">
        <f t="shared" si="13"/>
        <v>2.5</v>
      </c>
      <c r="AB111" s="20"/>
      <c r="AC111" s="34"/>
      <c r="AD111" s="23" t="str">
        <f t="shared" si="14"/>
        <v/>
      </c>
    </row>
    <row r="112" spans="1:30" s="9" customFormat="1" ht="7.5" hidden="1" customHeight="1" outlineLevel="2" x14ac:dyDescent="0.35">
      <c r="A112" s="86" t="s">
        <v>132</v>
      </c>
      <c r="B112" s="15"/>
      <c r="C112" s="72"/>
      <c r="D112" s="72"/>
      <c r="E112" s="72"/>
      <c r="F112" s="72"/>
      <c r="M112" s="252"/>
      <c r="T112" s="15"/>
      <c r="X112" s="15"/>
      <c r="AB112" s="10"/>
      <c r="AC112" s="10"/>
      <c r="AD112" s="10"/>
    </row>
    <row r="113" spans="1:30" s="14" customFormat="1" ht="15.5" outlineLevel="1" x14ac:dyDescent="0.35">
      <c r="A113" s="86" t="s">
        <v>100</v>
      </c>
      <c r="B113" s="18"/>
      <c r="C113" s="77"/>
      <c r="D113" s="77"/>
      <c r="E113" s="77"/>
      <c r="F113" s="76"/>
      <c r="G113" s="29"/>
      <c r="H113" s="29"/>
      <c r="I113" s="29"/>
      <c r="J113" s="29"/>
      <c r="K113" s="29"/>
      <c r="L113" s="17">
        <f ca="1">LOOKUP(1000,INDIRECT("L1:"&amp;CELL("address",INDIRECT("R[-1]C",FALSE))))+1</f>
        <v>3</v>
      </c>
      <c r="M113" s="310" t="s">
        <v>998</v>
      </c>
      <c r="N113" s="310"/>
      <c r="O113" s="5"/>
      <c r="P113" s="30"/>
      <c r="Q113" s="30"/>
      <c r="R113" s="30"/>
      <c r="S113" s="30"/>
      <c r="T113" s="155">
        <f>IF($S$6="Exclude", SUMIFS(S114:S125, J114:J125, "&lt;&gt;Yes", G114:G125, "&lt;&gt;Yes"), SUMIFS(S114:S125, J114:J125, "&lt;&gt;Yes"))</f>
        <v>14</v>
      </c>
      <c r="U113" s="30"/>
      <c r="V113" s="30"/>
      <c r="W113" s="30"/>
      <c r="X113" s="31"/>
      <c r="Y113" s="32"/>
      <c r="Z113" s="32"/>
      <c r="AA113" s="32"/>
      <c r="AB113" s="219" t="s">
        <v>946</v>
      </c>
      <c r="AC113" s="33"/>
      <c r="AD113" s="23" t="str">
        <f>IF(M113="", "Error: Task name cannot be empty.", "")</f>
        <v/>
      </c>
    </row>
    <row r="114" spans="1:30" s="12" customFormat="1" ht="1.5" customHeight="1" outlineLevel="2" x14ac:dyDescent="0.35">
      <c r="A114" s="86" t="s">
        <v>101</v>
      </c>
      <c r="B114" s="18"/>
      <c r="C114" s="77"/>
      <c r="D114" s="77"/>
      <c r="E114" s="77"/>
      <c r="F114" s="76"/>
      <c r="G114" s="29"/>
      <c r="H114" s="29"/>
      <c r="I114" s="29"/>
      <c r="J114" s="29"/>
      <c r="K114" s="29"/>
      <c r="L114" s="163">
        <f ca="1">L113</f>
        <v>3</v>
      </c>
      <c r="M114" s="164" t="s">
        <v>105</v>
      </c>
      <c r="N114" s="161"/>
      <c r="O114" s="162"/>
      <c r="P114" s="30"/>
      <c r="Q114" s="30"/>
      <c r="R114" s="30"/>
      <c r="S114" s="30"/>
      <c r="T114" s="155"/>
      <c r="U114" s="30"/>
      <c r="V114" s="30"/>
      <c r="W114" s="30"/>
      <c r="X114" s="31"/>
      <c r="Y114" s="32"/>
      <c r="Z114" s="32"/>
      <c r="AA114" s="32"/>
      <c r="AB114" s="33"/>
      <c r="AC114" s="33"/>
      <c r="AD114" s="23"/>
    </row>
    <row r="115" spans="1:30" ht="15.5" outlineLevel="2" x14ac:dyDescent="0.35">
      <c r="A115" s="86" t="s">
        <v>0</v>
      </c>
      <c r="B115" s="18"/>
      <c r="C115" s="78"/>
      <c r="D115" s="78"/>
      <c r="E115" s="78"/>
      <c r="F115" s="79"/>
      <c r="G115" s="19" t="s">
        <v>23</v>
      </c>
      <c r="H115" s="19" t="s">
        <v>23</v>
      </c>
      <c r="I115" s="20" t="s">
        <v>23</v>
      </c>
      <c r="J115" s="19" t="s">
        <v>23</v>
      </c>
      <c r="K115" s="35"/>
      <c r="L115" s="19"/>
      <c r="M115" s="263" t="str">
        <f t="shared" ref="M115:M121" ca="1" si="15">IFERROR(OFFSET(M115,-1,,1,1)+0.1,OFFSET(M115,-1,-1,1,1)&amp;".1")</f>
        <v>3.1</v>
      </c>
      <c r="N115" s="20" t="s">
        <v>999</v>
      </c>
      <c r="O115" s="20"/>
      <c r="P115" s="20"/>
      <c r="Q115" s="134"/>
      <c r="R115" s="127"/>
      <c r="S115" s="157">
        <f t="shared" ref="S115:S121" si="16">CEILING((IF(J115="Yes", 0, IF(H115="-",AA115,AA115+AA115*VLOOKUP(H115,BUFFERS_BY_TYPE,2,FALSE)))) +
   (IF(J115="Yes", 0, IF(H115="-",AA115,AA115+AA115*VLOOKUP(H115,BUFFERS_BY_TYPE,2,FALSE))))*VLOOKUP($S$5, SALES_CALL_SCALE_ARRAY, 2,FALSE),0.25)</f>
        <v>2</v>
      </c>
      <c r="T115" s="158"/>
      <c r="U115" s="21">
        <v>0</v>
      </c>
      <c r="V115" s="21">
        <v>1</v>
      </c>
      <c r="W115" s="21">
        <v>0</v>
      </c>
      <c r="X115" s="156">
        <v>2</v>
      </c>
      <c r="Y115" s="157">
        <f t="shared" ref="Y115:Y121" si="17"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>2</v>
      </c>
      <c r="Z115" s="22"/>
      <c r="AA115" s="157">
        <f t="shared" ref="AA115:AA121" si="18">Y115+Y115*VLOOKUP(I115,EXTRAS_ARRAY,2,FALSE)</f>
        <v>2</v>
      </c>
      <c r="AB115" s="20"/>
      <c r="AC115" s="34"/>
      <c r="AD115" s="23" t="str">
        <f t="shared" ref="AD115:AD121" si="19"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spans="1:30" ht="15.5" outlineLevel="2" x14ac:dyDescent="0.35">
      <c r="A116" s="86" t="s">
        <v>0</v>
      </c>
      <c r="B116" s="18"/>
      <c r="C116" s="78"/>
      <c r="D116" s="78"/>
      <c r="E116" s="78"/>
      <c r="F116" s="79"/>
      <c r="G116" s="19" t="s">
        <v>23</v>
      </c>
      <c r="H116" s="19" t="s">
        <v>23</v>
      </c>
      <c r="I116" s="20" t="s">
        <v>23</v>
      </c>
      <c r="J116" s="19" t="s">
        <v>23</v>
      </c>
      <c r="K116" s="35"/>
      <c r="L116" s="19"/>
      <c r="M116" s="263">
        <f t="shared" ca="1" si="15"/>
        <v>3.2</v>
      </c>
      <c r="N116" s="20" t="s">
        <v>1000</v>
      </c>
      <c r="O116" s="20"/>
      <c r="P116" s="20"/>
      <c r="Q116" s="134"/>
      <c r="R116" s="127"/>
      <c r="S116" s="157">
        <f t="shared" si="16"/>
        <v>2.5</v>
      </c>
      <c r="T116" s="158"/>
      <c r="U116" s="21">
        <v>0</v>
      </c>
      <c r="V116" s="21">
        <v>1</v>
      </c>
      <c r="W116" s="21">
        <v>0</v>
      </c>
      <c r="X116" s="156">
        <v>2.5</v>
      </c>
      <c r="Y116" s="157">
        <f t="shared" si="17"/>
        <v>2.5</v>
      </c>
      <c r="Z116" s="22"/>
      <c r="AA116" s="157">
        <f t="shared" si="18"/>
        <v>2.5</v>
      </c>
      <c r="AB116" s="20"/>
      <c r="AC116" s="34"/>
      <c r="AD116" s="23" t="str">
        <f t="shared" si="19"/>
        <v/>
      </c>
    </row>
    <row r="117" spans="1:30" ht="15.5" outlineLevel="2" x14ac:dyDescent="0.35">
      <c r="A117" s="86" t="s">
        <v>0</v>
      </c>
      <c r="B117" s="18"/>
      <c r="C117" s="78"/>
      <c r="D117" s="78"/>
      <c r="E117" s="78"/>
      <c r="F117" s="79"/>
      <c r="G117" s="19" t="s">
        <v>23</v>
      </c>
      <c r="H117" s="19" t="s">
        <v>23</v>
      </c>
      <c r="I117" s="20" t="s">
        <v>23</v>
      </c>
      <c r="J117" s="19" t="s">
        <v>23</v>
      </c>
      <c r="K117" s="35"/>
      <c r="L117" s="19"/>
      <c r="M117" s="263">
        <f t="shared" ca="1" si="15"/>
        <v>3.3000000000000003</v>
      </c>
      <c r="N117" s="20" t="s">
        <v>1001</v>
      </c>
      <c r="O117" s="20"/>
      <c r="P117" s="20"/>
      <c r="Q117" s="134"/>
      <c r="R117" s="127"/>
      <c r="S117" s="157">
        <f t="shared" si="16"/>
        <v>2</v>
      </c>
      <c r="T117" s="158"/>
      <c r="U117" s="21">
        <v>0</v>
      </c>
      <c r="V117" s="21">
        <v>1</v>
      </c>
      <c r="W117" s="21">
        <v>0</v>
      </c>
      <c r="X117" s="156">
        <v>2</v>
      </c>
      <c r="Y117" s="157">
        <f t="shared" si="17"/>
        <v>2</v>
      </c>
      <c r="Z117" s="22"/>
      <c r="AA117" s="157">
        <f t="shared" si="18"/>
        <v>2</v>
      </c>
      <c r="AB117" s="20"/>
      <c r="AC117" s="34"/>
      <c r="AD117" s="23" t="str">
        <f t="shared" si="19"/>
        <v/>
      </c>
    </row>
    <row r="118" spans="1:30" ht="15.5" outlineLevel="2" x14ac:dyDescent="0.35">
      <c r="A118" s="86" t="s">
        <v>0</v>
      </c>
      <c r="B118" s="18"/>
      <c r="C118" s="78"/>
      <c r="D118" s="78"/>
      <c r="E118" s="78"/>
      <c r="F118" s="79"/>
      <c r="G118" s="19" t="s">
        <v>23</v>
      </c>
      <c r="H118" s="19" t="s">
        <v>23</v>
      </c>
      <c r="I118" s="20" t="s">
        <v>23</v>
      </c>
      <c r="J118" s="19" t="s">
        <v>23</v>
      </c>
      <c r="K118" s="35"/>
      <c r="L118" s="19"/>
      <c r="M118" s="263">
        <f t="shared" ca="1" si="15"/>
        <v>3.4000000000000004</v>
      </c>
      <c r="N118" s="20" t="s">
        <v>1002</v>
      </c>
      <c r="O118" s="20"/>
      <c r="P118" s="20"/>
      <c r="Q118" s="134"/>
      <c r="R118" s="127"/>
      <c r="S118" s="157">
        <f t="shared" si="16"/>
        <v>2</v>
      </c>
      <c r="T118" s="158"/>
      <c r="U118" s="21">
        <v>0</v>
      </c>
      <c r="V118" s="21">
        <v>1</v>
      </c>
      <c r="W118" s="21">
        <v>0</v>
      </c>
      <c r="X118" s="156">
        <v>2</v>
      </c>
      <c r="Y118" s="157">
        <f t="shared" si="17"/>
        <v>2</v>
      </c>
      <c r="Z118" s="22"/>
      <c r="AA118" s="157">
        <f t="shared" si="18"/>
        <v>2</v>
      </c>
      <c r="AB118" s="20"/>
      <c r="AC118" s="34"/>
      <c r="AD118" s="23" t="str">
        <f t="shared" si="19"/>
        <v/>
      </c>
    </row>
    <row r="119" spans="1:30" ht="15.5" outlineLevel="2" x14ac:dyDescent="0.35">
      <c r="A119" s="86" t="s">
        <v>0</v>
      </c>
      <c r="B119" s="18"/>
      <c r="C119" s="78"/>
      <c r="D119" s="78"/>
      <c r="E119" s="78"/>
      <c r="F119" s="79"/>
      <c r="G119" s="19" t="s">
        <v>23</v>
      </c>
      <c r="H119" s="19" t="s">
        <v>23</v>
      </c>
      <c r="I119" s="20" t="s">
        <v>23</v>
      </c>
      <c r="J119" s="19" t="s">
        <v>23</v>
      </c>
      <c r="K119" s="35"/>
      <c r="L119" s="19"/>
      <c r="M119" s="263">
        <f t="shared" ca="1" si="15"/>
        <v>3.5000000000000004</v>
      </c>
      <c r="N119" s="20" t="s">
        <v>1003</v>
      </c>
      <c r="O119" s="20"/>
      <c r="P119" s="20"/>
      <c r="Q119" s="134"/>
      <c r="R119" s="127"/>
      <c r="S119" s="157">
        <f t="shared" si="16"/>
        <v>2.5</v>
      </c>
      <c r="T119" s="158"/>
      <c r="U119" s="21">
        <v>0</v>
      </c>
      <c r="V119" s="21">
        <v>1</v>
      </c>
      <c r="W119" s="21">
        <v>0</v>
      </c>
      <c r="X119" s="156">
        <v>2.5</v>
      </c>
      <c r="Y119" s="157">
        <f t="shared" si="17"/>
        <v>2.5</v>
      </c>
      <c r="Z119" s="22"/>
      <c r="AA119" s="157">
        <f t="shared" si="18"/>
        <v>2.5</v>
      </c>
      <c r="AB119" s="20"/>
      <c r="AC119" s="34"/>
      <c r="AD119" s="23" t="str">
        <f t="shared" si="19"/>
        <v/>
      </c>
    </row>
    <row r="120" spans="1:30" ht="15.5" outlineLevel="2" x14ac:dyDescent="0.35">
      <c r="A120" s="86" t="s">
        <v>0</v>
      </c>
      <c r="B120" s="18"/>
      <c r="C120" s="78"/>
      <c r="D120" s="78"/>
      <c r="E120" s="78"/>
      <c r="F120" s="79"/>
      <c r="G120" s="19" t="s">
        <v>23</v>
      </c>
      <c r="H120" s="19" t="s">
        <v>23</v>
      </c>
      <c r="I120" s="20" t="s">
        <v>23</v>
      </c>
      <c r="J120" s="19" t="s">
        <v>23</v>
      </c>
      <c r="K120" s="35"/>
      <c r="L120" s="19"/>
      <c r="M120" s="263">
        <f t="shared" ca="1" si="15"/>
        <v>3.6000000000000005</v>
      </c>
      <c r="N120" s="20" t="s">
        <v>1004</v>
      </c>
      <c r="O120" s="20"/>
      <c r="P120" s="20"/>
      <c r="Q120" s="134"/>
      <c r="R120" s="127"/>
      <c r="S120" s="157">
        <f t="shared" si="16"/>
        <v>1.5</v>
      </c>
      <c r="T120" s="158"/>
      <c r="U120" s="21">
        <v>0</v>
      </c>
      <c r="V120" s="21">
        <v>1</v>
      </c>
      <c r="W120" s="21">
        <v>0</v>
      </c>
      <c r="X120" s="156">
        <v>1.5</v>
      </c>
      <c r="Y120" s="157">
        <f t="shared" si="17"/>
        <v>1.5</v>
      </c>
      <c r="Z120" s="22"/>
      <c r="AA120" s="157">
        <f t="shared" si="18"/>
        <v>1.5</v>
      </c>
      <c r="AB120" s="20"/>
      <c r="AC120" s="34"/>
      <c r="AD120" s="23" t="str">
        <f t="shared" si="19"/>
        <v/>
      </c>
    </row>
    <row r="121" spans="1:30" ht="15.5" outlineLevel="2" x14ac:dyDescent="0.35">
      <c r="A121" s="86" t="s">
        <v>0</v>
      </c>
      <c r="B121" s="18"/>
      <c r="C121" s="78"/>
      <c r="D121" s="78"/>
      <c r="E121" s="78"/>
      <c r="F121" s="79"/>
      <c r="G121" s="19" t="s">
        <v>23</v>
      </c>
      <c r="H121" s="19" t="s">
        <v>23</v>
      </c>
      <c r="I121" s="20" t="s">
        <v>23</v>
      </c>
      <c r="J121" s="19" t="s">
        <v>23</v>
      </c>
      <c r="K121" s="35"/>
      <c r="L121" s="19"/>
      <c r="M121" s="263">
        <f t="shared" ca="1" si="15"/>
        <v>3.7000000000000006</v>
      </c>
      <c r="N121" s="20" t="s">
        <v>1005</v>
      </c>
      <c r="O121" s="20"/>
      <c r="P121" s="20"/>
      <c r="Q121" s="134"/>
      <c r="R121" s="127"/>
      <c r="S121" s="157">
        <f t="shared" si="16"/>
        <v>1.5</v>
      </c>
      <c r="T121" s="158"/>
      <c r="U121" s="21">
        <v>0</v>
      </c>
      <c r="V121" s="21">
        <v>1</v>
      </c>
      <c r="W121" s="21">
        <v>0</v>
      </c>
      <c r="X121" s="156">
        <v>1.5</v>
      </c>
      <c r="Y121" s="157">
        <f t="shared" si="17"/>
        <v>1.5</v>
      </c>
      <c r="Z121" s="22"/>
      <c r="AA121" s="157">
        <f t="shared" si="18"/>
        <v>1.5</v>
      </c>
      <c r="AB121" s="20"/>
      <c r="AC121" s="34"/>
      <c r="AD121" s="23" t="str">
        <f t="shared" si="19"/>
        <v/>
      </c>
    </row>
    <row r="122" spans="1:30" ht="58" outlineLevel="2" x14ac:dyDescent="0.35">
      <c r="A122" s="86" t="s">
        <v>0</v>
      </c>
      <c r="B122" s="18"/>
      <c r="C122" s="78"/>
      <c r="D122" s="78"/>
      <c r="E122" s="78"/>
      <c r="F122" s="79"/>
      <c r="G122" s="19" t="s">
        <v>23</v>
      </c>
      <c r="H122" s="19" t="s">
        <v>23</v>
      </c>
      <c r="I122" s="20" t="s">
        <v>23</v>
      </c>
      <c r="J122" s="19" t="s">
        <v>23</v>
      </c>
      <c r="K122" s="35"/>
      <c r="L122" s="19"/>
      <c r="M122" s="263">
        <f ca="1">IFERROR(OFFSET(M122,-1,,1,1)+0.1,OFFSET(M122,-1,-1,1,1)&amp;".1")</f>
        <v>3.8000000000000007</v>
      </c>
      <c r="N122" s="20" t="s">
        <v>438</v>
      </c>
      <c r="O122" s="20"/>
      <c r="P122" s="20"/>
      <c r="Q122" s="134"/>
      <c r="R122" s="127"/>
      <c r="S122" s="157">
        <f>CEILING((IF(J122="Yes", 0, IF(H122="-",AA122,AA122+AA122*VLOOKUP(H122,BUFFERS_BY_TYPE,2,FALSE)))) +
   (IF(J122="Yes", 0, IF(H122="-",AA122,AA122+AA122*VLOOKUP(H122,BUFFERS_BY_TYPE,2,FALSE))))*VLOOKUP($S$5, SALES_CALL_SCALE_ARRAY, 2,FALSE),0.25)</f>
        <v>0</v>
      </c>
      <c r="T122" s="158"/>
      <c r="U122" s="21">
        <v>0</v>
      </c>
      <c r="V122" s="21">
        <v>1</v>
      </c>
      <c r="W122" s="21">
        <v>0</v>
      </c>
      <c r="X122" s="156"/>
      <c r="Y122" s="157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>0</v>
      </c>
      <c r="Z122" s="22"/>
      <c r="AA122" s="157">
        <f>Y122+Y122*VLOOKUP(I122,EXTRAS_ARRAY,2,FALSE)</f>
        <v>0</v>
      </c>
      <c r="AB122" s="20" t="s">
        <v>440</v>
      </c>
      <c r="AC122" s="34"/>
      <c r="AD122" s="23" t="str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>Error: Effort value is not defined or is invalid.</v>
      </c>
    </row>
    <row r="123" spans="1:30" ht="58" outlineLevel="2" x14ac:dyDescent="0.35">
      <c r="A123" s="86" t="s">
        <v>0</v>
      </c>
      <c r="B123" s="18"/>
      <c r="C123" s="78"/>
      <c r="D123" s="78"/>
      <c r="E123" s="78"/>
      <c r="F123" s="79"/>
      <c r="G123" s="19" t="s">
        <v>23</v>
      </c>
      <c r="H123" s="19" t="s">
        <v>23</v>
      </c>
      <c r="I123" s="20" t="s">
        <v>23</v>
      </c>
      <c r="J123" s="19" t="s">
        <v>23</v>
      </c>
      <c r="K123" s="35"/>
      <c r="L123" s="19"/>
      <c r="M123" s="263">
        <f ca="1">IFERROR(OFFSET(M123,-1,,1,1)+0.1,OFFSET(M123,-1,-1,1,1)&amp;".1")</f>
        <v>3.9000000000000008</v>
      </c>
      <c r="N123" s="20" t="s">
        <v>438</v>
      </c>
      <c r="O123" s="20"/>
      <c r="P123" s="20"/>
      <c r="Q123" s="134"/>
      <c r="R123" s="127"/>
      <c r="S123" s="157">
        <f>CEILING((IF(J123="Yes", 0, IF(H123="-",AA123,AA123+AA123*VLOOKUP(H123,BUFFERS_BY_TYPE,2,FALSE)))) +
   (IF(J123="Yes", 0, IF(H123="-",AA123,AA123+AA123*VLOOKUP(H123,BUFFERS_BY_TYPE,2,FALSE))))*VLOOKUP($S$5, SALES_CALL_SCALE_ARRAY, 2,FALSE),0.25)</f>
        <v>0</v>
      </c>
      <c r="T123" s="158"/>
      <c r="U123" s="21">
        <v>0</v>
      </c>
      <c r="V123" s="21">
        <v>1</v>
      </c>
      <c r="W123" s="21">
        <v>0</v>
      </c>
      <c r="X123" s="156"/>
      <c r="Y123" s="157">
        <f>CEILING((IF(P123=AS_DEV_EFFORT, DEV_EFFORT*Q123%,
                           IF(P123=AS_DURATION_EFFORT, (MANUAL_DURATION*5)*Q123%,
                                    (IF(Q123&lt;=1,X123,
                                          IF(SUM(U123:W123)=0,(Q123*X123),
                                               (((Q123*U123)*(X123+(X123*EXTRA_FOR_H)))+
                                               ((Q123*V123)*X123)+
                                               ((Q123*W123)*(X123-(X123*LESS_FOR_L)))
                                    )*IF(R123=0,1,R123))))))+Z123), 0.25)</f>
        <v>0</v>
      </c>
      <c r="Z123" s="22"/>
      <c r="AA123" s="157">
        <f>Y123+Y123*VLOOKUP(I123,EXTRAS_ARRAY,2,FALSE)</f>
        <v>0</v>
      </c>
      <c r="AB123" s="20" t="s">
        <v>440</v>
      </c>
      <c r="AC123" s="34"/>
      <c r="AD123" s="23" t="str">
        <f>IF(J123&lt;&gt;"Yes",
IF(S123&lt;=0,"Error: Effort value is not defined or is invalid.",
IF(AND(SUM(U123:W123)&gt;0,SUM(U123:W123)&lt;&gt;1),"Error: Complexity % distribution should sum to 100%.",
IF(AND(P123=AS_DEV_EFFORT,X123&lt;&gt;0),"Error: PDs should not be defined when defining as dev effort %.",
IF(AND(P123=AS_DURATION_EFFORT,X123&lt;&gt;0),"Error: PDs should not be defined when defining as duration effort %.","")))))</f>
        <v>Error: Effort value is not defined or is invalid.</v>
      </c>
    </row>
    <row r="124" spans="1:30" ht="58" outlineLevel="2" x14ac:dyDescent="0.35">
      <c r="A124" s="86" t="s">
        <v>0</v>
      </c>
      <c r="B124" s="18"/>
      <c r="C124" s="78"/>
      <c r="D124" s="78"/>
      <c r="E124" s="78"/>
      <c r="F124" s="79"/>
      <c r="G124" s="19" t="s">
        <v>23</v>
      </c>
      <c r="H124" s="19" t="s">
        <v>23</v>
      </c>
      <c r="I124" s="20" t="s">
        <v>23</v>
      </c>
      <c r="J124" s="19" t="s">
        <v>23</v>
      </c>
      <c r="K124" s="35"/>
      <c r="L124" s="19"/>
      <c r="M124" s="263">
        <f ca="1">IFERROR(OFFSET(M124,-1,,1,1)+0.1,OFFSET(M124,-1,-1,1,1)&amp;".1")</f>
        <v>4.0000000000000009</v>
      </c>
      <c r="N124" s="20" t="s">
        <v>438</v>
      </c>
      <c r="O124" s="20"/>
      <c r="P124" s="20"/>
      <c r="Q124" s="134"/>
      <c r="R124" s="127"/>
      <c r="S124" s="157">
        <f>CEILING((IF(J124="Yes", 0, IF(H124="-",AA124,AA124+AA124*VLOOKUP(H124,BUFFERS_BY_TYPE,2,FALSE)))) +
   (IF(J124="Yes", 0, IF(H124="-",AA124,AA124+AA124*VLOOKUP(H124,BUFFERS_BY_TYPE,2,FALSE))))*VLOOKUP($S$5, SALES_CALL_SCALE_ARRAY, 2,FALSE),0.25)</f>
        <v>0</v>
      </c>
      <c r="T124" s="158"/>
      <c r="U124" s="21">
        <v>0</v>
      </c>
      <c r="V124" s="21">
        <v>1</v>
      </c>
      <c r="W124" s="21">
        <v>0</v>
      </c>
      <c r="X124" s="156"/>
      <c r="Y124" s="157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0</v>
      </c>
      <c r="Z124" s="22"/>
      <c r="AA124" s="157">
        <f>Y124+Y124*VLOOKUP(I124,EXTRAS_ARRAY,2,FALSE)</f>
        <v>0</v>
      </c>
      <c r="AB124" s="20" t="s">
        <v>440</v>
      </c>
      <c r="AC124" s="34"/>
      <c r="AD124" s="23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>Error: Effort value is not defined or is invalid.</v>
      </c>
    </row>
    <row r="125" spans="1:30" s="9" customFormat="1" ht="7.5" customHeight="1" outlineLevel="2" x14ac:dyDescent="0.35">
      <c r="A125" s="86" t="s">
        <v>132</v>
      </c>
      <c r="B125" s="15"/>
      <c r="C125" s="72"/>
      <c r="D125" s="72"/>
      <c r="E125" s="72"/>
      <c r="F125" s="72"/>
      <c r="M125" s="252"/>
      <c r="T125" s="15"/>
      <c r="X125" s="15"/>
      <c r="AB125" s="10"/>
      <c r="AC125" s="10"/>
      <c r="AD125" s="10"/>
    </row>
    <row r="126" spans="1:30" s="14" customFormat="1" ht="15.5" outlineLevel="1" collapsed="1" x14ac:dyDescent="0.35">
      <c r="A126" s="86" t="s">
        <v>100</v>
      </c>
      <c r="B126" s="18"/>
      <c r="C126" s="77"/>
      <c r="D126" s="77"/>
      <c r="E126" s="77"/>
      <c r="F126" s="76"/>
      <c r="G126" s="29"/>
      <c r="H126" s="29"/>
      <c r="I126" s="29"/>
      <c r="J126" s="29"/>
      <c r="K126" s="29"/>
      <c r="L126" s="17">
        <f ca="1">LOOKUP(1000,INDIRECT("L1:"&amp;CELL("address",INDIRECT("R[-1]C",FALSE))))+1</f>
        <v>4</v>
      </c>
      <c r="M126" s="310" t="s">
        <v>1006</v>
      </c>
      <c r="N126" s="310"/>
      <c r="O126" s="5"/>
      <c r="P126" s="30"/>
      <c r="Q126" s="30"/>
      <c r="R126" s="30"/>
      <c r="S126" s="30"/>
      <c r="T126" s="155">
        <f>IF($S$6="Exclude", SUMIFS(S127:S133, J127:J133, "&lt;&gt;Yes", G127:G133, "&lt;&gt;Yes"), SUMIFS(S127:S133, J127:J133, "&lt;&gt;Yes"))</f>
        <v>18</v>
      </c>
      <c r="U126" s="30"/>
      <c r="V126" s="30"/>
      <c r="W126" s="30"/>
      <c r="X126" s="31"/>
      <c r="Y126" s="32"/>
      <c r="Z126" s="32"/>
      <c r="AA126" s="32"/>
      <c r="AB126" s="219" t="s">
        <v>947</v>
      </c>
      <c r="AC126" s="33"/>
      <c r="AD126" s="23" t="str">
        <f>IF(M126="", "Error: Task name cannot be empty.", "")</f>
        <v/>
      </c>
    </row>
    <row r="127" spans="1:30" s="12" customFormat="1" ht="1.5" hidden="1" customHeight="1" outlineLevel="2" x14ac:dyDescent="0.35">
      <c r="A127" s="86" t="s">
        <v>101</v>
      </c>
      <c r="B127" s="18"/>
      <c r="C127" s="77"/>
      <c r="D127" s="77"/>
      <c r="E127" s="77"/>
      <c r="F127" s="76"/>
      <c r="G127" s="29"/>
      <c r="H127" s="29"/>
      <c r="I127" s="29"/>
      <c r="J127" s="29"/>
      <c r="K127" s="29"/>
      <c r="L127" s="163">
        <f ca="1">L126</f>
        <v>4</v>
      </c>
      <c r="M127" s="164" t="s">
        <v>105</v>
      </c>
      <c r="N127" s="161"/>
      <c r="O127" s="162"/>
      <c r="P127" s="30"/>
      <c r="Q127" s="30"/>
      <c r="R127" s="30"/>
      <c r="S127" s="30"/>
      <c r="T127" s="155"/>
      <c r="U127" s="30"/>
      <c r="V127" s="30"/>
      <c r="W127" s="30"/>
      <c r="X127" s="31"/>
      <c r="Y127" s="32"/>
      <c r="Z127" s="32"/>
      <c r="AA127" s="32"/>
      <c r="AB127" s="33"/>
      <c r="AC127" s="33"/>
      <c r="AD127" s="23"/>
    </row>
    <row r="128" spans="1:30" ht="15.5" hidden="1" outlineLevel="2" x14ac:dyDescent="0.35">
      <c r="A128" s="86" t="s">
        <v>0</v>
      </c>
      <c r="B128" s="18"/>
      <c r="C128" s="78"/>
      <c r="D128" s="78"/>
      <c r="E128" s="78"/>
      <c r="F128" s="79"/>
      <c r="G128" s="19" t="s">
        <v>23</v>
      </c>
      <c r="H128" s="19" t="s">
        <v>23</v>
      </c>
      <c r="I128" s="20" t="s">
        <v>23</v>
      </c>
      <c r="J128" s="19" t="s">
        <v>23</v>
      </c>
      <c r="K128" s="35"/>
      <c r="L128" s="19"/>
      <c r="M128" s="263" t="str">
        <f ca="1">IFERROR(OFFSET(M128,-1,,1,1)+0.1,OFFSET(M128,-1,-1,1,1)&amp;".1")</f>
        <v>4.1</v>
      </c>
      <c r="N128" s="20" t="s">
        <v>1007</v>
      </c>
      <c r="O128" s="20"/>
      <c r="P128" s="20"/>
      <c r="Q128" s="134"/>
      <c r="R128" s="127"/>
      <c r="S128" s="157">
        <f>CEILING((IF(J128="Yes", 0, IF(H128="-",AA128,AA128+AA128*VLOOKUP(H128,BUFFERS_BY_TYPE,2,FALSE)))) +
   (IF(J128="Yes", 0, IF(H128="-",AA128,AA128+AA128*VLOOKUP(H128,BUFFERS_BY_TYPE,2,FALSE))))*VLOOKUP($S$5, SALES_CALL_SCALE_ARRAY, 2,FALSE),0.25)</f>
        <v>3</v>
      </c>
      <c r="T128" s="158"/>
      <c r="U128" s="21">
        <v>0</v>
      </c>
      <c r="V128" s="21">
        <v>1</v>
      </c>
      <c r="W128" s="21">
        <v>0</v>
      </c>
      <c r="X128" s="156">
        <v>3</v>
      </c>
      <c r="Y128" s="157">
        <f>CEILING((IF(P128=AS_DEV_EFFORT, DEV_EFFORT*Q128%,
                           IF(P128=AS_DURATION_EFFORT, (MANUAL_DURATION*5)*Q128%,
                                    (IF(Q128&lt;=1,X128,
                                          IF(SUM(U128:W128)=0,(Q128*X128),
                                               (((Q128*U128)*(X128+(X128*EXTRA_FOR_H)))+
                                               ((Q128*V128)*X128)+
                                               ((Q128*W128)*(X128-(X128*LESS_FOR_L)))
                                    )*IF(R128=0,1,R128))))))+Z128), 0.25)</f>
        <v>3</v>
      </c>
      <c r="Z128" s="22"/>
      <c r="AA128" s="157">
        <f>Y128+Y128*VLOOKUP(I128,EXTRAS_ARRAY,2,FALSE)</f>
        <v>3</v>
      </c>
      <c r="AB128" s="20"/>
      <c r="AC128" s="34"/>
      <c r="AD128" s="23" t="str">
        <f>IF(J128&lt;&gt;"Yes",
IF(S128&lt;=0,"Error: Effort value is not defined or is invalid.",
IF(AND(SUM(U128:W128)&gt;0,SUM(U128:W128)&lt;&gt;1),"Error: Complexity % distribution should sum to 100%.",
IF(AND(P128=AS_DEV_EFFORT,X128&lt;&gt;0),"Error: PDs should not be defined when defining as dev effort %.",
IF(AND(P128=AS_DURATION_EFFORT,X128&lt;&gt;0),"Error: PDs should not be defined when defining as duration effort %.","")))))</f>
        <v/>
      </c>
    </row>
    <row r="129" spans="1:30" ht="29" hidden="1" outlineLevel="2" x14ac:dyDescent="0.35">
      <c r="A129" s="86" t="s">
        <v>0</v>
      </c>
      <c r="B129" s="18"/>
      <c r="C129" s="78"/>
      <c r="D129" s="78"/>
      <c r="E129" s="78"/>
      <c r="F129" s="79"/>
      <c r="G129" s="19" t="s">
        <v>23</v>
      </c>
      <c r="H129" s="19" t="s">
        <v>23</v>
      </c>
      <c r="I129" s="20" t="s">
        <v>23</v>
      </c>
      <c r="J129" s="19" t="s">
        <v>23</v>
      </c>
      <c r="K129" s="35"/>
      <c r="L129" s="19"/>
      <c r="M129" s="263">
        <f ca="1">IFERROR(OFFSET(M129,-1,,1,1)+0.1,OFFSET(M129,-1,-1,1,1)&amp;".1")</f>
        <v>4.1999999999999993</v>
      </c>
      <c r="N129" s="20" t="s">
        <v>1008</v>
      </c>
      <c r="O129" s="20"/>
      <c r="P129" s="20"/>
      <c r="Q129" s="134"/>
      <c r="R129" s="127"/>
      <c r="S129" s="157">
        <f>CEILING((IF(J129="Yes", 0, IF(H129="-",AA129,AA129+AA129*VLOOKUP(H129,BUFFERS_BY_TYPE,2,FALSE)))) +
   (IF(J129="Yes", 0, IF(H129="-",AA129,AA129+AA129*VLOOKUP(H129,BUFFERS_BY_TYPE,2,FALSE))))*VLOOKUP($S$5, SALES_CALL_SCALE_ARRAY, 2,FALSE),0.25)</f>
        <v>5</v>
      </c>
      <c r="T129" s="158"/>
      <c r="U129" s="21">
        <v>0</v>
      </c>
      <c r="V129" s="21">
        <v>1</v>
      </c>
      <c r="W129" s="21">
        <v>0</v>
      </c>
      <c r="X129" s="156">
        <v>5</v>
      </c>
      <c r="Y129" s="157">
        <f>CEILING((IF(P129=AS_DEV_EFFORT, DEV_EFFORT*Q129%,
                           IF(P129=AS_DURATION_EFFORT, (MANUAL_DURATION*5)*Q129%,
                                    (IF(Q129&lt;=1,X129,
                                          IF(SUM(U129:W129)=0,(Q129*X129),
                                               (((Q129*U129)*(X129+(X129*EXTRA_FOR_H)))+
                                               ((Q129*V129)*X129)+
                                               ((Q129*W129)*(X129-(X129*LESS_FOR_L)))
                                    )*IF(R129=0,1,R129))))))+Z129), 0.25)</f>
        <v>5</v>
      </c>
      <c r="Z129" s="22"/>
      <c r="AA129" s="157">
        <f>Y129+Y129*VLOOKUP(I129,EXTRAS_ARRAY,2,FALSE)</f>
        <v>5</v>
      </c>
      <c r="AB129" s="20"/>
      <c r="AC129" s="34"/>
      <c r="AD129" s="23" t="str">
        <f>IF(J129&lt;&gt;"Yes",
IF(S129&lt;=0,"Error: Effort value is not defined or is invalid.",
IF(AND(SUM(U129:W129)&gt;0,SUM(U129:W129)&lt;&gt;1),"Error: Complexity % distribution should sum to 100%.",
IF(AND(P129=AS_DEV_EFFORT,X129&lt;&gt;0),"Error: PDs should not be defined when defining as dev effort %.",
IF(AND(P129=AS_DURATION_EFFORT,X129&lt;&gt;0),"Error: PDs should not be defined when defining as duration effort %.","")))))</f>
        <v/>
      </c>
    </row>
    <row r="130" spans="1:30" ht="15.5" hidden="1" outlineLevel="2" x14ac:dyDescent="0.35">
      <c r="A130" s="86" t="s">
        <v>0</v>
      </c>
      <c r="B130" s="18"/>
      <c r="C130" s="78"/>
      <c r="D130" s="78"/>
      <c r="E130" s="78"/>
      <c r="F130" s="79"/>
      <c r="G130" s="19" t="s">
        <v>23</v>
      </c>
      <c r="H130" s="19" t="s">
        <v>23</v>
      </c>
      <c r="I130" s="20" t="s">
        <v>23</v>
      </c>
      <c r="J130" s="19" t="s">
        <v>23</v>
      </c>
      <c r="K130" s="35"/>
      <c r="L130" s="19"/>
      <c r="M130" s="263">
        <f ca="1">IFERROR(OFFSET(M130,-1,,1,1)+0.1,OFFSET(M130,-1,-1,1,1)&amp;".1")</f>
        <v>4.2999999999999989</v>
      </c>
      <c r="N130" s="20" t="s">
        <v>1009</v>
      </c>
      <c r="O130" s="20"/>
      <c r="P130" s="20"/>
      <c r="Q130" s="134"/>
      <c r="R130" s="127"/>
      <c r="S130" s="157">
        <f>CEILING((IF(J130="Yes", 0, IF(H130="-",AA130,AA130+AA130*VLOOKUP(H130,BUFFERS_BY_TYPE,2,FALSE)))) +
   (IF(J130="Yes", 0, IF(H130="-",AA130,AA130+AA130*VLOOKUP(H130,BUFFERS_BY_TYPE,2,FALSE))))*VLOOKUP($S$5, SALES_CALL_SCALE_ARRAY, 2,FALSE),0.25)</f>
        <v>5</v>
      </c>
      <c r="T130" s="158"/>
      <c r="U130" s="21">
        <v>0</v>
      </c>
      <c r="V130" s="21">
        <v>1</v>
      </c>
      <c r="W130" s="21">
        <v>0</v>
      </c>
      <c r="X130" s="156">
        <v>5</v>
      </c>
      <c r="Y130" s="157">
        <f>CEILING((IF(P130=AS_DEV_EFFORT, DEV_EFFORT*Q130%,
                           IF(P130=AS_DURATION_EFFORT, (MANUAL_DURATION*5)*Q130%,
                                    (IF(Q130&lt;=1,X130,
                                          IF(SUM(U130:W130)=0,(Q130*X130),
                                               (((Q130*U130)*(X130+(X130*EXTRA_FOR_H)))+
                                               ((Q130*V130)*X130)+
                                               ((Q130*W130)*(X130-(X130*LESS_FOR_L)))
                                    )*IF(R130=0,1,R130))))))+Z130), 0.25)</f>
        <v>5</v>
      </c>
      <c r="Z130" s="22"/>
      <c r="AA130" s="157">
        <f>Y130+Y130*VLOOKUP(I130,EXTRAS_ARRAY,2,FALSE)</f>
        <v>5</v>
      </c>
      <c r="AB130" s="20"/>
      <c r="AC130" s="34"/>
      <c r="AD130" s="23" t="str">
        <f>IF(J130&lt;&gt;"Yes",
IF(S130&lt;=0,"Error: Effort value is not defined or is invalid.",
IF(AND(SUM(U130:W130)&gt;0,SUM(U130:W130)&lt;&gt;1),"Error: Complexity % distribution should sum to 100%.",
IF(AND(P130=AS_DEV_EFFORT,X130&lt;&gt;0),"Error: PDs should not be defined when defining as dev effort %.",
IF(AND(P130=AS_DURATION_EFFORT,X130&lt;&gt;0),"Error: PDs should not be defined when defining as duration effort %.","")))))</f>
        <v/>
      </c>
    </row>
    <row r="131" spans="1:30" ht="29" hidden="1" outlineLevel="2" x14ac:dyDescent="0.35">
      <c r="A131" s="86" t="s">
        <v>0</v>
      </c>
      <c r="B131" s="18"/>
      <c r="C131" s="78"/>
      <c r="D131" s="78"/>
      <c r="E131" s="78"/>
      <c r="F131" s="79"/>
      <c r="G131" s="19" t="s">
        <v>23</v>
      </c>
      <c r="H131" s="19" t="s">
        <v>23</v>
      </c>
      <c r="I131" s="20" t="s">
        <v>23</v>
      </c>
      <c r="J131" s="19" t="s">
        <v>23</v>
      </c>
      <c r="K131" s="35"/>
      <c r="L131" s="19"/>
      <c r="M131" s="263">
        <f ca="1">IFERROR(OFFSET(M131,-1,,1,1)+0.1,OFFSET(M131,-1,-1,1,1)&amp;".1")</f>
        <v>4.3999999999999986</v>
      </c>
      <c r="N131" s="20" t="s">
        <v>1010</v>
      </c>
      <c r="O131" s="20"/>
      <c r="P131" s="20"/>
      <c r="Q131" s="134"/>
      <c r="R131" s="127"/>
      <c r="S131" s="157">
        <f>CEILING((IF(J131="Yes", 0, IF(H131="-",AA131,AA131+AA131*VLOOKUP(H131,BUFFERS_BY_TYPE,2,FALSE)))) +
   (IF(J131="Yes", 0, IF(H131="-",AA131,AA131+AA131*VLOOKUP(H131,BUFFERS_BY_TYPE,2,FALSE))))*VLOOKUP($S$5, SALES_CALL_SCALE_ARRAY, 2,FALSE),0.25)</f>
        <v>3</v>
      </c>
      <c r="T131" s="158"/>
      <c r="U131" s="21">
        <v>0</v>
      </c>
      <c r="V131" s="21">
        <v>1</v>
      </c>
      <c r="W131" s="21">
        <v>0</v>
      </c>
      <c r="X131" s="156">
        <v>3</v>
      </c>
      <c r="Y131" s="157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>3</v>
      </c>
      <c r="Z131" s="22"/>
      <c r="AA131" s="157">
        <f>Y131+Y131*VLOOKUP(I131,EXTRAS_ARRAY,2,FALSE)</f>
        <v>3</v>
      </c>
      <c r="AB131" s="20"/>
      <c r="AC131" s="34"/>
      <c r="AD131" s="23" t="str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spans="1:30" ht="15.5" hidden="1" outlineLevel="2" x14ac:dyDescent="0.35">
      <c r="A132" s="86" t="s">
        <v>0</v>
      </c>
      <c r="B132" s="18"/>
      <c r="C132" s="78"/>
      <c r="D132" s="78"/>
      <c r="E132" s="78"/>
      <c r="F132" s="79"/>
      <c r="G132" s="19" t="s">
        <v>23</v>
      </c>
      <c r="H132" s="19" t="s">
        <v>23</v>
      </c>
      <c r="I132" s="20" t="s">
        <v>23</v>
      </c>
      <c r="J132" s="19" t="s">
        <v>23</v>
      </c>
      <c r="K132" s="35"/>
      <c r="L132" s="19"/>
      <c r="M132" s="263">
        <f ca="1">IFERROR(OFFSET(M132,-1,,1,1)+0.1,OFFSET(M132,-1,-1,1,1)&amp;".1")</f>
        <v>4.4999999999999982</v>
      </c>
      <c r="N132" s="20" t="s">
        <v>1011</v>
      </c>
      <c r="O132" s="20"/>
      <c r="P132" s="20"/>
      <c r="Q132" s="134"/>
      <c r="R132" s="127"/>
      <c r="S132" s="157">
        <f>CEILING((IF(J132="Yes", 0, IF(H132="-",AA132,AA132+AA132*VLOOKUP(H132,BUFFERS_BY_TYPE,2,FALSE)))) +
   (IF(J132="Yes", 0, IF(H132="-",AA132,AA132+AA132*VLOOKUP(H132,BUFFERS_BY_TYPE,2,FALSE))))*VLOOKUP($S$5, SALES_CALL_SCALE_ARRAY, 2,FALSE),0.25)</f>
        <v>2</v>
      </c>
      <c r="T132" s="158"/>
      <c r="U132" s="21">
        <v>0</v>
      </c>
      <c r="V132" s="21">
        <v>1</v>
      </c>
      <c r="W132" s="21">
        <v>0</v>
      </c>
      <c r="X132" s="156">
        <v>2</v>
      </c>
      <c r="Y132" s="157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2</v>
      </c>
      <c r="Z132" s="22"/>
      <c r="AA132" s="157">
        <f>Y132+Y132*VLOOKUP(I132,EXTRAS_ARRAY,2,FALSE)</f>
        <v>2</v>
      </c>
      <c r="AB132" s="20"/>
      <c r="AC132" s="34"/>
      <c r="AD132" s="23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spans="1:30" s="9" customFormat="1" ht="7.5" hidden="1" customHeight="1" outlineLevel="2" x14ac:dyDescent="0.35">
      <c r="A133" s="86" t="s">
        <v>132</v>
      </c>
      <c r="B133" s="15"/>
      <c r="C133" s="72"/>
      <c r="D133" s="72"/>
      <c r="E133" s="72"/>
      <c r="F133" s="72"/>
      <c r="M133" s="252"/>
      <c r="T133" s="15"/>
      <c r="X133" s="15"/>
      <c r="AB133" s="10"/>
      <c r="AC133" s="10"/>
      <c r="AD133" s="10"/>
    </row>
    <row r="134" spans="1:30" s="14" customFormat="1" ht="29" outlineLevel="1" collapsed="1" x14ac:dyDescent="0.35">
      <c r="A134" s="86" t="s">
        <v>100</v>
      </c>
      <c r="B134" s="18"/>
      <c r="C134" s="77"/>
      <c r="D134" s="77"/>
      <c r="E134" s="77"/>
      <c r="F134" s="76"/>
      <c r="G134" s="29"/>
      <c r="H134" s="29"/>
      <c r="I134" s="29"/>
      <c r="J134" s="29"/>
      <c r="K134" s="29"/>
      <c r="L134" s="17">
        <f ca="1">LOOKUP(1000,INDIRECT("L1:"&amp;CELL("address",INDIRECT("R[-1]C",FALSE))))+1</f>
        <v>5</v>
      </c>
      <c r="M134" s="310" t="s">
        <v>1012</v>
      </c>
      <c r="N134" s="310"/>
      <c r="O134" s="5"/>
      <c r="P134" s="30"/>
      <c r="Q134" s="30"/>
      <c r="R134" s="30"/>
      <c r="S134" s="30"/>
      <c r="T134" s="155">
        <f>IF($S$6="Exclude", SUMIFS(S135:S141, J135:J141, "&lt;&gt;Yes", G135:G141, "&lt;&gt;Yes"), SUMIFS(S135:S141, J135:J141, "&lt;&gt;Yes"))</f>
        <v>12</v>
      </c>
      <c r="U134" s="30"/>
      <c r="V134" s="30"/>
      <c r="W134" s="30"/>
      <c r="X134" s="31"/>
      <c r="Y134" s="32"/>
      <c r="Z134" s="32"/>
      <c r="AA134" s="32"/>
      <c r="AB134" s="219" t="s">
        <v>1013</v>
      </c>
      <c r="AC134" s="33"/>
      <c r="AD134" s="23" t="str">
        <f>IF(M134="", "Error: Task name cannot be empty.", "")</f>
        <v/>
      </c>
    </row>
    <row r="135" spans="1:30" s="12" customFormat="1" ht="1.5" hidden="1" customHeight="1" outlineLevel="2" x14ac:dyDescent="0.35">
      <c r="A135" s="86" t="s">
        <v>101</v>
      </c>
      <c r="B135" s="18"/>
      <c r="C135" s="77"/>
      <c r="D135" s="77"/>
      <c r="E135" s="77"/>
      <c r="F135" s="76"/>
      <c r="G135" s="29"/>
      <c r="H135" s="29"/>
      <c r="I135" s="29"/>
      <c r="J135" s="29"/>
      <c r="K135" s="29"/>
      <c r="L135" s="163">
        <f ca="1">L134</f>
        <v>5</v>
      </c>
      <c r="M135" s="164" t="s">
        <v>105</v>
      </c>
      <c r="N135" s="161"/>
      <c r="O135" s="162"/>
      <c r="P135" s="30"/>
      <c r="Q135" s="30"/>
      <c r="R135" s="30"/>
      <c r="S135" s="30"/>
      <c r="T135" s="155"/>
      <c r="U135" s="30"/>
      <c r="V135" s="30"/>
      <c r="W135" s="30"/>
      <c r="X135" s="31"/>
      <c r="Y135" s="32"/>
      <c r="Z135" s="32"/>
      <c r="AA135" s="32"/>
      <c r="AB135" s="33"/>
      <c r="AC135" s="33"/>
      <c r="AD135" s="23"/>
    </row>
    <row r="136" spans="1:30" ht="29" hidden="1" outlineLevel="2" x14ac:dyDescent="0.35">
      <c r="A136" s="86" t="s">
        <v>0</v>
      </c>
      <c r="B136" s="18"/>
      <c r="C136" s="78"/>
      <c r="D136" s="78"/>
      <c r="E136" s="78"/>
      <c r="F136" s="79"/>
      <c r="G136" s="19" t="s">
        <v>23</v>
      </c>
      <c r="H136" s="19" t="s">
        <v>23</v>
      </c>
      <c r="I136" s="20" t="s">
        <v>23</v>
      </c>
      <c r="J136" s="19" t="s">
        <v>23</v>
      </c>
      <c r="K136" s="35"/>
      <c r="L136" s="19"/>
      <c r="M136" s="263" t="str">
        <f ca="1">IFERROR(OFFSET(M136,-1,,1,1)+0.1,OFFSET(M136,-1,-1,1,1)&amp;".1")</f>
        <v>5.1</v>
      </c>
      <c r="N136" s="20" t="s">
        <v>1014</v>
      </c>
      <c r="O136" s="20"/>
      <c r="P136" s="20"/>
      <c r="Q136" s="134"/>
      <c r="R136" s="127"/>
      <c r="S136" s="157">
        <f>CEILING((IF(J136="Yes", 0, IF(H136="-",AA136,AA136+AA136*VLOOKUP(H136,BUFFERS_BY_TYPE,2,FALSE)))) +
   (IF(J136="Yes", 0, IF(H136="-",AA136,AA136+AA136*VLOOKUP(H136,BUFFERS_BY_TYPE,2,FALSE))))*VLOOKUP($S$5, SALES_CALL_SCALE_ARRAY, 2,FALSE),0.25)</f>
        <v>3</v>
      </c>
      <c r="T136" s="158"/>
      <c r="U136" s="21">
        <v>0</v>
      </c>
      <c r="V136" s="21">
        <v>1</v>
      </c>
      <c r="W136" s="21">
        <v>0</v>
      </c>
      <c r="X136" s="156">
        <v>3</v>
      </c>
      <c r="Y136" s="157">
        <f>CEILING((IF(P136=AS_DEV_EFFORT, DEV_EFFORT*Q136%,
                           IF(P136=AS_DURATION_EFFORT, (MANUAL_DURATION*5)*Q136%,
                                    (IF(Q136&lt;=1,X136,
                                          IF(SUM(U136:W136)=0,(Q136*X136),
                                               (((Q136*U136)*(X136+(X136*EXTRA_FOR_H)))+
                                               ((Q136*V136)*X136)+
                                               ((Q136*W136)*(X136-(X136*LESS_FOR_L)))
                                    )*IF(R136=0,1,R136))))))+Z136), 0.25)</f>
        <v>3</v>
      </c>
      <c r="Z136" s="22"/>
      <c r="AA136" s="157">
        <f>Y136+Y136*VLOOKUP(I136,EXTRAS_ARRAY,2,FALSE)</f>
        <v>3</v>
      </c>
      <c r="AB136" s="20"/>
      <c r="AC136" s="34"/>
      <c r="AD136" s="23" t="str">
        <f>IF(J136&lt;&gt;"Yes",
IF(S136&lt;=0,"Error: Effort value is not defined or is invalid.",
IF(AND(SUM(U136:W136)&gt;0,SUM(U136:W136)&lt;&gt;1),"Error: Complexity % distribution should sum to 100%.",
IF(AND(P136=AS_DEV_EFFORT,X136&lt;&gt;0),"Error: PDs should not be defined when defining as dev effort %.",
IF(AND(P136=AS_DURATION_EFFORT,X136&lt;&gt;0),"Error: PDs should not be defined when defining as duration effort %.","")))))</f>
        <v/>
      </c>
    </row>
    <row r="137" spans="1:30" ht="15.5" hidden="1" outlineLevel="2" x14ac:dyDescent="0.35">
      <c r="A137" s="86" t="s">
        <v>0</v>
      </c>
      <c r="B137" s="18"/>
      <c r="C137" s="78"/>
      <c r="D137" s="78"/>
      <c r="E137" s="78"/>
      <c r="F137" s="79"/>
      <c r="G137" s="19" t="s">
        <v>23</v>
      </c>
      <c r="H137" s="19" t="s">
        <v>23</v>
      </c>
      <c r="I137" s="20" t="s">
        <v>23</v>
      </c>
      <c r="J137" s="19" t="s">
        <v>23</v>
      </c>
      <c r="K137" s="35"/>
      <c r="L137" s="19"/>
      <c r="M137" s="263">
        <f ca="1">IFERROR(OFFSET(M137,-1,,1,1)+0.1,OFFSET(M137,-1,-1,1,1)&amp;".1")</f>
        <v>5.1999999999999993</v>
      </c>
      <c r="N137" s="20" t="s">
        <v>1015</v>
      </c>
      <c r="O137" s="20"/>
      <c r="P137" s="20"/>
      <c r="Q137" s="134"/>
      <c r="R137" s="127"/>
      <c r="S137" s="157">
        <f>CEILING((IF(J137="Yes", 0, IF(H137="-",AA137,AA137+AA137*VLOOKUP(H137,BUFFERS_BY_TYPE,2,FALSE)))) +
   (IF(J137="Yes", 0, IF(H137="-",AA137,AA137+AA137*VLOOKUP(H137,BUFFERS_BY_TYPE,2,FALSE))))*VLOOKUP($S$5, SALES_CALL_SCALE_ARRAY, 2,FALSE),0.25)</f>
        <v>3</v>
      </c>
      <c r="T137" s="158"/>
      <c r="U137" s="21">
        <v>0</v>
      </c>
      <c r="V137" s="21">
        <v>1</v>
      </c>
      <c r="W137" s="21">
        <v>0</v>
      </c>
      <c r="X137" s="156">
        <v>3</v>
      </c>
      <c r="Y137" s="157">
        <f>CEILING((IF(P137=AS_DEV_EFFORT, DEV_EFFORT*Q137%,
                           IF(P137=AS_DURATION_EFFORT, (MANUAL_DURATION*5)*Q137%,
                                    (IF(Q137&lt;=1,X137,
                                          IF(SUM(U137:W137)=0,(Q137*X137),
                                               (((Q137*U137)*(X137+(X137*EXTRA_FOR_H)))+
                                               ((Q137*V137)*X137)+
                                               ((Q137*W137)*(X137-(X137*LESS_FOR_L)))
                                    )*IF(R137=0,1,R137))))))+Z137), 0.25)</f>
        <v>3</v>
      </c>
      <c r="Z137" s="22"/>
      <c r="AA137" s="157">
        <f>Y137+Y137*VLOOKUP(I137,EXTRAS_ARRAY,2,FALSE)</f>
        <v>3</v>
      </c>
      <c r="AB137" s="20"/>
      <c r="AC137" s="34"/>
      <c r="AD137" s="23" t="str">
        <f>IF(J137&lt;&gt;"Yes",
IF(S137&lt;=0,"Error: Effort value is not defined or is invalid.",
IF(AND(SUM(U137:W137)&gt;0,SUM(U137:W137)&lt;&gt;1),"Error: Complexity % distribution should sum to 100%.",
IF(AND(P137=AS_DEV_EFFORT,X137&lt;&gt;0),"Error: PDs should not be defined when defining as dev effort %.",
IF(AND(P137=AS_DURATION_EFFORT,X137&lt;&gt;0),"Error: PDs should not be defined when defining as duration effort %.","")))))</f>
        <v/>
      </c>
    </row>
    <row r="138" spans="1:30" ht="15.5" hidden="1" outlineLevel="2" x14ac:dyDescent="0.35">
      <c r="A138" s="86" t="s">
        <v>0</v>
      </c>
      <c r="B138" s="18"/>
      <c r="C138" s="78"/>
      <c r="D138" s="78"/>
      <c r="E138" s="78"/>
      <c r="F138" s="79"/>
      <c r="G138" s="19" t="s">
        <v>23</v>
      </c>
      <c r="H138" s="19" t="s">
        <v>23</v>
      </c>
      <c r="I138" s="20" t="s">
        <v>23</v>
      </c>
      <c r="J138" s="19" t="s">
        <v>23</v>
      </c>
      <c r="K138" s="35"/>
      <c r="L138" s="19"/>
      <c r="M138" s="263">
        <f ca="1">IFERROR(OFFSET(M138,-1,,1,1)+0.1,OFFSET(M138,-1,-1,1,1)&amp;".1")</f>
        <v>5.2999999999999989</v>
      </c>
      <c r="N138" s="20" t="s">
        <v>1016</v>
      </c>
      <c r="O138" s="20"/>
      <c r="P138" s="20"/>
      <c r="Q138" s="134"/>
      <c r="R138" s="127"/>
      <c r="S138" s="157">
        <f>CEILING((IF(J138="Yes", 0, IF(H138="-",AA138,AA138+AA138*VLOOKUP(H138,BUFFERS_BY_TYPE,2,FALSE)))) +
   (IF(J138="Yes", 0, IF(H138="-",AA138,AA138+AA138*VLOOKUP(H138,BUFFERS_BY_TYPE,2,FALSE))))*VLOOKUP($S$5, SALES_CALL_SCALE_ARRAY, 2,FALSE),0.25)</f>
        <v>3</v>
      </c>
      <c r="T138" s="158"/>
      <c r="U138" s="21">
        <v>0</v>
      </c>
      <c r="V138" s="21">
        <v>1</v>
      </c>
      <c r="W138" s="21">
        <v>0</v>
      </c>
      <c r="X138" s="156">
        <v>3</v>
      </c>
      <c r="Y138" s="157">
        <f>CEILING((IF(P138=AS_DEV_EFFORT, DEV_EFFORT*Q138%,
                           IF(P138=AS_DURATION_EFFORT, (MANUAL_DURATION*5)*Q138%,
                                    (IF(Q138&lt;=1,X138,
                                          IF(SUM(U138:W138)=0,(Q138*X138),
                                               (((Q138*U138)*(X138+(X138*EXTRA_FOR_H)))+
                                               ((Q138*V138)*X138)+
                                               ((Q138*W138)*(X138-(X138*LESS_FOR_L)))
                                    )*IF(R138=0,1,R138))))))+Z138), 0.25)</f>
        <v>3</v>
      </c>
      <c r="Z138" s="22"/>
      <c r="AA138" s="157">
        <f>Y138+Y138*VLOOKUP(I138,EXTRAS_ARRAY,2,FALSE)</f>
        <v>3</v>
      </c>
      <c r="AB138" s="20"/>
      <c r="AC138" s="34"/>
      <c r="AD138" s="23" t="str">
        <f>IF(J138&lt;&gt;"Yes",
IF(S138&lt;=0,"Error: Effort value is not defined or is invalid.",
IF(AND(SUM(U138:W138)&gt;0,SUM(U138:W138)&lt;&gt;1),"Error: Complexity % distribution should sum to 100%.",
IF(AND(P138=AS_DEV_EFFORT,X138&lt;&gt;0),"Error: PDs should not be defined when defining as dev effort %.",
IF(AND(P138=AS_DURATION_EFFORT,X138&lt;&gt;0),"Error: PDs should not be defined when defining as duration effort %.","")))))</f>
        <v/>
      </c>
    </row>
    <row r="139" spans="1:30" ht="29" hidden="1" outlineLevel="2" x14ac:dyDescent="0.35">
      <c r="A139" s="86" t="s">
        <v>0</v>
      </c>
      <c r="B139" s="18"/>
      <c r="C139" s="78"/>
      <c r="D139" s="78"/>
      <c r="E139" s="78"/>
      <c r="F139" s="79"/>
      <c r="G139" s="19" t="s">
        <v>23</v>
      </c>
      <c r="H139" s="19" t="s">
        <v>23</v>
      </c>
      <c r="I139" s="20" t="s">
        <v>23</v>
      </c>
      <c r="J139" s="19" t="s">
        <v>23</v>
      </c>
      <c r="K139" s="35"/>
      <c r="L139" s="19"/>
      <c r="M139" s="263">
        <f ca="1">IFERROR(OFFSET(M139,-1,,1,1)+0.1,OFFSET(M139,-1,-1,1,1)&amp;".1")</f>
        <v>5.3999999999999986</v>
      </c>
      <c r="N139" s="20" t="s">
        <v>1017</v>
      </c>
      <c r="O139" s="20"/>
      <c r="P139" s="20"/>
      <c r="Q139" s="134"/>
      <c r="R139" s="127"/>
      <c r="S139" s="157">
        <f>CEILING((IF(J139="Yes", 0, IF(H139="-",AA139,AA139+AA139*VLOOKUP(H139,BUFFERS_BY_TYPE,2,FALSE)))) +
   (IF(J139="Yes", 0, IF(H139="-",AA139,AA139+AA139*VLOOKUP(H139,BUFFERS_BY_TYPE,2,FALSE))))*VLOOKUP($S$5, SALES_CALL_SCALE_ARRAY, 2,FALSE),0.25)</f>
        <v>1.5</v>
      </c>
      <c r="T139" s="158"/>
      <c r="U139" s="21">
        <v>0</v>
      </c>
      <c r="V139" s="21">
        <v>1</v>
      </c>
      <c r="W139" s="21">
        <v>0</v>
      </c>
      <c r="X139" s="156">
        <v>1.5</v>
      </c>
      <c r="Y139" s="157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1.5</v>
      </c>
      <c r="Z139" s="22"/>
      <c r="AA139" s="157">
        <f>Y139+Y139*VLOOKUP(I139,EXTRAS_ARRAY,2,FALSE)</f>
        <v>1.5</v>
      </c>
      <c r="AB139" s="20"/>
      <c r="AC139" s="34"/>
      <c r="AD139" s="23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/>
      </c>
    </row>
    <row r="140" spans="1:30" ht="15.5" hidden="1" outlineLevel="2" x14ac:dyDescent="0.35">
      <c r="A140" s="86" t="s">
        <v>0</v>
      </c>
      <c r="B140" s="18"/>
      <c r="C140" s="78"/>
      <c r="D140" s="78"/>
      <c r="E140" s="78"/>
      <c r="F140" s="79"/>
      <c r="G140" s="19" t="s">
        <v>23</v>
      </c>
      <c r="H140" s="19" t="s">
        <v>23</v>
      </c>
      <c r="I140" s="20" t="s">
        <v>23</v>
      </c>
      <c r="J140" s="19" t="s">
        <v>23</v>
      </c>
      <c r="K140" s="35"/>
      <c r="L140" s="19"/>
      <c r="M140" s="263">
        <f ca="1">IFERROR(OFFSET(M140,-1,,1,1)+0.1,OFFSET(M140,-1,-1,1,1)&amp;".1")</f>
        <v>5.4999999999999982</v>
      </c>
      <c r="N140" s="20" t="s">
        <v>1018</v>
      </c>
      <c r="O140" s="20"/>
      <c r="P140" s="20"/>
      <c r="Q140" s="134"/>
      <c r="R140" s="127"/>
      <c r="S140" s="157">
        <f>CEILING((IF(J140="Yes", 0, IF(H140="-",AA140,AA140+AA140*VLOOKUP(H140,BUFFERS_BY_TYPE,2,FALSE)))) +
   (IF(J140="Yes", 0, IF(H140="-",AA140,AA140+AA140*VLOOKUP(H140,BUFFERS_BY_TYPE,2,FALSE))))*VLOOKUP($S$5, SALES_CALL_SCALE_ARRAY, 2,FALSE),0.25)</f>
        <v>1.5</v>
      </c>
      <c r="T140" s="158"/>
      <c r="U140" s="21">
        <v>0</v>
      </c>
      <c r="V140" s="21">
        <v>1</v>
      </c>
      <c r="W140" s="21">
        <v>0</v>
      </c>
      <c r="X140" s="156">
        <v>1.5</v>
      </c>
      <c r="Y140" s="157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1.5</v>
      </c>
      <c r="Z140" s="22"/>
      <c r="AA140" s="157">
        <f>Y140+Y140*VLOOKUP(I140,EXTRAS_ARRAY,2,FALSE)</f>
        <v>1.5</v>
      </c>
      <c r="AB140" s="20"/>
      <c r="AC140" s="34"/>
      <c r="AD140" s="23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spans="1:30" s="9" customFormat="1" ht="7.5" hidden="1" customHeight="1" outlineLevel="2" x14ac:dyDescent="0.35">
      <c r="A141" s="86" t="s">
        <v>132</v>
      </c>
      <c r="B141" s="15"/>
      <c r="C141" s="72"/>
      <c r="D141" s="72"/>
      <c r="E141" s="72"/>
      <c r="F141" s="72"/>
      <c r="M141" s="252"/>
      <c r="T141" s="15"/>
      <c r="X141" s="15"/>
      <c r="AB141" s="10"/>
      <c r="AC141" s="10"/>
      <c r="AD141" s="10"/>
    </row>
    <row r="142" spans="1:30" s="14" customFormat="1" ht="15.5" outlineLevel="1" x14ac:dyDescent="0.35">
      <c r="A142" s="86" t="s">
        <v>100</v>
      </c>
      <c r="B142" s="18"/>
      <c r="C142" s="77"/>
      <c r="D142" s="77"/>
      <c r="E142" s="77"/>
      <c r="F142" s="76"/>
      <c r="G142" s="29"/>
      <c r="H142" s="29"/>
      <c r="I142" s="29"/>
      <c r="J142" s="29"/>
      <c r="K142" s="29"/>
      <c r="L142" s="17">
        <f ca="1">LOOKUP(1000,INDIRECT("L1:"&amp;CELL("address",INDIRECT("R[-1]C",FALSE))))+1</f>
        <v>6</v>
      </c>
      <c r="M142" s="310" t="s">
        <v>1019</v>
      </c>
      <c r="N142" s="310"/>
      <c r="O142" s="5"/>
      <c r="P142" s="30"/>
      <c r="Q142" s="30"/>
      <c r="R142" s="30"/>
      <c r="S142" s="30"/>
      <c r="T142" s="155">
        <f>IF($S$6="Exclude", SUMIFS(S143:S150, J143:J150, "&lt;&gt;Yes", G143:G150, "&lt;&gt;Yes"), SUMIFS(S143:S150, J143:J150, "&lt;&gt;Yes"))</f>
        <v>13</v>
      </c>
      <c r="U142" s="30"/>
      <c r="V142" s="30"/>
      <c r="W142" s="30"/>
      <c r="X142" s="31"/>
      <c r="Y142" s="32"/>
      <c r="Z142" s="32"/>
      <c r="AA142" s="32"/>
      <c r="AB142" s="219" t="s">
        <v>948</v>
      </c>
      <c r="AC142" s="33"/>
      <c r="AD142" s="23" t="str">
        <f>IF(M142="", "Error: Task name cannot be empty.", "")</f>
        <v/>
      </c>
    </row>
    <row r="143" spans="1:30" s="12" customFormat="1" ht="1.5" customHeight="1" outlineLevel="2" x14ac:dyDescent="0.35">
      <c r="A143" s="86" t="s">
        <v>101</v>
      </c>
      <c r="B143" s="18"/>
      <c r="C143" s="77"/>
      <c r="D143" s="77"/>
      <c r="E143" s="77"/>
      <c r="F143" s="76"/>
      <c r="G143" s="29"/>
      <c r="H143" s="29"/>
      <c r="I143" s="29"/>
      <c r="J143" s="29"/>
      <c r="K143" s="29"/>
      <c r="L143" s="163">
        <f ca="1">L142</f>
        <v>6</v>
      </c>
      <c r="M143" s="164" t="s">
        <v>105</v>
      </c>
      <c r="N143" s="161"/>
      <c r="O143" s="162"/>
      <c r="P143" s="30"/>
      <c r="Q143" s="30"/>
      <c r="R143" s="30"/>
      <c r="S143" s="30"/>
      <c r="T143" s="155"/>
      <c r="U143" s="30"/>
      <c r="V143" s="30"/>
      <c r="W143" s="30"/>
      <c r="X143" s="31"/>
      <c r="Y143" s="32"/>
      <c r="Z143" s="32"/>
      <c r="AA143" s="32"/>
      <c r="AB143" s="33"/>
      <c r="AC143" s="33"/>
      <c r="AD143" s="23"/>
    </row>
    <row r="144" spans="1:30" ht="29" outlineLevel="2" x14ac:dyDescent="0.35">
      <c r="A144" s="86" t="s">
        <v>0</v>
      </c>
      <c r="B144" s="18"/>
      <c r="C144" s="78"/>
      <c r="D144" s="78"/>
      <c r="E144" s="78"/>
      <c r="F144" s="79"/>
      <c r="G144" s="19" t="s">
        <v>23</v>
      </c>
      <c r="H144" s="19" t="s">
        <v>23</v>
      </c>
      <c r="I144" s="20" t="s">
        <v>23</v>
      </c>
      <c r="J144" s="19" t="s">
        <v>23</v>
      </c>
      <c r="K144" s="35"/>
      <c r="L144" s="19"/>
      <c r="M144" s="263" t="str">
        <f ca="1">IFERROR(OFFSET(M144,-1,,1,1)+0.1,OFFSET(M144,-1,-1,1,1)&amp;".1")</f>
        <v>6.1</v>
      </c>
      <c r="N144" s="20" t="s">
        <v>1020</v>
      </c>
      <c r="O144" s="20"/>
      <c r="P144" s="20"/>
      <c r="Q144" s="134"/>
      <c r="R144" s="127"/>
      <c r="S144" s="157">
        <f>CEILING((IF(J144="Yes", 0, IF(H144="-",AA144,AA144+AA144*VLOOKUP(H144,BUFFERS_BY_TYPE,2,FALSE)))) +
   (IF(J144="Yes", 0, IF(H144="-",AA144,AA144+AA144*VLOOKUP(H144,BUFFERS_BY_TYPE,2,FALSE))))*VLOOKUP($S$5, SALES_CALL_SCALE_ARRAY, 2,FALSE),0.25)</f>
        <v>4</v>
      </c>
      <c r="T144" s="158"/>
      <c r="U144" s="21">
        <v>0.25</v>
      </c>
      <c r="V144" s="21">
        <v>0.5</v>
      </c>
      <c r="W144" s="21">
        <v>0.25</v>
      </c>
      <c r="X144" s="156">
        <v>4</v>
      </c>
      <c r="Y144" s="157">
        <f>CEILING((IF(P144=AS_DEV_EFFORT, DEV_EFFORT*Q144%,
                           IF(P144=AS_DURATION_EFFORT, (MANUAL_DURATION*5)*Q144%,
                                    (IF(Q144&lt;=1,X144,
                                          IF(SUM(U144:W144)=0,(Q144*X144),
                                               (((Q144*U144)*(X144+(X144*EXTRA_FOR_H)))+
                                               ((Q144*V144)*X144)+
                                               ((Q144*W144)*(X144-(X144*LESS_FOR_L)))
                                    )*IF(R144=0,1,R144))))))+Z144), 0.25)</f>
        <v>4</v>
      </c>
      <c r="Z144" s="22"/>
      <c r="AA144" s="157">
        <f>Y144+Y144*VLOOKUP(I144,EXTRAS_ARRAY,2,FALSE)</f>
        <v>4</v>
      </c>
      <c r="AB144" s="20"/>
      <c r="AC144" s="34"/>
      <c r="AD144" s="23" t="str">
        <f>IF(J144&lt;&gt;"Yes",
IF(S144&lt;=0,"Error: Effort value is not defined or is invalid.",
IF(AND(SUM(U144:W144)&gt;0,SUM(U144:W144)&lt;&gt;1),"Error: Complexity % distribution should sum to 100%.",
IF(AND(P144=AS_DEV_EFFORT,X144&lt;&gt;0),"Error: PDs should not be defined when defining as dev effort %.",
IF(AND(P144=AS_DURATION_EFFORT,X144&lt;&gt;0),"Error: PDs should not be defined when defining as duration effort %.","")))))</f>
        <v/>
      </c>
    </row>
    <row r="145" spans="1:30" ht="29" outlineLevel="2" x14ac:dyDescent="0.35">
      <c r="A145" s="86" t="s">
        <v>0</v>
      </c>
      <c r="B145" s="18"/>
      <c r="C145" s="78"/>
      <c r="D145" s="78"/>
      <c r="E145" s="78"/>
      <c r="F145" s="79"/>
      <c r="G145" s="19" t="s">
        <v>23</v>
      </c>
      <c r="H145" s="19" t="s">
        <v>23</v>
      </c>
      <c r="I145" s="20" t="s">
        <v>23</v>
      </c>
      <c r="J145" s="19" t="s">
        <v>23</v>
      </c>
      <c r="K145" s="35"/>
      <c r="L145" s="19"/>
      <c r="M145" s="263">
        <f ca="1">IFERROR(OFFSET(M145,-1,,1,1)+0.1,OFFSET(M145,-1,-1,1,1)&amp;".1")</f>
        <v>6.1999999999999993</v>
      </c>
      <c r="N145" s="20" t="s">
        <v>1021</v>
      </c>
      <c r="O145" s="20"/>
      <c r="P145" s="20"/>
      <c r="Q145" s="134"/>
      <c r="R145" s="127"/>
      <c r="S145" s="157">
        <f>CEILING((IF(J145="Yes", 0, IF(H145="-",AA145,AA145+AA145*VLOOKUP(H145,BUFFERS_BY_TYPE,2,FALSE)))) +
   (IF(J145="Yes", 0, IF(H145="-",AA145,AA145+AA145*VLOOKUP(H145,BUFFERS_BY_TYPE,2,FALSE))))*VLOOKUP($S$5, SALES_CALL_SCALE_ARRAY, 2,FALSE),0.25)</f>
        <v>3</v>
      </c>
      <c r="T145" s="158"/>
      <c r="U145" s="21">
        <v>0</v>
      </c>
      <c r="V145" s="21">
        <v>1</v>
      </c>
      <c r="W145" s="21">
        <v>0</v>
      </c>
      <c r="X145" s="156">
        <v>3</v>
      </c>
      <c r="Y145" s="157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3</v>
      </c>
      <c r="Z145" s="22"/>
      <c r="AA145" s="157">
        <f>Y145+Y145*VLOOKUP(I145,EXTRAS_ARRAY,2,FALSE)</f>
        <v>3</v>
      </c>
      <c r="AB145" s="20"/>
      <c r="AC145" s="34"/>
      <c r="AD145" s="23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/>
      </c>
    </row>
    <row r="146" spans="1:30" ht="15.5" outlineLevel="2" x14ac:dyDescent="0.35">
      <c r="A146" s="86" t="s">
        <v>0</v>
      </c>
      <c r="B146" s="18"/>
      <c r="C146" s="78"/>
      <c r="D146" s="78"/>
      <c r="E146" s="78"/>
      <c r="F146" s="79"/>
      <c r="G146" s="19" t="s">
        <v>23</v>
      </c>
      <c r="H146" s="19" t="s">
        <v>23</v>
      </c>
      <c r="I146" s="20" t="s">
        <v>23</v>
      </c>
      <c r="J146" s="19" t="s">
        <v>23</v>
      </c>
      <c r="K146" s="35"/>
      <c r="L146" s="19"/>
      <c r="M146" s="263">
        <f ca="1">IFERROR(OFFSET(M146,-1,,1,1)+0.1,OFFSET(M146,-1,-1,1,1)&amp;".1")</f>
        <v>6.2999999999999989</v>
      </c>
      <c r="N146" s="20" t="s">
        <v>1022</v>
      </c>
      <c r="O146" s="20"/>
      <c r="P146" s="20"/>
      <c r="Q146" s="134"/>
      <c r="R146" s="127"/>
      <c r="S146" s="157">
        <f>CEILING((IF(J146="Yes", 0, IF(H146="-",AA146,AA146+AA146*VLOOKUP(H146,BUFFERS_BY_TYPE,2,FALSE)))) +
   (IF(J146="Yes", 0, IF(H146="-",AA146,AA146+AA146*VLOOKUP(H146,BUFFERS_BY_TYPE,2,FALSE))))*VLOOKUP($S$5, SALES_CALL_SCALE_ARRAY, 2,FALSE),0.25)</f>
        <v>2.5</v>
      </c>
      <c r="T146" s="158"/>
      <c r="U146" s="21">
        <v>0</v>
      </c>
      <c r="V146" s="21">
        <v>1</v>
      </c>
      <c r="W146" s="21">
        <v>0</v>
      </c>
      <c r="X146" s="156">
        <v>2.5</v>
      </c>
      <c r="Y146" s="157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>2.5</v>
      </c>
      <c r="Z146" s="22"/>
      <c r="AA146" s="157">
        <f>Y146+Y146*VLOOKUP(I146,EXTRAS_ARRAY,2,FALSE)</f>
        <v>2.5</v>
      </c>
      <c r="AB146" s="20"/>
      <c r="AC146" s="34"/>
      <c r="AD146" s="23" t="str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spans="1:30" ht="15.5" outlineLevel="2" x14ac:dyDescent="0.35">
      <c r="A147" s="86" t="s">
        <v>0</v>
      </c>
      <c r="B147" s="18"/>
      <c r="C147" s="78"/>
      <c r="D147" s="78"/>
      <c r="E147" s="78"/>
      <c r="F147" s="79"/>
      <c r="G147" s="19" t="s">
        <v>23</v>
      </c>
      <c r="H147" s="19" t="s">
        <v>23</v>
      </c>
      <c r="I147" s="20" t="s">
        <v>23</v>
      </c>
      <c r="J147" s="19" t="s">
        <v>23</v>
      </c>
      <c r="K147" s="35"/>
      <c r="L147" s="19"/>
      <c r="M147" s="263">
        <f ca="1">IFERROR(OFFSET(M147,-1,,1,1)+0.1,OFFSET(M147,-1,-1,1,1)&amp;".1")</f>
        <v>6.3999999999999986</v>
      </c>
      <c r="N147" s="20" t="s">
        <v>1023</v>
      </c>
      <c r="O147" s="20"/>
      <c r="P147" s="20"/>
      <c r="Q147" s="134"/>
      <c r="R147" s="127"/>
      <c r="S147" s="157">
        <f>CEILING((IF(J147="Yes", 0, IF(H147="-",AA147,AA147+AA147*VLOOKUP(H147,BUFFERS_BY_TYPE,2,FALSE)))) +
   (IF(J147="Yes", 0, IF(H147="-",AA147,AA147+AA147*VLOOKUP(H147,BUFFERS_BY_TYPE,2,FALSE))))*VLOOKUP($S$5, SALES_CALL_SCALE_ARRAY, 2,FALSE),0.25)</f>
        <v>2</v>
      </c>
      <c r="T147" s="158"/>
      <c r="U147" s="21">
        <v>0</v>
      </c>
      <c r="V147" s="21">
        <v>1</v>
      </c>
      <c r="W147" s="21">
        <v>0</v>
      </c>
      <c r="X147" s="156">
        <v>2</v>
      </c>
      <c r="Y147" s="157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>2</v>
      </c>
      <c r="Z147" s="22"/>
      <c r="AA147" s="157">
        <f>Y147+Y147*VLOOKUP(I147,EXTRAS_ARRAY,2,FALSE)</f>
        <v>2</v>
      </c>
      <c r="AB147" s="20"/>
      <c r="AC147" s="34"/>
      <c r="AD147" s="23" t="str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spans="1:30" ht="15.5" outlineLevel="2" x14ac:dyDescent="0.35">
      <c r="A148" s="86" t="s">
        <v>0</v>
      </c>
      <c r="B148" s="18"/>
      <c r="C148" s="78"/>
      <c r="D148" s="78"/>
      <c r="E148" s="78"/>
      <c r="F148" s="79"/>
      <c r="G148" s="19" t="s">
        <v>23</v>
      </c>
      <c r="H148" s="19" t="s">
        <v>23</v>
      </c>
      <c r="I148" s="20" t="s">
        <v>23</v>
      </c>
      <c r="J148" s="19" t="s">
        <v>23</v>
      </c>
      <c r="K148" s="35"/>
      <c r="L148" s="19"/>
      <c r="M148" s="263">
        <f ca="1">IFERROR(OFFSET(M148,-1,,1,1)+0.1,OFFSET(M148,-1,-1,1,1)&amp;".1")</f>
        <v>6.4999999999999982</v>
      </c>
      <c r="N148" s="20" t="s">
        <v>1024</v>
      </c>
      <c r="O148" s="20"/>
      <c r="P148" s="20"/>
      <c r="Q148" s="134"/>
      <c r="R148" s="127"/>
      <c r="S148" s="157">
        <f>CEILING((IF(J148="Yes", 0, IF(H148="-",AA148,AA148+AA148*VLOOKUP(H148,BUFFERS_BY_TYPE,2,FALSE)))) +
   (IF(J148="Yes", 0, IF(H148="-",AA148,AA148+AA148*VLOOKUP(H148,BUFFERS_BY_TYPE,2,FALSE))))*VLOOKUP($S$5, SALES_CALL_SCALE_ARRAY, 2,FALSE),0.25)</f>
        <v>1.5</v>
      </c>
      <c r="T148" s="158"/>
      <c r="U148" s="21">
        <v>0</v>
      </c>
      <c r="V148" s="21">
        <v>1</v>
      </c>
      <c r="W148" s="21">
        <v>0</v>
      </c>
      <c r="X148" s="156">
        <v>1.5</v>
      </c>
      <c r="Y148" s="157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>1.5</v>
      </c>
      <c r="Z148" s="22"/>
      <c r="AA148" s="157">
        <f>Y148+Y148*VLOOKUP(I148,EXTRAS_ARRAY,2,FALSE)</f>
        <v>1.5</v>
      </c>
      <c r="AB148" s="20"/>
      <c r="AC148" s="34"/>
      <c r="AD148" s="23" t="str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spans="1:30" ht="58" outlineLevel="2" x14ac:dyDescent="0.35">
      <c r="A149" s="86" t="s">
        <v>0</v>
      </c>
      <c r="B149" s="18"/>
      <c r="C149" s="78"/>
      <c r="D149" s="78"/>
      <c r="E149" s="78"/>
      <c r="F149" s="79"/>
      <c r="G149" s="19" t="s">
        <v>23</v>
      </c>
      <c r="H149" s="19" t="s">
        <v>23</v>
      </c>
      <c r="I149" s="20" t="s">
        <v>23</v>
      </c>
      <c r="J149" s="19" t="s">
        <v>23</v>
      </c>
      <c r="K149" s="35"/>
      <c r="L149" s="19"/>
      <c r="M149" s="263">
        <f ca="1">IFERROR(OFFSET(M149,-1,,1,1)+0.1,OFFSET(M149,-1,-1,1,1)&amp;".1")</f>
        <v>6.5999999999999979</v>
      </c>
      <c r="N149" s="20" t="s">
        <v>438</v>
      </c>
      <c r="O149" s="20"/>
      <c r="P149" s="20"/>
      <c r="Q149" s="134"/>
      <c r="R149" s="127"/>
      <c r="S149" s="157">
        <f>CEILING((IF(J149="Yes", 0, IF(H149="-",AA149,AA149+AA149*VLOOKUP(H149,BUFFERS_BY_TYPE,2,FALSE)))) +
   (IF(J149="Yes", 0, IF(H149="-",AA149,AA149+AA149*VLOOKUP(H149,BUFFERS_BY_TYPE,2,FALSE))))*VLOOKUP($S$5, SALES_CALL_SCALE_ARRAY, 2,FALSE),0.25)</f>
        <v>0</v>
      </c>
      <c r="T149" s="158"/>
      <c r="U149" s="21">
        <v>0</v>
      </c>
      <c r="V149" s="21">
        <v>1</v>
      </c>
      <c r="W149" s="21">
        <v>0</v>
      </c>
      <c r="X149" s="156"/>
      <c r="Y149" s="157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>0</v>
      </c>
      <c r="Z149" s="22"/>
      <c r="AA149" s="157">
        <f>Y149+Y149*VLOOKUP(I149,EXTRAS_ARRAY,2,FALSE)</f>
        <v>0</v>
      </c>
      <c r="AB149" s="20" t="s">
        <v>440</v>
      </c>
      <c r="AC149" s="34"/>
      <c r="AD149" s="23" t="str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>Error: Effort value is not defined or is invalid.</v>
      </c>
    </row>
    <row r="150" spans="1:30" s="9" customFormat="1" ht="7.5" customHeight="1" outlineLevel="2" x14ac:dyDescent="0.35">
      <c r="A150" s="86" t="s">
        <v>132</v>
      </c>
      <c r="B150" s="15"/>
      <c r="C150" s="72"/>
      <c r="D150" s="72"/>
      <c r="E150" s="72"/>
      <c r="F150" s="72"/>
      <c r="M150" s="252"/>
      <c r="T150" s="15"/>
      <c r="X150" s="15"/>
      <c r="AB150" s="10"/>
      <c r="AC150" s="10"/>
      <c r="AD150" s="10"/>
    </row>
    <row r="151" spans="1:30" s="14" customFormat="1" ht="29" outlineLevel="1" x14ac:dyDescent="0.35">
      <c r="A151" s="86" t="s">
        <v>100</v>
      </c>
      <c r="B151" s="18"/>
      <c r="C151" s="77"/>
      <c r="D151" s="77"/>
      <c r="E151" s="77"/>
      <c r="F151" s="76"/>
      <c r="G151" s="29"/>
      <c r="H151" s="29"/>
      <c r="I151" s="29"/>
      <c r="J151" s="29"/>
      <c r="K151" s="29"/>
      <c r="L151" s="17">
        <f ca="1">LOOKUP(1000,INDIRECT("L1:"&amp;CELL("address",INDIRECT("R[-1]C",FALSE))))+1</f>
        <v>7</v>
      </c>
      <c r="M151" s="310" t="s">
        <v>1190</v>
      </c>
      <c r="N151" s="310"/>
      <c r="O151" s="5"/>
      <c r="P151" s="30"/>
      <c r="Q151" s="30"/>
      <c r="R151" s="30"/>
      <c r="S151" s="30"/>
      <c r="T151" s="155">
        <f>IF($S$6="Exclude", SUMIFS(S152:S159, J152:J159, "&lt;&gt;Yes", G152:G159, "&lt;&gt;Yes"), SUMIFS(S152:S159, J152:J159, "&lt;&gt;Yes"))</f>
        <v>20</v>
      </c>
      <c r="U151" s="30"/>
      <c r="V151" s="30"/>
      <c r="W151" s="30"/>
      <c r="X151" s="31"/>
      <c r="Y151" s="32"/>
      <c r="Z151" s="32"/>
      <c r="AA151" s="32"/>
      <c r="AB151" s="219" t="s">
        <v>1191</v>
      </c>
      <c r="AC151" s="33"/>
      <c r="AD151" s="23" t="str">
        <f>IF(M151="", "Error: Task name cannot be empty.", "")</f>
        <v/>
      </c>
    </row>
    <row r="152" spans="1:30" s="12" customFormat="1" ht="1.5" customHeight="1" outlineLevel="2" x14ac:dyDescent="0.35">
      <c r="A152" s="86" t="s">
        <v>101</v>
      </c>
      <c r="B152" s="18"/>
      <c r="C152" s="77"/>
      <c r="D152" s="77"/>
      <c r="E152" s="77"/>
      <c r="F152" s="76"/>
      <c r="G152" s="29"/>
      <c r="H152" s="29"/>
      <c r="I152" s="29"/>
      <c r="J152" s="29"/>
      <c r="K152" s="29"/>
      <c r="L152" s="163">
        <f ca="1">L151</f>
        <v>7</v>
      </c>
      <c r="M152" s="164" t="s">
        <v>105</v>
      </c>
      <c r="N152" s="161"/>
      <c r="O152" s="162"/>
      <c r="P152" s="30"/>
      <c r="Q152" s="30"/>
      <c r="R152" s="30"/>
      <c r="S152" s="30"/>
      <c r="T152" s="155"/>
      <c r="U152" s="30"/>
      <c r="V152" s="30"/>
      <c r="W152" s="30"/>
      <c r="X152" s="31"/>
      <c r="Y152" s="32"/>
      <c r="Z152" s="32"/>
      <c r="AA152" s="32"/>
      <c r="AB152" s="33"/>
      <c r="AC152" s="33"/>
      <c r="AD152" s="23"/>
    </row>
    <row r="153" spans="1:30" ht="58" outlineLevel="2" x14ac:dyDescent="0.35">
      <c r="A153" s="86" t="s">
        <v>0</v>
      </c>
      <c r="B153" s="18"/>
      <c r="C153" s="78"/>
      <c r="D153" s="78"/>
      <c r="E153" s="78"/>
      <c r="F153" s="79"/>
      <c r="G153" s="19" t="s">
        <v>23</v>
      </c>
      <c r="H153" s="19" t="s">
        <v>23</v>
      </c>
      <c r="I153" s="20" t="s">
        <v>23</v>
      </c>
      <c r="J153" s="19" t="s">
        <v>23</v>
      </c>
      <c r="K153" s="35"/>
      <c r="L153" s="19"/>
      <c r="M153" s="263" t="str">
        <f t="shared" ref="M153:M158" ca="1" si="20">IFERROR(OFFSET(M153,-1,,1,1)+0.1,OFFSET(M153,-1,-1,1,1)&amp;".1")</f>
        <v>7.1</v>
      </c>
      <c r="N153" s="20" t="s">
        <v>1192</v>
      </c>
      <c r="O153" s="20"/>
      <c r="P153" s="20"/>
      <c r="Q153" s="134"/>
      <c r="R153" s="127"/>
      <c r="S153" s="157">
        <f t="shared" ref="S153:S158" si="21">CEILING((IF(J153="Yes", 0, IF(H153="-",AA153,AA153+AA153*VLOOKUP(H153,BUFFERS_BY_TYPE,2,FALSE)))) +
   (IF(J153="Yes", 0, IF(H153="-",AA153,AA153+AA153*VLOOKUP(H153,BUFFERS_BY_TYPE,2,FALSE))))*VLOOKUP($S$5, SALES_CALL_SCALE_ARRAY, 2,FALSE),0.25)</f>
        <v>4</v>
      </c>
      <c r="T153" s="158"/>
      <c r="U153" s="21">
        <v>0</v>
      </c>
      <c r="V153" s="21">
        <v>1</v>
      </c>
      <c r="W153" s="21">
        <v>0</v>
      </c>
      <c r="X153" s="156">
        <v>4</v>
      </c>
      <c r="Y153" s="157">
        <f t="shared" ref="Y153:Y158" si="22"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4</v>
      </c>
      <c r="Z153" s="22"/>
      <c r="AA153" s="157">
        <f t="shared" ref="AA153:AA158" si="23">Y153+Y153*VLOOKUP(I153,EXTRAS_ARRAY,2,FALSE)</f>
        <v>4</v>
      </c>
      <c r="AB153" s="20" t="s">
        <v>1193</v>
      </c>
      <c r="AC153" s="34"/>
      <c r="AD153" s="23" t="str">
        <f t="shared" ref="AD153:AD158" si="24"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spans="1:30" ht="58" outlineLevel="2" x14ac:dyDescent="0.35">
      <c r="A154" s="86" t="s">
        <v>0</v>
      </c>
      <c r="B154" s="18"/>
      <c r="C154" s="78"/>
      <c r="D154" s="78"/>
      <c r="E154" s="78"/>
      <c r="F154" s="79"/>
      <c r="G154" s="19" t="s">
        <v>23</v>
      </c>
      <c r="H154" s="19" t="s">
        <v>23</v>
      </c>
      <c r="I154" s="20" t="s">
        <v>23</v>
      </c>
      <c r="J154" s="19" t="s">
        <v>23</v>
      </c>
      <c r="K154" s="35"/>
      <c r="L154" s="19"/>
      <c r="M154" s="263">
        <f t="shared" ca="1" si="20"/>
        <v>7.1999999999999993</v>
      </c>
      <c r="N154" s="20" t="s">
        <v>1194</v>
      </c>
      <c r="O154" s="20"/>
      <c r="P154" s="20"/>
      <c r="Q154" s="134"/>
      <c r="R154" s="127"/>
      <c r="S154" s="157">
        <f t="shared" si="21"/>
        <v>5</v>
      </c>
      <c r="T154" s="158"/>
      <c r="U154" s="21">
        <v>0</v>
      </c>
      <c r="V154" s="21">
        <v>1</v>
      </c>
      <c r="W154" s="21">
        <v>0</v>
      </c>
      <c r="X154" s="156">
        <v>5</v>
      </c>
      <c r="Y154" s="157">
        <f t="shared" si="22"/>
        <v>5</v>
      </c>
      <c r="Z154" s="22"/>
      <c r="AA154" s="157">
        <f t="shared" si="23"/>
        <v>5</v>
      </c>
      <c r="AB154" s="20"/>
      <c r="AC154" s="34"/>
      <c r="AD154" s="23" t="str">
        <f t="shared" si="24"/>
        <v/>
      </c>
    </row>
    <row r="155" spans="1:30" ht="58" outlineLevel="2" x14ac:dyDescent="0.35">
      <c r="A155" s="86" t="s">
        <v>0</v>
      </c>
      <c r="B155" s="18"/>
      <c r="C155" s="78"/>
      <c r="D155" s="78"/>
      <c r="E155" s="78"/>
      <c r="F155" s="79"/>
      <c r="G155" s="19" t="s">
        <v>23</v>
      </c>
      <c r="H155" s="19" t="s">
        <v>23</v>
      </c>
      <c r="I155" s="20" t="s">
        <v>23</v>
      </c>
      <c r="J155" s="19" t="s">
        <v>23</v>
      </c>
      <c r="K155" s="35"/>
      <c r="L155" s="19"/>
      <c r="M155" s="263">
        <f t="shared" ca="1" si="20"/>
        <v>7.2999999999999989</v>
      </c>
      <c r="N155" s="20" t="s">
        <v>1195</v>
      </c>
      <c r="O155" s="20"/>
      <c r="P155" s="20"/>
      <c r="Q155" s="134"/>
      <c r="R155" s="127"/>
      <c r="S155" s="157">
        <f t="shared" si="21"/>
        <v>3</v>
      </c>
      <c r="T155" s="158"/>
      <c r="U155" s="21">
        <v>0</v>
      </c>
      <c r="V155" s="21">
        <v>1</v>
      </c>
      <c r="W155" s="21">
        <v>0</v>
      </c>
      <c r="X155" s="156">
        <v>3</v>
      </c>
      <c r="Y155" s="157">
        <f t="shared" si="22"/>
        <v>3</v>
      </c>
      <c r="Z155" s="22"/>
      <c r="AA155" s="157">
        <f t="shared" si="23"/>
        <v>3</v>
      </c>
      <c r="AB155" s="20" t="s">
        <v>1196</v>
      </c>
      <c r="AC155" s="34"/>
      <c r="AD155" s="23" t="str">
        <f t="shared" si="24"/>
        <v/>
      </c>
    </row>
    <row r="156" spans="1:30" ht="58" outlineLevel="2" x14ac:dyDescent="0.35">
      <c r="A156" s="86" t="s">
        <v>0</v>
      </c>
      <c r="B156" s="18"/>
      <c r="C156" s="78"/>
      <c r="D156" s="78"/>
      <c r="E156" s="78"/>
      <c r="F156" s="79"/>
      <c r="G156" s="19" t="s">
        <v>23</v>
      </c>
      <c r="H156" s="19" t="s">
        <v>23</v>
      </c>
      <c r="I156" s="20" t="s">
        <v>23</v>
      </c>
      <c r="J156" s="19" t="s">
        <v>23</v>
      </c>
      <c r="K156" s="35"/>
      <c r="L156" s="19"/>
      <c r="M156" s="263">
        <f t="shared" ca="1" si="20"/>
        <v>7.3999999999999986</v>
      </c>
      <c r="N156" s="20" t="s">
        <v>1197</v>
      </c>
      <c r="O156" s="20"/>
      <c r="P156" s="20"/>
      <c r="Q156" s="134"/>
      <c r="R156" s="127"/>
      <c r="S156" s="157">
        <f t="shared" si="21"/>
        <v>3</v>
      </c>
      <c r="T156" s="158"/>
      <c r="U156" s="21">
        <v>0</v>
      </c>
      <c r="V156" s="21">
        <v>1</v>
      </c>
      <c r="W156" s="21">
        <v>0</v>
      </c>
      <c r="X156" s="156">
        <v>3</v>
      </c>
      <c r="Y156" s="157">
        <f t="shared" si="22"/>
        <v>3</v>
      </c>
      <c r="Z156" s="22"/>
      <c r="AA156" s="157">
        <f t="shared" si="23"/>
        <v>3</v>
      </c>
      <c r="AB156" s="20" t="s">
        <v>1198</v>
      </c>
      <c r="AC156" s="34"/>
      <c r="AD156" s="23" t="str">
        <f t="shared" si="24"/>
        <v/>
      </c>
    </row>
    <row r="157" spans="1:30" ht="58" outlineLevel="2" x14ac:dyDescent="0.35">
      <c r="A157" s="86" t="s">
        <v>0</v>
      </c>
      <c r="B157" s="18"/>
      <c r="C157" s="78"/>
      <c r="D157" s="78"/>
      <c r="E157" s="78"/>
      <c r="F157" s="79"/>
      <c r="G157" s="19" t="s">
        <v>23</v>
      </c>
      <c r="H157" s="19" t="s">
        <v>23</v>
      </c>
      <c r="I157" s="20" t="s">
        <v>23</v>
      </c>
      <c r="J157" s="19" t="s">
        <v>23</v>
      </c>
      <c r="K157" s="35"/>
      <c r="L157" s="19"/>
      <c r="M157" s="263">
        <f t="shared" ca="1" si="20"/>
        <v>7.4999999999999982</v>
      </c>
      <c r="N157" s="20" t="s">
        <v>1199</v>
      </c>
      <c r="O157" s="20"/>
      <c r="P157" s="20"/>
      <c r="Q157" s="134"/>
      <c r="R157" s="127"/>
      <c r="S157" s="157">
        <f t="shared" si="21"/>
        <v>2</v>
      </c>
      <c r="T157" s="158"/>
      <c r="U157" s="21">
        <v>0</v>
      </c>
      <c r="V157" s="21">
        <v>1</v>
      </c>
      <c r="W157" s="21">
        <v>0</v>
      </c>
      <c r="X157" s="156">
        <v>2</v>
      </c>
      <c r="Y157" s="157">
        <f t="shared" si="22"/>
        <v>2</v>
      </c>
      <c r="Z157" s="22"/>
      <c r="AA157" s="157">
        <f t="shared" si="23"/>
        <v>2</v>
      </c>
      <c r="AB157" s="20" t="s">
        <v>1200</v>
      </c>
      <c r="AC157" s="34"/>
      <c r="AD157" s="23" t="str">
        <f t="shared" si="24"/>
        <v/>
      </c>
    </row>
    <row r="158" spans="1:30" ht="58" outlineLevel="2" x14ac:dyDescent="0.35">
      <c r="A158" s="86" t="s">
        <v>0</v>
      </c>
      <c r="B158" s="18"/>
      <c r="C158" s="78"/>
      <c r="D158" s="78"/>
      <c r="E158" s="78"/>
      <c r="F158" s="79"/>
      <c r="G158" s="19" t="s">
        <v>23</v>
      </c>
      <c r="H158" s="19" t="s">
        <v>23</v>
      </c>
      <c r="I158" s="20" t="s">
        <v>23</v>
      </c>
      <c r="J158" s="19" t="s">
        <v>23</v>
      </c>
      <c r="K158" s="35"/>
      <c r="L158" s="19"/>
      <c r="M158" s="263">
        <f t="shared" ca="1" si="20"/>
        <v>7.5999999999999979</v>
      </c>
      <c r="N158" s="20" t="s">
        <v>1201</v>
      </c>
      <c r="O158" s="20"/>
      <c r="P158" s="20"/>
      <c r="Q158" s="134"/>
      <c r="R158" s="127"/>
      <c r="S158" s="157">
        <f t="shared" si="21"/>
        <v>3</v>
      </c>
      <c r="T158" s="158"/>
      <c r="U158" s="21">
        <v>0</v>
      </c>
      <c r="V158" s="21">
        <v>1</v>
      </c>
      <c r="W158" s="21">
        <v>0</v>
      </c>
      <c r="X158" s="156">
        <v>3</v>
      </c>
      <c r="Y158" s="157">
        <f t="shared" si="22"/>
        <v>3</v>
      </c>
      <c r="Z158" s="22"/>
      <c r="AA158" s="157">
        <f t="shared" si="23"/>
        <v>3</v>
      </c>
      <c r="AB158" s="20"/>
      <c r="AC158" s="34"/>
      <c r="AD158" s="23" t="str">
        <f t="shared" si="24"/>
        <v/>
      </c>
    </row>
    <row r="159" spans="1:30" s="9" customFormat="1" ht="7.5" customHeight="1" outlineLevel="2" x14ac:dyDescent="0.35">
      <c r="A159" s="86" t="s">
        <v>132</v>
      </c>
      <c r="B159" s="15"/>
      <c r="C159" s="72"/>
      <c r="D159" s="72"/>
      <c r="E159" s="72"/>
      <c r="F159" s="72"/>
      <c r="M159" s="252"/>
      <c r="T159" s="15"/>
      <c r="X159" s="15"/>
      <c r="AB159" s="10"/>
      <c r="AC159" s="10"/>
      <c r="AD159" s="10"/>
    </row>
    <row r="160" spans="1:30" s="14" customFormat="1" ht="15.5" outlineLevel="1" x14ac:dyDescent="0.35">
      <c r="A160" s="86" t="s">
        <v>100</v>
      </c>
      <c r="B160" s="18"/>
      <c r="C160" s="77"/>
      <c r="D160" s="77"/>
      <c r="E160" s="77"/>
      <c r="F160" s="76"/>
      <c r="G160" s="29"/>
      <c r="H160" s="29"/>
      <c r="I160" s="29"/>
      <c r="J160" s="29"/>
      <c r="K160" s="29"/>
      <c r="L160" s="17">
        <f ca="1">LOOKUP(1000,INDIRECT("L1:"&amp;CELL("address",INDIRECT("R[-1]C",FALSE))))+1</f>
        <v>8</v>
      </c>
      <c r="M160" s="310" t="s">
        <v>108</v>
      </c>
      <c r="N160" s="310"/>
      <c r="O160" s="5"/>
      <c r="P160" s="30"/>
      <c r="Q160" s="30"/>
      <c r="R160" s="30"/>
      <c r="S160" s="30"/>
      <c r="T160" s="155">
        <f>IF($S$6="Exclude", SUMIFS(S161:S167, J161:J167, "&lt;&gt;Yes", G161:G167, "&lt;&gt;Yes"), SUMIFS(S161:S167, J161:J167, "&lt;&gt;Yes"))</f>
        <v>0</v>
      </c>
      <c r="U160" s="30"/>
      <c r="V160" s="30"/>
      <c r="W160" s="30"/>
      <c r="X160" s="31"/>
      <c r="Y160" s="32"/>
      <c r="Z160" s="32"/>
      <c r="AA160" s="32"/>
      <c r="AB160" s="219" t="s">
        <v>439</v>
      </c>
      <c r="AC160" s="33"/>
      <c r="AD160" s="23" t="str">
        <f>IF(M160="", "Error: Task name cannot be empty.", "")</f>
        <v/>
      </c>
    </row>
    <row r="161" spans="1:30" s="12" customFormat="1" ht="1.5" customHeight="1" outlineLevel="2" x14ac:dyDescent="0.35">
      <c r="A161" s="86" t="s">
        <v>101</v>
      </c>
      <c r="B161" s="18"/>
      <c r="C161" s="77"/>
      <c r="D161" s="77"/>
      <c r="E161" s="77"/>
      <c r="F161" s="76"/>
      <c r="G161" s="29"/>
      <c r="H161" s="29"/>
      <c r="I161" s="29"/>
      <c r="J161" s="29"/>
      <c r="K161" s="29"/>
      <c r="L161" s="163">
        <f ca="1">L160</f>
        <v>8</v>
      </c>
      <c r="M161" s="164" t="s">
        <v>105</v>
      </c>
      <c r="N161" s="161"/>
      <c r="O161" s="162"/>
      <c r="P161" s="30"/>
      <c r="Q161" s="30"/>
      <c r="R161" s="30"/>
      <c r="S161" s="30"/>
      <c r="T161" s="155"/>
      <c r="U161" s="30"/>
      <c r="V161" s="30"/>
      <c r="W161" s="30"/>
      <c r="X161" s="31"/>
      <c r="Y161" s="32"/>
      <c r="Z161" s="32"/>
      <c r="AA161" s="32"/>
      <c r="AB161" s="33"/>
      <c r="AC161" s="33"/>
      <c r="AD161" s="23"/>
    </row>
    <row r="162" spans="1:30" ht="58" outlineLevel="2" x14ac:dyDescent="0.35">
      <c r="A162" s="86" t="s">
        <v>0</v>
      </c>
      <c r="B162" s="18"/>
      <c r="C162" s="78"/>
      <c r="D162" s="78"/>
      <c r="E162" s="78"/>
      <c r="F162" s="79"/>
      <c r="G162" s="19" t="s">
        <v>23</v>
      </c>
      <c r="H162" s="19" t="s">
        <v>23</v>
      </c>
      <c r="I162" s="20" t="s">
        <v>23</v>
      </c>
      <c r="J162" s="19" t="s">
        <v>23</v>
      </c>
      <c r="K162" s="35"/>
      <c r="L162" s="19"/>
      <c r="M162" s="263" t="str">
        <f ca="1">IFERROR(OFFSET(M162,-1,,1,1)+0.1,OFFSET(M162,-1,-1,1,1)&amp;".1")</f>
        <v>8.1</v>
      </c>
      <c r="N162" s="20" t="s">
        <v>438</v>
      </c>
      <c r="O162" s="20"/>
      <c r="P162" s="20"/>
      <c r="Q162" s="134"/>
      <c r="R162" s="127"/>
      <c r="S162" s="157">
        <f>CEILING((IF(J162="Yes", 0, IF(H162="-",AA162,AA162+AA162*VLOOKUP(H162,BUFFERS_BY_TYPE,2,FALSE)))) +
   (IF(J162="Yes", 0, IF(H162="-",AA162,AA162+AA162*VLOOKUP(H162,BUFFERS_BY_TYPE,2,FALSE))))*VLOOKUP($S$5, SALES_CALL_SCALE_ARRAY, 2,FALSE),0.25)</f>
        <v>0</v>
      </c>
      <c r="T162" s="158"/>
      <c r="U162" s="21">
        <v>0</v>
      </c>
      <c r="V162" s="21">
        <v>1</v>
      </c>
      <c r="W162" s="21">
        <v>0</v>
      </c>
      <c r="X162" s="156"/>
      <c r="Y162" s="157">
        <f>CEILING((IF(P162=AS_DEV_EFFORT, DEV_EFFORT*Q162%,
                           IF(P162=AS_DURATION_EFFORT, (MANUAL_DURATION*5)*Q162%,
                                    (IF(Q162&lt;=1,X162,
                                          IF(SUM(U162:W162)=0,(Q162*X162),
                                               (((Q162*U162)*(X162+(X162*EXTRA_FOR_H)))+
                                               ((Q162*V162)*X162)+
                                               ((Q162*W162)*(X162-(X162*LESS_FOR_L)))
                                    )*IF(R162=0,1,R162))))))+Z162), 0.25)</f>
        <v>0</v>
      </c>
      <c r="Z162" s="22"/>
      <c r="AA162" s="157">
        <f>Y162+Y162*VLOOKUP(I162,EXTRAS_ARRAY,2,FALSE)</f>
        <v>0</v>
      </c>
      <c r="AB162" s="20" t="s">
        <v>440</v>
      </c>
      <c r="AC162" s="34"/>
      <c r="AD162" s="23" t="str">
        <f>IF(J162&lt;&gt;"Yes",
IF(S162&lt;=0,"Error: Effort value is not defined or is invalid.",
IF(AND(SUM(U162:W162)&gt;0,SUM(U162:W162)&lt;&gt;1),"Error: Complexity % distribution should sum to 100%.",
IF(AND(P162=AS_DEV_EFFORT,X162&lt;&gt;0),"Error: PDs should not be defined when defining as dev effort %.",
IF(AND(P162=AS_DURATION_EFFORT,X162&lt;&gt;0),"Error: PDs should not be defined when defining as duration effort %.","")))))</f>
        <v>Error: Effort value is not defined or is invalid.</v>
      </c>
    </row>
    <row r="163" spans="1:30" ht="58" outlineLevel="2" x14ac:dyDescent="0.35">
      <c r="A163" s="86" t="s">
        <v>0</v>
      </c>
      <c r="B163" s="18"/>
      <c r="C163" s="78"/>
      <c r="D163" s="78"/>
      <c r="E163" s="78"/>
      <c r="F163" s="79"/>
      <c r="G163" s="19" t="s">
        <v>23</v>
      </c>
      <c r="H163" s="19" t="s">
        <v>23</v>
      </c>
      <c r="I163" s="20" t="s">
        <v>23</v>
      </c>
      <c r="J163" s="19" t="s">
        <v>23</v>
      </c>
      <c r="K163" s="35"/>
      <c r="L163" s="19"/>
      <c r="M163" s="263">
        <f ca="1">IFERROR(OFFSET(M163,-1,,1,1)+0.1,OFFSET(M163,-1,-1,1,1)&amp;".1")</f>
        <v>8.1999999999999993</v>
      </c>
      <c r="N163" s="20" t="s">
        <v>438</v>
      </c>
      <c r="O163" s="20"/>
      <c r="P163" s="20"/>
      <c r="Q163" s="134"/>
      <c r="R163" s="127"/>
      <c r="S163" s="157">
        <f>CEILING((IF(J163="Yes", 0, IF(H163="-",AA163,AA163+AA163*VLOOKUP(H163,BUFFERS_BY_TYPE,2,FALSE)))) +
   (IF(J163="Yes", 0, IF(H163="-",AA163,AA163+AA163*VLOOKUP(H163,BUFFERS_BY_TYPE,2,FALSE))))*VLOOKUP($S$5, SALES_CALL_SCALE_ARRAY, 2,FALSE),0.25)</f>
        <v>0</v>
      </c>
      <c r="T163" s="158"/>
      <c r="U163" s="21">
        <v>0</v>
      </c>
      <c r="V163" s="21">
        <v>1</v>
      </c>
      <c r="W163" s="21">
        <v>0</v>
      </c>
      <c r="X163" s="156"/>
      <c r="Y163" s="157">
        <f>CEILING((IF(P163=AS_DEV_EFFORT, DEV_EFFORT*Q163%,
                           IF(P163=AS_DURATION_EFFORT, (MANUAL_DURATION*5)*Q163%,
                                    (IF(Q163&lt;=1,X163,
                                          IF(SUM(U163:W163)=0,(Q163*X163),
                                               (((Q163*U163)*(X163+(X163*EXTRA_FOR_H)))+
                                               ((Q163*V163)*X163)+
                                               ((Q163*W163)*(X163-(X163*LESS_FOR_L)))
                                    )*IF(R163=0,1,R163))))))+Z163), 0.25)</f>
        <v>0</v>
      </c>
      <c r="Z163" s="22"/>
      <c r="AA163" s="157">
        <f>Y163+Y163*VLOOKUP(I163,EXTRAS_ARRAY,2,FALSE)</f>
        <v>0</v>
      </c>
      <c r="AB163" s="20" t="s">
        <v>440</v>
      </c>
      <c r="AC163" s="34"/>
      <c r="AD163" s="23" t="str">
        <f>IF(J163&lt;&gt;"Yes",
IF(S163&lt;=0,"Error: Effort value is not defined or is invalid.",
IF(AND(SUM(U163:W163)&gt;0,SUM(U163:W163)&lt;&gt;1),"Error: Complexity % distribution should sum to 100%.",
IF(AND(P163=AS_DEV_EFFORT,X163&lt;&gt;0),"Error: PDs should not be defined when defining as dev effort %.",
IF(AND(P163=AS_DURATION_EFFORT,X163&lt;&gt;0),"Error: PDs should not be defined when defining as duration effort %.","")))))</f>
        <v>Error: Effort value is not defined or is invalid.</v>
      </c>
    </row>
    <row r="164" spans="1:30" ht="58" outlineLevel="2" x14ac:dyDescent="0.35">
      <c r="A164" s="86" t="s">
        <v>0</v>
      </c>
      <c r="B164" s="18"/>
      <c r="C164" s="78"/>
      <c r="D164" s="78"/>
      <c r="E164" s="78"/>
      <c r="F164" s="79"/>
      <c r="G164" s="19" t="s">
        <v>23</v>
      </c>
      <c r="H164" s="19" t="s">
        <v>23</v>
      </c>
      <c r="I164" s="20" t="s">
        <v>23</v>
      </c>
      <c r="J164" s="19" t="s">
        <v>23</v>
      </c>
      <c r="K164" s="35"/>
      <c r="L164" s="19"/>
      <c r="M164" s="263">
        <f ca="1">IFERROR(OFFSET(M164,-1,,1,1)+0.1,OFFSET(M164,-1,-1,1,1)&amp;".1")</f>
        <v>8.2999999999999989</v>
      </c>
      <c r="N164" s="20" t="s">
        <v>438</v>
      </c>
      <c r="O164" s="20"/>
      <c r="P164" s="20"/>
      <c r="Q164" s="134"/>
      <c r="R164" s="127"/>
      <c r="S164" s="157">
        <f>CEILING((IF(J164="Yes", 0, IF(H164="-",AA164,AA164+AA164*VLOOKUP(H164,BUFFERS_BY_TYPE,2,FALSE)))) +
   (IF(J164="Yes", 0, IF(H164="-",AA164,AA164+AA164*VLOOKUP(H164,BUFFERS_BY_TYPE,2,FALSE))))*VLOOKUP($S$5, SALES_CALL_SCALE_ARRAY, 2,FALSE),0.25)</f>
        <v>0</v>
      </c>
      <c r="T164" s="158"/>
      <c r="U164" s="21">
        <v>0</v>
      </c>
      <c r="V164" s="21">
        <v>1</v>
      </c>
      <c r="W164" s="21">
        <v>0</v>
      </c>
      <c r="X164" s="156"/>
      <c r="Y164" s="157">
        <f>CEILING((IF(P164=AS_DEV_EFFORT, DEV_EFFORT*Q164%,
                           IF(P164=AS_DURATION_EFFORT, (MANUAL_DURATION*5)*Q164%,
                                    (IF(Q164&lt;=1,X164,
                                          IF(SUM(U164:W164)=0,(Q164*X164),
                                               (((Q164*U164)*(X164+(X164*EXTRA_FOR_H)))+
                                               ((Q164*V164)*X164)+
                                               ((Q164*W164)*(X164-(X164*LESS_FOR_L)))
                                    )*IF(R164=0,1,R164))))))+Z164), 0.25)</f>
        <v>0</v>
      </c>
      <c r="Z164" s="22"/>
      <c r="AA164" s="157">
        <f>Y164+Y164*VLOOKUP(I164,EXTRAS_ARRAY,2,FALSE)</f>
        <v>0</v>
      </c>
      <c r="AB164" s="20" t="s">
        <v>440</v>
      </c>
      <c r="AC164" s="34"/>
      <c r="AD164" s="23" t="str">
        <f>IF(J164&lt;&gt;"Yes",
IF(S164&lt;=0,"Error: Effort value is not defined or is invalid.",
IF(AND(SUM(U164:W164)&gt;0,SUM(U164:W164)&lt;&gt;1),"Error: Complexity % distribution should sum to 100%.",
IF(AND(P164=AS_DEV_EFFORT,X164&lt;&gt;0),"Error: PDs should not be defined when defining as dev effort %.",
IF(AND(P164=AS_DURATION_EFFORT,X164&lt;&gt;0),"Error: PDs should not be defined when defining as duration effort %.","")))))</f>
        <v>Error: Effort value is not defined or is invalid.</v>
      </c>
    </row>
    <row r="165" spans="1:30" ht="58" outlineLevel="2" x14ac:dyDescent="0.35">
      <c r="A165" s="86" t="s">
        <v>0</v>
      </c>
      <c r="B165" s="18"/>
      <c r="C165" s="78"/>
      <c r="D165" s="78"/>
      <c r="E165" s="78"/>
      <c r="F165" s="79"/>
      <c r="G165" s="19" t="s">
        <v>23</v>
      </c>
      <c r="H165" s="19" t="s">
        <v>23</v>
      </c>
      <c r="I165" s="20" t="s">
        <v>23</v>
      </c>
      <c r="J165" s="19" t="s">
        <v>23</v>
      </c>
      <c r="K165" s="35"/>
      <c r="L165" s="19"/>
      <c r="M165" s="263">
        <f ca="1">IFERROR(OFFSET(M165,-1,,1,1)+0.1,OFFSET(M165,-1,-1,1,1)&amp;".1")</f>
        <v>8.3999999999999986</v>
      </c>
      <c r="N165" s="20" t="s">
        <v>438</v>
      </c>
      <c r="O165" s="20"/>
      <c r="P165" s="20"/>
      <c r="Q165" s="134"/>
      <c r="R165" s="127"/>
      <c r="S165" s="157">
        <f>CEILING((IF(J165="Yes", 0, IF(H165="-",AA165,AA165+AA165*VLOOKUP(H165,BUFFERS_BY_TYPE,2,FALSE)))) +
   (IF(J165="Yes", 0, IF(H165="-",AA165,AA165+AA165*VLOOKUP(H165,BUFFERS_BY_TYPE,2,FALSE))))*VLOOKUP($S$5, SALES_CALL_SCALE_ARRAY, 2,FALSE),0.25)</f>
        <v>0</v>
      </c>
      <c r="T165" s="158"/>
      <c r="U165" s="21">
        <v>0</v>
      </c>
      <c r="V165" s="21">
        <v>1</v>
      </c>
      <c r="W165" s="21">
        <v>0</v>
      </c>
      <c r="X165" s="156"/>
      <c r="Y165" s="157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>0</v>
      </c>
      <c r="Z165" s="22"/>
      <c r="AA165" s="157">
        <f>Y165+Y165*VLOOKUP(I165,EXTRAS_ARRAY,2,FALSE)</f>
        <v>0</v>
      </c>
      <c r="AB165" s="20" t="s">
        <v>440</v>
      </c>
      <c r="AC165" s="34"/>
      <c r="AD165" s="23" t="str">
        <f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>Error: Effort value is not defined or is invalid.</v>
      </c>
    </row>
    <row r="166" spans="1:30" ht="58" outlineLevel="2" x14ac:dyDescent="0.35">
      <c r="A166" s="86" t="s">
        <v>0</v>
      </c>
      <c r="B166" s="18"/>
      <c r="C166" s="78"/>
      <c r="D166" s="78"/>
      <c r="E166" s="78"/>
      <c r="F166" s="79"/>
      <c r="G166" s="19" t="s">
        <v>23</v>
      </c>
      <c r="H166" s="19" t="s">
        <v>23</v>
      </c>
      <c r="I166" s="20" t="s">
        <v>23</v>
      </c>
      <c r="J166" s="19" t="s">
        <v>23</v>
      </c>
      <c r="K166" s="35"/>
      <c r="L166" s="19"/>
      <c r="M166" s="263">
        <f ca="1">IFERROR(OFFSET(M166,-1,,1,1)+0.1,OFFSET(M166,-1,-1,1,1)&amp;".1")</f>
        <v>8.4999999999999982</v>
      </c>
      <c r="N166" s="20" t="s">
        <v>438</v>
      </c>
      <c r="O166" s="20"/>
      <c r="P166" s="20"/>
      <c r="Q166" s="134"/>
      <c r="R166" s="127"/>
      <c r="S166" s="157">
        <f>CEILING((IF(J166="Yes", 0, IF(H166="-",AA166,AA166+AA166*VLOOKUP(H166,BUFFERS_BY_TYPE,2,FALSE)))) +
   (IF(J166="Yes", 0, IF(H166="-",AA166,AA166+AA166*VLOOKUP(H166,BUFFERS_BY_TYPE,2,FALSE))))*VLOOKUP($S$5, SALES_CALL_SCALE_ARRAY, 2,FALSE),0.25)</f>
        <v>0</v>
      </c>
      <c r="T166" s="158"/>
      <c r="U166" s="21">
        <v>0</v>
      </c>
      <c r="V166" s="21">
        <v>1</v>
      </c>
      <c r="W166" s="21">
        <v>0</v>
      </c>
      <c r="X166" s="156"/>
      <c r="Y166" s="157">
        <f>CEILING((IF(P166=AS_DEV_EFFORT, DEV_EFFORT*Q166%,
                           IF(P166=AS_DURATION_EFFORT, (MANUAL_DURATION*5)*Q166%,
                                    (IF(Q166&lt;=1,X166,
                                          IF(SUM(U166:W166)=0,(Q166*X166),
                                               (((Q166*U166)*(X166+(X166*EXTRA_FOR_H)))+
                                               ((Q166*V166)*X166)+
                                               ((Q166*W166)*(X166-(X166*LESS_FOR_L)))
                                    )*IF(R166=0,1,R166))))))+Z166), 0.25)</f>
        <v>0</v>
      </c>
      <c r="Z166" s="22"/>
      <c r="AA166" s="157">
        <f>Y166+Y166*VLOOKUP(I166,EXTRAS_ARRAY,2,FALSE)</f>
        <v>0</v>
      </c>
      <c r="AB166" s="20" t="s">
        <v>440</v>
      </c>
      <c r="AC166" s="34"/>
      <c r="AD166" s="23" t="str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>Error: Effort value is not defined or is invalid.</v>
      </c>
    </row>
    <row r="167" spans="1:30" s="9" customFormat="1" ht="7.5" customHeight="1" outlineLevel="2" x14ac:dyDescent="0.35">
      <c r="A167" s="86" t="s">
        <v>132</v>
      </c>
      <c r="B167" s="15"/>
      <c r="C167" s="72"/>
      <c r="D167" s="72"/>
      <c r="E167" s="72"/>
      <c r="F167" s="72"/>
      <c r="M167" s="252"/>
      <c r="T167" s="15"/>
      <c r="X167" s="15"/>
      <c r="AB167" s="10"/>
      <c r="AC167" s="10"/>
      <c r="AD167" s="10"/>
    </row>
    <row r="168" spans="1:30" s="14" customFormat="1" ht="15.5" outlineLevel="1" x14ac:dyDescent="0.35">
      <c r="A168" s="86" t="s">
        <v>107</v>
      </c>
      <c r="B168" s="18"/>
      <c r="C168" s="77"/>
      <c r="D168" s="77"/>
      <c r="E168" s="77"/>
      <c r="F168" s="76"/>
      <c r="G168" s="170"/>
      <c r="H168" s="170"/>
      <c r="I168" s="170"/>
      <c r="J168" s="170"/>
      <c r="K168" s="170"/>
      <c r="L168" s="85" t="s">
        <v>109</v>
      </c>
      <c r="M168" s="311" t="s">
        <v>1025</v>
      </c>
      <c r="N168" s="311"/>
      <c r="O168" s="80"/>
      <c r="P168" s="81"/>
      <c r="Q168" s="81"/>
      <c r="R168" s="81"/>
      <c r="S168" s="307">
        <f>SUMGROUP(ROW(), "T")</f>
        <v>78</v>
      </c>
      <c r="T168" s="307"/>
      <c r="U168" s="308"/>
      <c r="V168" s="308"/>
      <c r="W168" s="308"/>
      <c r="X168" s="82"/>
      <c r="Y168" s="83"/>
      <c r="Z168" s="83"/>
      <c r="AA168" s="83"/>
      <c r="AB168" s="221"/>
      <c r="AC168" s="84"/>
      <c r="AD168" s="23" t="str">
        <f>IF(M168="", "Error: Module name cannot be empty.", "")</f>
        <v/>
      </c>
    </row>
    <row r="169" spans="1:30" s="14" customFormat="1" ht="29" outlineLevel="1" collapsed="1" x14ac:dyDescent="0.35">
      <c r="A169" s="86" t="s">
        <v>100</v>
      </c>
      <c r="B169" s="18"/>
      <c r="C169" s="77"/>
      <c r="D169" s="77"/>
      <c r="E169" s="77"/>
      <c r="F169" s="76"/>
      <c r="G169" s="29"/>
      <c r="H169" s="29"/>
      <c r="I169" s="29"/>
      <c r="J169" s="29"/>
      <c r="K169" s="29"/>
      <c r="L169" s="17">
        <f ca="1">LOOKUP(1000,INDIRECT("L1:"&amp;CELL("address",INDIRECT("R[-1]C",FALSE))))+1</f>
        <v>9</v>
      </c>
      <c r="M169" s="309" t="s">
        <v>1026</v>
      </c>
      <c r="N169" s="310"/>
      <c r="O169" s="5"/>
      <c r="P169" s="30"/>
      <c r="Q169" s="30"/>
      <c r="R169" s="30"/>
      <c r="S169" s="30"/>
      <c r="T169" s="155">
        <f>IF($S$6="Exclude", SUMIFS(S170:S176, J170:J176, "&lt;&gt;Yes", G170:G176, "&lt;&gt;Yes"), SUMIFS(S170:S176, J170:J176, "&lt;&gt;Yes"))</f>
        <v>18</v>
      </c>
      <c r="U169" s="30"/>
      <c r="V169" s="30"/>
      <c r="W169" s="30"/>
      <c r="X169" s="31"/>
      <c r="Y169" s="32"/>
      <c r="Z169" s="32"/>
      <c r="AA169" s="32"/>
      <c r="AB169" s="219" t="s">
        <v>1027</v>
      </c>
      <c r="AC169" s="33"/>
      <c r="AD169" s="23" t="str">
        <f>IF(M169="", "Error: Task name cannot be empty.", "")</f>
        <v/>
      </c>
    </row>
    <row r="170" spans="1:30" s="12" customFormat="1" ht="1.5" hidden="1" customHeight="1" outlineLevel="2" x14ac:dyDescent="0.35">
      <c r="A170" s="86" t="s">
        <v>101</v>
      </c>
      <c r="B170" s="18"/>
      <c r="C170" s="77"/>
      <c r="D170" s="77"/>
      <c r="E170" s="77"/>
      <c r="F170" s="76"/>
      <c r="G170" s="29"/>
      <c r="H170" s="29"/>
      <c r="I170" s="29"/>
      <c r="J170" s="29"/>
      <c r="K170" s="29"/>
      <c r="L170" s="163">
        <f ca="1">L169</f>
        <v>9</v>
      </c>
      <c r="M170" s="164" t="s">
        <v>105</v>
      </c>
      <c r="N170" s="161"/>
      <c r="O170" s="162"/>
      <c r="P170" s="30"/>
      <c r="Q170" s="30"/>
      <c r="R170" s="30"/>
      <c r="S170" s="30"/>
      <c r="T170" s="155"/>
      <c r="U170" s="30"/>
      <c r="V170" s="30"/>
      <c r="W170" s="30"/>
      <c r="X170" s="31"/>
      <c r="Y170" s="32"/>
      <c r="Z170" s="32"/>
      <c r="AA170" s="32"/>
      <c r="AB170" s="33"/>
      <c r="AC170" s="33"/>
      <c r="AD170" s="23"/>
    </row>
    <row r="171" spans="1:30" ht="15.5" hidden="1" outlineLevel="2" x14ac:dyDescent="0.35">
      <c r="A171" s="86" t="s">
        <v>0</v>
      </c>
      <c r="B171" s="18"/>
      <c r="C171" s="78"/>
      <c r="D171" s="78"/>
      <c r="E171" s="78"/>
      <c r="F171" s="79"/>
      <c r="G171" s="19" t="s">
        <v>23</v>
      </c>
      <c r="H171" s="19" t="s">
        <v>23</v>
      </c>
      <c r="I171" s="20" t="s">
        <v>23</v>
      </c>
      <c r="J171" s="19" t="s">
        <v>23</v>
      </c>
      <c r="K171" s="35"/>
      <c r="L171" s="19"/>
      <c r="M171" s="263" t="str">
        <f ca="1">IFERROR(OFFSET(M171,-1,,1,1)+0.1,OFFSET(M171,-1,-1,1,1)&amp;".1")</f>
        <v>9.1</v>
      </c>
      <c r="N171" s="20" t="s">
        <v>1028</v>
      </c>
      <c r="O171" s="20"/>
      <c r="P171" s="20"/>
      <c r="Q171" s="134"/>
      <c r="R171" s="127"/>
      <c r="S171" s="157">
        <f>CEILING((IF(J171="Yes", 0, IF(H171="-",AA171,AA171+AA171*VLOOKUP(H171,BUFFERS_BY_TYPE,2,FALSE)))) +
   (IF(J171="Yes", 0, IF(H171="-",AA171,AA171+AA171*VLOOKUP(H171,BUFFERS_BY_TYPE,2,FALSE))))*VLOOKUP($S$5, SALES_CALL_SCALE_ARRAY, 2,FALSE),0.25)</f>
        <v>4</v>
      </c>
      <c r="T171" s="158"/>
      <c r="U171" s="21">
        <v>0</v>
      </c>
      <c r="V171" s="21">
        <v>1</v>
      </c>
      <c r="W171" s="21">
        <v>0</v>
      </c>
      <c r="X171" s="156">
        <v>4</v>
      </c>
      <c r="Y171" s="157">
        <f>CEILING((IF(P171=AS_DEV_EFFORT, DEV_EFFORT*Q171%,
                           IF(P171=AS_DURATION_EFFORT, (MANUAL_DURATION*5)*Q171%,
                                    (IF(Q171&lt;=1,X171,
                                          IF(SUM(U171:W171)=0,(Q171*X171),
                                               (((Q171*U171)*(X171+(X171*EXTRA_FOR_H)))+
                                               ((Q171*V171)*X171)+
                                               ((Q171*W171)*(X171-(X171*LESS_FOR_L)))
                                    )*IF(R171=0,1,R171))))))+Z171), 0.25)</f>
        <v>4</v>
      </c>
      <c r="Z171" s="22"/>
      <c r="AA171" s="157">
        <f>Y171+Y171*VLOOKUP(I171,EXTRAS_ARRAY,2,FALSE)</f>
        <v>4</v>
      </c>
      <c r="AB171" s="20"/>
      <c r="AC171" s="34"/>
      <c r="AD171" s="23" t="str">
        <f>IF(J171&lt;&gt;"Yes",
IF(S171&lt;=0,"Error: Effort value is not defined or is invalid.",
IF(AND(SUM(U171:W171)&gt;0,SUM(U171:W171)&lt;&gt;1),"Error: Complexity % distribution should sum to 100%.",
IF(AND(P171=AS_DEV_EFFORT,X171&lt;&gt;0),"Error: PDs should not be defined when defining as dev effort %.",
IF(AND(P171=AS_DURATION_EFFORT,X171&lt;&gt;0),"Error: PDs should not be defined when defining as duration effort %.","")))))</f>
        <v/>
      </c>
    </row>
    <row r="172" spans="1:30" ht="15.5" hidden="1" outlineLevel="2" x14ac:dyDescent="0.35">
      <c r="A172" s="86" t="s">
        <v>0</v>
      </c>
      <c r="B172" s="18"/>
      <c r="C172" s="78"/>
      <c r="D172" s="78"/>
      <c r="E172" s="78"/>
      <c r="F172" s="79"/>
      <c r="G172" s="19" t="s">
        <v>23</v>
      </c>
      <c r="H172" s="19" t="s">
        <v>23</v>
      </c>
      <c r="I172" s="20" t="s">
        <v>23</v>
      </c>
      <c r="J172" s="19" t="s">
        <v>23</v>
      </c>
      <c r="K172" s="35"/>
      <c r="L172" s="19"/>
      <c r="M172" s="263">
        <f ca="1">IFERROR(OFFSET(M172,-1,,1,1)+0.1,OFFSET(M172,-1,-1,1,1)&amp;".1")</f>
        <v>9.1999999999999993</v>
      </c>
      <c r="N172" s="20" t="s">
        <v>1029</v>
      </c>
      <c r="O172" s="20"/>
      <c r="P172" s="20"/>
      <c r="Q172" s="134"/>
      <c r="R172" s="127"/>
      <c r="S172" s="157">
        <f>CEILING((IF(J172="Yes", 0, IF(H172="-",AA172,AA172+AA172*VLOOKUP(H172,BUFFERS_BY_TYPE,2,FALSE)))) +
   (IF(J172="Yes", 0, IF(H172="-",AA172,AA172+AA172*VLOOKUP(H172,BUFFERS_BY_TYPE,2,FALSE))))*VLOOKUP($S$5, SALES_CALL_SCALE_ARRAY, 2,FALSE),0.25)</f>
        <v>5</v>
      </c>
      <c r="T172" s="158"/>
      <c r="U172" s="21">
        <v>0</v>
      </c>
      <c r="V172" s="21">
        <v>1</v>
      </c>
      <c r="W172" s="21">
        <v>0</v>
      </c>
      <c r="X172" s="156">
        <v>5</v>
      </c>
      <c r="Y172" s="157">
        <f>CEILING((IF(P172=AS_DEV_EFFORT, DEV_EFFORT*Q172%,
                           IF(P172=AS_DURATION_EFFORT, (MANUAL_DURATION*5)*Q172%,
                                    (IF(Q172&lt;=1,X172,
                                          IF(SUM(U172:W172)=0,(Q172*X172),
                                               (((Q172*U172)*(X172+(X172*EXTRA_FOR_H)))+
                                               ((Q172*V172)*X172)+
                                               ((Q172*W172)*(X172-(X172*LESS_FOR_L)))
                                    )*IF(R172=0,1,R172))))))+Z172), 0.25)</f>
        <v>5</v>
      </c>
      <c r="Z172" s="22"/>
      <c r="AA172" s="157">
        <f>Y172+Y172*VLOOKUP(I172,EXTRAS_ARRAY,2,FALSE)</f>
        <v>5</v>
      </c>
      <c r="AB172" s="20"/>
      <c r="AC172" s="34"/>
      <c r="AD172" s="23" t="str">
        <f>IF(J172&lt;&gt;"Yes",
IF(S172&lt;=0,"Error: Effort value is not defined or is invalid.",
IF(AND(SUM(U172:W172)&gt;0,SUM(U172:W172)&lt;&gt;1),"Error: Complexity % distribution should sum to 100%.",
IF(AND(P172=AS_DEV_EFFORT,X172&lt;&gt;0),"Error: PDs should not be defined when defining as dev effort %.",
IF(AND(P172=AS_DURATION_EFFORT,X172&lt;&gt;0),"Error: PDs should not be defined when defining as duration effort %.","")))))</f>
        <v/>
      </c>
    </row>
    <row r="173" spans="1:30" ht="15.5" hidden="1" outlineLevel="2" x14ac:dyDescent="0.35">
      <c r="A173" s="86" t="s">
        <v>0</v>
      </c>
      <c r="B173" s="18"/>
      <c r="C173" s="78"/>
      <c r="D173" s="78"/>
      <c r="E173" s="78"/>
      <c r="F173" s="79"/>
      <c r="G173" s="19" t="s">
        <v>23</v>
      </c>
      <c r="H173" s="19" t="s">
        <v>23</v>
      </c>
      <c r="I173" s="20" t="s">
        <v>23</v>
      </c>
      <c r="J173" s="19" t="s">
        <v>23</v>
      </c>
      <c r="K173" s="35"/>
      <c r="L173" s="19"/>
      <c r="M173" s="263">
        <f ca="1">IFERROR(OFFSET(M173,-1,,1,1)+0.1,OFFSET(M173,-1,-1,1,1)&amp;".1")</f>
        <v>9.2999999999999989</v>
      </c>
      <c r="N173" s="20" t="s">
        <v>1030</v>
      </c>
      <c r="O173" s="20"/>
      <c r="P173" s="20"/>
      <c r="Q173" s="134"/>
      <c r="R173" s="127"/>
      <c r="S173" s="157">
        <f>CEILING((IF(J173="Yes", 0, IF(H173="-",AA173,AA173+AA173*VLOOKUP(H173,BUFFERS_BY_TYPE,2,FALSE)))) +
   (IF(J173="Yes", 0, IF(H173="-",AA173,AA173+AA173*VLOOKUP(H173,BUFFERS_BY_TYPE,2,FALSE))))*VLOOKUP($S$5, SALES_CALL_SCALE_ARRAY, 2,FALSE),0.25)</f>
        <v>4</v>
      </c>
      <c r="T173" s="158"/>
      <c r="U173" s="21">
        <v>0</v>
      </c>
      <c r="V173" s="21">
        <v>1</v>
      </c>
      <c r="W173" s="21">
        <v>0</v>
      </c>
      <c r="X173" s="156">
        <v>4</v>
      </c>
      <c r="Y173" s="157">
        <f>CEILING((IF(P173=AS_DEV_EFFORT, DEV_EFFORT*Q173%,
                           IF(P173=AS_DURATION_EFFORT, (MANUAL_DURATION*5)*Q173%,
                                    (IF(Q173&lt;=1,X173,
                                          IF(SUM(U173:W173)=0,(Q173*X173),
                                               (((Q173*U173)*(X173+(X173*EXTRA_FOR_H)))+
                                               ((Q173*V173)*X173)+
                                               ((Q173*W173)*(X173-(X173*LESS_FOR_L)))
                                    )*IF(R173=0,1,R173))))))+Z173), 0.25)</f>
        <v>4</v>
      </c>
      <c r="Z173" s="22"/>
      <c r="AA173" s="157">
        <f>Y173+Y173*VLOOKUP(I173,EXTRAS_ARRAY,2,FALSE)</f>
        <v>4</v>
      </c>
      <c r="AB173" s="20"/>
      <c r="AC173" s="34"/>
      <c r="AD173" s="23" t="str">
        <f>IF(J173&lt;&gt;"Yes",
IF(S173&lt;=0,"Error: Effort value is not defined or is invalid.",
IF(AND(SUM(U173:W173)&gt;0,SUM(U173:W173)&lt;&gt;1),"Error: Complexity % distribution should sum to 100%.",
IF(AND(P173=AS_DEV_EFFORT,X173&lt;&gt;0),"Error: PDs should not be defined when defining as dev effort %.",
IF(AND(P173=AS_DURATION_EFFORT,X173&lt;&gt;0),"Error: PDs should not be defined when defining as duration effort %.","")))))</f>
        <v/>
      </c>
    </row>
    <row r="174" spans="1:30" ht="15.5" hidden="1" outlineLevel="2" x14ac:dyDescent="0.35">
      <c r="A174" s="86" t="s">
        <v>0</v>
      </c>
      <c r="B174" s="18"/>
      <c r="C174" s="78"/>
      <c r="D174" s="78"/>
      <c r="E174" s="78"/>
      <c r="F174" s="79"/>
      <c r="G174" s="19" t="s">
        <v>23</v>
      </c>
      <c r="H174" s="19" t="s">
        <v>23</v>
      </c>
      <c r="I174" s="20" t="s">
        <v>23</v>
      </c>
      <c r="J174" s="19" t="s">
        <v>23</v>
      </c>
      <c r="K174" s="35"/>
      <c r="L174" s="19"/>
      <c r="M174" s="263">
        <f ca="1">IFERROR(OFFSET(M174,-1,,1,1)+0.1,OFFSET(M174,-1,-1,1,1)&amp;".1")</f>
        <v>9.3999999999999986</v>
      </c>
      <c r="N174" s="20" t="s">
        <v>1031</v>
      </c>
      <c r="O174" s="20"/>
      <c r="P174" s="20"/>
      <c r="Q174" s="134"/>
      <c r="R174" s="127"/>
      <c r="S174" s="157">
        <f>CEILING((IF(J174="Yes", 0, IF(H174="-",AA174,AA174+AA174*VLOOKUP(H174,BUFFERS_BY_TYPE,2,FALSE)))) +
   (IF(J174="Yes", 0, IF(H174="-",AA174,AA174+AA174*VLOOKUP(H174,BUFFERS_BY_TYPE,2,FALSE))))*VLOOKUP($S$5, SALES_CALL_SCALE_ARRAY, 2,FALSE),0.25)</f>
        <v>2.5</v>
      </c>
      <c r="T174" s="158"/>
      <c r="U174" s="21">
        <v>0</v>
      </c>
      <c r="V174" s="21">
        <v>1</v>
      </c>
      <c r="W174" s="21">
        <v>0</v>
      </c>
      <c r="X174" s="156">
        <v>2.5</v>
      </c>
      <c r="Y174" s="157">
        <f>CEILING((IF(P174=AS_DEV_EFFORT, DEV_EFFORT*Q174%,
                           IF(P174=AS_DURATION_EFFORT, (MANUAL_DURATION*5)*Q174%,
                                    (IF(Q174&lt;=1,X174,
                                          IF(SUM(U174:W174)=0,(Q174*X174),
                                               (((Q174*U174)*(X174+(X174*EXTRA_FOR_H)))+
                                               ((Q174*V174)*X174)+
                                               ((Q174*W174)*(X174-(X174*LESS_FOR_L)))
                                    )*IF(R174=0,1,R174))))))+Z174), 0.25)</f>
        <v>2.5</v>
      </c>
      <c r="Z174" s="22"/>
      <c r="AA174" s="157">
        <f>Y174+Y174*VLOOKUP(I174,EXTRAS_ARRAY,2,FALSE)</f>
        <v>2.5</v>
      </c>
      <c r="AB174" s="20"/>
      <c r="AC174" s="34"/>
      <c r="AD174" s="23" t="str">
        <f>IF(J174&lt;&gt;"Yes",
IF(S174&lt;=0,"Error: Effort value is not defined or is invalid.",
IF(AND(SUM(U174:W174)&gt;0,SUM(U174:W174)&lt;&gt;1),"Error: Complexity % distribution should sum to 100%.",
IF(AND(P174=AS_DEV_EFFORT,X174&lt;&gt;0),"Error: PDs should not be defined when defining as dev effort %.",
IF(AND(P174=AS_DURATION_EFFORT,X174&lt;&gt;0),"Error: PDs should not be defined when defining as duration effort %.","")))))</f>
        <v/>
      </c>
    </row>
    <row r="175" spans="1:30" ht="15.5" hidden="1" outlineLevel="2" x14ac:dyDescent="0.35">
      <c r="A175" s="86" t="s">
        <v>0</v>
      </c>
      <c r="B175" s="18"/>
      <c r="C175" s="78"/>
      <c r="D175" s="78"/>
      <c r="E175" s="78"/>
      <c r="F175" s="79"/>
      <c r="G175" s="19" t="s">
        <v>23</v>
      </c>
      <c r="H175" s="19" t="s">
        <v>23</v>
      </c>
      <c r="I175" s="20" t="s">
        <v>23</v>
      </c>
      <c r="J175" s="19" t="s">
        <v>23</v>
      </c>
      <c r="K175" s="35"/>
      <c r="L175" s="19"/>
      <c r="M175" s="263">
        <f ca="1">IFERROR(OFFSET(M175,-1,,1,1)+0.1,OFFSET(M175,-1,-1,1,1)&amp;".1")</f>
        <v>9.4999999999999982</v>
      </c>
      <c r="N175" s="20" t="s">
        <v>1032</v>
      </c>
      <c r="O175" s="20"/>
      <c r="P175" s="20"/>
      <c r="Q175" s="134"/>
      <c r="R175" s="127"/>
      <c r="S175" s="157">
        <f>CEILING((IF(J175="Yes", 0, IF(H175="-",AA175,AA175+AA175*VLOOKUP(H175,BUFFERS_BY_TYPE,2,FALSE)))) +
   (IF(J175="Yes", 0, IF(H175="-",AA175,AA175+AA175*VLOOKUP(H175,BUFFERS_BY_TYPE,2,FALSE))))*VLOOKUP($S$5, SALES_CALL_SCALE_ARRAY, 2,FALSE),0.25)</f>
        <v>2.5</v>
      </c>
      <c r="T175" s="158"/>
      <c r="U175" s="21">
        <v>0</v>
      </c>
      <c r="V175" s="21">
        <v>1</v>
      </c>
      <c r="W175" s="21">
        <v>0</v>
      </c>
      <c r="X175" s="156">
        <v>2.5</v>
      </c>
      <c r="Y175" s="157">
        <f>CEILING((IF(P175=AS_DEV_EFFORT, DEV_EFFORT*Q175%,
                           IF(P175=AS_DURATION_EFFORT, (MANUAL_DURATION*5)*Q175%,
                                    (IF(Q175&lt;=1,X175,
                                          IF(SUM(U175:W175)=0,(Q175*X175),
                                               (((Q175*U175)*(X175+(X175*EXTRA_FOR_H)))+
                                               ((Q175*V175)*X175)+
                                               ((Q175*W175)*(X175-(X175*LESS_FOR_L)))
                                    )*IF(R175=0,1,R175))))))+Z175), 0.25)</f>
        <v>2.5</v>
      </c>
      <c r="Z175" s="22"/>
      <c r="AA175" s="157">
        <f>Y175+Y175*VLOOKUP(I175,EXTRAS_ARRAY,2,FALSE)</f>
        <v>2.5</v>
      </c>
      <c r="AB175" s="20"/>
      <c r="AC175" s="34"/>
      <c r="AD175" s="23" t="str">
        <f>IF(J175&lt;&gt;"Yes",
IF(S175&lt;=0,"Error: Effort value is not defined or is invalid.",
IF(AND(SUM(U175:W175)&gt;0,SUM(U175:W175)&lt;&gt;1),"Error: Complexity % distribution should sum to 100%.",
IF(AND(P175=AS_DEV_EFFORT,X175&lt;&gt;0),"Error: PDs should not be defined when defining as dev effort %.",
IF(AND(P175=AS_DURATION_EFFORT,X175&lt;&gt;0),"Error: PDs should not be defined when defining as duration effort %.","")))))</f>
        <v/>
      </c>
    </row>
    <row r="176" spans="1:30" s="9" customFormat="1" ht="7.5" hidden="1" customHeight="1" outlineLevel="2" x14ac:dyDescent="0.35">
      <c r="A176" s="86" t="s">
        <v>132</v>
      </c>
      <c r="B176" s="15"/>
      <c r="C176" s="72"/>
      <c r="D176" s="72"/>
      <c r="E176" s="72"/>
      <c r="F176" s="72"/>
      <c r="M176" s="252"/>
      <c r="T176" s="15"/>
      <c r="X176" s="15"/>
      <c r="AB176" s="10"/>
      <c r="AC176" s="10"/>
      <c r="AD176" s="10"/>
    </row>
    <row r="177" spans="1:30" s="14" customFormat="1" ht="15.65" customHeight="1" outlineLevel="1" collapsed="1" x14ac:dyDescent="0.35">
      <c r="A177" s="86" t="s">
        <v>100</v>
      </c>
      <c r="B177" s="18"/>
      <c r="C177" s="77"/>
      <c r="D177" s="77"/>
      <c r="E177" s="77"/>
      <c r="F177" s="76"/>
      <c r="G177" s="29"/>
      <c r="H177" s="29"/>
      <c r="I177" s="29"/>
      <c r="J177" s="29"/>
      <c r="K177" s="29"/>
      <c r="L177" s="17">
        <f ca="1">LOOKUP(1000,INDIRECT("L1:"&amp;CELL("address",INDIRECT("R[-1]C",FALSE))))+1</f>
        <v>10</v>
      </c>
      <c r="M177" s="309" t="s">
        <v>1033</v>
      </c>
      <c r="N177" s="309"/>
      <c r="O177" s="5"/>
      <c r="P177" s="30"/>
      <c r="Q177" s="30"/>
      <c r="R177" s="30"/>
      <c r="S177" s="30"/>
      <c r="T177" s="155">
        <f>IF($S$6="Exclude", SUMIFS(S178:S184, J178:J184, "&lt;&gt;Yes", G178:G184, "&lt;&gt;Yes"), SUMIFS(S178:S184, J178:J184, "&lt;&gt;Yes"))</f>
        <v>15</v>
      </c>
      <c r="U177" s="30"/>
      <c r="V177" s="30"/>
      <c r="W177" s="30"/>
      <c r="X177" s="31"/>
      <c r="Y177" s="32"/>
      <c r="Z177" s="32"/>
      <c r="AA177" s="32"/>
      <c r="AB177" s="219" t="s">
        <v>1034</v>
      </c>
      <c r="AC177" s="33"/>
      <c r="AD177" s="23" t="str">
        <f>IF(M177="", "Error: Task name cannot be empty.", "")</f>
        <v/>
      </c>
    </row>
    <row r="178" spans="1:30" s="12" customFormat="1" ht="1.5" hidden="1" customHeight="1" outlineLevel="2" x14ac:dyDescent="0.35">
      <c r="A178" s="86" t="s">
        <v>101</v>
      </c>
      <c r="B178" s="18"/>
      <c r="C178" s="77"/>
      <c r="D178" s="77"/>
      <c r="E178" s="77"/>
      <c r="F178" s="76"/>
      <c r="G178" s="29"/>
      <c r="H178" s="29"/>
      <c r="I178" s="29"/>
      <c r="J178" s="29"/>
      <c r="K178" s="29"/>
      <c r="L178" s="163">
        <f ca="1">L177</f>
        <v>10</v>
      </c>
      <c r="M178" s="164" t="s">
        <v>105</v>
      </c>
      <c r="N178" s="161"/>
      <c r="O178" s="162"/>
      <c r="P178" s="30"/>
      <c r="Q178" s="30"/>
      <c r="R178" s="30"/>
      <c r="S178" s="30"/>
      <c r="T178" s="155"/>
      <c r="U178" s="30"/>
      <c r="V178" s="30"/>
      <c r="W178" s="30"/>
      <c r="X178" s="31"/>
      <c r="Y178" s="32"/>
      <c r="Z178" s="32"/>
      <c r="AA178" s="32"/>
      <c r="AB178" s="33"/>
      <c r="AC178" s="33"/>
      <c r="AD178" s="23"/>
    </row>
    <row r="179" spans="1:30" ht="15.5" hidden="1" outlineLevel="2" x14ac:dyDescent="0.35">
      <c r="A179" s="86" t="s">
        <v>0</v>
      </c>
      <c r="B179" s="18"/>
      <c r="C179" s="78"/>
      <c r="D179" s="78"/>
      <c r="E179" s="78"/>
      <c r="F179" s="79"/>
      <c r="G179" s="19" t="s">
        <v>23</v>
      </c>
      <c r="H179" s="19" t="s">
        <v>23</v>
      </c>
      <c r="I179" s="20" t="s">
        <v>23</v>
      </c>
      <c r="J179" s="19" t="s">
        <v>23</v>
      </c>
      <c r="K179" s="35"/>
      <c r="L179" s="19"/>
      <c r="M179" s="263" t="str">
        <f ca="1">IFERROR(OFFSET(M179,-1,,1,1)+0.1,OFFSET(M179,-1,-1,1,1)&amp;".1")</f>
        <v>10.1</v>
      </c>
      <c r="N179" s="20" t="s">
        <v>1035</v>
      </c>
      <c r="O179" s="20"/>
      <c r="P179" s="20"/>
      <c r="Q179" s="134"/>
      <c r="R179" s="127"/>
      <c r="S179" s="157">
        <f>CEILING((IF(J179="Yes", 0, IF(H179="-",AA179,AA179+AA179*VLOOKUP(H179,BUFFERS_BY_TYPE,2,FALSE)))) +
   (IF(J179="Yes", 0, IF(H179="-",AA179,AA179+AA179*VLOOKUP(H179,BUFFERS_BY_TYPE,2,FALSE))))*VLOOKUP($S$5, SALES_CALL_SCALE_ARRAY, 2,FALSE),0.25)</f>
        <v>3</v>
      </c>
      <c r="T179" s="158"/>
      <c r="U179" s="21">
        <v>0</v>
      </c>
      <c r="V179" s="21">
        <v>1</v>
      </c>
      <c r="W179" s="21">
        <v>0</v>
      </c>
      <c r="X179" s="156">
        <v>3</v>
      </c>
      <c r="Y179" s="157">
        <f>CEILING((IF(P179=AS_DEV_EFFORT, DEV_EFFORT*Q179%,
                           IF(P179=AS_DURATION_EFFORT, (MANUAL_DURATION*5)*Q179%,
                                    (IF(Q179&lt;=1,X179,
                                          IF(SUM(U179:W179)=0,(Q179*X179),
                                               (((Q179*U179)*(X179+(X179*EXTRA_FOR_H)))+
                                               ((Q179*V179)*X179)+
                                               ((Q179*W179)*(X179-(X179*LESS_FOR_L)))
                                    )*IF(R179=0,1,R179))))))+Z179), 0.25)</f>
        <v>3</v>
      </c>
      <c r="Z179" s="22"/>
      <c r="AA179" s="157">
        <f>Y179+Y179*VLOOKUP(I179,EXTRAS_ARRAY,2,FALSE)</f>
        <v>3</v>
      </c>
      <c r="AB179" s="20"/>
      <c r="AC179" s="34"/>
      <c r="AD179" s="23" t="str">
        <f>IF(J179&lt;&gt;"Yes",
IF(S179&lt;=0,"Error: Effort value is not defined or is invalid.",
IF(AND(SUM(U179:W179)&gt;0,SUM(U179:W179)&lt;&gt;1),"Error: Complexity % distribution should sum to 100%.",
IF(AND(P179=AS_DEV_EFFORT,X179&lt;&gt;0),"Error: PDs should not be defined when defining as dev effort %.",
IF(AND(P179=AS_DURATION_EFFORT,X179&lt;&gt;0),"Error: PDs should not be defined when defining as duration effort %.","")))))</f>
        <v/>
      </c>
    </row>
    <row r="180" spans="1:30" ht="15.5" hidden="1" outlineLevel="2" x14ac:dyDescent="0.35">
      <c r="A180" s="86" t="s">
        <v>0</v>
      </c>
      <c r="B180" s="18"/>
      <c r="C180" s="78"/>
      <c r="D180" s="78"/>
      <c r="E180" s="78"/>
      <c r="F180" s="79"/>
      <c r="G180" s="19" t="s">
        <v>23</v>
      </c>
      <c r="H180" s="19" t="s">
        <v>23</v>
      </c>
      <c r="I180" s="20" t="s">
        <v>23</v>
      </c>
      <c r="J180" s="19" t="s">
        <v>23</v>
      </c>
      <c r="K180" s="35"/>
      <c r="L180" s="19"/>
      <c r="M180" s="263">
        <f ca="1">IFERROR(OFFSET(M180,-1,,1,1)+0.1,OFFSET(M180,-1,-1,1,1)&amp;".1")</f>
        <v>10.199999999999999</v>
      </c>
      <c r="N180" s="20" t="s">
        <v>1036</v>
      </c>
      <c r="O180" s="20"/>
      <c r="P180" s="20"/>
      <c r="Q180" s="134"/>
      <c r="R180" s="127"/>
      <c r="S180" s="157">
        <f>CEILING((IF(J180="Yes", 0, IF(H180="-",AA180,AA180+AA180*VLOOKUP(H180,BUFFERS_BY_TYPE,2,FALSE)))) +
   (IF(J180="Yes", 0, IF(H180="-",AA180,AA180+AA180*VLOOKUP(H180,BUFFERS_BY_TYPE,2,FALSE))))*VLOOKUP($S$5, SALES_CALL_SCALE_ARRAY, 2,FALSE),0.25)</f>
        <v>4</v>
      </c>
      <c r="T180" s="158"/>
      <c r="U180" s="21">
        <v>0</v>
      </c>
      <c r="V180" s="21">
        <v>1</v>
      </c>
      <c r="W180" s="21">
        <v>0</v>
      </c>
      <c r="X180" s="156">
        <v>4</v>
      </c>
      <c r="Y180" s="157">
        <f>CEILING((IF(P180=AS_DEV_EFFORT, DEV_EFFORT*Q180%,
                           IF(P180=AS_DURATION_EFFORT, (MANUAL_DURATION*5)*Q180%,
                                    (IF(Q180&lt;=1,X180,
                                          IF(SUM(U180:W180)=0,(Q180*X180),
                                               (((Q180*U180)*(X180+(X180*EXTRA_FOR_H)))+
                                               ((Q180*V180)*X180)+
                                               ((Q180*W180)*(X180-(X180*LESS_FOR_L)))
                                    )*IF(R180=0,1,R180))))))+Z180), 0.25)</f>
        <v>4</v>
      </c>
      <c r="Z180" s="22"/>
      <c r="AA180" s="157">
        <f>Y180+Y180*VLOOKUP(I180,EXTRAS_ARRAY,2,FALSE)</f>
        <v>4</v>
      </c>
      <c r="AB180" s="20"/>
      <c r="AC180" s="34"/>
      <c r="AD180" s="23" t="str">
        <f>IF(J180&lt;&gt;"Yes",
IF(S180&lt;=0,"Error: Effort value is not defined or is invalid.",
IF(AND(SUM(U180:W180)&gt;0,SUM(U180:W180)&lt;&gt;1),"Error: Complexity % distribution should sum to 100%.",
IF(AND(P180=AS_DEV_EFFORT,X180&lt;&gt;0),"Error: PDs should not be defined when defining as dev effort %.",
IF(AND(P180=AS_DURATION_EFFORT,X180&lt;&gt;0),"Error: PDs should not be defined when defining as duration effort %.","")))))</f>
        <v/>
      </c>
    </row>
    <row r="181" spans="1:30" ht="15.5" hidden="1" outlineLevel="2" x14ac:dyDescent="0.35">
      <c r="A181" s="86" t="s">
        <v>0</v>
      </c>
      <c r="B181" s="18"/>
      <c r="C181" s="78"/>
      <c r="D181" s="78"/>
      <c r="E181" s="78"/>
      <c r="F181" s="79"/>
      <c r="G181" s="19" t="s">
        <v>23</v>
      </c>
      <c r="H181" s="19" t="s">
        <v>23</v>
      </c>
      <c r="I181" s="20" t="s">
        <v>23</v>
      </c>
      <c r="J181" s="19" t="s">
        <v>23</v>
      </c>
      <c r="K181" s="35"/>
      <c r="L181" s="19"/>
      <c r="M181" s="263">
        <f ca="1">IFERROR(OFFSET(M181,-1,,1,1)+0.1,OFFSET(M181,-1,-1,1,1)&amp;".1")</f>
        <v>10.299999999999999</v>
      </c>
      <c r="N181" s="20" t="s">
        <v>1037</v>
      </c>
      <c r="O181" s="20"/>
      <c r="P181" s="20"/>
      <c r="Q181" s="134"/>
      <c r="R181" s="127"/>
      <c r="S181" s="157">
        <f>CEILING((IF(J181="Yes", 0, IF(H181="-",AA181,AA181+AA181*VLOOKUP(H181,BUFFERS_BY_TYPE,2,FALSE)))) +
   (IF(J181="Yes", 0, IF(H181="-",AA181,AA181+AA181*VLOOKUP(H181,BUFFERS_BY_TYPE,2,FALSE))))*VLOOKUP($S$5, SALES_CALL_SCALE_ARRAY, 2,FALSE),0.25)</f>
        <v>4</v>
      </c>
      <c r="T181" s="158"/>
      <c r="U181" s="21">
        <v>0</v>
      </c>
      <c r="V181" s="21">
        <v>1</v>
      </c>
      <c r="W181" s="21">
        <v>0</v>
      </c>
      <c r="X181" s="156">
        <v>4</v>
      </c>
      <c r="Y181" s="157">
        <f>CEILING((IF(P181=AS_DEV_EFFORT, DEV_EFFORT*Q181%,
                           IF(P181=AS_DURATION_EFFORT, (MANUAL_DURATION*5)*Q181%,
                                    (IF(Q181&lt;=1,X181,
                                          IF(SUM(U181:W181)=0,(Q181*X181),
                                               (((Q181*U181)*(X181+(X181*EXTRA_FOR_H)))+
                                               ((Q181*V181)*X181)+
                                               ((Q181*W181)*(X181-(X181*LESS_FOR_L)))
                                    )*IF(R181=0,1,R181))))))+Z181), 0.25)</f>
        <v>4</v>
      </c>
      <c r="Z181" s="22"/>
      <c r="AA181" s="157">
        <f>Y181+Y181*VLOOKUP(I181,EXTRAS_ARRAY,2,FALSE)</f>
        <v>4</v>
      </c>
      <c r="AB181" s="20"/>
      <c r="AC181" s="34"/>
      <c r="AD181" s="23" t="str">
        <f>IF(J181&lt;&gt;"Yes",
IF(S181&lt;=0,"Error: Effort value is not defined or is invalid.",
IF(AND(SUM(U181:W181)&gt;0,SUM(U181:W181)&lt;&gt;1),"Error: Complexity % distribution should sum to 100%.",
IF(AND(P181=AS_DEV_EFFORT,X181&lt;&gt;0),"Error: PDs should not be defined when defining as dev effort %.",
IF(AND(P181=AS_DURATION_EFFORT,X181&lt;&gt;0),"Error: PDs should not be defined when defining as duration effort %.","")))))</f>
        <v/>
      </c>
    </row>
    <row r="182" spans="1:30" ht="15.5" hidden="1" outlineLevel="2" x14ac:dyDescent="0.35">
      <c r="A182" s="86" t="s">
        <v>0</v>
      </c>
      <c r="B182" s="18"/>
      <c r="C182" s="78"/>
      <c r="D182" s="78"/>
      <c r="E182" s="78"/>
      <c r="F182" s="79"/>
      <c r="G182" s="19" t="s">
        <v>23</v>
      </c>
      <c r="H182" s="19" t="s">
        <v>23</v>
      </c>
      <c r="I182" s="20" t="s">
        <v>23</v>
      </c>
      <c r="J182" s="19" t="s">
        <v>23</v>
      </c>
      <c r="K182" s="35"/>
      <c r="L182" s="19"/>
      <c r="M182" s="263">
        <f ca="1">IFERROR(OFFSET(M182,-1,,1,1)+0.1,OFFSET(M182,-1,-1,1,1)&amp;".1")</f>
        <v>10.399999999999999</v>
      </c>
      <c r="N182" s="20" t="s">
        <v>1038</v>
      </c>
      <c r="O182" s="20"/>
      <c r="P182" s="20"/>
      <c r="Q182" s="134"/>
      <c r="R182" s="127"/>
      <c r="S182" s="157">
        <f>CEILING((IF(J182="Yes", 0, IF(H182="-",AA182,AA182+AA182*VLOOKUP(H182,BUFFERS_BY_TYPE,2,FALSE)))) +
   (IF(J182="Yes", 0, IF(H182="-",AA182,AA182+AA182*VLOOKUP(H182,BUFFERS_BY_TYPE,2,FALSE))))*VLOOKUP($S$5, SALES_CALL_SCALE_ARRAY, 2,FALSE),0.25)</f>
        <v>2</v>
      </c>
      <c r="T182" s="158"/>
      <c r="U182" s="21">
        <v>0</v>
      </c>
      <c r="V182" s="21">
        <v>1</v>
      </c>
      <c r="W182" s="21">
        <v>0</v>
      </c>
      <c r="X182" s="156">
        <v>2</v>
      </c>
      <c r="Y182" s="157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2</v>
      </c>
      <c r="Z182" s="22"/>
      <c r="AA182" s="157">
        <f>Y182+Y182*VLOOKUP(I182,EXTRAS_ARRAY,2,FALSE)</f>
        <v>2</v>
      </c>
      <c r="AB182" s="20"/>
      <c r="AC182" s="34"/>
      <c r="AD182" s="23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spans="1:30" ht="15.5" hidden="1" outlineLevel="2" x14ac:dyDescent="0.35">
      <c r="A183" s="86" t="s">
        <v>0</v>
      </c>
      <c r="B183" s="18"/>
      <c r="C183" s="78"/>
      <c r="D183" s="78"/>
      <c r="E183" s="78"/>
      <c r="F183" s="79"/>
      <c r="G183" s="19" t="s">
        <v>23</v>
      </c>
      <c r="H183" s="19" t="s">
        <v>23</v>
      </c>
      <c r="I183" s="20" t="s">
        <v>23</v>
      </c>
      <c r="J183" s="19" t="s">
        <v>23</v>
      </c>
      <c r="K183" s="35"/>
      <c r="L183" s="19"/>
      <c r="M183" s="263">
        <f ca="1">IFERROR(OFFSET(M183,-1,,1,1)+0.1,OFFSET(M183,-1,-1,1,1)&amp;".1")</f>
        <v>10.499999999999998</v>
      </c>
      <c r="N183" s="20" t="s">
        <v>1039</v>
      </c>
      <c r="O183" s="20"/>
      <c r="P183" s="20"/>
      <c r="Q183" s="134"/>
      <c r="R183" s="127"/>
      <c r="S183" s="157">
        <f>CEILING((IF(J183="Yes", 0, IF(H183="-",AA183,AA183+AA183*VLOOKUP(H183,BUFFERS_BY_TYPE,2,FALSE)))) +
   (IF(J183="Yes", 0, IF(H183="-",AA183,AA183+AA183*VLOOKUP(H183,BUFFERS_BY_TYPE,2,FALSE))))*VLOOKUP($S$5, SALES_CALL_SCALE_ARRAY, 2,FALSE),0.25)</f>
        <v>2</v>
      </c>
      <c r="T183" s="158"/>
      <c r="U183" s="21">
        <v>0</v>
      </c>
      <c r="V183" s="21">
        <v>1</v>
      </c>
      <c r="W183" s="21">
        <v>0</v>
      </c>
      <c r="X183" s="156">
        <v>2</v>
      </c>
      <c r="Y183" s="157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2</v>
      </c>
      <c r="Z183" s="22"/>
      <c r="AA183" s="157">
        <f>Y183+Y183*VLOOKUP(I183,EXTRAS_ARRAY,2,FALSE)</f>
        <v>2</v>
      </c>
      <c r="AB183" s="20"/>
      <c r="AC183" s="34"/>
      <c r="AD183" s="23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/>
      </c>
    </row>
    <row r="184" spans="1:30" s="9" customFormat="1" ht="7.5" hidden="1" customHeight="1" outlineLevel="2" x14ac:dyDescent="0.35">
      <c r="A184" s="86" t="s">
        <v>132</v>
      </c>
      <c r="B184" s="15"/>
      <c r="C184" s="72"/>
      <c r="D184" s="72"/>
      <c r="E184" s="72"/>
      <c r="F184" s="72"/>
      <c r="M184" s="252"/>
      <c r="T184" s="15"/>
      <c r="X184" s="15"/>
      <c r="AB184" s="10"/>
      <c r="AC184" s="10"/>
      <c r="AD184" s="10"/>
    </row>
    <row r="185" spans="1:30" s="14" customFormat="1" ht="15.5" outlineLevel="1" collapsed="1" x14ac:dyDescent="0.35">
      <c r="A185" s="86" t="s">
        <v>100</v>
      </c>
      <c r="B185" s="18"/>
      <c r="C185" s="77"/>
      <c r="D185" s="77"/>
      <c r="E185" s="77"/>
      <c r="F185" s="76"/>
      <c r="G185" s="29"/>
      <c r="H185" s="29"/>
      <c r="I185" s="29"/>
      <c r="J185" s="29"/>
      <c r="K185" s="29"/>
      <c r="L185" s="17">
        <f ca="1">LOOKUP(1000,INDIRECT("L1:"&amp;CELL("address",INDIRECT("R[-1]C",FALSE))))+1</f>
        <v>11</v>
      </c>
      <c r="M185" s="309" t="s">
        <v>1040</v>
      </c>
      <c r="N185" s="310"/>
      <c r="O185" s="5"/>
      <c r="P185" s="30"/>
      <c r="Q185" s="30"/>
      <c r="R185" s="30"/>
      <c r="S185" s="30"/>
      <c r="T185" s="155">
        <f>IF($S$6="Exclude", SUMIFS(S186:S192, J186:J192, "&lt;&gt;Yes", G186:G192, "&lt;&gt;Yes"), SUMIFS(S186:S192, J186:J192, "&lt;&gt;Yes"))</f>
        <v>15</v>
      </c>
      <c r="U185" s="30"/>
      <c r="V185" s="30"/>
      <c r="W185" s="30"/>
      <c r="X185" s="31"/>
      <c r="Y185" s="32"/>
      <c r="Z185" s="32"/>
      <c r="AA185" s="32"/>
      <c r="AB185" s="219" t="s">
        <v>1041</v>
      </c>
      <c r="AC185" s="33"/>
      <c r="AD185" s="23" t="str">
        <f>IF(M185="", "Error: Task name cannot be empty.", "")</f>
        <v/>
      </c>
    </row>
    <row r="186" spans="1:30" s="12" customFormat="1" ht="1.5" hidden="1" customHeight="1" outlineLevel="2" x14ac:dyDescent="0.35">
      <c r="A186" s="86" t="s">
        <v>101</v>
      </c>
      <c r="B186" s="18"/>
      <c r="C186" s="77"/>
      <c r="D186" s="77"/>
      <c r="E186" s="77"/>
      <c r="F186" s="76"/>
      <c r="G186" s="29"/>
      <c r="H186" s="29"/>
      <c r="I186" s="29"/>
      <c r="J186" s="29"/>
      <c r="K186" s="29"/>
      <c r="L186" s="163">
        <f ca="1">L185</f>
        <v>11</v>
      </c>
      <c r="M186" s="164" t="s">
        <v>105</v>
      </c>
      <c r="N186" s="161"/>
      <c r="O186" s="162"/>
      <c r="P186" s="30"/>
      <c r="Q186" s="30"/>
      <c r="R186" s="30"/>
      <c r="S186" s="30"/>
      <c r="T186" s="155"/>
      <c r="U186" s="30"/>
      <c r="V186" s="30"/>
      <c r="W186" s="30"/>
      <c r="X186" s="31"/>
      <c r="Y186" s="32"/>
      <c r="Z186" s="32"/>
      <c r="AA186" s="32"/>
      <c r="AB186" s="33"/>
      <c r="AC186" s="33"/>
      <c r="AD186" s="23"/>
    </row>
    <row r="187" spans="1:30" ht="15.5" hidden="1" outlineLevel="2" x14ac:dyDescent="0.35">
      <c r="A187" s="86" t="s">
        <v>0</v>
      </c>
      <c r="B187" s="18"/>
      <c r="C187" s="78"/>
      <c r="D187" s="78"/>
      <c r="E187" s="78"/>
      <c r="F187" s="79"/>
      <c r="G187" s="19" t="s">
        <v>23</v>
      </c>
      <c r="H187" s="19" t="s">
        <v>23</v>
      </c>
      <c r="I187" s="20" t="s">
        <v>23</v>
      </c>
      <c r="J187" s="19" t="s">
        <v>23</v>
      </c>
      <c r="K187" s="35"/>
      <c r="L187" s="19"/>
      <c r="M187" s="263" t="str">
        <f ca="1">IFERROR(OFFSET(M187,-1,,1,1)+0.1,OFFSET(M187,-1,-1,1,1)&amp;".1")</f>
        <v>11.1</v>
      </c>
      <c r="N187" s="20" t="s">
        <v>1042</v>
      </c>
      <c r="O187" s="20"/>
      <c r="P187" s="20"/>
      <c r="Q187" s="134"/>
      <c r="R187" s="127"/>
      <c r="S187" s="157">
        <f>CEILING((IF(J187="Yes", 0, IF(H187="-",AA187,AA187+AA187*VLOOKUP(H187,BUFFERS_BY_TYPE,2,FALSE)))) +
   (IF(J187="Yes", 0, IF(H187="-",AA187,AA187+AA187*VLOOKUP(H187,BUFFERS_BY_TYPE,2,FALSE))))*VLOOKUP($S$5, SALES_CALL_SCALE_ARRAY, 2,FALSE),0.25)</f>
        <v>3</v>
      </c>
      <c r="T187" s="158"/>
      <c r="U187" s="21">
        <v>0</v>
      </c>
      <c r="V187" s="21">
        <v>1</v>
      </c>
      <c r="W187" s="21">
        <v>0</v>
      </c>
      <c r="X187" s="156">
        <v>3</v>
      </c>
      <c r="Y187" s="157">
        <f>CEILING((IF(P187=AS_DEV_EFFORT, DEV_EFFORT*Q187%,
                           IF(P187=AS_DURATION_EFFORT, (MANUAL_DURATION*5)*Q187%,
                                    (IF(Q187&lt;=1,X187,
                                          IF(SUM(U187:W187)=0,(Q187*X187),
                                               (((Q187*U187)*(X187+(X187*EXTRA_FOR_H)))+
                                               ((Q187*V187)*X187)+
                                               ((Q187*W187)*(X187-(X187*LESS_FOR_L)))
                                    )*IF(R187=0,1,R187))))))+Z187), 0.25)</f>
        <v>3</v>
      </c>
      <c r="Z187" s="22"/>
      <c r="AA187" s="157">
        <f>Y187+Y187*VLOOKUP(I187,EXTRAS_ARRAY,2,FALSE)</f>
        <v>3</v>
      </c>
      <c r="AB187" s="20"/>
      <c r="AC187" s="34"/>
      <c r="AD187" s="23" t="str">
        <f>IF(J187&lt;&gt;"Yes",
IF(S187&lt;=0,"Error: Effort value is not defined or is invalid.",
IF(AND(SUM(U187:W187)&gt;0,SUM(U187:W187)&lt;&gt;1),"Error: Complexity % distribution should sum to 100%.",
IF(AND(P187=AS_DEV_EFFORT,X187&lt;&gt;0),"Error: PDs should not be defined when defining as dev effort %.",
IF(AND(P187=AS_DURATION_EFFORT,X187&lt;&gt;0),"Error: PDs should not be defined when defining as duration effort %.","")))))</f>
        <v/>
      </c>
    </row>
    <row r="188" spans="1:30" ht="15.5" hidden="1" outlineLevel="2" x14ac:dyDescent="0.35">
      <c r="A188" s="86" t="s">
        <v>0</v>
      </c>
      <c r="B188" s="18"/>
      <c r="C188" s="78"/>
      <c r="D188" s="78"/>
      <c r="E188" s="78"/>
      <c r="F188" s="79"/>
      <c r="G188" s="19" t="s">
        <v>23</v>
      </c>
      <c r="H188" s="19" t="s">
        <v>23</v>
      </c>
      <c r="I188" s="20" t="s">
        <v>23</v>
      </c>
      <c r="J188" s="19" t="s">
        <v>23</v>
      </c>
      <c r="K188" s="35"/>
      <c r="L188" s="19"/>
      <c r="M188" s="263">
        <f ca="1">IFERROR(OFFSET(M188,-1,,1,1)+0.1,OFFSET(M188,-1,-1,1,1)&amp;".1")</f>
        <v>11.2</v>
      </c>
      <c r="N188" s="20" t="s">
        <v>1043</v>
      </c>
      <c r="O188" s="20"/>
      <c r="P188" s="20"/>
      <c r="Q188" s="134"/>
      <c r="R188" s="127"/>
      <c r="S188" s="157">
        <f>CEILING((IF(J188="Yes", 0, IF(H188="-",AA188,AA188+AA188*VLOOKUP(H188,BUFFERS_BY_TYPE,2,FALSE)))) +
   (IF(J188="Yes", 0, IF(H188="-",AA188,AA188+AA188*VLOOKUP(H188,BUFFERS_BY_TYPE,2,FALSE))))*VLOOKUP($S$5, SALES_CALL_SCALE_ARRAY, 2,FALSE),0.25)</f>
        <v>3</v>
      </c>
      <c r="T188" s="158"/>
      <c r="U188" s="21">
        <v>0</v>
      </c>
      <c r="V188" s="21">
        <v>1</v>
      </c>
      <c r="W188" s="21">
        <v>0</v>
      </c>
      <c r="X188" s="156">
        <v>3</v>
      </c>
      <c r="Y188" s="157">
        <f>CEILING((IF(P188=AS_DEV_EFFORT, DEV_EFFORT*Q188%,
                           IF(P188=AS_DURATION_EFFORT, (MANUAL_DURATION*5)*Q188%,
                                    (IF(Q188&lt;=1,X188,
                                          IF(SUM(U188:W188)=0,(Q188*X188),
                                               (((Q188*U188)*(X188+(X188*EXTRA_FOR_H)))+
                                               ((Q188*V188)*X188)+
                                               ((Q188*W188)*(X188-(X188*LESS_FOR_L)))
                                    )*IF(R188=0,1,R188))))))+Z188), 0.25)</f>
        <v>3</v>
      </c>
      <c r="Z188" s="22"/>
      <c r="AA188" s="157">
        <f>Y188+Y188*VLOOKUP(I188,EXTRAS_ARRAY,2,FALSE)</f>
        <v>3</v>
      </c>
      <c r="AB188" s="20"/>
      <c r="AC188" s="34"/>
      <c r="AD188" s="23" t="str">
        <f>IF(J188&lt;&gt;"Yes",
IF(S188&lt;=0,"Error: Effort value is not defined or is invalid.",
IF(AND(SUM(U188:W188)&gt;0,SUM(U188:W188)&lt;&gt;1),"Error: Complexity % distribution should sum to 100%.",
IF(AND(P188=AS_DEV_EFFORT,X188&lt;&gt;0),"Error: PDs should not be defined when defining as dev effort %.",
IF(AND(P188=AS_DURATION_EFFORT,X188&lt;&gt;0),"Error: PDs should not be defined when defining as duration effort %.","")))))</f>
        <v/>
      </c>
    </row>
    <row r="189" spans="1:30" ht="15.5" hidden="1" outlineLevel="2" x14ac:dyDescent="0.35">
      <c r="A189" s="86" t="s">
        <v>0</v>
      </c>
      <c r="B189" s="18"/>
      <c r="C189" s="78"/>
      <c r="D189" s="78"/>
      <c r="E189" s="78"/>
      <c r="F189" s="79"/>
      <c r="G189" s="19" t="s">
        <v>23</v>
      </c>
      <c r="H189" s="19" t="s">
        <v>23</v>
      </c>
      <c r="I189" s="20" t="s">
        <v>23</v>
      </c>
      <c r="J189" s="19" t="s">
        <v>23</v>
      </c>
      <c r="K189" s="35"/>
      <c r="L189" s="19"/>
      <c r="M189" s="263">
        <f ca="1">IFERROR(OFFSET(M189,-1,,1,1)+0.1,OFFSET(M189,-1,-1,1,1)&amp;".1")</f>
        <v>11.299999999999999</v>
      </c>
      <c r="N189" s="20" t="s">
        <v>880</v>
      </c>
      <c r="O189" s="20"/>
      <c r="P189" s="20"/>
      <c r="Q189" s="134"/>
      <c r="R189" s="127"/>
      <c r="S189" s="157">
        <f>CEILING((IF(J189="Yes", 0, IF(H189="-",AA189,AA189+AA189*VLOOKUP(H189,BUFFERS_BY_TYPE,2,FALSE)))) +
   (IF(J189="Yes", 0, IF(H189="-",AA189,AA189+AA189*VLOOKUP(H189,BUFFERS_BY_TYPE,2,FALSE))))*VLOOKUP($S$5, SALES_CALL_SCALE_ARRAY, 2,FALSE),0.25)</f>
        <v>4</v>
      </c>
      <c r="T189" s="158"/>
      <c r="U189" s="21">
        <v>0</v>
      </c>
      <c r="V189" s="21">
        <v>1</v>
      </c>
      <c r="W189" s="21">
        <v>0</v>
      </c>
      <c r="X189" s="156">
        <v>4</v>
      </c>
      <c r="Y189" s="157">
        <f>CEILING((IF(P189=AS_DEV_EFFORT, DEV_EFFORT*Q189%,
                           IF(P189=AS_DURATION_EFFORT, (MANUAL_DURATION*5)*Q189%,
                                    (IF(Q189&lt;=1,X189,
                                          IF(SUM(U189:W189)=0,(Q189*X189),
                                               (((Q189*U189)*(X189+(X189*EXTRA_FOR_H)))+
                                               ((Q189*V189)*X189)+
                                               ((Q189*W189)*(X189-(X189*LESS_FOR_L)))
                                    )*IF(R189=0,1,R189))))))+Z189), 0.25)</f>
        <v>4</v>
      </c>
      <c r="Z189" s="22"/>
      <c r="AA189" s="157">
        <f>Y189+Y189*VLOOKUP(I189,EXTRAS_ARRAY,2,FALSE)</f>
        <v>4</v>
      </c>
      <c r="AB189" s="20"/>
      <c r="AC189" s="34"/>
      <c r="AD189" s="23" t="str">
        <f>IF(J189&lt;&gt;"Yes",
IF(S189&lt;=0,"Error: Effort value is not defined or is invalid.",
IF(AND(SUM(U189:W189)&gt;0,SUM(U189:W189)&lt;&gt;1),"Error: Complexity % distribution should sum to 100%.",
IF(AND(P189=AS_DEV_EFFORT,X189&lt;&gt;0),"Error: PDs should not be defined when defining as dev effort %.",
IF(AND(P189=AS_DURATION_EFFORT,X189&lt;&gt;0),"Error: PDs should not be defined when defining as duration effort %.","")))))</f>
        <v/>
      </c>
    </row>
    <row r="190" spans="1:30" ht="15.5" hidden="1" outlineLevel="2" x14ac:dyDescent="0.35">
      <c r="A190" s="86" t="s">
        <v>0</v>
      </c>
      <c r="B190" s="18"/>
      <c r="C190" s="78"/>
      <c r="D190" s="78"/>
      <c r="E190" s="78"/>
      <c r="F190" s="79"/>
      <c r="G190" s="19" t="s">
        <v>23</v>
      </c>
      <c r="H190" s="19" t="s">
        <v>23</v>
      </c>
      <c r="I190" s="20" t="s">
        <v>23</v>
      </c>
      <c r="J190" s="19" t="s">
        <v>23</v>
      </c>
      <c r="K190" s="35"/>
      <c r="L190" s="19"/>
      <c r="M190" s="263">
        <f ca="1">IFERROR(OFFSET(M190,-1,,1,1)+0.1,OFFSET(M190,-1,-1,1,1)&amp;".1")</f>
        <v>11.399999999999999</v>
      </c>
      <c r="N190" s="20" t="s">
        <v>1044</v>
      </c>
      <c r="O190" s="20"/>
      <c r="P190" s="20"/>
      <c r="Q190" s="134"/>
      <c r="R190" s="127"/>
      <c r="S190" s="157">
        <f>CEILING((IF(J190="Yes", 0, IF(H190="-",AA190,AA190+AA190*VLOOKUP(H190,BUFFERS_BY_TYPE,2,FALSE)))) +
   (IF(J190="Yes", 0, IF(H190="-",AA190,AA190+AA190*VLOOKUP(H190,BUFFERS_BY_TYPE,2,FALSE))))*VLOOKUP($S$5, SALES_CALL_SCALE_ARRAY, 2,FALSE),0.25)</f>
        <v>3</v>
      </c>
      <c r="T190" s="158"/>
      <c r="U190" s="21">
        <v>0</v>
      </c>
      <c r="V190" s="21">
        <v>1</v>
      </c>
      <c r="W190" s="21">
        <v>0</v>
      </c>
      <c r="X190" s="156">
        <v>3</v>
      </c>
      <c r="Y190" s="157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>3</v>
      </c>
      <c r="Z190" s="22"/>
      <c r="AA190" s="157">
        <f>Y190+Y190*VLOOKUP(I190,EXTRAS_ARRAY,2,FALSE)</f>
        <v>3</v>
      </c>
      <c r="AB190" s="20"/>
      <c r="AC190" s="34"/>
      <c r="AD190" s="23" t="str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spans="1:30" ht="15.5" hidden="1" outlineLevel="2" x14ac:dyDescent="0.35">
      <c r="A191" s="86" t="s">
        <v>0</v>
      </c>
      <c r="B191" s="18"/>
      <c r="C191" s="78"/>
      <c r="D191" s="78"/>
      <c r="E191" s="78"/>
      <c r="F191" s="79"/>
      <c r="G191" s="19" t="s">
        <v>23</v>
      </c>
      <c r="H191" s="19" t="s">
        <v>23</v>
      </c>
      <c r="I191" s="20" t="s">
        <v>23</v>
      </c>
      <c r="J191" s="19" t="s">
        <v>23</v>
      </c>
      <c r="K191" s="35"/>
      <c r="L191" s="19"/>
      <c r="M191" s="263">
        <f ca="1">IFERROR(OFFSET(M191,-1,,1,1)+0.1,OFFSET(M191,-1,-1,1,1)&amp;".1")</f>
        <v>11.499999999999998</v>
      </c>
      <c r="N191" s="20" t="s">
        <v>1045</v>
      </c>
      <c r="O191" s="20"/>
      <c r="P191" s="20"/>
      <c r="Q191" s="134"/>
      <c r="R191" s="127"/>
      <c r="S191" s="157">
        <f>CEILING((IF(J191="Yes", 0, IF(H191="-",AA191,AA191+AA191*VLOOKUP(H191,BUFFERS_BY_TYPE,2,FALSE)))) +
   (IF(J191="Yes", 0, IF(H191="-",AA191,AA191+AA191*VLOOKUP(H191,BUFFERS_BY_TYPE,2,FALSE))))*VLOOKUP($S$5, SALES_CALL_SCALE_ARRAY, 2,FALSE),0.25)</f>
        <v>2</v>
      </c>
      <c r="T191" s="158"/>
      <c r="U191" s="21">
        <v>0</v>
      </c>
      <c r="V191" s="21">
        <v>1</v>
      </c>
      <c r="W191" s="21">
        <v>0</v>
      </c>
      <c r="X191" s="156">
        <v>2</v>
      </c>
      <c r="Y191" s="157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>2</v>
      </c>
      <c r="Z191" s="22"/>
      <c r="AA191" s="157">
        <f>Y191+Y191*VLOOKUP(I191,EXTRAS_ARRAY,2,FALSE)</f>
        <v>2</v>
      </c>
      <c r="AB191" s="20"/>
      <c r="AC191" s="34"/>
      <c r="AD191" s="23" t="str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spans="1:30" s="9" customFormat="1" ht="7.5" hidden="1" customHeight="1" outlineLevel="2" x14ac:dyDescent="0.35">
      <c r="A192" s="86" t="s">
        <v>132</v>
      </c>
      <c r="B192" s="15"/>
      <c r="C192" s="72"/>
      <c r="D192" s="72"/>
      <c r="E192" s="72"/>
      <c r="F192" s="72"/>
      <c r="M192" s="252"/>
      <c r="T192" s="15"/>
      <c r="X192" s="15"/>
      <c r="AB192" s="10"/>
      <c r="AC192" s="10"/>
      <c r="AD192" s="10"/>
    </row>
    <row r="193" spans="1:30" s="14" customFormat="1" ht="15.5" outlineLevel="1" collapsed="1" x14ac:dyDescent="0.35">
      <c r="A193" s="86" t="s">
        <v>100</v>
      </c>
      <c r="B193" s="18"/>
      <c r="C193" s="77"/>
      <c r="D193" s="77"/>
      <c r="E193" s="77"/>
      <c r="F193" s="76"/>
      <c r="G193" s="29"/>
      <c r="H193" s="29"/>
      <c r="I193" s="29"/>
      <c r="J193" s="29"/>
      <c r="K193" s="29"/>
      <c r="L193" s="17">
        <f ca="1">LOOKUP(1000,INDIRECT("L1:"&amp;CELL("address",INDIRECT("R[-1]C",FALSE))))+1</f>
        <v>12</v>
      </c>
      <c r="M193" s="309" t="s">
        <v>1046</v>
      </c>
      <c r="N193" s="310"/>
      <c r="O193" s="5"/>
      <c r="P193" s="30"/>
      <c r="Q193" s="30"/>
      <c r="R193" s="30"/>
      <c r="S193" s="30"/>
      <c r="T193" s="155">
        <f>IF($S$6="Exclude", SUMIFS(S194:S199, J194:J199, "&lt;&gt;Yes", G194:G199, "&lt;&gt;Yes"), SUMIFS(S194:S199, J194:J199, "&lt;&gt;Yes"))</f>
        <v>18</v>
      </c>
      <c r="U193" s="30"/>
      <c r="V193" s="30"/>
      <c r="W193" s="30"/>
      <c r="X193" s="31"/>
      <c r="Y193" s="32"/>
      <c r="Z193" s="32"/>
      <c r="AA193" s="32"/>
      <c r="AB193" s="219" t="s">
        <v>950</v>
      </c>
      <c r="AC193" s="33"/>
      <c r="AD193" s="23" t="str">
        <f>IF(M193="", "Error: Task name cannot be empty.", "")</f>
        <v/>
      </c>
    </row>
    <row r="194" spans="1:30" s="12" customFormat="1" ht="1.5" hidden="1" customHeight="1" outlineLevel="2" x14ac:dyDescent="0.35">
      <c r="A194" s="86" t="s">
        <v>101</v>
      </c>
      <c r="B194" s="18"/>
      <c r="C194" s="77"/>
      <c r="D194" s="77"/>
      <c r="E194" s="77"/>
      <c r="F194" s="76"/>
      <c r="G194" s="29"/>
      <c r="H194" s="29"/>
      <c r="I194" s="29"/>
      <c r="J194" s="29"/>
      <c r="K194" s="29"/>
      <c r="L194" s="163">
        <f ca="1">L193</f>
        <v>12</v>
      </c>
      <c r="M194" s="164" t="s">
        <v>105</v>
      </c>
      <c r="N194" s="161"/>
      <c r="O194" s="162"/>
      <c r="P194" s="30"/>
      <c r="Q194" s="30"/>
      <c r="R194" s="30"/>
      <c r="S194" s="30"/>
      <c r="T194" s="155"/>
      <c r="U194" s="30"/>
      <c r="V194" s="30"/>
      <c r="W194" s="30"/>
      <c r="X194" s="31"/>
      <c r="Y194" s="32"/>
      <c r="Z194" s="32"/>
      <c r="AA194" s="32"/>
      <c r="AB194" s="33"/>
      <c r="AC194" s="33"/>
      <c r="AD194" s="23"/>
    </row>
    <row r="195" spans="1:30" ht="29" hidden="1" outlineLevel="2" x14ac:dyDescent="0.35">
      <c r="A195" s="86" t="s">
        <v>0</v>
      </c>
      <c r="B195" s="18"/>
      <c r="C195" s="78"/>
      <c r="D195" s="78"/>
      <c r="E195" s="78"/>
      <c r="F195" s="79"/>
      <c r="G195" s="19" t="s">
        <v>23</v>
      </c>
      <c r="H195" s="19" t="s">
        <v>23</v>
      </c>
      <c r="I195" s="20" t="s">
        <v>23</v>
      </c>
      <c r="J195" s="19" t="s">
        <v>23</v>
      </c>
      <c r="K195" s="35"/>
      <c r="L195" s="19"/>
      <c r="M195" s="263" t="str">
        <f ca="1">IFERROR(OFFSET(M195,-1,,1,1)+0.1,OFFSET(M195,-1,-1,1,1)&amp;".1")</f>
        <v>12.1</v>
      </c>
      <c r="N195" s="20" t="s">
        <v>1047</v>
      </c>
      <c r="O195" s="20"/>
      <c r="P195" s="20"/>
      <c r="Q195" s="134"/>
      <c r="R195" s="127"/>
      <c r="S195" s="157">
        <f>CEILING((IF(J195="Yes", 0, IF(H195="-",AA195,AA195+AA195*VLOOKUP(H195,BUFFERS_BY_TYPE,2,FALSE)))) +
   (IF(J195="Yes", 0, IF(H195="-",AA195,AA195+AA195*VLOOKUP(H195,BUFFERS_BY_TYPE,2,FALSE))))*VLOOKUP($S$5, SALES_CALL_SCALE_ARRAY, 2,FALSE),0.25)</f>
        <v>6</v>
      </c>
      <c r="T195" s="158"/>
      <c r="U195" s="21">
        <v>0</v>
      </c>
      <c r="V195" s="21">
        <v>1</v>
      </c>
      <c r="W195" s="21">
        <v>0</v>
      </c>
      <c r="X195" s="156">
        <v>6</v>
      </c>
      <c r="Y195" s="157">
        <f>CEILING((IF(P195=AS_DEV_EFFORT, DEV_EFFORT*Q195%,
                           IF(P195=AS_DURATION_EFFORT, (MANUAL_DURATION*5)*Q195%,
                                    (IF(Q195&lt;=1,X195,
                                          IF(SUM(U195:W195)=0,(Q195*X195),
                                               (((Q195*U195)*(X195+(X195*EXTRA_FOR_H)))+
                                               ((Q195*V195)*X195)+
                                               ((Q195*W195)*(X195-(X195*LESS_FOR_L)))
                                    )*IF(R195=0,1,R195))))))+Z195), 0.25)</f>
        <v>6</v>
      </c>
      <c r="Z195" s="22"/>
      <c r="AA195" s="157">
        <f>Y195+Y195*VLOOKUP(I195,EXTRAS_ARRAY,2,FALSE)</f>
        <v>6</v>
      </c>
      <c r="AB195" s="20"/>
      <c r="AC195" s="34"/>
      <c r="AD195" s="23" t="str">
        <f>IF(J195&lt;&gt;"Yes",
IF(S195&lt;=0,"Error: Effort value is not defined or is invalid.",
IF(AND(SUM(U195:W195)&gt;0,SUM(U195:W195)&lt;&gt;1),"Error: Complexity % distribution should sum to 100%.",
IF(AND(P195=AS_DEV_EFFORT,X195&lt;&gt;0),"Error: PDs should not be defined when defining as dev effort %.",
IF(AND(P195=AS_DURATION_EFFORT,X195&lt;&gt;0),"Error: PDs should not be defined when defining as duration effort %.","")))))</f>
        <v/>
      </c>
    </row>
    <row r="196" spans="1:30" ht="15.5" hidden="1" outlineLevel="2" x14ac:dyDescent="0.35">
      <c r="A196" s="86" t="s">
        <v>0</v>
      </c>
      <c r="B196" s="18"/>
      <c r="C196" s="78"/>
      <c r="D196" s="78"/>
      <c r="E196" s="78"/>
      <c r="F196" s="79"/>
      <c r="G196" s="19" t="s">
        <v>23</v>
      </c>
      <c r="H196" s="19" t="s">
        <v>23</v>
      </c>
      <c r="I196" s="20" t="s">
        <v>23</v>
      </c>
      <c r="J196" s="19" t="s">
        <v>23</v>
      </c>
      <c r="K196" s="35"/>
      <c r="L196" s="19"/>
      <c r="M196" s="263">
        <f ca="1">IFERROR(OFFSET(M196,-1,,1,1)+0.1,OFFSET(M196,-1,-1,1,1)&amp;".1")</f>
        <v>12.2</v>
      </c>
      <c r="N196" s="20" t="s">
        <v>1048</v>
      </c>
      <c r="O196" s="20"/>
      <c r="P196" s="20"/>
      <c r="Q196" s="134"/>
      <c r="R196" s="127"/>
      <c r="S196" s="157">
        <f>CEILING((IF(J196="Yes", 0, IF(H196="-",AA196,AA196+AA196*VLOOKUP(H196,BUFFERS_BY_TYPE,2,FALSE)))) +
   (IF(J196="Yes", 0, IF(H196="-",AA196,AA196+AA196*VLOOKUP(H196,BUFFERS_BY_TYPE,2,FALSE))))*VLOOKUP($S$5, SALES_CALL_SCALE_ARRAY, 2,FALSE),0.25)</f>
        <v>5</v>
      </c>
      <c r="T196" s="158"/>
      <c r="U196" s="21">
        <v>0</v>
      </c>
      <c r="V196" s="21">
        <v>1</v>
      </c>
      <c r="W196" s="21">
        <v>0</v>
      </c>
      <c r="X196" s="156">
        <v>5</v>
      </c>
      <c r="Y196" s="157">
        <f>CEILING((IF(P196=AS_DEV_EFFORT, DEV_EFFORT*Q196%,
                           IF(P196=AS_DURATION_EFFORT, (MANUAL_DURATION*5)*Q196%,
                                    (IF(Q196&lt;=1,X196,
                                          IF(SUM(U196:W196)=0,(Q196*X196),
                                               (((Q196*U196)*(X196+(X196*EXTRA_FOR_H)))+
                                               ((Q196*V196)*X196)+
                                               ((Q196*W196)*(X196-(X196*LESS_FOR_L)))
                                    )*IF(R196=0,1,R196))))))+Z196), 0.25)</f>
        <v>5</v>
      </c>
      <c r="Z196" s="22"/>
      <c r="AA196" s="157">
        <f>Y196+Y196*VLOOKUP(I196,EXTRAS_ARRAY,2,FALSE)</f>
        <v>5</v>
      </c>
      <c r="AB196" s="20"/>
      <c r="AC196" s="34"/>
      <c r="AD196" s="23" t="str">
        <f>IF(J196&lt;&gt;"Yes",
IF(S196&lt;=0,"Error: Effort value is not defined or is invalid.",
IF(AND(SUM(U196:W196)&gt;0,SUM(U196:W196)&lt;&gt;1),"Error: Complexity % distribution should sum to 100%.",
IF(AND(P196=AS_DEV_EFFORT,X196&lt;&gt;0),"Error: PDs should not be defined when defining as dev effort %.",
IF(AND(P196=AS_DURATION_EFFORT,X196&lt;&gt;0),"Error: PDs should not be defined when defining as duration effort %.","")))))</f>
        <v/>
      </c>
    </row>
    <row r="197" spans="1:30" ht="15.5" hidden="1" outlineLevel="2" x14ac:dyDescent="0.35">
      <c r="A197" s="86" t="s">
        <v>0</v>
      </c>
      <c r="B197" s="18"/>
      <c r="C197" s="78"/>
      <c r="D197" s="78"/>
      <c r="E197" s="78"/>
      <c r="F197" s="79"/>
      <c r="G197" s="19" t="s">
        <v>23</v>
      </c>
      <c r="H197" s="19" t="s">
        <v>23</v>
      </c>
      <c r="I197" s="20" t="s">
        <v>23</v>
      </c>
      <c r="J197" s="19" t="s">
        <v>23</v>
      </c>
      <c r="K197" s="35"/>
      <c r="L197" s="19"/>
      <c r="M197" s="263">
        <f ca="1">IFERROR(OFFSET(M197,-1,,1,1)+0.1,OFFSET(M197,-1,-1,1,1)&amp;".1")</f>
        <v>12.299999999999999</v>
      </c>
      <c r="N197" s="20" t="s">
        <v>1049</v>
      </c>
      <c r="O197" s="20"/>
      <c r="P197" s="20"/>
      <c r="Q197" s="134"/>
      <c r="R197" s="127"/>
      <c r="S197" s="157">
        <f>CEILING((IF(J197="Yes", 0, IF(H197="-",AA197,AA197+AA197*VLOOKUP(H197,BUFFERS_BY_TYPE,2,FALSE)))) +
   (IF(J197="Yes", 0, IF(H197="-",AA197,AA197+AA197*VLOOKUP(H197,BUFFERS_BY_TYPE,2,FALSE))))*VLOOKUP($S$5, SALES_CALL_SCALE_ARRAY, 2,FALSE),0.25)</f>
        <v>4</v>
      </c>
      <c r="T197" s="158"/>
      <c r="U197" s="21">
        <v>0</v>
      </c>
      <c r="V197" s="21">
        <v>1</v>
      </c>
      <c r="W197" s="21">
        <v>0</v>
      </c>
      <c r="X197" s="156">
        <v>4</v>
      </c>
      <c r="Y197" s="157">
        <f>CEILING((IF(P197=AS_DEV_EFFORT, DEV_EFFORT*Q197%,
                           IF(P197=AS_DURATION_EFFORT, (MANUAL_DURATION*5)*Q197%,
                                    (IF(Q197&lt;=1,X197,
                                          IF(SUM(U197:W197)=0,(Q197*X197),
                                               (((Q197*U197)*(X197+(X197*EXTRA_FOR_H)))+
                                               ((Q197*V197)*X197)+
                                               ((Q197*W197)*(X197-(X197*LESS_FOR_L)))
                                    )*IF(R197=0,1,R197))))))+Z197), 0.25)</f>
        <v>4</v>
      </c>
      <c r="Z197" s="22"/>
      <c r="AA197" s="157">
        <f>Y197+Y197*VLOOKUP(I197,EXTRAS_ARRAY,2,FALSE)</f>
        <v>4</v>
      </c>
      <c r="AB197" s="20"/>
      <c r="AC197" s="34"/>
      <c r="AD197" s="23" t="str">
        <f>IF(J197&lt;&gt;"Yes",
IF(S197&lt;=0,"Error: Effort value is not defined or is invalid.",
IF(AND(SUM(U197:W197)&gt;0,SUM(U197:W197)&lt;&gt;1),"Error: Complexity % distribution should sum to 100%.",
IF(AND(P197=AS_DEV_EFFORT,X197&lt;&gt;0),"Error: PDs should not be defined when defining as dev effort %.",
IF(AND(P197=AS_DURATION_EFFORT,X197&lt;&gt;0),"Error: PDs should not be defined when defining as duration effort %.","")))))</f>
        <v/>
      </c>
    </row>
    <row r="198" spans="1:30" ht="15.5" hidden="1" outlineLevel="2" x14ac:dyDescent="0.35">
      <c r="A198" s="86" t="s">
        <v>0</v>
      </c>
      <c r="B198" s="18"/>
      <c r="C198" s="78"/>
      <c r="D198" s="78"/>
      <c r="E198" s="78"/>
      <c r="F198" s="79"/>
      <c r="G198" s="19" t="s">
        <v>23</v>
      </c>
      <c r="H198" s="19" t="s">
        <v>23</v>
      </c>
      <c r="I198" s="20" t="s">
        <v>23</v>
      </c>
      <c r="J198" s="19" t="s">
        <v>23</v>
      </c>
      <c r="K198" s="35"/>
      <c r="L198" s="19"/>
      <c r="M198" s="263">
        <f ca="1">IFERROR(OFFSET(M198,-1,,1,1)+0.1,OFFSET(M198,-1,-1,1,1)&amp;".1")</f>
        <v>12.399999999999999</v>
      </c>
      <c r="N198" s="20" t="s">
        <v>1050</v>
      </c>
      <c r="O198" s="20"/>
      <c r="P198" s="20"/>
      <c r="Q198" s="134"/>
      <c r="R198" s="127"/>
      <c r="S198" s="157">
        <f>CEILING((IF(J198="Yes", 0, IF(H198="-",AA198,AA198+AA198*VLOOKUP(H198,BUFFERS_BY_TYPE,2,FALSE)))) +
   (IF(J198="Yes", 0, IF(H198="-",AA198,AA198+AA198*VLOOKUP(H198,BUFFERS_BY_TYPE,2,FALSE))))*VLOOKUP($S$5, SALES_CALL_SCALE_ARRAY, 2,FALSE),0.25)</f>
        <v>3</v>
      </c>
      <c r="T198" s="158"/>
      <c r="U198" s="21">
        <v>0</v>
      </c>
      <c r="V198" s="21">
        <v>1</v>
      </c>
      <c r="W198" s="21">
        <v>0</v>
      </c>
      <c r="X198" s="156">
        <v>3</v>
      </c>
      <c r="Y198" s="157">
        <f>CEILING((IF(P198=AS_DEV_EFFORT, DEV_EFFORT*Q198%,
                           IF(P198=AS_DURATION_EFFORT, (MANUAL_DURATION*5)*Q198%,
                                    (IF(Q198&lt;=1,X198,
                                          IF(SUM(U198:W198)=0,(Q198*X198),
                                               (((Q198*U198)*(X198+(X198*EXTRA_FOR_H)))+
                                               ((Q198*V198)*X198)+
                                               ((Q198*W198)*(X198-(X198*LESS_FOR_L)))
                                    )*IF(R198=0,1,R198))))))+Z198), 0.25)</f>
        <v>3</v>
      </c>
      <c r="Z198" s="22"/>
      <c r="AA198" s="157">
        <f>Y198+Y198*VLOOKUP(I198,EXTRAS_ARRAY,2,FALSE)</f>
        <v>3</v>
      </c>
      <c r="AB198" s="20"/>
      <c r="AC198" s="34"/>
      <c r="AD198" s="23" t="str">
        <f>IF(J198&lt;&gt;"Yes",
IF(S198&lt;=0,"Error: Effort value is not defined or is invalid.",
IF(AND(SUM(U198:W198)&gt;0,SUM(U198:W198)&lt;&gt;1),"Error: Complexity % distribution should sum to 100%.",
IF(AND(P198=AS_DEV_EFFORT,X198&lt;&gt;0),"Error: PDs should not be defined when defining as dev effort %.",
IF(AND(P198=AS_DURATION_EFFORT,X198&lt;&gt;0),"Error: PDs should not be defined when defining as duration effort %.","")))))</f>
        <v/>
      </c>
    </row>
    <row r="199" spans="1:30" s="9" customFormat="1" ht="7.5" hidden="1" customHeight="1" outlineLevel="2" x14ac:dyDescent="0.35">
      <c r="A199" s="86" t="s">
        <v>132</v>
      </c>
      <c r="B199" s="15"/>
      <c r="C199" s="72"/>
      <c r="D199" s="72"/>
      <c r="E199" s="72"/>
      <c r="F199" s="72"/>
      <c r="M199" s="252"/>
      <c r="T199" s="15"/>
      <c r="X199" s="15"/>
      <c r="AB199" s="10"/>
      <c r="AC199" s="10"/>
      <c r="AD199" s="10"/>
    </row>
    <row r="200" spans="1:30" s="14" customFormat="1" ht="15.5" outlineLevel="1" x14ac:dyDescent="0.35">
      <c r="A200" s="86" t="s">
        <v>100</v>
      </c>
      <c r="B200" s="18"/>
      <c r="C200" s="77"/>
      <c r="D200" s="77"/>
      <c r="E200" s="77"/>
      <c r="F200" s="76"/>
      <c r="G200" s="29"/>
      <c r="H200" s="29"/>
      <c r="I200" s="29"/>
      <c r="J200" s="29"/>
      <c r="K200" s="29"/>
      <c r="L200" s="17">
        <f ca="1">LOOKUP(1000,INDIRECT("L1:"&amp;CELL("address",INDIRECT("R[-1]C",FALSE))))+1</f>
        <v>13</v>
      </c>
      <c r="M200" s="309" t="s">
        <v>1051</v>
      </c>
      <c r="N200" s="310"/>
      <c r="O200" s="5"/>
      <c r="P200" s="30"/>
      <c r="Q200" s="30"/>
      <c r="R200" s="30"/>
      <c r="S200" s="30"/>
      <c r="T200" s="155">
        <f>IF($S$6="Exclude", SUMIFS(S201:S207, J201:J207, "&lt;&gt;Yes", G201:G207, "&lt;&gt;Yes"), SUMIFS(S201:S207, J201:J207, "&lt;&gt;Yes"))</f>
        <v>12</v>
      </c>
      <c r="U200" s="30"/>
      <c r="V200" s="30"/>
      <c r="W200" s="30"/>
      <c r="X200" s="31"/>
      <c r="Y200" s="32"/>
      <c r="Z200" s="32"/>
      <c r="AA200" s="32"/>
      <c r="AB200" s="219" t="s">
        <v>1052</v>
      </c>
      <c r="AC200" s="33"/>
      <c r="AD200" s="23" t="str">
        <f>IF(M200="", "Error: Task name cannot be empty.", "")</f>
        <v/>
      </c>
    </row>
    <row r="201" spans="1:30" s="12" customFormat="1" ht="1.5" customHeight="1" outlineLevel="2" x14ac:dyDescent="0.35">
      <c r="A201" s="86" t="s">
        <v>101</v>
      </c>
      <c r="B201" s="18"/>
      <c r="C201" s="77"/>
      <c r="D201" s="77"/>
      <c r="E201" s="77"/>
      <c r="F201" s="76"/>
      <c r="G201" s="29"/>
      <c r="H201" s="29"/>
      <c r="I201" s="29"/>
      <c r="J201" s="29"/>
      <c r="K201" s="29"/>
      <c r="L201" s="163">
        <f ca="1">L200</f>
        <v>13</v>
      </c>
      <c r="M201" s="164" t="s">
        <v>105</v>
      </c>
      <c r="N201" s="161"/>
      <c r="O201" s="162"/>
      <c r="P201" s="30"/>
      <c r="Q201" s="30"/>
      <c r="R201" s="30"/>
      <c r="S201" s="30"/>
      <c r="T201" s="155"/>
      <c r="U201" s="30"/>
      <c r="V201" s="30"/>
      <c r="W201" s="30"/>
      <c r="X201" s="31"/>
      <c r="Y201" s="32"/>
      <c r="Z201" s="32"/>
      <c r="AA201" s="32"/>
      <c r="AB201" s="33"/>
      <c r="AC201" s="33"/>
      <c r="AD201" s="23"/>
    </row>
    <row r="202" spans="1:30" ht="15.5" outlineLevel="2" x14ac:dyDescent="0.35">
      <c r="A202" s="86" t="s">
        <v>0</v>
      </c>
      <c r="B202" s="18"/>
      <c r="C202" s="78"/>
      <c r="D202" s="78"/>
      <c r="E202" s="78"/>
      <c r="F202" s="79"/>
      <c r="G202" s="19" t="s">
        <v>23</v>
      </c>
      <c r="H202" s="19" t="s">
        <v>23</v>
      </c>
      <c r="I202" s="20" t="s">
        <v>23</v>
      </c>
      <c r="J202" s="19" t="s">
        <v>23</v>
      </c>
      <c r="K202" s="35"/>
      <c r="L202" s="19"/>
      <c r="M202" s="263" t="str">
        <f ca="1">IFERROR(OFFSET(M202,-1,,1,1)+0.1,OFFSET(M202,-1,-1,1,1)&amp;".1")</f>
        <v>13.1</v>
      </c>
      <c r="N202" s="20" t="s">
        <v>1053</v>
      </c>
      <c r="O202" s="20"/>
      <c r="P202" s="20"/>
      <c r="Q202" s="134"/>
      <c r="R202" s="127"/>
      <c r="S202" s="157">
        <f>CEILING((IF(J202="Yes", 0, IF(H202="-",AA202,AA202+AA202*VLOOKUP(H202,BUFFERS_BY_TYPE,2,FALSE)))) +
   (IF(J202="Yes", 0, IF(H202="-",AA202,AA202+AA202*VLOOKUP(H202,BUFFERS_BY_TYPE,2,FALSE))))*VLOOKUP($S$5, SALES_CALL_SCALE_ARRAY, 2,FALSE),0.25)</f>
        <v>2.5</v>
      </c>
      <c r="T202" s="158"/>
      <c r="U202" s="21">
        <v>0</v>
      </c>
      <c r="V202" s="21">
        <v>1</v>
      </c>
      <c r="W202" s="21">
        <v>0</v>
      </c>
      <c r="X202" s="156">
        <v>2.5</v>
      </c>
      <c r="Y202" s="157">
        <f>CEILING((IF(P202=AS_DEV_EFFORT, DEV_EFFORT*Q202%,
                           IF(P202=AS_DURATION_EFFORT, (MANUAL_DURATION*5)*Q202%,
                                    (IF(Q202&lt;=1,X202,
                                          IF(SUM(U202:W202)=0,(Q202*X202),
                                               (((Q202*U202)*(X202+(X202*EXTRA_FOR_H)))+
                                               ((Q202*V202)*X202)+
                                               ((Q202*W202)*(X202-(X202*LESS_FOR_L)))
                                    )*IF(R202=0,1,R202))))))+Z202), 0.25)</f>
        <v>2.5</v>
      </c>
      <c r="Z202" s="22"/>
      <c r="AA202" s="157">
        <f>Y202+Y202*VLOOKUP(I202,EXTRAS_ARRAY,2,FALSE)</f>
        <v>2.5</v>
      </c>
      <c r="AB202" s="20"/>
      <c r="AC202" s="34"/>
      <c r="AD202" s="23" t="str">
        <f>IF(J202&lt;&gt;"Yes",
IF(S202&lt;=0,"Error: Effort value is not defined or is invalid.",
IF(AND(SUM(U202:W202)&gt;0,SUM(U202:W202)&lt;&gt;1),"Error: Complexity % distribution should sum to 100%.",
IF(AND(P202=AS_DEV_EFFORT,X202&lt;&gt;0),"Error: PDs should not be defined when defining as dev effort %.",
IF(AND(P202=AS_DURATION_EFFORT,X202&lt;&gt;0),"Error: PDs should not be defined when defining as duration effort %.","")))))</f>
        <v/>
      </c>
    </row>
    <row r="203" spans="1:30" ht="15.5" outlineLevel="2" x14ac:dyDescent="0.35">
      <c r="A203" s="86" t="s">
        <v>0</v>
      </c>
      <c r="B203" s="18"/>
      <c r="C203" s="78"/>
      <c r="D203" s="78"/>
      <c r="E203" s="78"/>
      <c r="F203" s="79"/>
      <c r="G203" s="19" t="s">
        <v>23</v>
      </c>
      <c r="H203" s="19" t="s">
        <v>23</v>
      </c>
      <c r="I203" s="20" t="s">
        <v>23</v>
      </c>
      <c r="J203" s="19" t="s">
        <v>23</v>
      </c>
      <c r="K203" s="35"/>
      <c r="L203" s="19"/>
      <c r="M203" s="263">
        <f ca="1">IFERROR(OFFSET(M203,-1,,1,1)+0.1,OFFSET(M203,-1,-1,1,1)&amp;".1")</f>
        <v>13.2</v>
      </c>
      <c r="N203" s="20" t="s">
        <v>1054</v>
      </c>
      <c r="O203" s="20"/>
      <c r="P203" s="20"/>
      <c r="Q203" s="134"/>
      <c r="R203" s="127"/>
      <c r="S203" s="157">
        <f>CEILING((IF(J203="Yes", 0, IF(H203="-",AA203,AA203+AA203*VLOOKUP(H203,BUFFERS_BY_TYPE,2,FALSE)))) +
   (IF(J203="Yes", 0, IF(H203="-",AA203,AA203+AA203*VLOOKUP(H203,BUFFERS_BY_TYPE,2,FALSE))))*VLOOKUP($S$5, SALES_CALL_SCALE_ARRAY, 2,FALSE),0.25)</f>
        <v>3</v>
      </c>
      <c r="T203" s="158"/>
      <c r="U203" s="21">
        <v>0</v>
      </c>
      <c r="V203" s="21">
        <v>1</v>
      </c>
      <c r="W203" s="21">
        <v>0</v>
      </c>
      <c r="X203" s="156">
        <v>3</v>
      </c>
      <c r="Y203" s="157">
        <f>CEILING((IF(P203=AS_DEV_EFFORT, DEV_EFFORT*Q203%,
                           IF(P203=AS_DURATION_EFFORT, (MANUAL_DURATION*5)*Q203%,
                                    (IF(Q203&lt;=1,X203,
                                          IF(SUM(U203:W203)=0,(Q203*X203),
                                               (((Q203*U203)*(X203+(X203*EXTRA_FOR_H)))+
                                               ((Q203*V203)*X203)+
                                               ((Q203*W203)*(X203-(X203*LESS_FOR_L)))
                                    )*IF(R203=0,1,R203))))))+Z203), 0.25)</f>
        <v>3</v>
      </c>
      <c r="Z203" s="22"/>
      <c r="AA203" s="157">
        <f>Y203+Y203*VLOOKUP(I203,EXTRAS_ARRAY,2,FALSE)</f>
        <v>3</v>
      </c>
      <c r="AB203" s="20"/>
      <c r="AC203" s="34"/>
      <c r="AD203" s="23" t="str">
        <f>IF(J203&lt;&gt;"Yes",
IF(S203&lt;=0,"Error: Effort value is not defined or is invalid.",
IF(AND(SUM(U203:W203)&gt;0,SUM(U203:W203)&lt;&gt;1),"Error: Complexity % distribution should sum to 100%.",
IF(AND(P203=AS_DEV_EFFORT,X203&lt;&gt;0),"Error: PDs should not be defined when defining as dev effort %.",
IF(AND(P203=AS_DURATION_EFFORT,X203&lt;&gt;0),"Error: PDs should not be defined when defining as duration effort %.","")))))</f>
        <v/>
      </c>
    </row>
    <row r="204" spans="1:30" ht="15.5" outlineLevel="2" x14ac:dyDescent="0.35">
      <c r="A204" s="86" t="s">
        <v>0</v>
      </c>
      <c r="B204" s="18"/>
      <c r="C204" s="78"/>
      <c r="D204" s="78"/>
      <c r="E204" s="78"/>
      <c r="F204" s="79"/>
      <c r="G204" s="19" t="s">
        <v>23</v>
      </c>
      <c r="H204" s="19" t="s">
        <v>23</v>
      </c>
      <c r="I204" s="20" t="s">
        <v>23</v>
      </c>
      <c r="J204" s="19" t="s">
        <v>23</v>
      </c>
      <c r="K204" s="35"/>
      <c r="L204" s="19"/>
      <c r="M204" s="263">
        <f ca="1">IFERROR(OFFSET(M204,-1,,1,1)+0.1,OFFSET(M204,-1,-1,1,1)&amp;".1")</f>
        <v>13.299999999999999</v>
      </c>
      <c r="N204" s="20" t="s">
        <v>1055</v>
      </c>
      <c r="O204" s="20"/>
      <c r="P204" s="20"/>
      <c r="Q204" s="134"/>
      <c r="R204" s="127"/>
      <c r="S204" s="157">
        <f>CEILING((IF(J204="Yes", 0, IF(H204="-",AA204,AA204+AA204*VLOOKUP(H204,BUFFERS_BY_TYPE,2,FALSE)))) +
   (IF(J204="Yes", 0, IF(H204="-",AA204,AA204+AA204*VLOOKUP(H204,BUFFERS_BY_TYPE,2,FALSE))))*VLOOKUP($S$5, SALES_CALL_SCALE_ARRAY, 2,FALSE),0.25)</f>
        <v>2.5</v>
      </c>
      <c r="T204" s="158"/>
      <c r="U204" s="21">
        <v>0</v>
      </c>
      <c r="V204" s="21">
        <v>1</v>
      </c>
      <c r="W204" s="21">
        <v>0</v>
      </c>
      <c r="X204" s="156">
        <v>2.5</v>
      </c>
      <c r="Y204" s="157">
        <f>CEILING((IF(P204=AS_DEV_EFFORT, DEV_EFFORT*Q204%,
                           IF(P204=AS_DURATION_EFFORT, (MANUAL_DURATION*5)*Q204%,
                                    (IF(Q204&lt;=1,X204,
                                          IF(SUM(U204:W204)=0,(Q204*X204),
                                               (((Q204*U204)*(X204+(X204*EXTRA_FOR_H)))+
                                               ((Q204*V204)*X204)+
                                               ((Q204*W204)*(X204-(X204*LESS_FOR_L)))
                                    )*IF(R204=0,1,R204))))))+Z204), 0.25)</f>
        <v>2.5</v>
      </c>
      <c r="Z204" s="22"/>
      <c r="AA204" s="157">
        <f>Y204+Y204*VLOOKUP(I204,EXTRAS_ARRAY,2,FALSE)</f>
        <v>2.5</v>
      </c>
      <c r="AB204" s="20"/>
      <c r="AC204" s="34"/>
      <c r="AD204" s="23" t="str">
        <f>IF(J204&lt;&gt;"Yes",
IF(S204&lt;=0,"Error: Effort value is not defined or is invalid.",
IF(AND(SUM(U204:W204)&gt;0,SUM(U204:W204)&lt;&gt;1),"Error: Complexity % distribution should sum to 100%.",
IF(AND(P204=AS_DEV_EFFORT,X204&lt;&gt;0),"Error: PDs should not be defined when defining as dev effort %.",
IF(AND(P204=AS_DURATION_EFFORT,X204&lt;&gt;0),"Error: PDs should not be defined when defining as duration effort %.","")))))</f>
        <v/>
      </c>
    </row>
    <row r="205" spans="1:30" ht="15.5" outlineLevel="2" x14ac:dyDescent="0.35">
      <c r="A205" s="86" t="s">
        <v>0</v>
      </c>
      <c r="B205" s="18"/>
      <c r="C205" s="78"/>
      <c r="D205" s="78"/>
      <c r="E205" s="78"/>
      <c r="F205" s="79"/>
      <c r="G205" s="19" t="s">
        <v>23</v>
      </c>
      <c r="H205" s="19" t="s">
        <v>23</v>
      </c>
      <c r="I205" s="20" t="s">
        <v>23</v>
      </c>
      <c r="J205" s="19" t="s">
        <v>23</v>
      </c>
      <c r="K205" s="35"/>
      <c r="L205" s="19"/>
      <c r="M205" s="263">
        <f ca="1">IFERROR(OFFSET(M205,-1,,1,1)+0.1,OFFSET(M205,-1,-1,1,1)&amp;".1")</f>
        <v>13.399999999999999</v>
      </c>
      <c r="N205" s="20" t="s">
        <v>1056</v>
      </c>
      <c r="O205" s="20"/>
      <c r="P205" s="20"/>
      <c r="Q205" s="134"/>
      <c r="R205" s="127"/>
      <c r="S205" s="157">
        <f>CEILING((IF(J205="Yes", 0, IF(H205="-",AA205,AA205+AA205*VLOOKUP(H205,BUFFERS_BY_TYPE,2,FALSE)))) +
   (IF(J205="Yes", 0, IF(H205="-",AA205,AA205+AA205*VLOOKUP(H205,BUFFERS_BY_TYPE,2,FALSE))))*VLOOKUP($S$5, SALES_CALL_SCALE_ARRAY, 2,FALSE),0.25)</f>
        <v>2</v>
      </c>
      <c r="T205" s="158"/>
      <c r="U205" s="21">
        <v>0</v>
      </c>
      <c r="V205" s="21">
        <v>1</v>
      </c>
      <c r="W205" s="21">
        <v>0</v>
      </c>
      <c r="X205" s="156">
        <v>2</v>
      </c>
      <c r="Y205" s="157">
        <f>CEILING((IF(P205=AS_DEV_EFFORT, DEV_EFFORT*Q205%,
                           IF(P205=AS_DURATION_EFFORT, (MANUAL_DURATION*5)*Q205%,
                                    (IF(Q205&lt;=1,X205,
                                          IF(SUM(U205:W205)=0,(Q205*X205),
                                               (((Q205*U205)*(X205+(X205*EXTRA_FOR_H)))+
                                               ((Q205*V205)*X205)+
                                               ((Q205*W205)*(X205-(X205*LESS_FOR_L)))
                                    )*IF(R205=0,1,R205))))))+Z205), 0.25)</f>
        <v>2</v>
      </c>
      <c r="Z205" s="22"/>
      <c r="AA205" s="157">
        <f>Y205+Y205*VLOOKUP(I205,EXTRAS_ARRAY,2,FALSE)</f>
        <v>2</v>
      </c>
      <c r="AB205" s="20"/>
      <c r="AC205" s="34"/>
      <c r="AD205" s="23" t="str">
        <f>IF(J205&lt;&gt;"Yes",
IF(S205&lt;=0,"Error: Effort value is not defined or is invalid.",
IF(AND(SUM(U205:W205)&gt;0,SUM(U205:W205)&lt;&gt;1),"Error: Complexity % distribution should sum to 100%.",
IF(AND(P205=AS_DEV_EFFORT,X205&lt;&gt;0),"Error: PDs should not be defined when defining as dev effort %.",
IF(AND(P205=AS_DURATION_EFFORT,X205&lt;&gt;0),"Error: PDs should not be defined when defining as duration effort %.","")))))</f>
        <v/>
      </c>
    </row>
    <row r="206" spans="1:30" ht="15.5" outlineLevel="2" x14ac:dyDescent="0.35">
      <c r="A206" s="86" t="s">
        <v>0</v>
      </c>
      <c r="B206" s="18"/>
      <c r="C206" s="78"/>
      <c r="D206" s="78"/>
      <c r="E206" s="78"/>
      <c r="F206" s="79"/>
      <c r="G206" s="19" t="s">
        <v>23</v>
      </c>
      <c r="H206" s="19" t="s">
        <v>23</v>
      </c>
      <c r="I206" s="20" t="s">
        <v>23</v>
      </c>
      <c r="J206" s="19" t="s">
        <v>23</v>
      </c>
      <c r="K206" s="35"/>
      <c r="L206" s="19"/>
      <c r="M206" s="263">
        <f ca="1">IFERROR(OFFSET(M206,-1,,1,1)+0.1,OFFSET(M206,-1,-1,1,1)&amp;".1")</f>
        <v>13.499999999999998</v>
      </c>
      <c r="N206" s="20" t="s">
        <v>1057</v>
      </c>
      <c r="O206" s="20"/>
      <c r="P206" s="20"/>
      <c r="Q206" s="134"/>
      <c r="R206" s="127"/>
      <c r="S206" s="157">
        <f>CEILING((IF(J206="Yes", 0, IF(H206="-",AA206,AA206+AA206*VLOOKUP(H206,BUFFERS_BY_TYPE,2,FALSE)))) +
   (IF(J206="Yes", 0, IF(H206="-",AA206,AA206+AA206*VLOOKUP(H206,BUFFERS_BY_TYPE,2,FALSE))))*VLOOKUP($S$5, SALES_CALL_SCALE_ARRAY, 2,FALSE),0.25)</f>
        <v>2</v>
      </c>
      <c r="T206" s="158"/>
      <c r="U206" s="21">
        <v>0</v>
      </c>
      <c r="V206" s="21">
        <v>1</v>
      </c>
      <c r="W206" s="21">
        <v>0</v>
      </c>
      <c r="X206" s="156">
        <v>2</v>
      </c>
      <c r="Y206" s="157">
        <f>CEILING((IF(P206=AS_DEV_EFFORT, DEV_EFFORT*Q206%,
                           IF(P206=AS_DURATION_EFFORT, (MANUAL_DURATION*5)*Q206%,
                                    (IF(Q206&lt;=1,X206,
                                          IF(SUM(U206:W206)=0,(Q206*X206),
                                               (((Q206*U206)*(X206+(X206*EXTRA_FOR_H)))+
                                               ((Q206*V206)*X206)+
                                               ((Q206*W206)*(X206-(X206*LESS_FOR_L)))
                                    )*IF(R206=0,1,R206))))))+Z206), 0.25)</f>
        <v>2</v>
      </c>
      <c r="Z206" s="22"/>
      <c r="AA206" s="157">
        <f>Y206+Y206*VLOOKUP(I206,EXTRAS_ARRAY,2,FALSE)</f>
        <v>2</v>
      </c>
      <c r="AB206" s="20"/>
      <c r="AC206" s="34"/>
      <c r="AD206" s="23" t="str">
        <f>IF(J206&lt;&gt;"Yes",
IF(S206&lt;=0,"Error: Effort value is not defined or is invalid.",
IF(AND(SUM(U206:W206)&gt;0,SUM(U206:W206)&lt;&gt;1),"Error: Complexity % distribution should sum to 100%.",
IF(AND(P206=AS_DEV_EFFORT,X206&lt;&gt;0),"Error: PDs should not be defined when defining as dev effort %.",
IF(AND(P206=AS_DURATION_EFFORT,X206&lt;&gt;0),"Error: PDs should not be defined when defining as duration effort %.","")))))</f>
        <v/>
      </c>
    </row>
    <row r="207" spans="1:30" s="9" customFormat="1" ht="7.5" customHeight="1" outlineLevel="2" x14ac:dyDescent="0.35">
      <c r="A207" s="86" t="s">
        <v>132</v>
      </c>
      <c r="B207" s="15"/>
      <c r="C207" s="72"/>
      <c r="D207" s="72"/>
      <c r="E207" s="72"/>
      <c r="F207" s="72"/>
      <c r="M207" s="252"/>
      <c r="T207" s="15"/>
      <c r="X207" s="15"/>
      <c r="AB207" s="10"/>
      <c r="AC207" s="10"/>
      <c r="AD207" s="10"/>
    </row>
    <row r="208" spans="1:30" s="14" customFormat="1" ht="15.5" outlineLevel="1" x14ac:dyDescent="0.35">
      <c r="A208" s="86" t="s">
        <v>100</v>
      </c>
      <c r="B208" s="18"/>
      <c r="C208" s="77"/>
      <c r="D208" s="77"/>
      <c r="E208" s="77"/>
      <c r="F208" s="76"/>
      <c r="G208" s="29"/>
      <c r="H208" s="29"/>
      <c r="I208" s="29"/>
      <c r="J208" s="29"/>
      <c r="K208" s="29"/>
      <c r="L208" s="17">
        <f ca="1">LOOKUP(1000,INDIRECT("L1:"&amp;CELL("address",INDIRECT("R[-1]C",FALSE))))+1</f>
        <v>14</v>
      </c>
      <c r="M208" s="310" t="s">
        <v>108</v>
      </c>
      <c r="N208" s="310"/>
      <c r="O208" s="5"/>
      <c r="P208" s="30"/>
      <c r="Q208" s="30"/>
      <c r="R208" s="30"/>
      <c r="S208" s="30"/>
      <c r="T208" s="155">
        <f>IF($S$6="Exclude", SUMIFS(S209:S216, J209:J216, "&lt;&gt;Yes", G209:G216, "&lt;&gt;Yes"), SUMIFS(S209:S216, J209:J216, "&lt;&gt;Yes"))</f>
        <v>0</v>
      </c>
      <c r="U208" s="30"/>
      <c r="V208" s="30"/>
      <c r="W208" s="30"/>
      <c r="X208" s="31"/>
      <c r="Y208" s="32"/>
      <c r="Z208" s="32"/>
      <c r="AA208" s="32"/>
      <c r="AB208" s="219" t="s">
        <v>439</v>
      </c>
      <c r="AC208" s="33"/>
      <c r="AD208" s="23" t="str">
        <f>IF(M208="", "Error: Task name cannot be empty.", "")</f>
        <v/>
      </c>
    </row>
    <row r="209" spans="1:30" s="12" customFormat="1" ht="1.5" customHeight="1" outlineLevel="2" x14ac:dyDescent="0.35">
      <c r="A209" s="86" t="s">
        <v>101</v>
      </c>
      <c r="B209" s="18"/>
      <c r="C209" s="77"/>
      <c r="D209" s="77"/>
      <c r="E209" s="77"/>
      <c r="F209" s="76"/>
      <c r="G209" s="29"/>
      <c r="H209" s="29"/>
      <c r="I209" s="29"/>
      <c r="J209" s="29"/>
      <c r="K209" s="29"/>
      <c r="L209" s="163">
        <f ca="1">L208</f>
        <v>14</v>
      </c>
      <c r="M209" s="164" t="s">
        <v>105</v>
      </c>
      <c r="N209" s="161"/>
      <c r="O209" s="162"/>
      <c r="P209" s="30"/>
      <c r="Q209" s="30"/>
      <c r="R209" s="30"/>
      <c r="S209" s="30"/>
      <c r="T209" s="155"/>
      <c r="U209" s="30"/>
      <c r="V209" s="30"/>
      <c r="W209" s="30"/>
      <c r="X209" s="31"/>
      <c r="Y209" s="32"/>
      <c r="Z209" s="32"/>
      <c r="AA209" s="32"/>
      <c r="AB209" s="33"/>
      <c r="AC209" s="33"/>
      <c r="AD209" s="23"/>
    </row>
    <row r="210" spans="1:30" ht="58" outlineLevel="2" x14ac:dyDescent="0.35">
      <c r="A210" s="86" t="s">
        <v>0</v>
      </c>
      <c r="B210" s="18"/>
      <c r="C210" s="78"/>
      <c r="D210" s="78"/>
      <c r="E210" s="78"/>
      <c r="F210" s="79"/>
      <c r="G210" s="19" t="s">
        <v>23</v>
      </c>
      <c r="H210" s="19" t="s">
        <v>23</v>
      </c>
      <c r="I210" s="20" t="s">
        <v>23</v>
      </c>
      <c r="J210" s="19" t="s">
        <v>23</v>
      </c>
      <c r="K210" s="35"/>
      <c r="L210" s="19"/>
      <c r="M210" s="263" t="str">
        <f ca="1">IFERROR(OFFSET(M210,-1,,1,1)+0.1,OFFSET(M210,-1,-1,1,1)&amp;".1")</f>
        <v>14.1</v>
      </c>
      <c r="N210" s="20" t="s">
        <v>438</v>
      </c>
      <c r="O210" s="20"/>
      <c r="P210" s="20"/>
      <c r="Q210" s="134"/>
      <c r="R210" s="127"/>
      <c r="S210" s="157">
        <f>CEILING((IF(J210="Yes", 0, IF(H210="-",AA210,AA210+AA210*VLOOKUP(H210,BUFFERS_BY_TYPE,2,FALSE)))) +
   (IF(J210="Yes", 0, IF(H210="-",AA210,AA210+AA210*VLOOKUP(H210,BUFFERS_BY_TYPE,2,FALSE))))*VLOOKUP($S$5, SALES_CALL_SCALE_ARRAY, 2,FALSE),0.25)</f>
        <v>0</v>
      </c>
      <c r="T210" s="158"/>
      <c r="U210" s="21">
        <v>0</v>
      </c>
      <c r="V210" s="21">
        <v>1</v>
      </c>
      <c r="W210" s="21">
        <v>0</v>
      </c>
      <c r="X210" s="156"/>
      <c r="Y210" s="157">
        <f>CEILING((IF(P210=AS_DEV_EFFORT, DEV_EFFORT*Q210%,
                           IF(P210=AS_DURATION_EFFORT, (MANUAL_DURATION*5)*Q210%,
                                    (IF(Q210&lt;=1,X210,
                                          IF(SUM(U210:W210)=0,(Q210*X210),
                                               (((Q210*U210)*(X210+(X210*EXTRA_FOR_H)))+
                                               ((Q210*V210)*X210)+
                                               ((Q210*W210)*(X210-(X210*LESS_FOR_L)))
                                    )*IF(R210=0,1,R210))))))+Z210), 0.25)</f>
        <v>0</v>
      </c>
      <c r="Z210" s="22"/>
      <c r="AA210" s="157">
        <f>Y210+Y210*VLOOKUP(I210,EXTRAS_ARRAY,2,FALSE)</f>
        <v>0</v>
      </c>
      <c r="AB210" s="20" t="s">
        <v>440</v>
      </c>
      <c r="AC210" s="34"/>
      <c r="AD210" s="23" t="str">
        <f>IF(J210&lt;&gt;"Yes",
IF(S210&lt;=0,"Error: Effort value is not defined or is invalid.",
IF(AND(SUM(U210:W210)&gt;0,SUM(U210:W210)&lt;&gt;1),"Error: Complexity % distribution should sum to 100%.",
IF(AND(P210=AS_DEV_EFFORT,X210&lt;&gt;0),"Error: PDs should not be defined when defining as dev effort %.",
IF(AND(P210=AS_DURATION_EFFORT,X210&lt;&gt;0),"Error: PDs should not be defined when defining as duration effort %.","")))))</f>
        <v>Error: Effort value is not defined or is invalid.</v>
      </c>
    </row>
    <row r="211" spans="1:30" ht="58" outlineLevel="2" x14ac:dyDescent="0.35">
      <c r="A211" s="86" t="s">
        <v>0</v>
      </c>
      <c r="B211" s="18"/>
      <c r="C211" s="78"/>
      <c r="D211" s="78"/>
      <c r="E211" s="78"/>
      <c r="F211" s="79"/>
      <c r="G211" s="19" t="s">
        <v>23</v>
      </c>
      <c r="H211" s="19" t="s">
        <v>23</v>
      </c>
      <c r="I211" s="20" t="s">
        <v>23</v>
      </c>
      <c r="J211" s="19" t="s">
        <v>23</v>
      </c>
      <c r="K211" s="35"/>
      <c r="L211" s="19"/>
      <c r="M211" s="263">
        <f ca="1">IFERROR(OFFSET(M211,-1,,1,1)+0.1,OFFSET(M211,-1,-1,1,1)&amp;".1")</f>
        <v>14.2</v>
      </c>
      <c r="N211" s="20" t="s">
        <v>438</v>
      </c>
      <c r="O211" s="20"/>
      <c r="P211" s="20"/>
      <c r="Q211" s="134"/>
      <c r="R211" s="127"/>
      <c r="S211" s="157">
        <f>CEILING((IF(J211="Yes", 0, IF(H211="-",AA211,AA211+AA211*VLOOKUP(H211,BUFFERS_BY_TYPE,2,FALSE)))) +
   (IF(J211="Yes", 0, IF(H211="-",AA211,AA211+AA211*VLOOKUP(H211,BUFFERS_BY_TYPE,2,FALSE))))*VLOOKUP($S$5, SALES_CALL_SCALE_ARRAY, 2,FALSE),0.25)</f>
        <v>0</v>
      </c>
      <c r="T211" s="158"/>
      <c r="U211" s="21">
        <v>0</v>
      </c>
      <c r="V211" s="21">
        <v>1</v>
      </c>
      <c r="W211" s="21">
        <v>0</v>
      </c>
      <c r="X211" s="156"/>
      <c r="Y211" s="157">
        <f>CEILING((IF(P211=AS_DEV_EFFORT, DEV_EFFORT*Q211%,
                           IF(P211=AS_DURATION_EFFORT, (MANUAL_DURATION*5)*Q211%,
                                    (IF(Q211&lt;=1,X211,
                                          IF(SUM(U211:W211)=0,(Q211*X211),
                                               (((Q211*U211)*(X211+(X211*EXTRA_FOR_H)))+
                                               ((Q211*V211)*X211)+
                                               ((Q211*W211)*(X211-(X211*LESS_FOR_L)))
                                    )*IF(R211=0,1,R211))))))+Z211), 0.25)</f>
        <v>0</v>
      </c>
      <c r="Z211" s="22"/>
      <c r="AA211" s="157">
        <f>Y211+Y211*VLOOKUP(I211,EXTRAS_ARRAY,2,FALSE)</f>
        <v>0</v>
      </c>
      <c r="AB211" s="20" t="s">
        <v>440</v>
      </c>
      <c r="AC211" s="34"/>
      <c r="AD211" s="23" t="str">
        <f>IF(J211&lt;&gt;"Yes",
IF(S211&lt;=0,"Error: Effort value is not defined or is invalid.",
IF(AND(SUM(U211:W211)&gt;0,SUM(U211:W211)&lt;&gt;1),"Error: Complexity % distribution should sum to 100%.",
IF(AND(P211=AS_DEV_EFFORT,X211&lt;&gt;0),"Error: PDs should not be defined when defining as dev effort %.",
IF(AND(P211=AS_DURATION_EFFORT,X211&lt;&gt;0),"Error: PDs should not be defined when defining as duration effort %.","")))))</f>
        <v>Error: Effort value is not defined or is invalid.</v>
      </c>
    </row>
    <row r="212" spans="1:30" ht="58" outlineLevel="2" x14ac:dyDescent="0.35">
      <c r="A212" s="86" t="s">
        <v>0</v>
      </c>
      <c r="B212" s="18"/>
      <c r="C212" s="78"/>
      <c r="D212" s="78"/>
      <c r="E212" s="78"/>
      <c r="F212" s="79"/>
      <c r="G212" s="19" t="s">
        <v>23</v>
      </c>
      <c r="H212" s="19" t="s">
        <v>23</v>
      </c>
      <c r="I212" s="20" t="s">
        <v>23</v>
      </c>
      <c r="J212" s="19" t="s">
        <v>23</v>
      </c>
      <c r="K212" s="35"/>
      <c r="L212" s="19"/>
      <c r="M212" s="263">
        <f ca="1">IFERROR(OFFSET(M212,-1,,1,1)+0.1,OFFSET(M212,-1,-1,1,1)&amp;".1")</f>
        <v>14.299999999999999</v>
      </c>
      <c r="N212" s="20" t="s">
        <v>438</v>
      </c>
      <c r="O212" s="20"/>
      <c r="P212" s="20"/>
      <c r="Q212" s="134"/>
      <c r="R212" s="127"/>
      <c r="S212" s="157">
        <f>CEILING((IF(J212="Yes", 0, IF(H212="-",AA212,AA212+AA212*VLOOKUP(H212,BUFFERS_BY_TYPE,2,FALSE)))) +
   (IF(J212="Yes", 0, IF(H212="-",AA212,AA212+AA212*VLOOKUP(H212,BUFFERS_BY_TYPE,2,FALSE))))*VLOOKUP($S$5, SALES_CALL_SCALE_ARRAY, 2,FALSE),0.25)</f>
        <v>0</v>
      </c>
      <c r="T212" s="158"/>
      <c r="U212" s="21">
        <v>0</v>
      </c>
      <c r="V212" s="21">
        <v>1</v>
      </c>
      <c r="W212" s="21">
        <v>0</v>
      </c>
      <c r="X212" s="156"/>
      <c r="Y212" s="157">
        <f>CEILING((IF(P212=AS_DEV_EFFORT, DEV_EFFORT*Q212%,
                           IF(P212=AS_DURATION_EFFORT, (MANUAL_DURATION*5)*Q212%,
                                    (IF(Q212&lt;=1,X212,
                                          IF(SUM(U212:W212)=0,(Q212*X212),
                                               (((Q212*U212)*(X212+(X212*EXTRA_FOR_H)))+
                                               ((Q212*V212)*X212)+
                                               ((Q212*W212)*(X212-(X212*LESS_FOR_L)))
                                    )*IF(R212=0,1,R212))))))+Z212), 0.25)</f>
        <v>0</v>
      </c>
      <c r="Z212" s="22"/>
      <c r="AA212" s="157">
        <f>Y212+Y212*VLOOKUP(I212,EXTRAS_ARRAY,2,FALSE)</f>
        <v>0</v>
      </c>
      <c r="AB212" s="20" t="s">
        <v>440</v>
      </c>
      <c r="AC212" s="34"/>
      <c r="AD212" s="23" t="str">
        <f>IF(J212&lt;&gt;"Yes",
IF(S212&lt;=0,"Error: Effort value is not defined or is invalid.",
IF(AND(SUM(U212:W212)&gt;0,SUM(U212:W212)&lt;&gt;1),"Error: Complexity % distribution should sum to 100%.",
IF(AND(P212=AS_DEV_EFFORT,X212&lt;&gt;0),"Error: PDs should not be defined when defining as dev effort %.",
IF(AND(P212=AS_DURATION_EFFORT,X212&lt;&gt;0),"Error: PDs should not be defined when defining as duration effort %.","")))))</f>
        <v>Error: Effort value is not defined or is invalid.</v>
      </c>
    </row>
    <row r="213" spans="1:30" ht="58" outlineLevel="2" x14ac:dyDescent="0.35">
      <c r="A213" s="86" t="s">
        <v>0</v>
      </c>
      <c r="B213" s="18"/>
      <c r="C213" s="78"/>
      <c r="D213" s="78"/>
      <c r="E213" s="78"/>
      <c r="F213" s="79"/>
      <c r="G213" s="19" t="s">
        <v>23</v>
      </c>
      <c r="H213" s="19" t="s">
        <v>23</v>
      </c>
      <c r="I213" s="20" t="s">
        <v>23</v>
      </c>
      <c r="J213" s="19" t="s">
        <v>23</v>
      </c>
      <c r="K213" s="35"/>
      <c r="L213" s="19"/>
      <c r="M213" s="263">
        <f ca="1">IFERROR(OFFSET(M213,-1,,1,1)+0.1,OFFSET(M213,-1,-1,1,1)&amp;".1")</f>
        <v>14.399999999999999</v>
      </c>
      <c r="N213" s="20" t="s">
        <v>438</v>
      </c>
      <c r="O213" s="20"/>
      <c r="P213" s="20"/>
      <c r="Q213" s="134"/>
      <c r="R213" s="127"/>
      <c r="S213" s="157">
        <f>CEILING((IF(J213="Yes", 0, IF(H213="-",AA213,AA213+AA213*VLOOKUP(H213,BUFFERS_BY_TYPE,2,FALSE)))) +
   (IF(J213="Yes", 0, IF(H213="-",AA213,AA213+AA213*VLOOKUP(H213,BUFFERS_BY_TYPE,2,FALSE))))*VLOOKUP($S$5, SALES_CALL_SCALE_ARRAY, 2,FALSE),0.25)</f>
        <v>0</v>
      </c>
      <c r="T213" s="158"/>
      <c r="U213" s="21">
        <v>0</v>
      </c>
      <c r="V213" s="21">
        <v>1</v>
      </c>
      <c r="W213" s="21">
        <v>0</v>
      </c>
      <c r="X213" s="156"/>
      <c r="Y213" s="157">
        <f>CEILING((IF(P213=AS_DEV_EFFORT, DEV_EFFORT*Q213%,
                           IF(P213=AS_DURATION_EFFORT, (MANUAL_DURATION*5)*Q213%,
                                    (IF(Q213&lt;=1,X213,
                                          IF(SUM(U213:W213)=0,(Q213*X213),
                                               (((Q213*U213)*(X213+(X213*EXTRA_FOR_H)))+
                                               ((Q213*V213)*X213)+
                                               ((Q213*W213)*(X213-(X213*LESS_FOR_L)))
                                    )*IF(R213=0,1,R213))))))+Z213), 0.25)</f>
        <v>0</v>
      </c>
      <c r="Z213" s="22"/>
      <c r="AA213" s="157">
        <f>Y213+Y213*VLOOKUP(I213,EXTRAS_ARRAY,2,FALSE)</f>
        <v>0</v>
      </c>
      <c r="AB213" s="20" t="s">
        <v>440</v>
      </c>
      <c r="AC213" s="34"/>
      <c r="AD213" s="23" t="str">
        <f>IF(J213&lt;&gt;"Yes",
IF(S213&lt;=0,"Error: Effort value is not defined or is invalid.",
IF(AND(SUM(U213:W213)&gt;0,SUM(U213:W213)&lt;&gt;1),"Error: Complexity % distribution should sum to 100%.",
IF(AND(P213=AS_DEV_EFFORT,X213&lt;&gt;0),"Error: PDs should not be defined when defining as dev effort %.",
IF(AND(P213=AS_DURATION_EFFORT,X213&lt;&gt;0),"Error: PDs should not be defined when defining as duration effort %.","")))))</f>
        <v>Error: Effort value is not defined or is invalid.</v>
      </c>
    </row>
    <row r="214" spans="1:30" ht="58" outlineLevel="2" x14ac:dyDescent="0.35">
      <c r="A214" s="86" t="s">
        <v>0</v>
      </c>
      <c r="B214" s="18"/>
      <c r="C214" s="78"/>
      <c r="D214" s="78"/>
      <c r="E214" s="78"/>
      <c r="F214" s="79"/>
      <c r="G214" s="19" t="s">
        <v>23</v>
      </c>
      <c r="H214" s="19" t="s">
        <v>23</v>
      </c>
      <c r="I214" s="20" t="s">
        <v>23</v>
      </c>
      <c r="J214" s="19" t="s">
        <v>23</v>
      </c>
      <c r="K214" s="35"/>
      <c r="L214" s="19"/>
      <c r="M214" s="263">
        <f ca="1">IFERROR(OFFSET(M214,-1,,1,1)+0.1,OFFSET(M214,-1,-1,1,1)&amp;".1")</f>
        <v>14.499999999999998</v>
      </c>
      <c r="N214" s="20" t="s">
        <v>438</v>
      </c>
      <c r="O214" s="20"/>
      <c r="P214" s="20"/>
      <c r="Q214" s="134"/>
      <c r="R214" s="127"/>
      <c r="S214" s="157">
        <f>CEILING((IF(J214="Yes", 0, IF(H214="-",AA214,AA214+AA214*VLOOKUP(H214,BUFFERS_BY_TYPE,2,FALSE)))) +
   (IF(J214="Yes", 0, IF(H214="-",AA214,AA214+AA214*VLOOKUP(H214,BUFFERS_BY_TYPE,2,FALSE))))*VLOOKUP($S$5, SALES_CALL_SCALE_ARRAY, 2,FALSE),0.25)</f>
        <v>0</v>
      </c>
      <c r="T214" s="158"/>
      <c r="U214" s="21">
        <v>0</v>
      </c>
      <c r="V214" s="21">
        <v>1</v>
      </c>
      <c r="W214" s="21">
        <v>0</v>
      </c>
      <c r="X214" s="156"/>
      <c r="Y214" s="157">
        <f>CEILING((IF(P214=AS_DEV_EFFORT, DEV_EFFORT*Q214%,
                           IF(P214=AS_DURATION_EFFORT, (MANUAL_DURATION*5)*Q214%,
                                    (IF(Q214&lt;=1,X214,
                                          IF(SUM(U214:W214)=0,(Q214*X214),
                                               (((Q214*U214)*(X214+(X214*EXTRA_FOR_H)))+
                                               ((Q214*V214)*X214)+
                                               ((Q214*W214)*(X214-(X214*LESS_FOR_L)))
                                    )*IF(R214=0,1,R214))))))+Z214), 0.25)</f>
        <v>0</v>
      </c>
      <c r="Z214" s="22"/>
      <c r="AA214" s="157">
        <f>Y214+Y214*VLOOKUP(I214,EXTRAS_ARRAY,2,FALSE)</f>
        <v>0</v>
      </c>
      <c r="AB214" s="20" t="s">
        <v>440</v>
      </c>
      <c r="AC214" s="34"/>
      <c r="AD214" s="23" t="str">
        <f>IF(J214&lt;&gt;"Yes",
IF(S214&lt;=0,"Error: Effort value is not defined or is invalid.",
IF(AND(SUM(U214:W214)&gt;0,SUM(U214:W214)&lt;&gt;1),"Error: Complexity % distribution should sum to 100%.",
IF(AND(P214=AS_DEV_EFFORT,X214&lt;&gt;0),"Error: PDs should not be defined when defining as dev effort %.",
IF(AND(P214=AS_DURATION_EFFORT,X214&lt;&gt;0),"Error: PDs should not be defined when defining as duration effort %.","")))))</f>
        <v>Error: Effort value is not defined or is invalid.</v>
      </c>
    </row>
    <row r="215" spans="1:30" ht="58" outlineLevel="2" x14ac:dyDescent="0.35">
      <c r="A215" s="86" t="s">
        <v>0</v>
      </c>
      <c r="B215" s="18"/>
      <c r="C215" s="78"/>
      <c r="D215" s="78"/>
      <c r="E215" s="78"/>
      <c r="F215" s="79"/>
      <c r="G215" s="19" t="s">
        <v>23</v>
      </c>
      <c r="H215" s="19" t="s">
        <v>23</v>
      </c>
      <c r="I215" s="20" t="s">
        <v>23</v>
      </c>
      <c r="J215" s="19" t="s">
        <v>23</v>
      </c>
      <c r="K215" s="35"/>
      <c r="L215" s="19"/>
      <c r="M215" s="263">
        <f ca="1">IFERROR(OFFSET(M215,-1,,1,1)+0.1,OFFSET(M215,-1,-1,1,1)&amp;".1")</f>
        <v>14.599999999999998</v>
      </c>
      <c r="N215" s="20" t="s">
        <v>438</v>
      </c>
      <c r="O215" s="20"/>
      <c r="P215" s="20"/>
      <c r="Q215" s="134"/>
      <c r="R215" s="127"/>
      <c r="S215" s="157">
        <f>CEILING((IF(J215="Yes", 0, IF(H215="-",AA215,AA215+AA215*VLOOKUP(H215,BUFFERS_BY_TYPE,2,FALSE)))) +
   (IF(J215="Yes", 0, IF(H215="-",AA215,AA215+AA215*VLOOKUP(H215,BUFFERS_BY_TYPE,2,FALSE))))*VLOOKUP($S$5, SALES_CALL_SCALE_ARRAY, 2,FALSE),0.25)</f>
        <v>0</v>
      </c>
      <c r="T215" s="158"/>
      <c r="U215" s="21">
        <v>0</v>
      </c>
      <c r="V215" s="21">
        <v>1</v>
      </c>
      <c r="W215" s="21">
        <v>0</v>
      </c>
      <c r="X215" s="156"/>
      <c r="Y215" s="157">
        <f>CEILING((IF(P215=AS_DEV_EFFORT, DEV_EFFORT*Q215%,
                           IF(P215=AS_DURATION_EFFORT, (MANUAL_DURATION*5)*Q215%,
                                    (IF(Q215&lt;=1,X215,
                                          IF(SUM(U215:W215)=0,(Q215*X215),
                                               (((Q215*U215)*(X215+(X215*EXTRA_FOR_H)))+
                                               ((Q215*V215)*X215)+
                                               ((Q215*W215)*(X215-(X215*LESS_FOR_L)))
                                    )*IF(R215=0,1,R215))))))+Z215), 0.25)</f>
        <v>0</v>
      </c>
      <c r="Z215" s="22"/>
      <c r="AA215" s="157">
        <f>Y215+Y215*VLOOKUP(I215,EXTRAS_ARRAY,2,FALSE)</f>
        <v>0</v>
      </c>
      <c r="AB215" s="20" t="s">
        <v>440</v>
      </c>
      <c r="AC215" s="34"/>
      <c r="AD215" s="23" t="str">
        <f>IF(J215&lt;&gt;"Yes",
IF(S215&lt;=0,"Error: Effort value is not defined or is invalid.",
IF(AND(SUM(U215:W215)&gt;0,SUM(U215:W215)&lt;&gt;1),"Error: Complexity % distribution should sum to 100%.",
IF(AND(P215=AS_DEV_EFFORT,X215&lt;&gt;0),"Error: PDs should not be defined when defining as dev effort %.",
IF(AND(P215=AS_DURATION_EFFORT,X215&lt;&gt;0),"Error: PDs should not be defined when defining as duration effort %.","")))))</f>
        <v>Error: Effort value is not defined or is invalid.</v>
      </c>
    </row>
    <row r="216" spans="1:30" s="9" customFormat="1" ht="7.5" customHeight="1" outlineLevel="2" x14ac:dyDescent="0.35">
      <c r="A216" s="86" t="s">
        <v>132</v>
      </c>
      <c r="B216" s="15"/>
      <c r="C216" s="72"/>
      <c r="D216" s="72"/>
      <c r="E216" s="72"/>
      <c r="F216" s="72"/>
      <c r="M216" s="252"/>
      <c r="T216" s="15"/>
      <c r="X216" s="15"/>
      <c r="AB216" s="10"/>
      <c r="AC216" s="10"/>
      <c r="AD216" s="10"/>
    </row>
    <row r="217" spans="1:30" s="14" customFormat="1" ht="15.5" outlineLevel="1" x14ac:dyDescent="0.35">
      <c r="A217" s="86" t="s">
        <v>107</v>
      </c>
      <c r="B217" s="18"/>
      <c r="C217" s="77"/>
      <c r="D217" s="77"/>
      <c r="E217" s="77"/>
      <c r="F217" s="76"/>
      <c r="G217" s="170"/>
      <c r="H217" s="170"/>
      <c r="I217" s="170"/>
      <c r="J217" s="170"/>
      <c r="K217" s="170"/>
      <c r="L217" s="85" t="s">
        <v>109</v>
      </c>
      <c r="M217" s="311" t="s">
        <v>881</v>
      </c>
      <c r="N217" s="311"/>
      <c r="O217" s="80"/>
      <c r="P217" s="81"/>
      <c r="Q217" s="81"/>
      <c r="R217" s="81"/>
      <c r="S217" s="307">
        <f>SUMGROUP(ROW(), "T")</f>
        <v>64</v>
      </c>
      <c r="T217" s="307"/>
      <c r="U217" s="308"/>
      <c r="V217" s="308"/>
      <c r="W217" s="308"/>
      <c r="X217" s="82"/>
      <c r="Y217" s="83"/>
      <c r="Z217" s="83"/>
      <c r="AA217" s="83"/>
      <c r="AB217" s="221"/>
      <c r="AC217" s="84"/>
      <c r="AD217" s="23" t="str">
        <f>IF(M217="", "Error: Module name cannot be empty.", "")</f>
        <v/>
      </c>
    </row>
    <row r="218" spans="1:30" s="14" customFormat="1" ht="15.5" outlineLevel="1" collapsed="1" x14ac:dyDescent="0.35">
      <c r="A218" s="86" t="s">
        <v>100</v>
      </c>
      <c r="B218" s="18"/>
      <c r="C218" s="77"/>
      <c r="D218" s="77"/>
      <c r="E218" s="77"/>
      <c r="F218" s="76"/>
      <c r="G218" s="29"/>
      <c r="H218" s="29"/>
      <c r="I218" s="29"/>
      <c r="J218" s="29"/>
      <c r="K218" s="29"/>
      <c r="L218" s="17">
        <f ca="1">LOOKUP(1000,INDIRECT("L1:"&amp;CELL("address",INDIRECT("R[-1]C",FALSE))))+1</f>
        <v>15</v>
      </c>
      <c r="M218" s="309" t="s">
        <v>1058</v>
      </c>
      <c r="N218" s="310"/>
      <c r="O218" s="5"/>
      <c r="P218" s="30"/>
      <c r="Q218" s="30"/>
      <c r="R218" s="30"/>
      <c r="S218" s="30"/>
      <c r="T218" s="155">
        <f>IF($S$6="Exclude", SUMIFS(S219:S226, J219:J226, "&lt;&gt;Yes", G219:G226, "&lt;&gt;Yes"), SUMIFS(S219:S226, J219:J226, "&lt;&gt;Yes"))</f>
        <v>28</v>
      </c>
      <c r="U218" s="30"/>
      <c r="V218" s="30"/>
      <c r="W218" s="30"/>
      <c r="X218" s="31"/>
      <c r="Y218" s="32"/>
      <c r="Z218" s="32"/>
      <c r="AA218" s="32"/>
      <c r="AB218" s="219" t="s">
        <v>951</v>
      </c>
      <c r="AC218" s="33"/>
      <c r="AD218" s="23" t="str">
        <f>IF(M218="", "Error: Task name cannot be empty.", "")</f>
        <v/>
      </c>
    </row>
    <row r="219" spans="1:30" s="12" customFormat="1" ht="1.5" hidden="1" customHeight="1" outlineLevel="2" x14ac:dyDescent="0.35">
      <c r="A219" s="86" t="s">
        <v>101</v>
      </c>
      <c r="B219" s="18"/>
      <c r="C219" s="77"/>
      <c r="D219" s="77"/>
      <c r="E219" s="77"/>
      <c r="F219" s="76"/>
      <c r="G219" s="29"/>
      <c r="H219" s="29"/>
      <c r="I219" s="29"/>
      <c r="J219" s="29"/>
      <c r="K219" s="29"/>
      <c r="L219" s="163">
        <f ca="1">L218</f>
        <v>15</v>
      </c>
      <c r="M219" s="164" t="s">
        <v>105</v>
      </c>
      <c r="N219" s="161"/>
      <c r="O219" s="162"/>
      <c r="P219" s="30"/>
      <c r="Q219" s="30"/>
      <c r="R219" s="30"/>
      <c r="S219" s="30"/>
      <c r="T219" s="155"/>
      <c r="U219" s="30"/>
      <c r="V219" s="30"/>
      <c r="W219" s="30"/>
      <c r="X219" s="31"/>
      <c r="Y219" s="32"/>
      <c r="Z219" s="32"/>
      <c r="AA219" s="32"/>
      <c r="AB219" s="33"/>
      <c r="AC219" s="33"/>
      <c r="AD219" s="23"/>
    </row>
    <row r="220" spans="1:30" ht="15.5" hidden="1" outlineLevel="2" x14ac:dyDescent="0.35">
      <c r="A220" s="86" t="s">
        <v>0</v>
      </c>
      <c r="B220" s="18"/>
      <c r="C220" s="78"/>
      <c r="D220" s="78"/>
      <c r="E220" s="78"/>
      <c r="F220" s="79"/>
      <c r="G220" s="19" t="s">
        <v>23</v>
      </c>
      <c r="H220" s="19" t="s">
        <v>23</v>
      </c>
      <c r="I220" s="20" t="s">
        <v>23</v>
      </c>
      <c r="J220" s="19" t="s">
        <v>23</v>
      </c>
      <c r="K220" s="35"/>
      <c r="L220" s="19"/>
      <c r="M220" s="263" t="str">
        <f t="shared" ref="M220:M225" ca="1" si="25">IFERROR(OFFSET(M220,-1,,1,1)+0.1,OFFSET(M220,-1,-1,1,1)&amp;".1")</f>
        <v>15.1</v>
      </c>
      <c r="N220" s="20" t="s">
        <v>1059</v>
      </c>
      <c r="O220" s="20"/>
      <c r="P220" s="20"/>
      <c r="Q220" s="134"/>
      <c r="R220" s="127"/>
      <c r="S220" s="157">
        <f t="shared" ref="S220:S225" si="26">CEILING((IF(J220="Yes", 0, IF(H220="-",AA220,AA220+AA220*VLOOKUP(H220,BUFFERS_BY_TYPE,2,FALSE)))) +
   (IF(J220="Yes", 0, IF(H220="-",AA220,AA220+AA220*VLOOKUP(H220,BUFFERS_BY_TYPE,2,FALSE))))*VLOOKUP($S$5, SALES_CALL_SCALE_ARRAY, 2,FALSE),0.25)</f>
        <v>5</v>
      </c>
      <c r="T220" s="158"/>
      <c r="U220" s="21">
        <v>0</v>
      </c>
      <c r="V220" s="21">
        <v>1</v>
      </c>
      <c r="W220" s="21">
        <v>0</v>
      </c>
      <c r="X220" s="156">
        <v>5</v>
      </c>
      <c r="Y220" s="157">
        <f t="shared" ref="Y220:Y225" si="27">CEILING((IF(P220=AS_DEV_EFFORT, DEV_EFFORT*Q220%,
                           IF(P220=AS_DURATION_EFFORT, (MANUAL_DURATION*5)*Q220%,
                                    (IF(Q220&lt;=1,X220,
                                          IF(SUM(U220:W220)=0,(Q220*X220),
                                               (((Q220*U220)*(X220+(X220*EXTRA_FOR_H)))+
                                               ((Q220*V220)*X220)+
                                               ((Q220*W220)*(X220-(X220*LESS_FOR_L)))
                                    )*IF(R220=0,1,R220))))))+Z220), 0.25)</f>
        <v>5</v>
      </c>
      <c r="Z220" s="22"/>
      <c r="AA220" s="157">
        <f t="shared" ref="AA220:AA225" si="28">Y220+Y220*VLOOKUP(I220,EXTRAS_ARRAY,2,FALSE)</f>
        <v>5</v>
      </c>
      <c r="AB220" s="20"/>
      <c r="AC220" s="34"/>
      <c r="AD220" s="23" t="str">
        <f t="shared" ref="AD220:AD225" si="29">IF(J220&lt;&gt;"Yes",
IF(S220&lt;=0,"Error: Effort value is not defined or is invalid.",
IF(AND(SUM(U220:W220)&gt;0,SUM(U220:W220)&lt;&gt;1),"Error: Complexity % distribution should sum to 100%.",
IF(AND(P220=AS_DEV_EFFORT,X220&lt;&gt;0),"Error: PDs should not be defined when defining as dev effort %.",
IF(AND(P220=AS_DURATION_EFFORT,X220&lt;&gt;0),"Error: PDs should not be defined when defining as duration effort %.","")))))</f>
        <v/>
      </c>
    </row>
    <row r="221" spans="1:30" ht="15.5" hidden="1" outlineLevel="2" x14ac:dyDescent="0.35">
      <c r="A221" s="86" t="s">
        <v>0</v>
      </c>
      <c r="B221" s="18"/>
      <c r="C221" s="78"/>
      <c r="D221" s="78"/>
      <c r="E221" s="78"/>
      <c r="F221" s="79"/>
      <c r="G221" s="19" t="s">
        <v>23</v>
      </c>
      <c r="H221" s="19" t="s">
        <v>23</v>
      </c>
      <c r="I221" s="20" t="s">
        <v>23</v>
      </c>
      <c r="J221" s="19" t="s">
        <v>23</v>
      </c>
      <c r="K221" s="35"/>
      <c r="L221" s="19"/>
      <c r="M221" s="263">
        <f t="shared" ca="1" si="25"/>
        <v>15.2</v>
      </c>
      <c r="N221" s="20" t="s">
        <v>1060</v>
      </c>
      <c r="O221" s="20"/>
      <c r="P221" s="20"/>
      <c r="Q221" s="134"/>
      <c r="R221" s="127"/>
      <c r="S221" s="157">
        <f t="shared" si="26"/>
        <v>5</v>
      </c>
      <c r="T221" s="158"/>
      <c r="U221" s="21">
        <v>0</v>
      </c>
      <c r="V221" s="21">
        <v>1</v>
      </c>
      <c r="W221" s="21">
        <v>0</v>
      </c>
      <c r="X221" s="156">
        <v>5</v>
      </c>
      <c r="Y221" s="157">
        <f t="shared" si="27"/>
        <v>5</v>
      </c>
      <c r="Z221" s="22"/>
      <c r="AA221" s="157">
        <f t="shared" si="28"/>
        <v>5</v>
      </c>
      <c r="AB221" s="20"/>
      <c r="AC221" s="34"/>
      <c r="AD221" s="23" t="str">
        <f t="shared" si="29"/>
        <v/>
      </c>
    </row>
    <row r="222" spans="1:30" ht="15.5" hidden="1" outlineLevel="2" x14ac:dyDescent="0.35">
      <c r="A222" s="86" t="s">
        <v>0</v>
      </c>
      <c r="B222" s="18"/>
      <c r="C222" s="78"/>
      <c r="D222" s="78"/>
      <c r="E222" s="78"/>
      <c r="F222" s="79"/>
      <c r="G222" s="19" t="s">
        <v>23</v>
      </c>
      <c r="H222" s="19" t="s">
        <v>23</v>
      </c>
      <c r="I222" s="20" t="s">
        <v>23</v>
      </c>
      <c r="J222" s="19" t="s">
        <v>23</v>
      </c>
      <c r="K222" s="35"/>
      <c r="L222" s="19"/>
      <c r="M222" s="263">
        <f t="shared" ca="1" si="25"/>
        <v>15.299999999999999</v>
      </c>
      <c r="N222" s="20" t="s">
        <v>1061</v>
      </c>
      <c r="O222" s="20"/>
      <c r="P222" s="20"/>
      <c r="Q222" s="134"/>
      <c r="R222" s="127"/>
      <c r="S222" s="157">
        <f t="shared" si="26"/>
        <v>4</v>
      </c>
      <c r="T222" s="158"/>
      <c r="U222" s="21">
        <v>0</v>
      </c>
      <c r="V222" s="21">
        <v>1</v>
      </c>
      <c r="W222" s="21">
        <v>0</v>
      </c>
      <c r="X222" s="156">
        <v>4</v>
      </c>
      <c r="Y222" s="157">
        <f t="shared" si="27"/>
        <v>4</v>
      </c>
      <c r="Z222" s="22"/>
      <c r="AA222" s="157">
        <f t="shared" si="28"/>
        <v>4</v>
      </c>
      <c r="AB222" s="20"/>
      <c r="AC222" s="34"/>
      <c r="AD222" s="23" t="str">
        <f t="shared" si="29"/>
        <v/>
      </c>
    </row>
    <row r="223" spans="1:30" ht="15.5" hidden="1" outlineLevel="2" x14ac:dyDescent="0.35">
      <c r="A223" s="86" t="s">
        <v>0</v>
      </c>
      <c r="B223" s="18"/>
      <c r="C223" s="78"/>
      <c r="D223" s="78"/>
      <c r="E223" s="78"/>
      <c r="F223" s="79"/>
      <c r="G223" s="19" t="s">
        <v>23</v>
      </c>
      <c r="H223" s="19" t="s">
        <v>23</v>
      </c>
      <c r="I223" s="20" t="s">
        <v>23</v>
      </c>
      <c r="J223" s="19" t="s">
        <v>23</v>
      </c>
      <c r="K223" s="35"/>
      <c r="L223" s="19"/>
      <c r="M223" s="263">
        <f t="shared" ca="1" si="25"/>
        <v>15.399999999999999</v>
      </c>
      <c r="N223" s="20" t="s">
        <v>1062</v>
      </c>
      <c r="O223" s="20"/>
      <c r="P223" s="20"/>
      <c r="Q223" s="134"/>
      <c r="R223" s="127"/>
      <c r="S223" s="157">
        <f t="shared" si="26"/>
        <v>5</v>
      </c>
      <c r="T223" s="158"/>
      <c r="U223" s="21">
        <v>0</v>
      </c>
      <c r="V223" s="21">
        <v>1</v>
      </c>
      <c r="W223" s="21">
        <v>0</v>
      </c>
      <c r="X223" s="156">
        <v>5</v>
      </c>
      <c r="Y223" s="157">
        <f t="shared" si="27"/>
        <v>5</v>
      </c>
      <c r="Z223" s="22"/>
      <c r="AA223" s="157">
        <f t="shared" si="28"/>
        <v>5</v>
      </c>
      <c r="AB223" s="20"/>
      <c r="AC223" s="34"/>
      <c r="AD223" s="23" t="str">
        <f t="shared" si="29"/>
        <v/>
      </c>
    </row>
    <row r="224" spans="1:30" ht="15.5" hidden="1" outlineLevel="2" x14ac:dyDescent="0.35">
      <c r="A224" s="86" t="s">
        <v>0</v>
      </c>
      <c r="B224" s="18"/>
      <c r="C224" s="78"/>
      <c r="D224" s="78"/>
      <c r="E224" s="78"/>
      <c r="F224" s="79"/>
      <c r="G224" s="19" t="s">
        <v>23</v>
      </c>
      <c r="H224" s="19" t="s">
        <v>23</v>
      </c>
      <c r="I224" s="20" t="s">
        <v>23</v>
      </c>
      <c r="J224" s="19" t="s">
        <v>23</v>
      </c>
      <c r="K224" s="35"/>
      <c r="L224" s="19"/>
      <c r="M224" s="263">
        <f t="shared" ca="1" si="25"/>
        <v>15.499999999999998</v>
      </c>
      <c r="N224" s="20" t="s">
        <v>1063</v>
      </c>
      <c r="O224" s="20"/>
      <c r="P224" s="20"/>
      <c r="Q224" s="134"/>
      <c r="R224" s="127"/>
      <c r="S224" s="157">
        <f t="shared" si="26"/>
        <v>4.5</v>
      </c>
      <c r="T224" s="158"/>
      <c r="U224" s="21">
        <v>0</v>
      </c>
      <c r="V224" s="21">
        <v>1</v>
      </c>
      <c r="W224" s="21">
        <v>0</v>
      </c>
      <c r="X224" s="156">
        <v>4.5</v>
      </c>
      <c r="Y224" s="157">
        <f t="shared" si="27"/>
        <v>4.5</v>
      </c>
      <c r="Z224" s="22"/>
      <c r="AA224" s="157">
        <f t="shared" si="28"/>
        <v>4.5</v>
      </c>
      <c r="AB224" s="20"/>
      <c r="AC224" s="34"/>
      <c r="AD224" s="23" t="str">
        <f t="shared" si="29"/>
        <v/>
      </c>
    </row>
    <row r="225" spans="1:30" ht="15.5" hidden="1" outlineLevel="2" x14ac:dyDescent="0.35">
      <c r="A225" s="86" t="s">
        <v>0</v>
      </c>
      <c r="B225" s="18"/>
      <c r="C225" s="78"/>
      <c r="D225" s="78"/>
      <c r="E225" s="78"/>
      <c r="F225" s="79"/>
      <c r="G225" s="19" t="s">
        <v>23</v>
      </c>
      <c r="H225" s="19" t="s">
        <v>23</v>
      </c>
      <c r="I225" s="20" t="s">
        <v>23</v>
      </c>
      <c r="J225" s="19" t="s">
        <v>23</v>
      </c>
      <c r="K225" s="35"/>
      <c r="L225" s="19"/>
      <c r="M225" s="263">
        <f t="shared" ca="1" si="25"/>
        <v>15.599999999999998</v>
      </c>
      <c r="N225" s="20" t="s">
        <v>1064</v>
      </c>
      <c r="O225" s="20"/>
      <c r="P225" s="20"/>
      <c r="Q225" s="134"/>
      <c r="R225" s="127"/>
      <c r="S225" s="157">
        <f t="shared" si="26"/>
        <v>4.5</v>
      </c>
      <c r="T225" s="158"/>
      <c r="U225" s="21">
        <v>0</v>
      </c>
      <c r="V225" s="21">
        <v>1</v>
      </c>
      <c r="W225" s="21">
        <v>0</v>
      </c>
      <c r="X225" s="156">
        <v>4.5</v>
      </c>
      <c r="Y225" s="157">
        <f t="shared" si="27"/>
        <v>4.5</v>
      </c>
      <c r="Z225" s="22"/>
      <c r="AA225" s="157">
        <f t="shared" si="28"/>
        <v>4.5</v>
      </c>
      <c r="AB225" s="20"/>
      <c r="AC225" s="34"/>
      <c r="AD225" s="23" t="str">
        <f t="shared" si="29"/>
        <v/>
      </c>
    </row>
    <row r="226" spans="1:30" s="9" customFormat="1" ht="7.5" hidden="1" customHeight="1" outlineLevel="2" x14ac:dyDescent="0.35">
      <c r="A226" s="86" t="s">
        <v>132</v>
      </c>
      <c r="B226" s="15"/>
      <c r="C226" s="72"/>
      <c r="D226" s="72"/>
      <c r="E226" s="72"/>
      <c r="F226" s="72"/>
      <c r="M226" s="252"/>
      <c r="T226" s="15"/>
      <c r="X226" s="15"/>
      <c r="AB226" s="10"/>
      <c r="AC226" s="10"/>
      <c r="AD226" s="10"/>
    </row>
    <row r="227" spans="1:30" s="14" customFormat="1" ht="15.5" outlineLevel="1" collapsed="1" x14ac:dyDescent="0.35">
      <c r="A227" s="86" t="s">
        <v>100</v>
      </c>
      <c r="B227" s="18"/>
      <c r="C227" s="77"/>
      <c r="D227" s="77"/>
      <c r="E227" s="77"/>
      <c r="F227" s="76"/>
      <c r="G227" s="29"/>
      <c r="H227" s="29"/>
      <c r="I227" s="29"/>
      <c r="J227" s="29"/>
      <c r="K227" s="29"/>
      <c r="L227" s="17">
        <f ca="1">LOOKUP(1000,INDIRECT("L1:"&amp;CELL("address",INDIRECT("R[-1]C",FALSE))))+1</f>
        <v>16</v>
      </c>
      <c r="M227" s="309" t="s">
        <v>1065</v>
      </c>
      <c r="N227" s="310"/>
      <c r="O227" s="5"/>
      <c r="P227" s="30"/>
      <c r="Q227" s="30"/>
      <c r="R227" s="30"/>
      <c r="S227" s="30"/>
      <c r="T227" s="155">
        <f>IF($S$6="Exclude", SUMIFS(S228:S235, J228:J235, "&lt;&gt;Yes", G228:G235, "&lt;&gt;Yes"), SUMIFS(S228:S235, J228:J235, "&lt;&gt;Yes"))</f>
        <v>22</v>
      </c>
      <c r="U227" s="30"/>
      <c r="V227" s="30"/>
      <c r="W227" s="30"/>
      <c r="X227" s="31"/>
      <c r="Y227" s="32"/>
      <c r="Z227" s="32"/>
      <c r="AA227" s="32"/>
      <c r="AB227" s="219" t="s">
        <v>1066</v>
      </c>
      <c r="AC227" s="33"/>
      <c r="AD227" s="23" t="str">
        <f>IF(M227="", "Error: Task name cannot be empty.", "")</f>
        <v/>
      </c>
    </row>
    <row r="228" spans="1:30" s="12" customFormat="1" ht="1.5" hidden="1" customHeight="1" outlineLevel="2" x14ac:dyDescent="0.35">
      <c r="A228" s="86" t="s">
        <v>101</v>
      </c>
      <c r="B228" s="18"/>
      <c r="C228" s="77"/>
      <c r="D228" s="77"/>
      <c r="E228" s="77"/>
      <c r="F228" s="76"/>
      <c r="G228" s="29"/>
      <c r="H228" s="29"/>
      <c r="I228" s="29"/>
      <c r="J228" s="29"/>
      <c r="K228" s="29"/>
      <c r="L228" s="163">
        <f ca="1">L227</f>
        <v>16</v>
      </c>
      <c r="M228" s="164" t="s">
        <v>105</v>
      </c>
      <c r="N228" s="161"/>
      <c r="O228" s="162"/>
      <c r="P228" s="30"/>
      <c r="Q228" s="30"/>
      <c r="R228" s="30"/>
      <c r="S228" s="30"/>
      <c r="T228" s="155"/>
      <c r="U228" s="30"/>
      <c r="V228" s="30"/>
      <c r="W228" s="30"/>
      <c r="X228" s="31"/>
      <c r="Y228" s="32"/>
      <c r="Z228" s="32"/>
      <c r="AA228" s="32"/>
      <c r="AB228" s="33"/>
      <c r="AC228" s="33"/>
      <c r="AD228" s="23"/>
    </row>
    <row r="229" spans="1:30" ht="15.5" hidden="1" outlineLevel="2" x14ac:dyDescent="0.35">
      <c r="A229" s="86" t="s">
        <v>0</v>
      </c>
      <c r="B229" s="18"/>
      <c r="C229" s="78"/>
      <c r="D229" s="78"/>
      <c r="E229" s="78"/>
      <c r="F229" s="79"/>
      <c r="G229" s="19" t="s">
        <v>23</v>
      </c>
      <c r="H229" s="19" t="s">
        <v>23</v>
      </c>
      <c r="I229" s="20" t="s">
        <v>23</v>
      </c>
      <c r="J229" s="19" t="s">
        <v>23</v>
      </c>
      <c r="K229" s="35"/>
      <c r="L229" s="19"/>
      <c r="M229" s="263" t="str">
        <f t="shared" ref="M229:M234" ca="1" si="30">IFERROR(OFFSET(M229,-1,,1,1)+0.1,OFFSET(M229,-1,-1,1,1)&amp;".1")</f>
        <v>16.1</v>
      </c>
      <c r="N229" s="20" t="s">
        <v>1067</v>
      </c>
      <c r="O229" s="20"/>
      <c r="P229" s="20"/>
      <c r="Q229" s="134"/>
      <c r="R229" s="127"/>
      <c r="S229" s="157">
        <f t="shared" ref="S229:S234" si="31">CEILING((IF(J229="Yes", 0, IF(H229="-",AA229,AA229+AA229*VLOOKUP(H229,BUFFERS_BY_TYPE,2,FALSE)))) +
   (IF(J229="Yes", 0, IF(H229="-",AA229,AA229+AA229*VLOOKUP(H229,BUFFERS_BY_TYPE,2,FALSE))))*VLOOKUP($S$5, SALES_CALL_SCALE_ARRAY, 2,FALSE),0.25)</f>
        <v>4</v>
      </c>
      <c r="T229" s="158"/>
      <c r="U229" s="21">
        <v>0</v>
      </c>
      <c r="V229" s="21">
        <v>1</v>
      </c>
      <c r="W229" s="21">
        <v>0</v>
      </c>
      <c r="X229" s="156">
        <v>4</v>
      </c>
      <c r="Y229" s="157">
        <f t="shared" ref="Y229:Y234" si="32">CEILING((IF(P229=AS_DEV_EFFORT, DEV_EFFORT*Q229%,
                           IF(P229=AS_DURATION_EFFORT, (MANUAL_DURATION*5)*Q229%,
                                    (IF(Q229&lt;=1,X229,
                                          IF(SUM(U229:W229)=0,(Q229*X229),
                                               (((Q229*U229)*(X229+(X229*EXTRA_FOR_H)))+
                                               ((Q229*V229)*X229)+
                                               ((Q229*W229)*(X229-(X229*LESS_FOR_L)))
                                    )*IF(R229=0,1,R229))))))+Z229), 0.25)</f>
        <v>4</v>
      </c>
      <c r="Z229" s="22"/>
      <c r="AA229" s="157">
        <f t="shared" ref="AA229:AA234" si="33">Y229+Y229*VLOOKUP(I229,EXTRAS_ARRAY,2,FALSE)</f>
        <v>4</v>
      </c>
      <c r="AB229" s="20"/>
      <c r="AC229" s="34"/>
      <c r="AD229" s="23" t="str">
        <f t="shared" ref="AD229:AD234" si="34">IF(J229&lt;&gt;"Yes",
IF(S229&lt;=0,"Error: Effort value is not defined or is invalid.",
IF(AND(SUM(U229:W229)&gt;0,SUM(U229:W229)&lt;&gt;1),"Error: Complexity % distribution should sum to 100%.",
IF(AND(P229=AS_DEV_EFFORT,X229&lt;&gt;0),"Error: PDs should not be defined when defining as dev effort %.",
IF(AND(P229=AS_DURATION_EFFORT,X229&lt;&gt;0),"Error: PDs should not be defined when defining as duration effort %.","")))))</f>
        <v/>
      </c>
    </row>
    <row r="230" spans="1:30" ht="15.5" hidden="1" outlineLevel="2" x14ac:dyDescent="0.35">
      <c r="A230" s="86" t="s">
        <v>0</v>
      </c>
      <c r="B230" s="18"/>
      <c r="C230" s="78"/>
      <c r="D230" s="78"/>
      <c r="E230" s="78"/>
      <c r="F230" s="79"/>
      <c r="G230" s="19" t="s">
        <v>23</v>
      </c>
      <c r="H230" s="19" t="s">
        <v>23</v>
      </c>
      <c r="I230" s="20" t="s">
        <v>23</v>
      </c>
      <c r="J230" s="19" t="s">
        <v>23</v>
      </c>
      <c r="K230" s="35"/>
      <c r="L230" s="19"/>
      <c r="M230" s="263">
        <f t="shared" ca="1" si="30"/>
        <v>16.200000000000003</v>
      </c>
      <c r="N230" s="20" t="s">
        <v>1068</v>
      </c>
      <c r="O230" s="20"/>
      <c r="P230" s="20"/>
      <c r="Q230" s="134"/>
      <c r="R230" s="127"/>
      <c r="S230" s="157">
        <f t="shared" si="31"/>
        <v>5</v>
      </c>
      <c r="T230" s="158"/>
      <c r="U230" s="21">
        <v>0</v>
      </c>
      <c r="V230" s="21">
        <v>1</v>
      </c>
      <c r="W230" s="21">
        <v>0</v>
      </c>
      <c r="X230" s="156">
        <v>5</v>
      </c>
      <c r="Y230" s="157">
        <f t="shared" si="32"/>
        <v>5</v>
      </c>
      <c r="Z230" s="22"/>
      <c r="AA230" s="157">
        <f t="shared" si="33"/>
        <v>5</v>
      </c>
      <c r="AB230" s="20"/>
      <c r="AC230" s="34"/>
      <c r="AD230" s="23" t="str">
        <f t="shared" si="34"/>
        <v/>
      </c>
    </row>
    <row r="231" spans="1:30" ht="15.5" hidden="1" outlineLevel="2" x14ac:dyDescent="0.35">
      <c r="A231" s="86" t="s">
        <v>0</v>
      </c>
      <c r="B231" s="18"/>
      <c r="C231" s="78"/>
      <c r="D231" s="78"/>
      <c r="E231" s="78"/>
      <c r="F231" s="79"/>
      <c r="G231" s="19" t="s">
        <v>23</v>
      </c>
      <c r="H231" s="19" t="s">
        <v>23</v>
      </c>
      <c r="I231" s="20" t="s">
        <v>23</v>
      </c>
      <c r="J231" s="19" t="s">
        <v>23</v>
      </c>
      <c r="K231" s="35"/>
      <c r="L231" s="19"/>
      <c r="M231" s="263">
        <f t="shared" ca="1" si="30"/>
        <v>16.300000000000004</v>
      </c>
      <c r="N231" s="20" t="s">
        <v>1069</v>
      </c>
      <c r="O231" s="20"/>
      <c r="P231" s="20"/>
      <c r="Q231" s="134"/>
      <c r="R231" s="127"/>
      <c r="S231" s="157">
        <f t="shared" si="31"/>
        <v>4.5</v>
      </c>
      <c r="T231" s="158"/>
      <c r="U231" s="21">
        <v>0</v>
      </c>
      <c r="V231" s="21">
        <v>1</v>
      </c>
      <c r="W231" s="21">
        <v>0</v>
      </c>
      <c r="X231" s="156">
        <v>4.5</v>
      </c>
      <c r="Y231" s="157">
        <f t="shared" si="32"/>
        <v>4.5</v>
      </c>
      <c r="Z231" s="22"/>
      <c r="AA231" s="157">
        <f t="shared" si="33"/>
        <v>4.5</v>
      </c>
      <c r="AB231" s="20"/>
      <c r="AC231" s="34"/>
      <c r="AD231" s="23" t="str">
        <f t="shared" si="34"/>
        <v/>
      </c>
    </row>
    <row r="232" spans="1:30" ht="15.5" hidden="1" outlineLevel="2" x14ac:dyDescent="0.35">
      <c r="A232" s="86" t="s">
        <v>0</v>
      </c>
      <c r="B232" s="18"/>
      <c r="C232" s="78"/>
      <c r="D232" s="78"/>
      <c r="E232" s="78"/>
      <c r="F232" s="79"/>
      <c r="G232" s="19" t="s">
        <v>23</v>
      </c>
      <c r="H232" s="19" t="s">
        <v>23</v>
      </c>
      <c r="I232" s="20" t="s">
        <v>23</v>
      </c>
      <c r="J232" s="19" t="s">
        <v>23</v>
      </c>
      <c r="K232" s="35"/>
      <c r="L232" s="19"/>
      <c r="M232" s="263">
        <f t="shared" ca="1" si="30"/>
        <v>16.400000000000006</v>
      </c>
      <c r="N232" s="20" t="s">
        <v>1070</v>
      </c>
      <c r="O232" s="20"/>
      <c r="P232" s="20"/>
      <c r="Q232" s="134"/>
      <c r="R232" s="127"/>
      <c r="S232" s="157">
        <f t="shared" si="31"/>
        <v>4.5</v>
      </c>
      <c r="T232" s="158"/>
      <c r="U232" s="21">
        <v>0</v>
      </c>
      <c r="V232" s="21">
        <v>1</v>
      </c>
      <c r="W232" s="21">
        <v>0</v>
      </c>
      <c r="X232" s="156">
        <v>4.5</v>
      </c>
      <c r="Y232" s="157">
        <f t="shared" si="32"/>
        <v>4.5</v>
      </c>
      <c r="Z232" s="22"/>
      <c r="AA232" s="157">
        <f t="shared" si="33"/>
        <v>4.5</v>
      </c>
      <c r="AB232" s="20"/>
      <c r="AC232" s="34"/>
      <c r="AD232" s="23" t="str">
        <f t="shared" si="34"/>
        <v/>
      </c>
    </row>
    <row r="233" spans="1:30" ht="15.5" hidden="1" outlineLevel="2" x14ac:dyDescent="0.35">
      <c r="A233" s="86" t="s">
        <v>0</v>
      </c>
      <c r="B233" s="18"/>
      <c r="C233" s="78"/>
      <c r="D233" s="78"/>
      <c r="E233" s="78"/>
      <c r="F233" s="79"/>
      <c r="G233" s="19" t="s">
        <v>23</v>
      </c>
      <c r="H233" s="19" t="s">
        <v>23</v>
      </c>
      <c r="I233" s="20" t="s">
        <v>23</v>
      </c>
      <c r="J233" s="19" t="s">
        <v>23</v>
      </c>
      <c r="K233" s="35"/>
      <c r="L233" s="19"/>
      <c r="M233" s="263">
        <f t="shared" ca="1" si="30"/>
        <v>16.500000000000007</v>
      </c>
      <c r="N233" s="20" t="s">
        <v>1071</v>
      </c>
      <c r="O233" s="20"/>
      <c r="P233" s="20"/>
      <c r="Q233" s="134"/>
      <c r="R233" s="127"/>
      <c r="S233" s="157">
        <f t="shared" si="31"/>
        <v>2.5</v>
      </c>
      <c r="T233" s="158"/>
      <c r="U233" s="21">
        <v>0</v>
      </c>
      <c r="V233" s="21">
        <v>1</v>
      </c>
      <c r="W233" s="21">
        <v>0</v>
      </c>
      <c r="X233" s="156">
        <v>2.5</v>
      </c>
      <c r="Y233" s="157">
        <f t="shared" si="32"/>
        <v>2.5</v>
      </c>
      <c r="Z233" s="22"/>
      <c r="AA233" s="157">
        <f t="shared" si="33"/>
        <v>2.5</v>
      </c>
      <c r="AB233" s="20"/>
      <c r="AC233" s="34"/>
      <c r="AD233" s="23" t="str">
        <f t="shared" si="34"/>
        <v/>
      </c>
    </row>
    <row r="234" spans="1:30" ht="15.5" hidden="1" outlineLevel="2" x14ac:dyDescent="0.35">
      <c r="A234" s="86" t="s">
        <v>0</v>
      </c>
      <c r="B234" s="18"/>
      <c r="C234" s="78"/>
      <c r="D234" s="78"/>
      <c r="E234" s="78"/>
      <c r="F234" s="79"/>
      <c r="G234" s="19" t="s">
        <v>23</v>
      </c>
      <c r="H234" s="19" t="s">
        <v>23</v>
      </c>
      <c r="I234" s="20" t="s">
        <v>23</v>
      </c>
      <c r="J234" s="19" t="s">
        <v>23</v>
      </c>
      <c r="K234" s="35"/>
      <c r="L234" s="19"/>
      <c r="M234" s="263">
        <f t="shared" ca="1" si="30"/>
        <v>16.600000000000009</v>
      </c>
      <c r="N234" s="20" t="s">
        <v>1072</v>
      </c>
      <c r="O234" s="20"/>
      <c r="P234" s="20"/>
      <c r="Q234" s="134"/>
      <c r="R234" s="127"/>
      <c r="S234" s="157">
        <f t="shared" si="31"/>
        <v>1.5</v>
      </c>
      <c r="T234" s="158"/>
      <c r="U234" s="21">
        <v>0</v>
      </c>
      <c r="V234" s="21">
        <v>1</v>
      </c>
      <c r="W234" s="21">
        <v>0</v>
      </c>
      <c r="X234" s="156">
        <v>1.5</v>
      </c>
      <c r="Y234" s="157">
        <f t="shared" si="32"/>
        <v>1.5</v>
      </c>
      <c r="Z234" s="22"/>
      <c r="AA234" s="157">
        <f t="shared" si="33"/>
        <v>1.5</v>
      </c>
      <c r="AB234" s="20"/>
      <c r="AC234" s="34"/>
      <c r="AD234" s="23" t="str">
        <f t="shared" si="34"/>
        <v/>
      </c>
    </row>
    <row r="235" spans="1:30" s="9" customFormat="1" ht="7.5" hidden="1" customHeight="1" outlineLevel="2" x14ac:dyDescent="0.35">
      <c r="A235" s="86" t="s">
        <v>132</v>
      </c>
      <c r="B235" s="15"/>
      <c r="C235" s="72"/>
      <c r="D235" s="72"/>
      <c r="E235" s="72"/>
      <c r="F235" s="72"/>
      <c r="M235" s="252"/>
      <c r="T235" s="15"/>
      <c r="X235" s="15"/>
      <c r="AB235" s="10"/>
      <c r="AC235" s="10"/>
      <c r="AD235" s="10"/>
    </row>
    <row r="236" spans="1:30" s="14" customFormat="1" ht="29" outlineLevel="1" x14ac:dyDescent="0.35">
      <c r="A236" s="86" t="s">
        <v>100</v>
      </c>
      <c r="B236" s="18"/>
      <c r="C236" s="77"/>
      <c r="D236" s="77"/>
      <c r="E236" s="77"/>
      <c r="F236" s="76"/>
      <c r="G236" s="29"/>
      <c r="H236" s="29"/>
      <c r="I236" s="29"/>
      <c r="J236" s="29"/>
      <c r="K236" s="29"/>
      <c r="L236" s="17">
        <f ca="1">LOOKUP(1000,INDIRECT("L1:"&amp;CELL("address",INDIRECT("R[-1]C",FALSE))))+1</f>
        <v>17</v>
      </c>
      <c r="M236" s="309" t="s">
        <v>1073</v>
      </c>
      <c r="N236" s="310"/>
      <c r="O236" s="5"/>
      <c r="P236" s="30"/>
      <c r="Q236" s="30"/>
      <c r="R236" s="30"/>
      <c r="S236" s="30"/>
      <c r="T236" s="155">
        <f>IF($S$6="Exclude", SUMIFS(S237:S243, J237:J243, "&lt;&gt;Yes", G237:G243, "&lt;&gt;Yes"), SUMIFS(S237:S243, J237:J243, "&lt;&gt;Yes"))</f>
        <v>14</v>
      </c>
      <c r="U236" s="30"/>
      <c r="V236" s="30"/>
      <c r="W236" s="30"/>
      <c r="X236" s="31"/>
      <c r="Y236" s="32"/>
      <c r="Z236" s="32"/>
      <c r="AA236" s="32"/>
      <c r="AB236" s="219" t="s">
        <v>1074</v>
      </c>
      <c r="AC236" s="33"/>
      <c r="AD236" s="23" t="str">
        <f>IF(M236="", "Error: Task name cannot be empty.", "")</f>
        <v/>
      </c>
    </row>
    <row r="237" spans="1:30" s="12" customFormat="1" ht="1.5" customHeight="1" outlineLevel="2" x14ac:dyDescent="0.35">
      <c r="A237" s="86" t="s">
        <v>101</v>
      </c>
      <c r="B237" s="18"/>
      <c r="C237" s="77"/>
      <c r="D237" s="77"/>
      <c r="E237" s="77"/>
      <c r="F237" s="76"/>
      <c r="G237" s="29"/>
      <c r="H237" s="29"/>
      <c r="I237" s="29"/>
      <c r="J237" s="29"/>
      <c r="K237" s="29"/>
      <c r="L237" s="163">
        <f ca="1">L236</f>
        <v>17</v>
      </c>
      <c r="M237" s="164" t="s">
        <v>105</v>
      </c>
      <c r="N237" s="161"/>
      <c r="O237" s="162"/>
      <c r="P237" s="30"/>
      <c r="Q237" s="30"/>
      <c r="R237" s="30"/>
      <c r="S237" s="30"/>
      <c r="T237" s="155"/>
      <c r="U237" s="30"/>
      <c r="V237" s="30"/>
      <c r="W237" s="30"/>
      <c r="X237" s="31"/>
      <c r="Y237" s="32"/>
      <c r="Z237" s="32"/>
      <c r="AA237" s="32"/>
      <c r="AB237" s="33"/>
      <c r="AC237" s="33"/>
      <c r="AD237" s="23"/>
    </row>
    <row r="238" spans="1:30" ht="15.5" outlineLevel="2" x14ac:dyDescent="0.35">
      <c r="A238" s="86" t="s">
        <v>0</v>
      </c>
      <c r="B238" s="18"/>
      <c r="C238" s="78"/>
      <c r="D238" s="78"/>
      <c r="E238" s="78"/>
      <c r="F238" s="79"/>
      <c r="G238" s="19" t="s">
        <v>23</v>
      </c>
      <c r="H238" s="19" t="s">
        <v>23</v>
      </c>
      <c r="I238" s="20" t="s">
        <v>23</v>
      </c>
      <c r="J238" s="19" t="s">
        <v>23</v>
      </c>
      <c r="K238" s="35"/>
      <c r="L238" s="19"/>
      <c r="M238" s="263" t="str">
        <f ca="1">IFERROR(OFFSET(M238,-1,,1,1)+0.1,OFFSET(M238,-1,-1,1,1)&amp;".1")</f>
        <v>17.1</v>
      </c>
      <c r="N238" s="20" t="s">
        <v>1075</v>
      </c>
      <c r="O238" s="20"/>
      <c r="P238" s="20"/>
      <c r="Q238" s="134"/>
      <c r="R238" s="127"/>
      <c r="S238" s="157">
        <f>CEILING((IF(J238="Yes", 0, IF(H238="-",AA238,AA238+AA238*VLOOKUP(H238,BUFFERS_BY_TYPE,2,FALSE)))) +
   (IF(J238="Yes", 0, IF(H238="-",AA238,AA238+AA238*VLOOKUP(H238,BUFFERS_BY_TYPE,2,FALSE))))*VLOOKUP($S$5, SALES_CALL_SCALE_ARRAY, 2,FALSE),0.25)</f>
        <v>4</v>
      </c>
      <c r="T238" s="158"/>
      <c r="U238" s="21">
        <v>0</v>
      </c>
      <c r="V238" s="21">
        <v>1</v>
      </c>
      <c r="W238" s="21">
        <v>0</v>
      </c>
      <c r="X238" s="156">
        <v>4</v>
      </c>
      <c r="Y238" s="157">
        <f>CEILING((IF(P238=AS_DEV_EFFORT, DEV_EFFORT*Q238%,
                           IF(P238=AS_DURATION_EFFORT, (MANUAL_DURATION*5)*Q238%,
                                    (IF(Q238&lt;=1,X238,
                                          IF(SUM(U238:W238)=0,(Q238*X238),
                                               (((Q238*U238)*(X238+(X238*EXTRA_FOR_H)))+
                                               ((Q238*V238)*X238)+
                                               ((Q238*W238)*(X238-(X238*LESS_FOR_L)))
                                    )*IF(R238=0,1,R238))))))+Z238), 0.25)</f>
        <v>4</v>
      </c>
      <c r="Z238" s="22"/>
      <c r="AA238" s="157">
        <f>Y238+Y238*VLOOKUP(I238,EXTRAS_ARRAY,2,FALSE)</f>
        <v>4</v>
      </c>
      <c r="AB238" s="20"/>
      <c r="AC238" s="34"/>
      <c r="AD238" s="23" t="str">
        <f>IF(J238&lt;&gt;"Yes",
IF(S238&lt;=0,"Error: Effort value is not defined or is invalid.",
IF(AND(SUM(U238:W238)&gt;0,SUM(U238:W238)&lt;&gt;1),"Error: Complexity % distribution should sum to 100%.",
IF(AND(P238=AS_DEV_EFFORT,X238&lt;&gt;0),"Error: PDs should not be defined when defining as dev effort %.",
IF(AND(P238=AS_DURATION_EFFORT,X238&lt;&gt;0),"Error: PDs should not be defined when defining as duration effort %.","")))))</f>
        <v/>
      </c>
    </row>
    <row r="239" spans="1:30" ht="15.5" outlineLevel="2" x14ac:dyDescent="0.35">
      <c r="A239" s="86" t="s">
        <v>0</v>
      </c>
      <c r="B239" s="18"/>
      <c r="C239" s="78"/>
      <c r="D239" s="78"/>
      <c r="E239" s="78"/>
      <c r="F239" s="79"/>
      <c r="G239" s="19" t="s">
        <v>23</v>
      </c>
      <c r="H239" s="19" t="s">
        <v>23</v>
      </c>
      <c r="I239" s="20" t="s">
        <v>23</v>
      </c>
      <c r="J239" s="19" t="s">
        <v>23</v>
      </c>
      <c r="K239" s="35"/>
      <c r="L239" s="19"/>
      <c r="M239" s="263">
        <f ca="1">IFERROR(OFFSET(M239,-1,,1,1)+0.1,OFFSET(M239,-1,-1,1,1)&amp;".1")</f>
        <v>17.200000000000003</v>
      </c>
      <c r="N239" s="20" t="s">
        <v>1076</v>
      </c>
      <c r="O239" s="20"/>
      <c r="P239" s="20"/>
      <c r="Q239" s="134"/>
      <c r="R239" s="127"/>
      <c r="S239" s="157">
        <f>CEILING((IF(J239="Yes", 0, IF(H239="-",AA239,AA239+AA239*VLOOKUP(H239,BUFFERS_BY_TYPE,2,FALSE)))) +
   (IF(J239="Yes", 0, IF(H239="-",AA239,AA239+AA239*VLOOKUP(H239,BUFFERS_BY_TYPE,2,FALSE))))*VLOOKUP($S$5, SALES_CALL_SCALE_ARRAY, 2,FALSE),0.25)</f>
        <v>4</v>
      </c>
      <c r="T239" s="158"/>
      <c r="U239" s="21">
        <v>0</v>
      </c>
      <c r="V239" s="21">
        <v>1</v>
      </c>
      <c r="W239" s="21">
        <v>0</v>
      </c>
      <c r="X239" s="156">
        <v>4</v>
      </c>
      <c r="Y239" s="157">
        <f>CEILING((IF(P239=AS_DEV_EFFORT, DEV_EFFORT*Q239%,
                           IF(P239=AS_DURATION_EFFORT, (MANUAL_DURATION*5)*Q239%,
                                    (IF(Q239&lt;=1,X239,
                                          IF(SUM(U239:W239)=0,(Q239*X239),
                                               (((Q239*U239)*(X239+(X239*EXTRA_FOR_H)))+
                                               ((Q239*V239)*X239)+
                                               ((Q239*W239)*(X239-(X239*LESS_FOR_L)))
                                    )*IF(R239=0,1,R239))))))+Z239), 0.25)</f>
        <v>4</v>
      </c>
      <c r="Z239" s="22"/>
      <c r="AA239" s="157">
        <f>Y239+Y239*VLOOKUP(I239,EXTRAS_ARRAY,2,FALSE)</f>
        <v>4</v>
      </c>
      <c r="AB239" s="20"/>
      <c r="AC239" s="34"/>
      <c r="AD239" s="23" t="str">
        <f>IF(J239&lt;&gt;"Yes",
IF(S239&lt;=0,"Error: Effort value is not defined or is invalid.",
IF(AND(SUM(U239:W239)&gt;0,SUM(U239:W239)&lt;&gt;1),"Error: Complexity % distribution should sum to 100%.",
IF(AND(P239=AS_DEV_EFFORT,X239&lt;&gt;0),"Error: PDs should not be defined when defining as dev effort %.",
IF(AND(P239=AS_DURATION_EFFORT,X239&lt;&gt;0),"Error: PDs should not be defined when defining as duration effort %.","")))))</f>
        <v/>
      </c>
    </row>
    <row r="240" spans="1:30" ht="15.5" outlineLevel="2" x14ac:dyDescent="0.35">
      <c r="A240" s="86" t="s">
        <v>0</v>
      </c>
      <c r="B240" s="18"/>
      <c r="C240" s="78"/>
      <c r="D240" s="78"/>
      <c r="E240" s="78"/>
      <c r="F240" s="79"/>
      <c r="G240" s="19" t="s">
        <v>23</v>
      </c>
      <c r="H240" s="19" t="s">
        <v>23</v>
      </c>
      <c r="I240" s="20" t="s">
        <v>23</v>
      </c>
      <c r="J240" s="19" t="s">
        <v>23</v>
      </c>
      <c r="K240" s="35"/>
      <c r="L240" s="19"/>
      <c r="M240" s="263">
        <f ca="1">IFERROR(OFFSET(M240,-1,,1,1)+0.1,OFFSET(M240,-1,-1,1,1)&amp;".1")</f>
        <v>17.300000000000004</v>
      </c>
      <c r="N240" s="20" t="s">
        <v>1077</v>
      </c>
      <c r="O240" s="20"/>
      <c r="P240" s="20"/>
      <c r="Q240" s="134"/>
      <c r="R240" s="127"/>
      <c r="S240" s="157">
        <f>CEILING((IF(J240="Yes", 0, IF(H240="-",AA240,AA240+AA240*VLOOKUP(H240,BUFFERS_BY_TYPE,2,FALSE)))) +
   (IF(J240="Yes", 0, IF(H240="-",AA240,AA240+AA240*VLOOKUP(H240,BUFFERS_BY_TYPE,2,FALSE))))*VLOOKUP($S$5, SALES_CALL_SCALE_ARRAY, 2,FALSE),0.25)</f>
        <v>2.5</v>
      </c>
      <c r="T240" s="158"/>
      <c r="U240" s="21">
        <v>0</v>
      </c>
      <c r="V240" s="21">
        <v>1</v>
      </c>
      <c r="W240" s="21">
        <v>0</v>
      </c>
      <c r="X240" s="156">
        <v>2.5</v>
      </c>
      <c r="Y240" s="157">
        <f>CEILING((IF(P240=AS_DEV_EFFORT, DEV_EFFORT*Q240%,
                           IF(P240=AS_DURATION_EFFORT, (MANUAL_DURATION*5)*Q240%,
                                    (IF(Q240&lt;=1,X240,
                                          IF(SUM(U240:W240)=0,(Q240*X240),
                                               (((Q240*U240)*(X240+(X240*EXTRA_FOR_H)))+
                                               ((Q240*V240)*X240)+
                                               ((Q240*W240)*(X240-(X240*LESS_FOR_L)))
                                    )*IF(R240=0,1,R240))))))+Z240), 0.25)</f>
        <v>2.5</v>
      </c>
      <c r="Z240" s="22"/>
      <c r="AA240" s="157">
        <f>Y240+Y240*VLOOKUP(I240,EXTRAS_ARRAY,2,FALSE)</f>
        <v>2.5</v>
      </c>
      <c r="AB240" s="20"/>
      <c r="AC240" s="34"/>
      <c r="AD240" s="23" t="str">
        <f>IF(J240&lt;&gt;"Yes",
IF(S240&lt;=0,"Error: Effort value is not defined or is invalid.",
IF(AND(SUM(U240:W240)&gt;0,SUM(U240:W240)&lt;&gt;1),"Error: Complexity % distribution should sum to 100%.",
IF(AND(P240=AS_DEV_EFFORT,X240&lt;&gt;0),"Error: PDs should not be defined when defining as dev effort %.",
IF(AND(P240=AS_DURATION_EFFORT,X240&lt;&gt;0),"Error: PDs should not be defined when defining as duration effort %.","")))))</f>
        <v/>
      </c>
    </row>
    <row r="241" spans="1:30" ht="15.5" outlineLevel="2" x14ac:dyDescent="0.35">
      <c r="A241" s="86" t="s">
        <v>0</v>
      </c>
      <c r="B241" s="18"/>
      <c r="C241" s="78"/>
      <c r="D241" s="78"/>
      <c r="E241" s="78"/>
      <c r="F241" s="79"/>
      <c r="G241" s="19" t="s">
        <v>23</v>
      </c>
      <c r="H241" s="19" t="s">
        <v>23</v>
      </c>
      <c r="I241" s="20" t="s">
        <v>23</v>
      </c>
      <c r="J241" s="19" t="s">
        <v>23</v>
      </c>
      <c r="K241" s="35"/>
      <c r="L241" s="19"/>
      <c r="M241" s="263">
        <f ca="1">IFERROR(OFFSET(M241,-1,,1,1)+0.1,OFFSET(M241,-1,-1,1,1)&amp;".1")</f>
        <v>17.400000000000006</v>
      </c>
      <c r="N241" s="20" t="s">
        <v>1078</v>
      </c>
      <c r="O241" s="20"/>
      <c r="P241" s="20"/>
      <c r="Q241" s="134"/>
      <c r="R241" s="127"/>
      <c r="S241" s="157">
        <f>CEILING((IF(J241="Yes", 0, IF(H241="-",AA241,AA241+AA241*VLOOKUP(H241,BUFFERS_BY_TYPE,2,FALSE)))) +
   (IF(J241="Yes", 0, IF(H241="-",AA241,AA241+AA241*VLOOKUP(H241,BUFFERS_BY_TYPE,2,FALSE))))*VLOOKUP($S$5, SALES_CALL_SCALE_ARRAY, 2,FALSE),0.25)</f>
        <v>2</v>
      </c>
      <c r="T241" s="158"/>
      <c r="U241" s="21">
        <v>0</v>
      </c>
      <c r="V241" s="21">
        <v>1</v>
      </c>
      <c r="W241" s="21">
        <v>0</v>
      </c>
      <c r="X241" s="156">
        <v>2</v>
      </c>
      <c r="Y241" s="157">
        <f>CEILING((IF(P241=AS_DEV_EFFORT, DEV_EFFORT*Q241%,
                           IF(P241=AS_DURATION_EFFORT, (MANUAL_DURATION*5)*Q241%,
                                    (IF(Q241&lt;=1,X241,
                                          IF(SUM(U241:W241)=0,(Q241*X241),
                                               (((Q241*U241)*(X241+(X241*EXTRA_FOR_H)))+
                                               ((Q241*V241)*X241)+
                                               ((Q241*W241)*(X241-(X241*LESS_FOR_L)))
                                    )*IF(R241=0,1,R241))))))+Z241), 0.25)</f>
        <v>2</v>
      </c>
      <c r="Z241" s="22"/>
      <c r="AA241" s="157">
        <f>Y241+Y241*VLOOKUP(I241,EXTRAS_ARRAY,2,FALSE)</f>
        <v>2</v>
      </c>
      <c r="AB241" s="20"/>
      <c r="AC241" s="34"/>
      <c r="AD241" s="23" t="str">
        <f>IF(J241&lt;&gt;"Yes",
IF(S241&lt;=0,"Error: Effort value is not defined or is invalid.",
IF(AND(SUM(U241:W241)&gt;0,SUM(U241:W241)&lt;&gt;1),"Error: Complexity % distribution should sum to 100%.",
IF(AND(P241=AS_DEV_EFFORT,X241&lt;&gt;0),"Error: PDs should not be defined when defining as dev effort %.",
IF(AND(P241=AS_DURATION_EFFORT,X241&lt;&gt;0),"Error: PDs should not be defined when defining as duration effort %.","")))))</f>
        <v/>
      </c>
    </row>
    <row r="242" spans="1:30" ht="15.5" outlineLevel="2" x14ac:dyDescent="0.35">
      <c r="A242" s="86" t="s">
        <v>0</v>
      </c>
      <c r="B242" s="18"/>
      <c r="C242" s="78"/>
      <c r="D242" s="78"/>
      <c r="E242" s="78"/>
      <c r="F242" s="79"/>
      <c r="G242" s="19" t="s">
        <v>23</v>
      </c>
      <c r="H242" s="19" t="s">
        <v>23</v>
      </c>
      <c r="I242" s="20" t="s">
        <v>23</v>
      </c>
      <c r="J242" s="19" t="s">
        <v>23</v>
      </c>
      <c r="K242" s="35"/>
      <c r="L242" s="19"/>
      <c r="M242" s="263">
        <f ca="1">IFERROR(OFFSET(M242,-1,,1,1)+0.1,OFFSET(M242,-1,-1,1,1)&amp;".1")</f>
        <v>17.500000000000007</v>
      </c>
      <c r="N242" s="20" t="s">
        <v>1079</v>
      </c>
      <c r="O242" s="20"/>
      <c r="P242" s="20"/>
      <c r="Q242" s="134"/>
      <c r="R242" s="127"/>
      <c r="S242" s="157">
        <f>CEILING((IF(J242="Yes", 0, IF(H242="-",AA242,AA242+AA242*VLOOKUP(H242,BUFFERS_BY_TYPE,2,FALSE)))) +
   (IF(J242="Yes", 0, IF(H242="-",AA242,AA242+AA242*VLOOKUP(H242,BUFFERS_BY_TYPE,2,FALSE))))*VLOOKUP($S$5, SALES_CALL_SCALE_ARRAY, 2,FALSE),0.25)</f>
        <v>1.5</v>
      </c>
      <c r="T242" s="158"/>
      <c r="U242" s="21">
        <v>0</v>
      </c>
      <c r="V242" s="21">
        <v>1</v>
      </c>
      <c r="W242" s="21">
        <v>0</v>
      </c>
      <c r="X242" s="156">
        <v>1.5</v>
      </c>
      <c r="Y242" s="157">
        <f>CEILING((IF(P242=AS_DEV_EFFORT, DEV_EFFORT*Q242%,
                           IF(P242=AS_DURATION_EFFORT, (MANUAL_DURATION*5)*Q242%,
                                    (IF(Q242&lt;=1,X242,
                                          IF(SUM(U242:W242)=0,(Q242*X242),
                                               (((Q242*U242)*(X242+(X242*EXTRA_FOR_H)))+
                                               ((Q242*V242)*X242)+
                                               ((Q242*W242)*(X242-(X242*LESS_FOR_L)))
                                    )*IF(R242=0,1,R242))))))+Z242), 0.25)</f>
        <v>1.5</v>
      </c>
      <c r="Z242" s="22"/>
      <c r="AA242" s="157">
        <f>Y242+Y242*VLOOKUP(I242,EXTRAS_ARRAY,2,FALSE)</f>
        <v>1.5</v>
      </c>
      <c r="AB242" s="20"/>
      <c r="AC242" s="34"/>
      <c r="AD242" s="23" t="str">
        <f>IF(J242&lt;&gt;"Yes",
IF(S242&lt;=0,"Error: Effort value is not defined or is invalid.",
IF(AND(SUM(U242:W242)&gt;0,SUM(U242:W242)&lt;&gt;1),"Error: Complexity % distribution should sum to 100%.",
IF(AND(P242=AS_DEV_EFFORT,X242&lt;&gt;0),"Error: PDs should not be defined when defining as dev effort %.",
IF(AND(P242=AS_DURATION_EFFORT,X242&lt;&gt;0),"Error: PDs should not be defined when defining as duration effort %.","")))))</f>
        <v/>
      </c>
    </row>
    <row r="243" spans="1:30" s="9" customFormat="1" ht="7.5" customHeight="1" outlineLevel="2" x14ac:dyDescent="0.35">
      <c r="A243" s="86" t="s">
        <v>132</v>
      </c>
      <c r="B243" s="15"/>
      <c r="C243" s="72"/>
      <c r="D243" s="72"/>
      <c r="E243" s="72"/>
      <c r="F243" s="72"/>
      <c r="M243" s="252"/>
      <c r="T243" s="15"/>
      <c r="X243" s="15"/>
      <c r="AB243" s="10"/>
      <c r="AC243" s="10"/>
      <c r="AD243" s="10"/>
    </row>
    <row r="244" spans="1:30" s="14" customFormat="1" ht="15.5" outlineLevel="1" x14ac:dyDescent="0.35">
      <c r="A244" s="86" t="s">
        <v>100</v>
      </c>
      <c r="B244" s="18"/>
      <c r="C244" s="77"/>
      <c r="D244" s="77"/>
      <c r="E244" s="77"/>
      <c r="F244" s="76"/>
      <c r="G244" s="29"/>
      <c r="H244" s="29"/>
      <c r="I244" s="29"/>
      <c r="J244" s="29"/>
      <c r="K244" s="29"/>
      <c r="L244" s="17">
        <f ca="1">LOOKUP(1000,INDIRECT("L1:"&amp;CELL("address",INDIRECT("R[-1]C",FALSE))))+1</f>
        <v>18</v>
      </c>
      <c r="M244" s="310" t="s">
        <v>108</v>
      </c>
      <c r="N244" s="310"/>
      <c r="O244" s="5"/>
      <c r="P244" s="30"/>
      <c r="Q244" s="30"/>
      <c r="R244" s="30"/>
      <c r="S244" s="30"/>
      <c r="T244" s="155">
        <f>IF($S$6="Exclude", SUMIFS(S245:S251, J245:J251, "&lt;&gt;Yes", G245:G251, "&lt;&gt;Yes"), SUMIFS(S245:S251, J245:J251, "&lt;&gt;Yes"))</f>
        <v>0</v>
      </c>
      <c r="U244" s="30"/>
      <c r="V244" s="30"/>
      <c r="W244" s="30"/>
      <c r="X244" s="31"/>
      <c r="Y244" s="32"/>
      <c r="Z244" s="32"/>
      <c r="AA244" s="32"/>
      <c r="AB244" s="219" t="s">
        <v>439</v>
      </c>
      <c r="AC244" s="33"/>
      <c r="AD244" s="23" t="str">
        <f>IF(M244="", "Error: Task name cannot be empty.", "")</f>
        <v/>
      </c>
    </row>
    <row r="245" spans="1:30" s="12" customFormat="1" ht="1.5" customHeight="1" outlineLevel="2" x14ac:dyDescent="0.35">
      <c r="A245" s="86" t="s">
        <v>101</v>
      </c>
      <c r="B245" s="18"/>
      <c r="C245" s="77"/>
      <c r="D245" s="77"/>
      <c r="E245" s="77"/>
      <c r="F245" s="76"/>
      <c r="G245" s="29"/>
      <c r="H245" s="29"/>
      <c r="I245" s="29"/>
      <c r="J245" s="29"/>
      <c r="K245" s="29"/>
      <c r="L245" s="163">
        <f ca="1">L244</f>
        <v>18</v>
      </c>
      <c r="M245" s="164" t="s">
        <v>105</v>
      </c>
      <c r="N245" s="161"/>
      <c r="O245" s="162"/>
      <c r="P245" s="30"/>
      <c r="Q245" s="30"/>
      <c r="R245" s="30"/>
      <c r="S245" s="30"/>
      <c r="T245" s="155"/>
      <c r="U245" s="30"/>
      <c r="V245" s="30"/>
      <c r="W245" s="30"/>
      <c r="X245" s="31"/>
      <c r="Y245" s="32"/>
      <c r="Z245" s="32"/>
      <c r="AA245" s="32"/>
      <c r="AB245" s="33"/>
      <c r="AC245" s="33"/>
      <c r="AD245" s="23"/>
    </row>
    <row r="246" spans="1:30" ht="58" outlineLevel="2" x14ac:dyDescent="0.35">
      <c r="A246" s="86" t="s">
        <v>0</v>
      </c>
      <c r="B246" s="18"/>
      <c r="C246" s="78"/>
      <c r="D246" s="78"/>
      <c r="E246" s="78"/>
      <c r="F246" s="79"/>
      <c r="G246" s="19" t="s">
        <v>23</v>
      </c>
      <c r="H246" s="19" t="s">
        <v>23</v>
      </c>
      <c r="I246" s="20" t="s">
        <v>23</v>
      </c>
      <c r="J246" s="19" t="s">
        <v>23</v>
      </c>
      <c r="K246" s="35"/>
      <c r="L246" s="19"/>
      <c r="M246" s="263" t="str">
        <f ca="1">IFERROR(OFFSET(M246,-1,,1,1)+0.1,OFFSET(M246,-1,-1,1,1)&amp;".1")</f>
        <v>18.1</v>
      </c>
      <c r="N246" s="20" t="s">
        <v>438</v>
      </c>
      <c r="O246" s="20"/>
      <c r="P246" s="20"/>
      <c r="Q246" s="134"/>
      <c r="R246" s="127"/>
      <c r="S246" s="157">
        <f>CEILING((IF(J246="Yes", 0, IF(H246="-",AA246,AA246+AA246*VLOOKUP(H246,BUFFERS_BY_TYPE,2,FALSE)))) +
   (IF(J246="Yes", 0, IF(H246="-",AA246,AA246+AA246*VLOOKUP(H246,BUFFERS_BY_TYPE,2,FALSE))))*VLOOKUP($S$5, SALES_CALL_SCALE_ARRAY, 2,FALSE),0.25)</f>
        <v>0</v>
      </c>
      <c r="T246" s="158"/>
      <c r="U246" s="21">
        <v>0</v>
      </c>
      <c r="V246" s="21">
        <v>1</v>
      </c>
      <c r="W246" s="21">
        <v>0</v>
      </c>
      <c r="X246" s="156"/>
      <c r="Y246" s="157">
        <f>CEILING((IF(P246=AS_DEV_EFFORT, DEV_EFFORT*Q246%,
                           IF(P246=AS_DURATION_EFFORT, (MANUAL_DURATION*5)*Q246%,
                                    (IF(Q246&lt;=1,X246,
                                          IF(SUM(U246:W246)=0,(Q246*X246),
                                               (((Q246*U246)*(X246+(X246*EXTRA_FOR_H)))+
                                               ((Q246*V246)*X246)+
                                               ((Q246*W246)*(X246-(X246*LESS_FOR_L)))
                                    )*IF(R246=0,1,R246))))))+Z246), 0.25)</f>
        <v>0</v>
      </c>
      <c r="Z246" s="22"/>
      <c r="AA246" s="157">
        <f>Y246+Y246*VLOOKUP(I246,EXTRAS_ARRAY,2,FALSE)</f>
        <v>0</v>
      </c>
      <c r="AB246" s="20" t="s">
        <v>440</v>
      </c>
      <c r="AC246" s="34"/>
      <c r="AD246" s="23" t="str">
        <f>IF(J246&lt;&gt;"Yes",
IF(S246&lt;=0,"Error: Effort value is not defined or is invalid.",
IF(AND(SUM(U246:W246)&gt;0,SUM(U246:W246)&lt;&gt;1),"Error: Complexity % distribution should sum to 100%.",
IF(AND(P246=AS_DEV_EFFORT,X246&lt;&gt;0),"Error: PDs should not be defined when defining as dev effort %.",
IF(AND(P246=AS_DURATION_EFFORT,X246&lt;&gt;0),"Error: PDs should not be defined when defining as duration effort %.","")))))</f>
        <v>Error: Effort value is not defined or is invalid.</v>
      </c>
    </row>
    <row r="247" spans="1:30" ht="58" outlineLevel="2" x14ac:dyDescent="0.35">
      <c r="A247" s="86" t="s">
        <v>0</v>
      </c>
      <c r="B247" s="18"/>
      <c r="C247" s="78"/>
      <c r="D247" s="78"/>
      <c r="E247" s="78"/>
      <c r="F247" s="79"/>
      <c r="G247" s="19" t="s">
        <v>23</v>
      </c>
      <c r="H247" s="19" t="s">
        <v>23</v>
      </c>
      <c r="I247" s="20" t="s">
        <v>23</v>
      </c>
      <c r="J247" s="19" t="s">
        <v>23</v>
      </c>
      <c r="K247" s="35"/>
      <c r="L247" s="19"/>
      <c r="M247" s="263">
        <f ca="1">IFERROR(OFFSET(M247,-1,,1,1)+0.1,OFFSET(M247,-1,-1,1,1)&amp;".1")</f>
        <v>18.200000000000003</v>
      </c>
      <c r="N247" s="20" t="s">
        <v>438</v>
      </c>
      <c r="O247" s="20"/>
      <c r="P247" s="20"/>
      <c r="Q247" s="134"/>
      <c r="R247" s="127"/>
      <c r="S247" s="157">
        <f>CEILING((IF(J247="Yes", 0, IF(H247="-",AA247,AA247+AA247*VLOOKUP(H247,BUFFERS_BY_TYPE,2,FALSE)))) +
   (IF(J247="Yes", 0, IF(H247="-",AA247,AA247+AA247*VLOOKUP(H247,BUFFERS_BY_TYPE,2,FALSE))))*VLOOKUP($S$5, SALES_CALL_SCALE_ARRAY, 2,FALSE),0.25)</f>
        <v>0</v>
      </c>
      <c r="T247" s="158"/>
      <c r="U247" s="21">
        <v>0</v>
      </c>
      <c r="V247" s="21">
        <v>1</v>
      </c>
      <c r="W247" s="21">
        <v>0</v>
      </c>
      <c r="X247" s="156"/>
      <c r="Y247" s="157">
        <f>CEILING((IF(P247=AS_DEV_EFFORT, DEV_EFFORT*Q247%,
                           IF(P247=AS_DURATION_EFFORT, (MANUAL_DURATION*5)*Q247%,
                                    (IF(Q247&lt;=1,X247,
                                          IF(SUM(U247:W247)=0,(Q247*X247),
                                               (((Q247*U247)*(X247+(X247*EXTRA_FOR_H)))+
                                               ((Q247*V247)*X247)+
                                               ((Q247*W247)*(X247-(X247*LESS_FOR_L)))
                                    )*IF(R247=0,1,R247))))))+Z247), 0.25)</f>
        <v>0</v>
      </c>
      <c r="Z247" s="22"/>
      <c r="AA247" s="157">
        <f>Y247+Y247*VLOOKUP(I247,EXTRAS_ARRAY,2,FALSE)</f>
        <v>0</v>
      </c>
      <c r="AB247" s="20" t="s">
        <v>440</v>
      </c>
      <c r="AC247" s="34"/>
      <c r="AD247" s="23" t="str">
        <f>IF(J247&lt;&gt;"Yes",
IF(S247&lt;=0,"Error: Effort value is not defined or is invalid.",
IF(AND(SUM(U247:W247)&gt;0,SUM(U247:W247)&lt;&gt;1),"Error: Complexity % distribution should sum to 100%.",
IF(AND(P247=AS_DEV_EFFORT,X247&lt;&gt;0),"Error: PDs should not be defined when defining as dev effort %.",
IF(AND(P247=AS_DURATION_EFFORT,X247&lt;&gt;0),"Error: PDs should not be defined when defining as duration effort %.","")))))</f>
        <v>Error: Effort value is not defined or is invalid.</v>
      </c>
    </row>
    <row r="248" spans="1:30" ht="58" outlineLevel="2" x14ac:dyDescent="0.35">
      <c r="A248" s="86" t="s">
        <v>0</v>
      </c>
      <c r="B248" s="18"/>
      <c r="C248" s="78"/>
      <c r="D248" s="78"/>
      <c r="E248" s="78"/>
      <c r="F248" s="79"/>
      <c r="G248" s="19" t="s">
        <v>23</v>
      </c>
      <c r="H248" s="19" t="s">
        <v>23</v>
      </c>
      <c r="I248" s="20" t="s">
        <v>23</v>
      </c>
      <c r="J248" s="19" t="s">
        <v>23</v>
      </c>
      <c r="K248" s="35"/>
      <c r="L248" s="19"/>
      <c r="M248" s="263">
        <f ca="1">IFERROR(OFFSET(M248,-1,,1,1)+0.1,OFFSET(M248,-1,-1,1,1)&amp;".1")</f>
        <v>18.300000000000004</v>
      </c>
      <c r="N248" s="20" t="s">
        <v>438</v>
      </c>
      <c r="O248" s="20"/>
      <c r="P248" s="20"/>
      <c r="Q248" s="134"/>
      <c r="R248" s="127"/>
      <c r="S248" s="157">
        <f>CEILING((IF(J248="Yes", 0, IF(H248="-",AA248,AA248+AA248*VLOOKUP(H248,BUFFERS_BY_TYPE,2,FALSE)))) +
   (IF(J248="Yes", 0, IF(H248="-",AA248,AA248+AA248*VLOOKUP(H248,BUFFERS_BY_TYPE,2,FALSE))))*VLOOKUP($S$5, SALES_CALL_SCALE_ARRAY, 2,FALSE),0.25)</f>
        <v>0</v>
      </c>
      <c r="T248" s="158"/>
      <c r="U248" s="21">
        <v>0</v>
      </c>
      <c r="V248" s="21">
        <v>1</v>
      </c>
      <c r="W248" s="21">
        <v>0</v>
      </c>
      <c r="X248" s="156"/>
      <c r="Y248" s="157">
        <f>CEILING((IF(P248=AS_DEV_EFFORT, DEV_EFFORT*Q248%,
                           IF(P248=AS_DURATION_EFFORT, (MANUAL_DURATION*5)*Q248%,
                                    (IF(Q248&lt;=1,X248,
                                          IF(SUM(U248:W248)=0,(Q248*X248),
                                               (((Q248*U248)*(X248+(X248*EXTRA_FOR_H)))+
                                               ((Q248*V248)*X248)+
                                               ((Q248*W248)*(X248-(X248*LESS_FOR_L)))
                                    )*IF(R248=0,1,R248))))))+Z248), 0.25)</f>
        <v>0</v>
      </c>
      <c r="Z248" s="22"/>
      <c r="AA248" s="157">
        <f>Y248+Y248*VLOOKUP(I248,EXTRAS_ARRAY,2,FALSE)</f>
        <v>0</v>
      </c>
      <c r="AB248" s="20" t="s">
        <v>440</v>
      </c>
      <c r="AC248" s="34"/>
      <c r="AD248" s="23" t="str">
        <f>IF(J248&lt;&gt;"Yes",
IF(S248&lt;=0,"Error: Effort value is not defined or is invalid.",
IF(AND(SUM(U248:W248)&gt;0,SUM(U248:W248)&lt;&gt;1),"Error: Complexity % distribution should sum to 100%.",
IF(AND(P248=AS_DEV_EFFORT,X248&lt;&gt;0),"Error: PDs should not be defined when defining as dev effort %.",
IF(AND(P248=AS_DURATION_EFFORT,X248&lt;&gt;0),"Error: PDs should not be defined when defining as duration effort %.","")))))</f>
        <v>Error: Effort value is not defined or is invalid.</v>
      </c>
    </row>
    <row r="249" spans="1:30" ht="58" outlineLevel="2" x14ac:dyDescent="0.35">
      <c r="A249" s="86" t="s">
        <v>0</v>
      </c>
      <c r="B249" s="18"/>
      <c r="C249" s="78"/>
      <c r="D249" s="78"/>
      <c r="E249" s="78"/>
      <c r="F249" s="79"/>
      <c r="G249" s="19" t="s">
        <v>23</v>
      </c>
      <c r="H249" s="19" t="s">
        <v>23</v>
      </c>
      <c r="I249" s="20" t="s">
        <v>23</v>
      </c>
      <c r="J249" s="19" t="s">
        <v>23</v>
      </c>
      <c r="K249" s="35"/>
      <c r="L249" s="19"/>
      <c r="M249" s="263">
        <f ca="1">IFERROR(OFFSET(M249,-1,,1,1)+0.1,OFFSET(M249,-1,-1,1,1)&amp;".1")</f>
        <v>18.400000000000006</v>
      </c>
      <c r="N249" s="20" t="s">
        <v>438</v>
      </c>
      <c r="O249" s="20"/>
      <c r="P249" s="20"/>
      <c r="Q249" s="134"/>
      <c r="R249" s="127"/>
      <c r="S249" s="157">
        <f>CEILING((IF(J249="Yes", 0, IF(H249="-",AA249,AA249+AA249*VLOOKUP(H249,BUFFERS_BY_TYPE,2,FALSE)))) +
   (IF(J249="Yes", 0, IF(H249="-",AA249,AA249+AA249*VLOOKUP(H249,BUFFERS_BY_TYPE,2,FALSE))))*VLOOKUP($S$5, SALES_CALL_SCALE_ARRAY, 2,FALSE),0.25)</f>
        <v>0</v>
      </c>
      <c r="T249" s="158"/>
      <c r="U249" s="21">
        <v>0</v>
      </c>
      <c r="V249" s="21">
        <v>1</v>
      </c>
      <c r="W249" s="21">
        <v>0</v>
      </c>
      <c r="X249" s="156"/>
      <c r="Y249" s="157">
        <f>CEILING((IF(P249=AS_DEV_EFFORT, DEV_EFFORT*Q249%,
                           IF(P249=AS_DURATION_EFFORT, (MANUAL_DURATION*5)*Q249%,
                                    (IF(Q249&lt;=1,X249,
                                          IF(SUM(U249:W249)=0,(Q249*X249),
                                               (((Q249*U249)*(X249+(X249*EXTRA_FOR_H)))+
                                               ((Q249*V249)*X249)+
                                               ((Q249*W249)*(X249-(X249*LESS_FOR_L)))
                                    )*IF(R249=0,1,R249))))))+Z249), 0.25)</f>
        <v>0</v>
      </c>
      <c r="Z249" s="22"/>
      <c r="AA249" s="157">
        <f>Y249+Y249*VLOOKUP(I249,EXTRAS_ARRAY,2,FALSE)</f>
        <v>0</v>
      </c>
      <c r="AB249" s="20" t="s">
        <v>440</v>
      </c>
      <c r="AC249" s="34"/>
      <c r="AD249" s="23" t="str">
        <f>IF(J249&lt;&gt;"Yes",
IF(S249&lt;=0,"Error: Effort value is not defined or is invalid.",
IF(AND(SUM(U249:W249)&gt;0,SUM(U249:W249)&lt;&gt;1),"Error: Complexity % distribution should sum to 100%.",
IF(AND(P249=AS_DEV_EFFORT,X249&lt;&gt;0),"Error: PDs should not be defined when defining as dev effort %.",
IF(AND(P249=AS_DURATION_EFFORT,X249&lt;&gt;0),"Error: PDs should not be defined when defining as duration effort %.","")))))</f>
        <v>Error: Effort value is not defined or is invalid.</v>
      </c>
    </row>
    <row r="250" spans="1:30" ht="58" outlineLevel="2" x14ac:dyDescent="0.35">
      <c r="A250" s="86" t="s">
        <v>0</v>
      </c>
      <c r="B250" s="18"/>
      <c r="C250" s="78"/>
      <c r="D250" s="78"/>
      <c r="E250" s="78"/>
      <c r="F250" s="79"/>
      <c r="G250" s="19" t="s">
        <v>23</v>
      </c>
      <c r="H250" s="19" t="s">
        <v>23</v>
      </c>
      <c r="I250" s="20" t="s">
        <v>23</v>
      </c>
      <c r="J250" s="19" t="s">
        <v>23</v>
      </c>
      <c r="K250" s="35"/>
      <c r="L250" s="19"/>
      <c r="M250" s="263">
        <f ca="1">IFERROR(OFFSET(M250,-1,,1,1)+0.1,OFFSET(M250,-1,-1,1,1)&amp;".1")</f>
        <v>18.500000000000007</v>
      </c>
      <c r="N250" s="20" t="s">
        <v>438</v>
      </c>
      <c r="O250" s="20"/>
      <c r="P250" s="20"/>
      <c r="Q250" s="134"/>
      <c r="R250" s="127"/>
      <c r="S250" s="157">
        <f>CEILING((IF(J250="Yes", 0, IF(H250="-",AA250,AA250+AA250*VLOOKUP(H250,BUFFERS_BY_TYPE,2,FALSE)))) +
   (IF(J250="Yes", 0, IF(H250="-",AA250,AA250+AA250*VLOOKUP(H250,BUFFERS_BY_TYPE,2,FALSE))))*VLOOKUP($S$5, SALES_CALL_SCALE_ARRAY, 2,FALSE),0.25)</f>
        <v>0</v>
      </c>
      <c r="T250" s="158"/>
      <c r="U250" s="21">
        <v>0</v>
      </c>
      <c r="V250" s="21">
        <v>1</v>
      </c>
      <c r="W250" s="21">
        <v>0</v>
      </c>
      <c r="X250" s="156"/>
      <c r="Y250" s="157">
        <f>CEILING((IF(P250=AS_DEV_EFFORT, DEV_EFFORT*Q250%,
                           IF(P250=AS_DURATION_EFFORT, (MANUAL_DURATION*5)*Q250%,
                                    (IF(Q250&lt;=1,X250,
                                          IF(SUM(U250:W250)=0,(Q250*X250),
                                               (((Q250*U250)*(X250+(X250*EXTRA_FOR_H)))+
                                               ((Q250*V250)*X250)+
                                               ((Q250*W250)*(X250-(X250*LESS_FOR_L)))
                                    )*IF(R250=0,1,R250))))))+Z250), 0.25)</f>
        <v>0</v>
      </c>
      <c r="Z250" s="22"/>
      <c r="AA250" s="157">
        <f>Y250+Y250*VLOOKUP(I250,EXTRAS_ARRAY,2,FALSE)</f>
        <v>0</v>
      </c>
      <c r="AB250" s="20" t="s">
        <v>440</v>
      </c>
      <c r="AC250" s="34"/>
      <c r="AD250" s="23" t="str">
        <f>IF(J250&lt;&gt;"Yes",
IF(S250&lt;=0,"Error: Effort value is not defined or is invalid.",
IF(AND(SUM(U250:W250)&gt;0,SUM(U250:W250)&lt;&gt;1),"Error: Complexity % distribution should sum to 100%.",
IF(AND(P250=AS_DEV_EFFORT,X250&lt;&gt;0),"Error: PDs should not be defined when defining as dev effort %.",
IF(AND(P250=AS_DURATION_EFFORT,X250&lt;&gt;0),"Error: PDs should not be defined when defining as duration effort %.","")))))</f>
        <v>Error: Effort value is not defined or is invalid.</v>
      </c>
    </row>
    <row r="251" spans="1:30" s="9" customFormat="1" ht="7.5" customHeight="1" outlineLevel="2" x14ac:dyDescent="0.35">
      <c r="A251" s="86" t="s">
        <v>132</v>
      </c>
      <c r="B251" s="15"/>
      <c r="C251" s="72"/>
      <c r="D251" s="72"/>
      <c r="E251" s="72"/>
      <c r="F251" s="72"/>
      <c r="M251" s="252"/>
      <c r="T251" s="15"/>
      <c r="X251" s="15"/>
      <c r="AB251" s="10"/>
      <c r="AC251" s="10"/>
      <c r="AD251" s="10"/>
    </row>
    <row r="252" spans="1:30" s="14" customFormat="1" ht="15.5" outlineLevel="1" x14ac:dyDescent="0.35">
      <c r="A252" s="86" t="s">
        <v>100</v>
      </c>
      <c r="B252" s="18"/>
      <c r="C252" s="77"/>
      <c r="D252" s="77"/>
      <c r="E252" s="77"/>
      <c r="F252" s="76"/>
      <c r="G252" s="29"/>
      <c r="H252" s="29"/>
      <c r="I252" s="29"/>
      <c r="J252" s="29"/>
      <c r="K252" s="29"/>
      <c r="L252" s="17">
        <f ca="1">LOOKUP(1000,INDIRECT("L1:"&amp;CELL("address",INDIRECT("R[-1]C",FALSE))))+1</f>
        <v>19</v>
      </c>
      <c r="M252" s="310" t="s">
        <v>108</v>
      </c>
      <c r="N252" s="310"/>
      <c r="O252" s="5"/>
      <c r="P252" s="30"/>
      <c r="Q252" s="30"/>
      <c r="R252" s="30"/>
      <c r="S252" s="30"/>
      <c r="T252" s="155">
        <f>IF($S$6="Exclude", SUMIFS(S253:S258, J253:J258, "&lt;&gt;Yes", G253:G258, "&lt;&gt;Yes"), SUMIFS(S253:S258, J253:J258, "&lt;&gt;Yes"))</f>
        <v>0</v>
      </c>
      <c r="U252" s="30"/>
      <c r="V252" s="30"/>
      <c r="W252" s="30"/>
      <c r="X252" s="31"/>
      <c r="Y252" s="32"/>
      <c r="Z252" s="32"/>
      <c r="AA252" s="32"/>
      <c r="AB252" s="219" t="s">
        <v>439</v>
      </c>
      <c r="AC252" s="33"/>
      <c r="AD252" s="23" t="str">
        <f>IF(M252="", "Error: Task name cannot be empty.", "")</f>
        <v/>
      </c>
    </row>
    <row r="253" spans="1:30" s="12" customFormat="1" ht="1.5" customHeight="1" outlineLevel="2" x14ac:dyDescent="0.35">
      <c r="A253" s="86" t="s">
        <v>101</v>
      </c>
      <c r="B253" s="18"/>
      <c r="C253" s="77"/>
      <c r="D253" s="77"/>
      <c r="E253" s="77"/>
      <c r="F253" s="76"/>
      <c r="G253" s="29"/>
      <c r="H253" s="29"/>
      <c r="I253" s="29"/>
      <c r="J253" s="29"/>
      <c r="K253" s="29"/>
      <c r="L253" s="163">
        <f ca="1">L252</f>
        <v>19</v>
      </c>
      <c r="M253" s="164" t="s">
        <v>105</v>
      </c>
      <c r="N253" s="161"/>
      <c r="O253" s="162"/>
      <c r="P253" s="30"/>
      <c r="Q253" s="30"/>
      <c r="R253" s="30"/>
      <c r="S253" s="30"/>
      <c r="T253" s="155"/>
      <c r="U253" s="30"/>
      <c r="V253" s="30"/>
      <c r="W253" s="30"/>
      <c r="X253" s="31"/>
      <c r="Y253" s="32"/>
      <c r="Z253" s="32"/>
      <c r="AA253" s="32"/>
      <c r="AB253" s="33"/>
      <c r="AC253" s="33"/>
      <c r="AD253" s="23"/>
    </row>
    <row r="254" spans="1:30" ht="58" outlineLevel="2" x14ac:dyDescent="0.35">
      <c r="A254" s="86" t="s">
        <v>0</v>
      </c>
      <c r="B254" s="18"/>
      <c r="C254" s="78"/>
      <c r="D254" s="78"/>
      <c r="E254" s="78"/>
      <c r="F254" s="79"/>
      <c r="G254" s="19" t="s">
        <v>23</v>
      </c>
      <c r="H254" s="19" t="s">
        <v>23</v>
      </c>
      <c r="I254" s="20" t="s">
        <v>23</v>
      </c>
      <c r="J254" s="19" t="s">
        <v>23</v>
      </c>
      <c r="K254" s="35"/>
      <c r="L254" s="19"/>
      <c r="M254" s="263" t="str">
        <f ca="1">IFERROR(OFFSET(M254,-1,,1,1)+0.1,OFFSET(M254,-1,-1,1,1)&amp;".1")</f>
        <v>19.1</v>
      </c>
      <c r="N254" s="20" t="s">
        <v>438</v>
      </c>
      <c r="O254" s="20"/>
      <c r="P254" s="20"/>
      <c r="Q254" s="134"/>
      <c r="R254" s="127"/>
      <c r="S254" s="157">
        <f>CEILING((IF(J254="Yes", 0, IF(H254="-",AA254,AA254+AA254*VLOOKUP(H254,BUFFERS_BY_TYPE,2,FALSE)))) +
   (IF(J254="Yes", 0, IF(H254="-",AA254,AA254+AA254*VLOOKUP(H254,BUFFERS_BY_TYPE,2,FALSE))))*VLOOKUP($S$5, SALES_CALL_SCALE_ARRAY, 2,FALSE),0.25)</f>
        <v>0</v>
      </c>
      <c r="T254" s="158"/>
      <c r="U254" s="21">
        <v>0</v>
      </c>
      <c r="V254" s="21">
        <v>1</v>
      </c>
      <c r="W254" s="21">
        <v>0</v>
      </c>
      <c r="X254" s="156"/>
      <c r="Y254" s="157">
        <f>CEILING((IF(P254=AS_DEV_EFFORT, DEV_EFFORT*Q254%,
                           IF(P254=AS_DURATION_EFFORT, (MANUAL_DURATION*5)*Q254%,
                                    (IF(Q254&lt;=1,X254,
                                          IF(SUM(U254:W254)=0,(Q254*X254),
                                               (((Q254*U254)*(X254+(X254*EXTRA_FOR_H)))+
                                               ((Q254*V254)*X254)+
                                               ((Q254*W254)*(X254-(X254*LESS_FOR_L)))
                                    )*IF(R254=0,1,R254))))))+Z254), 0.25)</f>
        <v>0</v>
      </c>
      <c r="Z254" s="22"/>
      <c r="AA254" s="157">
        <f>Y254+Y254*VLOOKUP(I254,EXTRAS_ARRAY,2,FALSE)</f>
        <v>0</v>
      </c>
      <c r="AB254" s="20" t="s">
        <v>440</v>
      </c>
      <c r="AC254" s="34"/>
      <c r="AD254" s="23" t="str">
        <f>IF(J254&lt;&gt;"Yes",
IF(S254&lt;=0,"Error: Effort value is not defined or is invalid.",
IF(AND(SUM(U254:W254)&gt;0,SUM(U254:W254)&lt;&gt;1),"Error: Complexity % distribution should sum to 100%.",
IF(AND(P254=AS_DEV_EFFORT,X254&lt;&gt;0),"Error: PDs should not be defined when defining as dev effort %.",
IF(AND(P254=AS_DURATION_EFFORT,X254&lt;&gt;0),"Error: PDs should not be defined when defining as duration effort %.","")))))</f>
        <v>Error: Effort value is not defined or is invalid.</v>
      </c>
    </row>
    <row r="255" spans="1:30" ht="58" outlineLevel="2" x14ac:dyDescent="0.35">
      <c r="A255" s="86" t="s">
        <v>0</v>
      </c>
      <c r="B255" s="18"/>
      <c r="C255" s="78"/>
      <c r="D255" s="78"/>
      <c r="E255" s="78"/>
      <c r="F255" s="79"/>
      <c r="G255" s="19" t="s">
        <v>23</v>
      </c>
      <c r="H255" s="19" t="s">
        <v>23</v>
      </c>
      <c r="I255" s="20" t="s">
        <v>23</v>
      </c>
      <c r="J255" s="19" t="s">
        <v>23</v>
      </c>
      <c r="K255" s="35"/>
      <c r="L255" s="19"/>
      <c r="M255" s="263">
        <f ca="1">IFERROR(OFFSET(M255,-1,,1,1)+0.1,OFFSET(M255,-1,-1,1,1)&amp;".1")</f>
        <v>19.200000000000003</v>
      </c>
      <c r="N255" s="20" t="s">
        <v>438</v>
      </c>
      <c r="O255" s="20"/>
      <c r="P255" s="20"/>
      <c r="Q255" s="134"/>
      <c r="R255" s="127"/>
      <c r="S255" s="157">
        <f>CEILING((IF(J255="Yes", 0, IF(H255="-",AA255,AA255+AA255*VLOOKUP(H255,BUFFERS_BY_TYPE,2,FALSE)))) +
   (IF(J255="Yes", 0, IF(H255="-",AA255,AA255+AA255*VLOOKUP(H255,BUFFERS_BY_TYPE,2,FALSE))))*VLOOKUP($S$5, SALES_CALL_SCALE_ARRAY, 2,FALSE),0.25)</f>
        <v>0</v>
      </c>
      <c r="T255" s="158"/>
      <c r="U255" s="21">
        <v>0</v>
      </c>
      <c r="V255" s="21">
        <v>1</v>
      </c>
      <c r="W255" s="21">
        <v>0</v>
      </c>
      <c r="X255" s="156"/>
      <c r="Y255" s="157">
        <f>CEILING((IF(P255=AS_DEV_EFFORT, DEV_EFFORT*Q255%,
                           IF(P255=AS_DURATION_EFFORT, (MANUAL_DURATION*5)*Q255%,
                                    (IF(Q255&lt;=1,X255,
                                          IF(SUM(U255:W255)=0,(Q255*X255),
                                               (((Q255*U255)*(X255+(X255*EXTRA_FOR_H)))+
                                               ((Q255*V255)*X255)+
                                               ((Q255*W255)*(X255-(X255*LESS_FOR_L)))
                                    )*IF(R255=0,1,R255))))))+Z255), 0.25)</f>
        <v>0</v>
      </c>
      <c r="Z255" s="22"/>
      <c r="AA255" s="157">
        <f>Y255+Y255*VLOOKUP(I255,EXTRAS_ARRAY,2,FALSE)</f>
        <v>0</v>
      </c>
      <c r="AB255" s="20" t="s">
        <v>440</v>
      </c>
      <c r="AC255" s="34"/>
      <c r="AD255" s="23" t="str">
        <f>IF(J255&lt;&gt;"Yes",
IF(S255&lt;=0,"Error: Effort value is not defined or is invalid.",
IF(AND(SUM(U255:W255)&gt;0,SUM(U255:W255)&lt;&gt;1),"Error: Complexity % distribution should sum to 100%.",
IF(AND(P255=AS_DEV_EFFORT,X255&lt;&gt;0),"Error: PDs should not be defined when defining as dev effort %.",
IF(AND(P255=AS_DURATION_EFFORT,X255&lt;&gt;0),"Error: PDs should not be defined when defining as duration effort %.","")))))</f>
        <v>Error: Effort value is not defined or is invalid.</v>
      </c>
    </row>
    <row r="256" spans="1:30" ht="58" outlineLevel="2" x14ac:dyDescent="0.35">
      <c r="A256" s="86" t="s">
        <v>0</v>
      </c>
      <c r="B256" s="18"/>
      <c r="C256" s="78"/>
      <c r="D256" s="78"/>
      <c r="E256" s="78"/>
      <c r="F256" s="79"/>
      <c r="G256" s="19" t="s">
        <v>23</v>
      </c>
      <c r="H256" s="19" t="s">
        <v>23</v>
      </c>
      <c r="I256" s="20" t="s">
        <v>23</v>
      </c>
      <c r="J256" s="19" t="s">
        <v>23</v>
      </c>
      <c r="K256" s="35"/>
      <c r="L256" s="19"/>
      <c r="M256" s="263">
        <f ca="1">IFERROR(OFFSET(M256,-1,,1,1)+0.1,OFFSET(M256,-1,-1,1,1)&amp;".1")</f>
        <v>19.300000000000004</v>
      </c>
      <c r="N256" s="20" t="s">
        <v>438</v>
      </c>
      <c r="O256" s="20"/>
      <c r="P256" s="20"/>
      <c r="Q256" s="134"/>
      <c r="R256" s="127"/>
      <c r="S256" s="157">
        <f>CEILING((IF(J256="Yes", 0, IF(H256="-",AA256,AA256+AA256*VLOOKUP(H256,BUFFERS_BY_TYPE,2,FALSE)))) +
   (IF(J256="Yes", 0, IF(H256="-",AA256,AA256+AA256*VLOOKUP(H256,BUFFERS_BY_TYPE,2,FALSE))))*VLOOKUP($S$5, SALES_CALL_SCALE_ARRAY, 2,FALSE),0.25)</f>
        <v>0</v>
      </c>
      <c r="T256" s="158"/>
      <c r="U256" s="21">
        <v>0</v>
      </c>
      <c r="V256" s="21">
        <v>1</v>
      </c>
      <c r="W256" s="21">
        <v>0</v>
      </c>
      <c r="X256" s="156"/>
      <c r="Y256" s="157">
        <f>CEILING((IF(P256=AS_DEV_EFFORT, DEV_EFFORT*Q256%,
                           IF(P256=AS_DURATION_EFFORT, (MANUAL_DURATION*5)*Q256%,
                                    (IF(Q256&lt;=1,X256,
                                          IF(SUM(U256:W256)=0,(Q256*X256),
                                               (((Q256*U256)*(X256+(X256*EXTRA_FOR_H)))+
                                               ((Q256*V256)*X256)+
                                               ((Q256*W256)*(X256-(X256*LESS_FOR_L)))
                                    )*IF(R256=0,1,R256))))))+Z256), 0.25)</f>
        <v>0</v>
      </c>
      <c r="Z256" s="22"/>
      <c r="AA256" s="157">
        <f>Y256+Y256*VLOOKUP(I256,EXTRAS_ARRAY,2,FALSE)</f>
        <v>0</v>
      </c>
      <c r="AB256" s="20" t="s">
        <v>440</v>
      </c>
      <c r="AC256" s="34"/>
      <c r="AD256" s="23" t="str">
        <f>IF(J256&lt;&gt;"Yes",
IF(S256&lt;=0,"Error: Effort value is not defined or is invalid.",
IF(AND(SUM(U256:W256)&gt;0,SUM(U256:W256)&lt;&gt;1),"Error: Complexity % distribution should sum to 100%.",
IF(AND(P256=AS_DEV_EFFORT,X256&lt;&gt;0),"Error: PDs should not be defined when defining as dev effort %.",
IF(AND(P256=AS_DURATION_EFFORT,X256&lt;&gt;0),"Error: PDs should not be defined when defining as duration effort %.","")))))</f>
        <v>Error: Effort value is not defined or is invalid.</v>
      </c>
    </row>
    <row r="257" spans="1:30" ht="58" outlineLevel="2" x14ac:dyDescent="0.35">
      <c r="A257" s="86" t="s">
        <v>0</v>
      </c>
      <c r="B257" s="18"/>
      <c r="C257" s="78"/>
      <c r="D257" s="78"/>
      <c r="E257" s="78"/>
      <c r="F257" s="79"/>
      <c r="G257" s="19" t="s">
        <v>23</v>
      </c>
      <c r="H257" s="19" t="s">
        <v>23</v>
      </c>
      <c r="I257" s="20" t="s">
        <v>23</v>
      </c>
      <c r="J257" s="19" t="s">
        <v>23</v>
      </c>
      <c r="K257" s="35"/>
      <c r="L257" s="19"/>
      <c r="M257" s="263">
        <f ca="1">IFERROR(OFFSET(M257,-1,,1,1)+0.1,OFFSET(M257,-1,-1,1,1)&amp;".1")</f>
        <v>19.400000000000006</v>
      </c>
      <c r="N257" s="20" t="s">
        <v>438</v>
      </c>
      <c r="O257" s="20"/>
      <c r="P257" s="20"/>
      <c r="Q257" s="134"/>
      <c r="R257" s="127"/>
      <c r="S257" s="157">
        <f>CEILING((IF(J257="Yes", 0, IF(H257="-",AA257,AA257+AA257*VLOOKUP(H257,BUFFERS_BY_TYPE,2,FALSE)))) +
   (IF(J257="Yes", 0, IF(H257="-",AA257,AA257+AA257*VLOOKUP(H257,BUFFERS_BY_TYPE,2,FALSE))))*VLOOKUP($S$5, SALES_CALL_SCALE_ARRAY, 2,FALSE),0.25)</f>
        <v>0</v>
      </c>
      <c r="T257" s="158"/>
      <c r="U257" s="21">
        <v>0</v>
      </c>
      <c r="V257" s="21">
        <v>1</v>
      </c>
      <c r="W257" s="21">
        <v>0</v>
      </c>
      <c r="X257" s="156"/>
      <c r="Y257" s="157">
        <f>CEILING((IF(P257=AS_DEV_EFFORT, DEV_EFFORT*Q257%,
                           IF(P257=AS_DURATION_EFFORT, (MANUAL_DURATION*5)*Q257%,
                                    (IF(Q257&lt;=1,X257,
                                          IF(SUM(U257:W257)=0,(Q257*X257),
                                               (((Q257*U257)*(X257+(X257*EXTRA_FOR_H)))+
                                               ((Q257*V257)*X257)+
                                               ((Q257*W257)*(X257-(X257*LESS_FOR_L)))
                                    )*IF(R257=0,1,R257))))))+Z257), 0.25)</f>
        <v>0</v>
      </c>
      <c r="Z257" s="22"/>
      <c r="AA257" s="157">
        <f>Y257+Y257*VLOOKUP(I257,EXTRAS_ARRAY,2,FALSE)</f>
        <v>0</v>
      </c>
      <c r="AB257" s="20" t="s">
        <v>440</v>
      </c>
      <c r="AC257" s="34"/>
      <c r="AD257" s="23" t="str">
        <f>IF(J257&lt;&gt;"Yes",
IF(S257&lt;=0,"Error: Effort value is not defined or is invalid.",
IF(AND(SUM(U257:W257)&gt;0,SUM(U257:W257)&lt;&gt;1),"Error: Complexity % distribution should sum to 100%.",
IF(AND(P257=AS_DEV_EFFORT,X257&lt;&gt;0),"Error: PDs should not be defined when defining as dev effort %.",
IF(AND(P257=AS_DURATION_EFFORT,X257&lt;&gt;0),"Error: PDs should not be defined when defining as duration effort %.","")))))</f>
        <v>Error: Effort value is not defined or is invalid.</v>
      </c>
    </row>
    <row r="258" spans="1:30" s="9" customFormat="1" ht="7.5" customHeight="1" outlineLevel="2" x14ac:dyDescent="0.35">
      <c r="A258" s="86" t="s">
        <v>132</v>
      </c>
      <c r="B258" s="15"/>
      <c r="C258" s="72"/>
      <c r="D258" s="72"/>
      <c r="E258" s="72"/>
      <c r="F258" s="72"/>
      <c r="M258" s="252"/>
      <c r="T258" s="15"/>
      <c r="X258" s="15"/>
      <c r="AB258" s="10"/>
      <c r="AC258" s="10"/>
      <c r="AD258" s="10"/>
    </row>
    <row r="259" spans="1:30" s="14" customFormat="1" ht="15.5" outlineLevel="1" x14ac:dyDescent="0.35">
      <c r="A259" s="86" t="s">
        <v>107</v>
      </c>
      <c r="B259" s="18"/>
      <c r="C259" s="77"/>
      <c r="D259" s="77"/>
      <c r="E259" s="77"/>
      <c r="F259" s="76"/>
      <c r="G259" s="170"/>
      <c r="H259" s="170"/>
      <c r="I259" s="170"/>
      <c r="J259" s="170"/>
      <c r="K259" s="170"/>
      <c r="L259" s="85" t="s">
        <v>109</v>
      </c>
      <c r="M259" s="311" t="s">
        <v>882</v>
      </c>
      <c r="N259" s="311"/>
      <c r="O259" s="80"/>
      <c r="P259" s="81"/>
      <c r="Q259" s="81"/>
      <c r="R259" s="81"/>
      <c r="S259" s="307">
        <f>SUMGROUP(ROW(), "T")</f>
        <v>66</v>
      </c>
      <c r="T259" s="307"/>
      <c r="U259" s="308"/>
      <c r="V259" s="308"/>
      <c r="W259" s="308"/>
      <c r="X259" s="82"/>
      <c r="Y259" s="83"/>
      <c r="Z259" s="83"/>
      <c r="AA259" s="83"/>
      <c r="AB259" s="221"/>
      <c r="AC259" s="84"/>
      <c r="AD259" s="23" t="str">
        <f>IF(M259="", "Error: Module name cannot be empty.", "")</f>
        <v/>
      </c>
    </row>
    <row r="260" spans="1:30" s="14" customFormat="1" ht="15.5" outlineLevel="1" x14ac:dyDescent="0.35">
      <c r="A260" s="86" t="s">
        <v>100</v>
      </c>
      <c r="B260" s="18"/>
      <c r="C260" s="77"/>
      <c r="D260" s="77"/>
      <c r="E260" s="77"/>
      <c r="F260" s="76"/>
      <c r="G260" s="29"/>
      <c r="H260" s="29"/>
      <c r="I260" s="29"/>
      <c r="J260" s="29"/>
      <c r="K260" s="29"/>
      <c r="L260" s="17">
        <f ca="1">LOOKUP(1000,INDIRECT("L1:"&amp;CELL("address",INDIRECT("R[-1]C",FALSE))))+1</f>
        <v>20</v>
      </c>
      <c r="M260" s="309" t="s">
        <v>1080</v>
      </c>
      <c r="N260" s="310"/>
      <c r="O260" s="5"/>
      <c r="P260" s="30"/>
      <c r="Q260" s="30"/>
      <c r="R260" s="30"/>
      <c r="S260" s="30"/>
      <c r="T260" s="155">
        <f>IF($S$6="Exclude", SUMIFS(S261:S270, J261:J270, "&lt;&gt;Yes", G261:G270, "&lt;&gt;Yes"), SUMIFS(S261:S270, J261:J270, "&lt;&gt;Yes"))</f>
        <v>14</v>
      </c>
      <c r="U260" s="30"/>
      <c r="V260" s="30"/>
      <c r="W260" s="30"/>
      <c r="X260" s="31"/>
      <c r="Y260" s="32"/>
      <c r="Z260" s="32"/>
      <c r="AA260" s="32"/>
      <c r="AB260" s="219" t="s">
        <v>952</v>
      </c>
      <c r="AC260" s="33"/>
      <c r="AD260" s="23" t="str">
        <f>IF(M260="", "Error: Task name cannot be empty.", "")</f>
        <v/>
      </c>
    </row>
    <row r="261" spans="1:30" s="12" customFormat="1" ht="1.5" customHeight="1" outlineLevel="2" x14ac:dyDescent="0.35">
      <c r="A261" s="86" t="s">
        <v>101</v>
      </c>
      <c r="B261" s="18"/>
      <c r="C261" s="77"/>
      <c r="D261" s="77"/>
      <c r="E261" s="77"/>
      <c r="F261" s="76"/>
      <c r="G261" s="29"/>
      <c r="H261" s="29"/>
      <c r="I261" s="29"/>
      <c r="J261" s="29"/>
      <c r="K261" s="29"/>
      <c r="L261" s="163">
        <f ca="1">L260</f>
        <v>20</v>
      </c>
      <c r="M261" s="164" t="s">
        <v>105</v>
      </c>
      <c r="N261" s="161"/>
      <c r="O261" s="162"/>
      <c r="P261" s="30"/>
      <c r="Q261" s="30"/>
      <c r="R261" s="30"/>
      <c r="S261" s="30"/>
      <c r="T261" s="155"/>
      <c r="U261" s="30"/>
      <c r="V261" s="30"/>
      <c r="W261" s="30"/>
      <c r="X261" s="31"/>
      <c r="Y261" s="32"/>
      <c r="Z261" s="32"/>
      <c r="AA261" s="32"/>
      <c r="AB261" s="33"/>
      <c r="AC261" s="33"/>
      <c r="AD261" s="23"/>
    </row>
    <row r="262" spans="1:30" ht="15.5" outlineLevel="2" x14ac:dyDescent="0.35">
      <c r="A262" s="86" t="s">
        <v>0</v>
      </c>
      <c r="B262" s="18"/>
      <c r="C262" s="78"/>
      <c r="D262" s="78"/>
      <c r="E262" s="78"/>
      <c r="F262" s="79"/>
      <c r="G262" s="19" t="s">
        <v>23</v>
      </c>
      <c r="H262" s="19" t="s">
        <v>23</v>
      </c>
      <c r="I262" s="20" t="s">
        <v>23</v>
      </c>
      <c r="J262" s="19" t="s">
        <v>23</v>
      </c>
      <c r="K262" s="35"/>
      <c r="L262" s="19"/>
      <c r="M262" s="263" t="str">
        <f ca="1">IFERROR(OFFSET(M262,-1,,1,1)+0.1,OFFSET(M262,-1,-1,1,1)&amp;".1")</f>
        <v>20.1</v>
      </c>
      <c r="N262" s="20" t="s">
        <v>1081</v>
      </c>
      <c r="O262" s="20"/>
      <c r="P262" s="20"/>
      <c r="Q262" s="134"/>
      <c r="R262" s="127"/>
      <c r="S262" s="157">
        <f>CEILING((IF(J262="Yes", 0, IF(H262="-",AA262,AA262+AA262*VLOOKUP(H262,BUFFERS_BY_TYPE,2,FALSE)))) +
   (IF(J262="Yes", 0, IF(H262="-",AA262,AA262+AA262*VLOOKUP(H262,BUFFERS_BY_TYPE,2,FALSE))))*VLOOKUP($S$5, SALES_CALL_SCALE_ARRAY, 2,FALSE),0.25)</f>
        <v>3</v>
      </c>
      <c r="T262" s="158"/>
      <c r="U262" s="21">
        <v>0</v>
      </c>
      <c r="V262" s="21">
        <v>1</v>
      </c>
      <c r="W262" s="21">
        <v>0</v>
      </c>
      <c r="X262" s="156">
        <v>3</v>
      </c>
      <c r="Y262" s="157">
        <f>CEILING((IF(P262=AS_DEV_EFFORT, DEV_EFFORT*Q262%,
                           IF(P262=AS_DURATION_EFFORT, (MANUAL_DURATION*5)*Q262%,
                                    (IF(Q262&lt;=1,X262,
                                          IF(SUM(U262:W262)=0,(Q262*X262),
                                               (((Q262*U262)*(X262+(X262*EXTRA_FOR_H)))+
                                               ((Q262*V262)*X262)+
                                               ((Q262*W262)*(X262-(X262*LESS_FOR_L)))
                                    )*IF(R262=0,1,R262))))))+Z262), 0.25)</f>
        <v>3</v>
      </c>
      <c r="Z262" s="22"/>
      <c r="AA262" s="157">
        <f>Y262+Y262*VLOOKUP(I262,EXTRAS_ARRAY,2,FALSE)</f>
        <v>3</v>
      </c>
      <c r="AB262" s="20"/>
      <c r="AC262" s="34"/>
      <c r="AD262" s="23" t="str">
        <f>IF(J262&lt;&gt;"Yes",
IF(S262&lt;=0,"Error: Effort value is not defined or is invalid.",
IF(AND(SUM(U262:W262)&gt;0,SUM(U262:W262)&lt;&gt;1),"Error: Complexity % distribution should sum to 100%.",
IF(AND(P262=AS_DEV_EFFORT,X262&lt;&gt;0),"Error: PDs should not be defined when defining as dev effort %.",
IF(AND(P262=AS_DURATION_EFFORT,X262&lt;&gt;0),"Error: PDs should not be defined when defining as duration effort %.","")))))</f>
        <v/>
      </c>
    </row>
    <row r="263" spans="1:30" ht="15.5" outlineLevel="2" x14ac:dyDescent="0.35">
      <c r="A263" s="86" t="s">
        <v>0</v>
      </c>
      <c r="B263" s="18"/>
      <c r="C263" s="78"/>
      <c r="D263" s="78"/>
      <c r="E263" s="78"/>
      <c r="F263" s="79"/>
      <c r="G263" s="19" t="s">
        <v>23</v>
      </c>
      <c r="H263" s="19" t="s">
        <v>23</v>
      </c>
      <c r="I263" s="20" t="s">
        <v>23</v>
      </c>
      <c r="J263" s="19" t="s">
        <v>23</v>
      </c>
      <c r="K263" s="35"/>
      <c r="L263" s="19"/>
      <c r="M263" s="263">
        <f ca="1">IFERROR(OFFSET(M263,-1,,1,1)+0.1,OFFSET(M263,-1,-1,1,1)&amp;".1")</f>
        <v>20.200000000000003</v>
      </c>
      <c r="N263" s="20" t="s">
        <v>1082</v>
      </c>
      <c r="O263" s="20"/>
      <c r="P263" s="20"/>
      <c r="Q263" s="134"/>
      <c r="R263" s="127"/>
      <c r="S263" s="157">
        <f>CEILING((IF(J263="Yes", 0, IF(H263="-",AA263,AA263+AA263*VLOOKUP(H263,BUFFERS_BY_TYPE,2,FALSE)))) +
   (IF(J263="Yes", 0, IF(H263="-",AA263,AA263+AA263*VLOOKUP(H263,BUFFERS_BY_TYPE,2,FALSE))))*VLOOKUP($S$5, SALES_CALL_SCALE_ARRAY, 2,FALSE),0.25)</f>
        <v>3</v>
      </c>
      <c r="T263" s="158"/>
      <c r="U263" s="21">
        <v>0</v>
      </c>
      <c r="V263" s="21">
        <v>1</v>
      </c>
      <c r="W263" s="21">
        <v>0</v>
      </c>
      <c r="X263" s="156">
        <v>3</v>
      </c>
      <c r="Y263" s="157">
        <f>CEILING((IF(P263=AS_DEV_EFFORT, DEV_EFFORT*Q263%,
                           IF(P263=AS_DURATION_EFFORT, (MANUAL_DURATION*5)*Q263%,
                                    (IF(Q263&lt;=1,X263,
                                          IF(SUM(U263:W263)=0,(Q263*X263),
                                               (((Q263*U263)*(X263+(X263*EXTRA_FOR_H)))+
                                               ((Q263*V263)*X263)+
                                               ((Q263*W263)*(X263-(X263*LESS_FOR_L)))
                                    )*IF(R263=0,1,R263))))))+Z263), 0.25)</f>
        <v>3</v>
      </c>
      <c r="Z263" s="22"/>
      <c r="AA263" s="157">
        <f>Y263+Y263*VLOOKUP(I263,EXTRAS_ARRAY,2,FALSE)</f>
        <v>3</v>
      </c>
      <c r="AB263" s="20"/>
      <c r="AC263" s="34"/>
      <c r="AD263" s="23" t="str">
        <f>IF(J263&lt;&gt;"Yes",
IF(S263&lt;=0,"Error: Effort value is not defined or is invalid.",
IF(AND(SUM(U263:W263)&gt;0,SUM(U263:W263)&lt;&gt;1),"Error: Complexity % distribution should sum to 100%.",
IF(AND(P263=AS_DEV_EFFORT,X263&lt;&gt;0),"Error: PDs should not be defined when defining as dev effort %.",
IF(AND(P263=AS_DURATION_EFFORT,X263&lt;&gt;0),"Error: PDs should not be defined when defining as duration effort %.","")))))</f>
        <v/>
      </c>
    </row>
    <row r="264" spans="1:30" ht="15.5" outlineLevel="2" x14ac:dyDescent="0.35">
      <c r="A264" s="86" t="s">
        <v>0</v>
      </c>
      <c r="B264" s="18"/>
      <c r="C264" s="78"/>
      <c r="D264" s="78"/>
      <c r="E264" s="78"/>
      <c r="F264" s="79"/>
      <c r="G264" s="19" t="s">
        <v>23</v>
      </c>
      <c r="H264" s="19" t="s">
        <v>23</v>
      </c>
      <c r="I264" s="20" t="s">
        <v>23</v>
      </c>
      <c r="J264" s="19" t="s">
        <v>23</v>
      </c>
      <c r="K264" s="35"/>
      <c r="L264" s="19"/>
      <c r="M264" s="263">
        <f ca="1">IFERROR(OFFSET(M264,-1,,1,1)+0.1,OFFSET(M264,-1,-1,1,1)&amp;".1")</f>
        <v>20.300000000000004</v>
      </c>
      <c r="N264" s="20" t="s">
        <v>1083</v>
      </c>
      <c r="O264" s="20"/>
      <c r="P264" s="20"/>
      <c r="Q264" s="134"/>
      <c r="R264" s="127"/>
      <c r="S264" s="157">
        <f>CEILING((IF(J264="Yes", 0, IF(H264="-",AA264,AA264+AA264*VLOOKUP(H264,BUFFERS_BY_TYPE,2,FALSE)))) +
   (IF(J264="Yes", 0, IF(H264="-",AA264,AA264+AA264*VLOOKUP(H264,BUFFERS_BY_TYPE,2,FALSE))))*VLOOKUP($S$5, SALES_CALL_SCALE_ARRAY, 2,FALSE),0.25)</f>
        <v>3</v>
      </c>
      <c r="T264" s="158"/>
      <c r="U264" s="21">
        <v>0</v>
      </c>
      <c r="V264" s="21">
        <v>1</v>
      </c>
      <c r="W264" s="21">
        <v>0</v>
      </c>
      <c r="X264" s="156">
        <v>3</v>
      </c>
      <c r="Y264" s="157">
        <f>CEILING((IF(P264=AS_DEV_EFFORT, DEV_EFFORT*Q264%,
                           IF(P264=AS_DURATION_EFFORT, (MANUAL_DURATION*5)*Q264%,
                                    (IF(Q264&lt;=1,X264,
                                          IF(SUM(U264:W264)=0,(Q264*X264),
                                               (((Q264*U264)*(X264+(X264*EXTRA_FOR_H)))+
                                               ((Q264*V264)*X264)+
                                               ((Q264*W264)*(X264-(X264*LESS_FOR_L)))
                                    )*IF(R264=0,1,R264))))))+Z264), 0.25)</f>
        <v>3</v>
      </c>
      <c r="Z264" s="22"/>
      <c r="AA264" s="157">
        <f>Y264+Y264*VLOOKUP(I264,EXTRAS_ARRAY,2,FALSE)</f>
        <v>3</v>
      </c>
      <c r="AB264" s="20"/>
      <c r="AC264" s="34"/>
      <c r="AD264" s="23" t="str">
        <f>IF(J264&lt;&gt;"Yes",
IF(S264&lt;=0,"Error: Effort value is not defined or is invalid.",
IF(AND(SUM(U264:W264)&gt;0,SUM(U264:W264)&lt;&gt;1),"Error: Complexity % distribution should sum to 100%.",
IF(AND(P264=AS_DEV_EFFORT,X264&lt;&gt;0),"Error: PDs should not be defined when defining as dev effort %.",
IF(AND(P264=AS_DURATION_EFFORT,X264&lt;&gt;0),"Error: PDs should not be defined when defining as duration effort %.","")))))</f>
        <v/>
      </c>
    </row>
    <row r="265" spans="1:30" ht="15.5" outlineLevel="2" x14ac:dyDescent="0.35">
      <c r="A265" s="86" t="s">
        <v>0</v>
      </c>
      <c r="B265" s="18"/>
      <c r="C265" s="78"/>
      <c r="D265" s="78"/>
      <c r="E265" s="78"/>
      <c r="F265" s="79"/>
      <c r="G265" s="19" t="s">
        <v>23</v>
      </c>
      <c r="H265" s="19" t="s">
        <v>23</v>
      </c>
      <c r="I265" s="20" t="s">
        <v>23</v>
      </c>
      <c r="J265" s="19" t="s">
        <v>23</v>
      </c>
      <c r="K265" s="35"/>
      <c r="L265" s="19"/>
      <c r="M265" s="263">
        <f ca="1">IFERROR(OFFSET(M265,-1,,1,1)+0.1,OFFSET(M265,-1,-1,1,1)&amp;".1")</f>
        <v>20.400000000000006</v>
      </c>
      <c r="N265" s="20" t="s">
        <v>1084</v>
      </c>
      <c r="O265" s="20"/>
      <c r="P265" s="20"/>
      <c r="Q265" s="134"/>
      <c r="R265" s="127"/>
      <c r="S265" s="157">
        <f>CEILING((IF(J265="Yes", 0, IF(H265="-",AA265,AA265+AA265*VLOOKUP(H265,BUFFERS_BY_TYPE,2,FALSE)))) +
   (IF(J265="Yes", 0, IF(H265="-",AA265,AA265+AA265*VLOOKUP(H265,BUFFERS_BY_TYPE,2,FALSE))))*VLOOKUP($S$5, SALES_CALL_SCALE_ARRAY, 2,FALSE),0.25)</f>
        <v>3</v>
      </c>
      <c r="T265" s="158"/>
      <c r="U265" s="21">
        <v>0</v>
      </c>
      <c r="V265" s="21">
        <v>1</v>
      </c>
      <c r="W265" s="21">
        <v>0</v>
      </c>
      <c r="X265" s="156">
        <v>3</v>
      </c>
      <c r="Y265" s="157">
        <f>CEILING((IF(P265=AS_DEV_EFFORT, DEV_EFFORT*Q265%,
                           IF(P265=AS_DURATION_EFFORT, (MANUAL_DURATION*5)*Q265%,
                                    (IF(Q265&lt;=1,X265,
                                          IF(SUM(U265:W265)=0,(Q265*X265),
                                               (((Q265*U265)*(X265+(X265*EXTRA_FOR_H)))+
                                               ((Q265*V265)*X265)+
                                               ((Q265*W265)*(X265-(X265*LESS_FOR_L)))
                                    )*IF(R265=0,1,R265))))))+Z265), 0.25)</f>
        <v>3</v>
      </c>
      <c r="Z265" s="22"/>
      <c r="AA265" s="157">
        <f>Y265+Y265*VLOOKUP(I265,EXTRAS_ARRAY,2,FALSE)</f>
        <v>3</v>
      </c>
      <c r="AB265" s="20"/>
      <c r="AC265" s="34"/>
      <c r="AD265" s="23" t="str">
        <f>IF(J265&lt;&gt;"Yes",
IF(S265&lt;=0,"Error: Effort value is not defined or is invalid.",
IF(AND(SUM(U265:W265)&gt;0,SUM(U265:W265)&lt;&gt;1),"Error: Complexity % distribution should sum to 100%.",
IF(AND(P265=AS_DEV_EFFORT,X265&lt;&gt;0),"Error: PDs should not be defined when defining as dev effort %.",
IF(AND(P265=AS_DURATION_EFFORT,X265&lt;&gt;0),"Error: PDs should not be defined when defining as duration effort %.","")))))</f>
        <v/>
      </c>
    </row>
    <row r="266" spans="1:30" ht="15.5" outlineLevel="2" x14ac:dyDescent="0.35">
      <c r="A266" s="86" t="s">
        <v>0</v>
      </c>
      <c r="B266" s="18"/>
      <c r="C266" s="78"/>
      <c r="D266" s="78"/>
      <c r="E266" s="78"/>
      <c r="F266" s="79"/>
      <c r="G266" s="19" t="s">
        <v>23</v>
      </c>
      <c r="H266" s="19" t="s">
        <v>23</v>
      </c>
      <c r="I266" s="20" t="s">
        <v>23</v>
      </c>
      <c r="J266" s="19" t="s">
        <v>23</v>
      </c>
      <c r="K266" s="35"/>
      <c r="L266" s="19"/>
      <c r="M266" s="263">
        <f ca="1">IFERROR(OFFSET(M266,-1,,1,1)+0.1,OFFSET(M266,-1,-1,1,1)&amp;".1")</f>
        <v>20.500000000000007</v>
      </c>
      <c r="N266" s="20" t="s">
        <v>883</v>
      </c>
      <c r="O266" s="20"/>
      <c r="P266" s="20"/>
      <c r="Q266" s="134"/>
      <c r="R266" s="127"/>
      <c r="S266" s="157">
        <f>CEILING((IF(J266="Yes", 0, IF(H266="-",AA266,AA266+AA266*VLOOKUP(H266,BUFFERS_BY_TYPE,2,FALSE)))) +
   (IF(J266="Yes", 0, IF(H266="-",AA266,AA266+AA266*VLOOKUP(H266,BUFFERS_BY_TYPE,2,FALSE))))*VLOOKUP($S$5, SALES_CALL_SCALE_ARRAY, 2,FALSE),0.25)</f>
        <v>2</v>
      </c>
      <c r="T266" s="158"/>
      <c r="U266" s="21">
        <v>0</v>
      </c>
      <c r="V266" s="21">
        <v>1</v>
      </c>
      <c r="W266" s="21">
        <v>0</v>
      </c>
      <c r="X266" s="156">
        <v>2</v>
      </c>
      <c r="Y266" s="157">
        <f>CEILING((IF(P266=AS_DEV_EFFORT, DEV_EFFORT*Q266%,
                           IF(P266=AS_DURATION_EFFORT, (MANUAL_DURATION*5)*Q266%,
                                    (IF(Q266&lt;=1,X266,
                                          IF(SUM(U266:W266)=0,(Q266*X266),
                                               (((Q266*U266)*(X266+(X266*EXTRA_FOR_H)))+
                                               ((Q266*V266)*X266)+
                                               ((Q266*W266)*(X266-(X266*LESS_FOR_L)))
                                    )*IF(R266=0,1,R266))))))+Z266), 0.25)</f>
        <v>2</v>
      </c>
      <c r="Z266" s="22"/>
      <c r="AA266" s="157">
        <f>Y266+Y266*VLOOKUP(I266,EXTRAS_ARRAY,2,FALSE)</f>
        <v>2</v>
      </c>
      <c r="AB266" s="20"/>
      <c r="AC266" s="34"/>
      <c r="AD266" s="23" t="str">
        <f>IF(J266&lt;&gt;"Yes",
IF(S266&lt;=0,"Error: Effort value is not defined or is invalid.",
IF(AND(SUM(U266:W266)&gt;0,SUM(U266:W266)&lt;&gt;1),"Error: Complexity % distribution should sum to 100%.",
IF(AND(P266=AS_DEV_EFFORT,X266&lt;&gt;0),"Error: PDs should not be defined when defining as dev effort %.",
IF(AND(P266=AS_DURATION_EFFORT,X266&lt;&gt;0),"Error: PDs should not be defined when defining as duration effort %.","")))))</f>
        <v/>
      </c>
    </row>
    <row r="267" spans="1:30" ht="58" outlineLevel="2" x14ac:dyDescent="0.35">
      <c r="A267" s="86" t="s">
        <v>0</v>
      </c>
      <c r="B267" s="18"/>
      <c r="C267" s="78"/>
      <c r="D267" s="78"/>
      <c r="E267" s="78"/>
      <c r="F267" s="79"/>
      <c r="G267" s="19" t="s">
        <v>23</v>
      </c>
      <c r="H267" s="19" t="s">
        <v>23</v>
      </c>
      <c r="I267" s="20" t="s">
        <v>23</v>
      </c>
      <c r="J267" s="19" t="s">
        <v>23</v>
      </c>
      <c r="K267" s="35"/>
      <c r="L267" s="19"/>
      <c r="M267" s="263">
        <f ca="1">IFERROR(OFFSET(M267,-1,,1,1)+0.1,OFFSET(M267,-1,-1,1,1)&amp;".1")</f>
        <v>20.600000000000009</v>
      </c>
      <c r="N267" s="20" t="s">
        <v>438</v>
      </c>
      <c r="O267" s="20"/>
      <c r="P267" s="20"/>
      <c r="Q267" s="134"/>
      <c r="R267" s="127"/>
      <c r="S267" s="157">
        <f>CEILING((IF(J267="Yes", 0, IF(H267="-",AA267,AA267+AA267*VLOOKUP(H267,BUFFERS_BY_TYPE,2,FALSE)))) +
   (IF(J267="Yes", 0, IF(H267="-",AA267,AA267+AA267*VLOOKUP(H267,BUFFERS_BY_TYPE,2,FALSE))))*VLOOKUP($S$5, SALES_CALL_SCALE_ARRAY, 2,FALSE),0.25)</f>
        <v>0</v>
      </c>
      <c r="T267" s="158"/>
      <c r="U267" s="21">
        <v>0</v>
      </c>
      <c r="V267" s="21">
        <v>1</v>
      </c>
      <c r="W267" s="21">
        <v>0</v>
      </c>
      <c r="X267" s="156"/>
      <c r="Y267" s="157">
        <f>CEILING((IF(P267=AS_DEV_EFFORT, DEV_EFFORT*Q267%,
                           IF(P267=AS_DURATION_EFFORT, (MANUAL_DURATION*5)*Q267%,
                                    (IF(Q267&lt;=1,X267,
                                          IF(SUM(U267:W267)=0,(Q267*X267),
                                               (((Q267*U267)*(X267+(X267*EXTRA_FOR_H)))+
                                               ((Q267*V267)*X267)+
                                               ((Q267*W267)*(X267-(X267*LESS_FOR_L)))
                                    )*IF(R267=0,1,R267))))))+Z267), 0.25)</f>
        <v>0</v>
      </c>
      <c r="Z267" s="22"/>
      <c r="AA267" s="157">
        <f>Y267+Y267*VLOOKUP(I267,EXTRAS_ARRAY,2,FALSE)</f>
        <v>0</v>
      </c>
      <c r="AB267" s="20" t="s">
        <v>440</v>
      </c>
      <c r="AC267" s="34"/>
      <c r="AD267" s="23" t="str">
        <f>IF(J267&lt;&gt;"Yes",
IF(S267&lt;=0,"Error: Effort value is not defined or is invalid.",
IF(AND(SUM(U267:W267)&gt;0,SUM(U267:W267)&lt;&gt;1),"Error: Complexity % distribution should sum to 100%.",
IF(AND(P267=AS_DEV_EFFORT,X267&lt;&gt;0),"Error: PDs should not be defined when defining as dev effort %.",
IF(AND(P267=AS_DURATION_EFFORT,X267&lt;&gt;0),"Error: PDs should not be defined when defining as duration effort %.","")))))</f>
        <v>Error: Effort value is not defined or is invalid.</v>
      </c>
    </row>
    <row r="268" spans="1:30" ht="58" outlineLevel="2" x14ac:dyDescent="0.35">
      <c r="A268" s="86" t="s">
        <v>0</v>
      </c>
      <c r="B268" s="18"/>
      <c r="C268" s="78"/>
      <c r="D268" s="78"/>
      <c r="E268" s="78"/>
      <c r="F268" s="79"/>
      <c r="G268" s="19" t="s">
        <v>23</v>
      </c>
      <c r="H268" s="19" t="s">
        <v>23</v>
      </c>
      <c r="I268" s="20" t="s">
        <v>23</v>
      </c>
      <c r="J268" s="19" t="s">
        <v>23</v>
      </c>
      <c r="K268" s="35"/>
      <c r="L268" s="19"/>
      <c r="M268" s="263">
        <f ca="1">IFERROR(OFFSET(M268,-1,,1,1)+0.1,OFFSET(M268,-1,-1,1,1)&amp;".1")</f>
        <v>20.70000000000001</v>
      </c>
      <c r="N268" s="20" t="s">
        <v>438</v>
      </c>
      <c r="O268" s="20"/>
      <c r="P268" s="20"/>
      <c r="Q268" s="134"/>
      <c r="R268" s="127"/>
      <c r="S268" s="157">
        <f>CEILING((IF(J268="Yes", 0, IF(H268="-",AA268,AA268+AA268*VLOOKUP(H268,BUFFERS_BY_TYPE,2,FALSE)))) +
   (IF(J268="Yes", 0, IF(H268="-",AA268,AA268+AA268*VLOOKUP(H268,BUFFERS_BY_TYPE,2,FALSE))))*VLOOKUP($S$5, SALES_CALL_SCALE_ARRAY, 2,FALSE),0.25)</f>
        <v>0</v>
      </c>
      <c r="T268" s="158"/>
      <c r="U268" s="21">
        <v>0</v>
      </c>
      <c r="V268" s="21">
        <v>1</v>
      </c>
      <c r="W268" s="21">
        <v>0</v>
      </c>
      <c r="X268" s="156"/>
      <c r="Y268" s="157">
        <f>CEILING((IF(P268=AS_DEV_EFFORT, DEV_EFFORT*Q268%,
                           IF(P268=AS_DURATION_EFFORT, (MANUAL_DURATION*5)*Q268%,
                                    (IF(Q268&lt;=1,X268,
                                          IF(SUM(U268:W268)=0,(Q268*X268),
                                               (((Q268*U268)*(X268+(X268*EXTRA_FOR_H)))+
                                               ((Q268*V268)*X268)+
                                               ((Q268*W268)*(X268-(X268*LESS_FOR_L)))
                                    )*IF(R268=0,1,R268))))))+Z268), 0.25)</f>
        <v>0</v>
      </c>
      <c r="Z268" s="22"/>
      <c r="AA268" s="157">
        <f>Y268+Y268*VLOOKUP(I268,EXTRAS_ARRAY,2,FALSE)</f>
        <v>0</v>
      </c>
      <c r="AB268" s="20" t="s">
        <v>440</v>
      </c>
      <c r="AC268" s="34"/>
      <c r="AD268" s="23" t="str">
        <f>IF(J268&lt;&gt;"Yes",
IF(S268&lt;=0,"Error: Effort value is not defined or is invalid.",
IF(AND(SUM(U268:W268)&gt;0,SUM(U268:W268)&lt;&gt;1),"Error: Complexity % distribution should sum to 100%.",
IF(AND(P268=AS_DEV_EFFORT,X268&lt;&gt;0),"Error: PDs should not be defined when defining as dev effort %.",
IF(AND(P268=AS_DURATION_EFFORT,X268&lt;&gt;0),"Error: PDs should not be defined when defining as duration effort %.","")))))</f>
        <v>Error: Effort value is not defined or is invalid.</v>
      </c>
    </row>
    <row r="269" spans="1:30" ht="58" outlineLevel="2" x14ac:dyDescent="0.35">
      <c r="A269" s="86" t="s">
        <v>0</v>
      </c>
      <c r="B269" s="18"/>
      <c r="C269" s="78"/>
      <c r="D269" s="78"/>
      <c r="E269" s="78"/>
      <c r="F269" s="79"/>
      <c r="G269" s="19" t="s">
        <v>23</v>
      </c>
      <c r="H269" s="19" t="s">
        <v>23</v>
      </c>
      <c r="I269" s="20" t="s">
        <v>23</v>
      </c>
      <c r="J269" s="19" t="s">
        <v>23</v>
      </c>
      <c r="K269" s="35"/>
      <c r="L269" s="19"/>
      <c r="M269" s="263">
        <f ca="1">IFERROR(OFFSET(M269,-1,,1,1)+0.1,OFFSET(M269,-1,-1,1,1)&amp;".1")</f>
        <v>20.800000000000011</v>
      </c>
      <c r="N269" s="20" t="s">
        <v>438</v>
      </c>
      <c r="O269" s="20"/>
      <c r="P269" s="20"/>
      <c r="Q269" s="134"/>
      <c r="R269" s="127"/>
      <c r="S269" s="157">
        <f>CEILING((IF(J269="Yes", 0, IF(H269="-",AA269,AA269+AA269*VLOOKUP(H269,BUFFERS_BY_TYPE,2,FALSE)))) +
   (IF(J269="Yes", 0, IF(H269="-",AA269,AA269+AA269*VLOOKUP(H269,BUFFERS_BY_TYPE,2,FALSE))))*VLOOKUP($S$5, SALES_CALL_SCALE_ARRAY, 2,FALSE),0.25)</f>
        <v>0</v>
      </c>
      <c r="T269" s="158"/>
      <c r="U269" s="21">
        <v>0</v>
      </c>
      <c r="V269" s="21">
        <v>1</v>
      </c>
      <c r="W269" s="21">
        <v>0</v>
      </c>
      <c r="X269" s="156"/>
      <c r="Y269" s="157">
        <f>CEILING((IF(P269=AS_DEV_EFFORT, DEV_EFFORT*Q269%,
                           IF(P269=AS_DURATION_EFFORT, (MANUAL_DURATION*5)*Q269%,
                                    (IF(Q269&lt;=1,X269,
                                          IF(SUM(U269:W269)=0,(Q269*X269),
                                               (((Q269*U269)*(X269+(X269*EXTRA_FOR_H)))+
                                               ((Q269*V269)*X269)+
                                               ((Q269*W269)*(X269-(X269*LESS_FOR_L)))
                                    )*IF(R269=0,1,R269))))))+Z269), 0.25)</f>
        <v>0</v>
      </c>
      <c r="Z269" s="22"/>
      <c r="AA269" s="157">
        <f>Y269+Y269*VLOOKUP(I269,EXTRAS_ARRAY,2,FALSE)</f>
        <v>0</v>
      </c>
      <c r="AB269" s="20" t="s">
        <v>440</v>
      </c>
      <c r="AC269" s="34"/>
      <c r="AD269" s="23" t="str">
        <f>IF(J269&lt;&gt;"Yes",
IF(S269&lt;=0,"Error: Effort value is not defined or is invalid.",
IF(AND(SUM(U269:W269)&gt;0,SUM(U269:W269)&lt;&gt;1),"Error: Complexity % distribution should sum to 100%.",
IF(AND(P269=AS_DEV_EFFORT,X269&lt;&gt;0),"Error: PDs should not be defined when defining as dev effort %.",
IF(AND(P269=AS_DURATION_EFFORT,X269&lt;&gt;0),"Error: PDs should not be defined when defining as duration effort %.","")))))</f>
        <v>Error: Effort value is not defined or is invalid.</v>
      </c>
    </row>
    <row r="270" spans="1:30" s="9" customFormat="1" ht="7.5" customHeight="1" outlineLevel="2" x14ac:dyDescent="0.35">
      <c r="A270" s="86" t="s">
        <v>132</v>
      </c>
      <c r="B270" s="15"/>
      <c r="C270" s="72"/>
      <c r="D270" s="72"/>
      <c r="E270" s="72"/>
      <c r="F270" s="72"/>
      <c r="M270" s="252"/>
      <c r="T270" s="15"/>
      <c r="X270" s="15"/>
      <c r="AB270" s="10"/>
      <c r="AC270" s="10"/>
      <c r="AD270" s="10"/>
    </row>
    <row r="271" spans="1:30" s="14" customFormat="1" ht="15.5" outlineLevel="1" collapsed="1" x14ac:dyDescent="0.35">
      <c r="A271" s="86" t="s">
        <v>100</v>
      </c>
      <c r="B271" s="18"/>
      <c r="C271" s="77"/>
      <c r="D271" s="77"/>
      <c r="E271" s="77"/>
      <c r="F271" s="76"/>
      <c r="G271" s="29"/>
      <c r="H271" s="29"/>
      <c r="I271" s="29"/>
      <c r="J271" s="29"/>
      <c r="K271" s="29"/>
      <c r="L271" s="17">
        <f ca="1">LOOKUP(1000,INDIRECT("L1:"&amp;CELL("address",INDIRECT("R[-1]C",FALSE))))+1</f>
        <v>21</v>
      </c>
      <c r="M271" s="309" t="s">
        <v>1085</v>
      </c>
      <c r="N271" s="310"/>
      <c r="O271" s="5"/>
      <c r="P271" s="30"/>
      <c r="Q271" s="30"/>
      <c r="R271" s="30"/>
      <c r="S271" s="30"/>
      <c r="T271" s="155">
        <f>IF($S$6="Exclude", SUMIFS(S272:S278, J272:J278, "&lt;&gt;Yes", G272:G278, "&lt;&gt;Yes"), SUMIFS(S272:S278, J272:J278, "&lt;&gt;Yes"))</f>
        <v>16</v>
      </c>
      <c r="U271" s="30"/>
      <c r="V271" s="30"/>
      <c r="W271" s="30"/>
      <c r="X271" s="31"/>
      <c r="Y271" s="32"/>
      <c r="Z271" s="32"/>
      <c r="AA271" s="32"/>
      <c r="AB271" s="219" t="s">
        <v>953</v>
      </c>
      <c r="AC271" s="33"/>
      <c r="AD271" s="23" t="str">
        <f>IF(M271="", "Error: Task name cannot be empty.", "")</f>
        <v/>
      </c>
    </row>
    <row r="272" spans="1:30" s="12" customFormat="1" ht="1.5" hidden="1" customHeight="1" outlineLevel="2" x14ac:dyDescent="0.35">
      <c r="A272" s="86" t="s">
        <v>101</v>
      </c>
      <c r="B272" s="18"/>
      <c r="C272" s="77"/>
      <c r="D272" s="77"/>
      <c r="E272" s="77"/>
      <c r="F272" s="76"/>
      <c r="G272" s="29"/>
      <c r="H272" s="29"/>
      <c r="I272" s="29"/>
      <c r="J272" s="29"/>
      <c r="K272" s="29"/>
      <c r="L272" s="163">
        <f ca="1">L271</f>
        <v>21</v>
      </c>
      <c r="M272" s="164" t="s">
        <v>105</v>
      </c>
      <c r="N272" s="161"/>
      <c r="O272" s="162"/>
      <c r="P272" s="30"/>
      <c r="Q272" s="30"/>
      <c r="R272" s="30"/>
      <c r="S272" s="30"/>
      <c r="T272" s="155"/>
      <c r="U272" s="30"/>
      <c r="V272" s="30"/>
      <c r="W272" s="30"/>
      <c r="X272" s="31"/>
      <c r="Y272" s="32"/>
      <c r="Z272" s="32"/>
      <c r="AA272" s="32"/>
      <c r="AB272" s="33"/>
      <c r="AC272" s="33"/>
      <c r="AD272" s="23"/>
    </row>
    <row r="273" spans="1:30" ht="15.5" hidden="1" outlineLevel="2" x14ac:dyDescent="0.35">
      <c r="A273" s="86" t="s">
        <v>0</v>
      </c>
      <c r="B273" s="18"/>
      <c r="C273" s="78"/>
      <c r="D273" s="78"/>
      <c r="E273" s="78"/>
      <c r="F273" s="79"/>
      <c r="G273" s="19" t="s">
        <v>23</v>
      </c>
      <c r="H273" s="19" t="s">
        <v>23</v>
      </c>
      <c r="I273" s="20" t="s">
        <v>23</v>
      </c>
      <c r="J273" s="19" t="s">
        <v>23</v>
      </c>
      <c r="K273" s="35"/>
      <c r="L273" s="19"/>
      <c r="M273" s="263" t="str">
        <f ca="1">IFERROR(OFFSET(M273,-1,,1,1)+0.1,OFFSET(M273,-1,-1,1,1)&amp;".1")</f>
        <v>21.1</v>
      </c>
      <c r="N273" s="20" t="s">
        <v>1086</v>
      </c>
      <c r="O273" s="20"/>
      <c r="P273" s="20"/>
      <c r="Q273" s="134"/>
      <c r="R273" s="127"/>
      <c r="S273" s="157">
        <f>CEILING((IF(J273="Yes", 0, IF(H273="-",AA273,AA273+AA273*VLOOKUP(H273,BUFFERS_BY_TYPE,2,FALSE)))) +
   (IF(J273="Yes", 0, IF(H273="-",AA273,AA273+AA273*VLOOKUP(H273,BUFFERS_BY_TYPE,2,FALSE))))*VLOOKUP($S$5, SALES_CALL_SCALE_ARRAY, 2,FALSE),0.25)</f>
        <v>3</v>
      </c>
      <c r="T273" s="158"/>
      <c r="U273" s="21">
        <v>0</v>
      </c>
      <c r="V273" s="21">
        <v>1</v>
      </c>
      <c r="W273" s="21">
        <v>0</v>
      </c>
      <c r="X273" s="156">
        <v>3</v>
      </c>
      <c r="Y273" s="157">
        <f>CEILING((IF(P273=AS_DEV_EFFORT, DEV_EFFORT*Q273%,
                           IF(P273=AS_DURATION_EFFORT, (MANUAL_DURATION*5)*Q273%,
                                    (IF(Q273&lt;=1,X273,
                                          IF(SUM(U273:W273)=0,(Q273*X273),
                                               (((Q273*U273)*(X273+(X273*EXTRA_FOR_H)))+
                                               ((Q273*V273)*X273)+
                                               ((Q273*W273)*(X273-(X273*LESS_FOR_L)))
                                    )*IF(R273=0,1,R273))))))+Z273), 0.25)</f>
        <v>3</v>
      </c>
      <c r="Z273" s="22"/>
      <c r="AA273" s="157">
        <f>Y273+Y273*VLOOKUP(I273,EXTRAS_ARRAY,2,FALSE)</f>
        <v>3</v>
      </c>
      <c r="AB273" s="20"/>
      <c r="AC273" s="34"/>
      <c r="AD273" s="23" t="str">
        <f>IF(J273&lt;&gt;"Yes",
IF(S273&lt;=0,"Error: Effort value is not defined or is invalid.",
IF(AND(SUM(U273:W273)&gt;0,SUM(U273:W273)&lt;&gt;1),"Error: Complexity % distribution should sum to 100%.",
IF(AND(P273=AS_DEV_EFFORT,X273&lt;&gt;0),"Error: PDs should not be defined when defining as dev effort %.",
IF(AND(P273=AS_DURATION_EFFORT,X273&lt;&gt;0),"Error: PDs should not be defined when defining as duration effort %.","")))))</f>
        <v/>
      </c>
    </row>
    <row r="274" spans="1:30" ht="15.5" hidden="1" outlineLevel="2" x14ac:dyDescent="0.35">
      <c r="A274" s="86" t="s">
        <v>0</v>
      </c>
      <c r="B274" s="18"/>
      <c r="C274" s="78"/>
      <c r="D274" s="78"/>
      <c r="E274" s="78"/>
      <c r="F274" s="79"/>
      <c r="G274" s="19" t="s">
        <v>23</v>
      </c>
      <c r="H274" s="19" t="s">
        <v>23</v>
      </c>
      <c r="I274" s="20" t="s">
        <v>23</v>
      </c>
      <c r="J274" s="19" t="s">
        <v>23</v>
      </c>
      <c r="K274" s="35"/>
      <c r="L274" s="19"/>
      <c r="M274" s="263">
        <f ca="1">IFERROR(OFFSET(M274,-1,,1,1)+0.1,OFFSET(M274,-1,-1,1,1)&amp;".1")</f>
        <v>21.200000000000003</v>
      </c>
      <c r="N274" s="20" t="s">
        <v>1087</v>
      </c>
      <c r="O274" s="20"/>
      <c r="P274" s="20"/>
      <c r="Q274" s="134"/>
      <c r="R274" s="127"/>
      <c r="S274" s="157">
        <f>CEILING((IF(J274="Yes", 0, IF(H274="-",AA274,AA274+AA274*VLOOKUP(H274,BUFFERS_BY_TYPE,2,FALSE)))) +
   (IF(J274="Yes", 0, IF(H274="-",AA274,AA274+AA274*VLOOKUP(H274,BUFFERS_BY_TYPE,2,FALSE))))*VLOOKUP($S$5, SALES_CALL_SCALE_ARRAY, 2,FALSE),0.25)</f>
        <v>4</v>
      </c>
      <c r="T274" s="158"/>
      <c r="U274" s="21">
        <v>0</v>
      </c>
      <c r="V274" s="21">
        <v>1</v>
      </c>
      <c r="W274" s="21">
        <v>0</v>
      </c>
      <c r="X274" s="156">
        <v>4</v>
      </c>
      <c r="Y274" s="157">
        <f>CEILING((IF(P274=AS_DEV_EFFORT, DEV_EFFORT*Q274%,
                           IF(P274=AS_DURATION_EFFORT, (MANUAL_DURATION*5)*Q274%,
                                    (IF(Q274&lt;=1,X274,
                                          IF(SUM(U274:W274)=0,(Q274*X274),
                                               (((Q274*U274)*(X274+(X274*EXTRA_FOR_H)))+
                                               ((Q274*V274)*X274)+
                                               ((Q274*W274)*(X274-(X274*LESS_FOR_L)))
                                    )*IF(R274=0,1,R274))))))+Z274), 0.25)</f>
        <v>4</v>
      </c>
      <c r="Z274" s="22"/>
      <c r="AA274" s="157">
        <f>Y274+Y274*VLOOKUP(I274,EXTRAS_ARRAY,2,FALSE)</f>
        <v>4</v>
      </c>
      <c r="AB274" s="20"/>
      <c r="AC274" s="34"/>
      <c r="AD274" s="23" t="str">
        <f>IF(J274&lt;&gt;"Yes",
IF(S274&lt;=0,"Error: Effort value is not defined or is invalid.",
IF(AND(SUM(U274:W274)&gt;0,SUM(U274:W274)&lt;&gt;1),"Error: Complexity % distribution should sum to 100%.",
IF(AND(P274=AS_DEV_EFFORT,X274&lt;&gt;0),"Error: PDs should not be defined when defining as dev effort %.",
IF(AND(P274=AS_DURATION_EFFORT,X274&lt;&gt;0),"Error: PDs should not be defined when defining as duration effort %.","")))))</f>
        <v/>
      </c>
    </row>
    <row r="275" spans="1:30" ht="15.5" hidden="1" outlineLevel="2" x14ac:dyDescent="0.35">
      <c r="A275" s="86" t="s">
        <v>0</v>
      </c>
      <c r="B275" s="18"/>
      <c r="C275" s="78"/>
      <c r="D275" s="78"/>
      <c r="E275" s="78"/>
      <c r="F275" s="79"/>
      <c r="G275" s="19" t="s">
        <v>23</v>
      </c>
      <c r="H275" s="19" t="s">
        <v>23</v>
      </c>
      <c r="I275" s="20" t="s">
        <v>23</v>
      </c>
      <c r="J275" s="19" t="s">
        <v>23</v>
      </c>
      <c r="K275" s="35"/>
      <c r="L275" s="19"/>
      <c r="M275" s="263">
        <f ca="1">IFERROR(OFFSET(M275,-1,,1,1)+0.1,OFFSET(M275,-1,-1,1,1)&amp;".1")</f>
        <v>21.300000000000004</v>
      </c>
      <c r="N275" s="20" t="s">
        <v>1088</v>
      </c>
      <c r="O275" s="20"/>
      <c r="P275" s="20"/>
      <c r="Q275" s="134"/>
      <c r="R275" s="127"/>
      <c r="S275" s="157">
        <f>CEILING((IF(J275="Yes", 0, IF(H275="-",AA275,AA275+AA275*VLOOKUP(H275,BUFFERS_BY_TYPE,2,FALSE)))) +
   (IF(J275="Yes", 0, IF(H275="-",AA275,AA275+AA275*VLOOKUP(H275,BUFFERS_BY_TYPE,2,FALSE))))*VLOOKUP($S$5, SALES_CALL_SCALE_ARRAY, 2,FALSE),0.25)</f>
        <v>4</v>
      </c>
      <c r="T275" s="158"/>
      <c r="U275" s="21">
        <v>0</v>
      </c>
      <c r="V275" s="21">
        <v>1</v>
      </c>
      <c r="W275" s="21">
        <v>0</v>
      </c>
      <c r="X275" s="156">
        <v>4</v>
      </c>
      <c r="Y275" s="157">
        <f>CEILING((IF(P275=AS_DEV_EFFORT, DEV_EFFORT*Q275%,
                           IF(P275=AS_DURATION_EFFORT, (MANUAL_DURATION*5)*Q275%,
                                    (IF(Q275&lt;=1,X275,
                                          IF(SUM(U275:W275)=0,(Q275*X275),
                                               (((Q275*U275)*(X275+(X275*EXTRA_FOR_H)))+
                                               ((Q275*V275)*X275)+
                                               ((Q275*W275)*(X275-(X275*LESS_FOR_L)))
                                    )*IF(R275=0,1,R275))))))+Z275), 0.25)</f>
        <v>4</v>
      </c>
      <c r="Z275" s="22"/>
      <c r="AA275" s="157">
        <f>Y275+Y275*VLOOKUP(I275,EXTRAS_ARRAY,2,FALSE)</f>
        <v>4</v>
      </c>
      <c r="AB275" s="20"/>
      <c r="AC275" s="34"/>
      <c r="AD275" s="23" t="str">
        <f>IF(J275&lt;&gt;"Yes",
IF(S275&lt;=0,"Error: Effort value is not defined or is invalid.",
IF(AND(SUM(U275:W275)&gt;0,SUM(U275:W275)&lt;&gt;1),"Error: Complexity % distribution should sum to 100%.",
IF(AND(P275=AS_DEV_EFFORT,X275&lt;&gt;0),"Error: PDs should not be defined when defining as dev effort %.",
IF(AND(P275=AS_DURATION_EFFORT,X275&lt;&gt;0),"Error: PDs should not be defined when defining as duration effort %.","")))))</f>
        <v/>
      </c>
    </row>
    <row r="276" spans="1:30" ht="15.5" hidden="1" outlineLevel="2" x14ac:dyDescent="0.35">
      <c r="A276" s="86" t="s">
        <v>0</v>
      </c>
      <c r="B276" s="18"/>
      <c r="C276" s="78"/>
      <c r="D276" s="78"/>
      <c r="E276" s="78"/>
      <c r="F276" s="79"/>
      <c r="G276" s="19" t="s">
        <v>23</v>
      </c>
      <c r="H276" s="19" t="s">
        <v>23</v>
      </c>
      <c r="I276" s="20" t="s">
        <v>23</v>
      </c>
      <c r="J276" s="19" t="s">
        <v>23</v>
      </c>
      <c r="K276" s="35"/>
      <c r="L276" s="19"/>
      <c r="M276" s="263">
        <f ca="1">IFERROR(OFFSET(M276,-1,,1,1)+0.1,OFFSET(M276,-1,-1,1,1)&amp;".1")</f>
        <v>21.400000000000006</v>
      </c>
      <c r="N276" s="20" t="s">
        <v>1089</v>
      </c>
      <c r="O276" s="20"/>
      <c r="P276" s="20"/>
      <c r="Q276" s="134"/>
      <c r="R276" s="127"/>
      <c r="S276" s="157">
        <f>CEILING((IF(J276="Yes", 0, IF(H276="-",AA276,AA276+AA276*VLOOKUP(H276,BUFFERS_BY_TYPE,2,FALSE)))) +
   (IF(J276="Yes", 0, IF(H276="-",AA276,AA276+AA276*VLOOKUP(H276,BUFFERS_BY_TYPE,2,FALSE))))*VLOOKUP($S$5, SALES_CALL_SCALE_ARRAY, 2,FALSE),0.25)</f>
        <v>2.5</v>
      </c>
      <c r="T276" s="158"/>
      <c r="U276" s="21">
        <v>0</v>
      </c>
      <c r="V276" s="21">
        <v>1</v>
      </c>
      <c r="W276" s="21">
        <v>0</v>
      </c>
      <c r="X276" s="156">
        <v>2.5</v>
      </c>
      <c r="Y276" s="157">
        <f>CEILING((IF(P276=AS_DEV_EFFORT, DEV_EFFORT*Q276%,
                           IF(P276=AS_DURATION_EFFORT, (MANUAL_DURATION*5)*Q276%,
                                    (IF(Q276&lt;=1,X276,
                                          IF(SUM(U276:W276)=0,(Q276*X276),
                                               (((Q276*U276)*(X276+(X276*EXTRA_FOR_H)))+
                                               ((Q276*V276)*X276)+
                                               ((Q276*W276)*(X276-(X276*LESS_FOR_L)))
                                    )*IF(R276=0,1,R276))))))+Z276), 0.25)</f>
        <v>2.5</v>
      </c>
      <c r="Z276" s="22"/>
      <c r="AA276" s="157">
        <f>Y276+Y276*VLOOKUP(I276,EXTRAS_ARRAY,2,FALSE)</f>
        <v>2.5</v>
      </c>
      <c r="AB276" s="20"/>
      <c r="AC276" s="34"/>
      <c r="AD276" s="23" t="str">
        <f>IF(J276&lt;&gt;"Yes",
IF(S276&lt;=0,"Error: Effort value is not defined or is invalid.",
IF(AND(SUM(U276:W276)&gt;0,SUM(U276:W276)&lt;&gt;1),"Error: Complexity % distribution should sum to 100%.",
IF(AND(P276=AS_DEV_EFFORT,X276&lt;&gt;0),"Error: PDs should not be defined when defining as dev effort %.",
IF(AND(P276=AS_DURATION_EFFORT,X276&lt;&gt;0),"Error: PDs should not be defined when defining as duration effort %.","")))))</f>
        <v/>
      </c>
    </row>
    <row r="277" spans="1:30" ht="15.5" hidden="1" outlineLevel="2" x14ac:dyDescent="0.35">
      <c r="A277" s="86" t="s">
        <v>0</v>
      </c>
      <c r="B277" s="18"/>
      <c r="C277" s="78"/>
      <c r="D277" s="78"/>
      <c r="E277" s="78"/>
      <c r="F277" s="79"/>
      <c r="G277" s="19" t="s">
        <v>23</v>
      </c>
      <c r="H277" s="19" t="s">
        <v>23</v>
      </c>
      <c r="I277" s="20" t="s">
        <v>23</v>
      </c>
      <c r="J277" s="19" t="s">
        <v>23</v>
      </c>
      <c r="K277" s="35"/>
      <c r="L277" s="19"/>
      <c r="M277" s="263">
        <f ca="1">IFERROR(OFFSET(M277,-1,,1,1)+0.1,OFFSET(M277,-1,-1,1,1)&amp;".1")</f>
        <v>21.500000000000007</v>
      </c>
      <c r="N277" s="20" t="s">
        <v>1090</v>
      </c>
      <c r="O277" s="20"/>
      <c r="P277" s="20"/>
      <c r="Q277" s="134"/>
      <c r="R277" s="127"/>
      <c r="S277" s="157">
        <f>CEILING((IF(J277="Yes", 0, IF(H277="-",AA277,AA277+AA277*VLOOKUP(H277,BUFFERS_BY_TYPE,2,FALSE)))) +
   (IF(J277="Yes", 0, IF(H277="-",AA277,AA277+AA277*VLOOKUP(H277,BUFFERS_BY_TYPE,2,FALSE))))*VLOOKUP($S$5, SALES_CALL_SCALE_ARRAY, 2,FALSE),0.25)</f>
        <v>2.5</v>
      </c>
      <c r="T277" s="158"/>
      <c r="U277" s="21">
        <v>0</v>
      </c>
      <c r="V277" s="21">
        <v>1</v>
      </c>
      <c r="W277" s="21">
        <v>0</v>
      </c>
      <c r="X277" s="156">
        <v>2.5</v>
      </c>
      <c r="Y277" s="157">
        <f>CEILING((IF(P277=AS_DEV_EFFORT, DEV_EFFORT*Q277%,
                           IF(P277=AS_DURATION_EFFORT, (MANUAL_DURATION*5)*Q277%,
                                    (IF(Q277&lt;=1,X277,
                                          IF(SUM(U277:W277)=0,(Q277*X277),
                                               (((Q277*U277)*(X277+(X277*EXTRA_FOR_H)))+
                                               ((Q277*V277)*X277)+
                                               ((Q277*W277)*(X277-(X277*LESS_FOR_L)))
                                    )*IF(R277=0,1,R277))))))+Z277), 0.25)</f>
        <v>2.5</v>
      </c>
      <c r="Z277" s="22"/>
      <c r="AA277" s="157">
        <f>Y277+Y277*VLOOKUP(I277,EXTRAS_ARRAY,2,FALSE)</f>
        <v>2.5</v>
      </c>
      <c r="AB277" s="20"/>
      <c r="AC277" s="34"/>
      <c r="AD277" s="23" t="str">
        <f>IF(J277&lt;&gt;"Yes",
IF(S277&lt;=0,"Error: Effort value is not defined or is invalid.",
IF(AND(SUM(U277:W277)&gt;0,SUM(U277:W277)&lt;&gt;1),"Error: Complexity % distribution should sum to 100%.",
IF(AND(P277=AS_DEV_EFFORT,X277&lt;&gt;0),"Error: PDs should not be defined when defining as dev effort %.",
IF(AND(P277=AS_DURATION_EFFORT,X277&lt;&gt;0),"Error: PDs should not be defined when defining as duration effort %.","")))))</f>
        <v/>
      </c>
    </row>
    <row r="278" spans="1:30" s="9" customFormat="1" ht="7.5" hidden="1" customHeight="1" outlineLevel="2" x14ac:dyDescent="0.35">
      <c r="A278" s="86" t="s">
        <v>132</v>
      </c>
      <c r="B278" s="15"/>
      <c r="C278" s="72"/>
      <c r="D278" s="72"/>
      <c r="E278" s="72"/>
      <c r="F278" s="72"/>
      <c r="M278" s="252"/>
      <c r="T278" s="15"/>
      <c r="X278" s="15"/>
      <c r="AB278" s="10"/>
      <c r="AC278" s="10"/>
      <c r="AD278" s="10"/>
    </row>
    <row r="279" spans="1:30" s="14" customFormat="1" ht="15.5" outlineLevel="1" x14ac:dyDescent="0.35">
      <c r="A279" s="86" t="s">
        <v>100</v>
      </c>
      <c r="B279" s="18"/>
      <c r="C279" s="77"/>
      <c r="D279" s="77"/>
      <c r="E279" s="77"/>
      <c r="F279" s="76"/>
      <c r="G279" s="29"/>
      <c r="H279" s="29"/>
      <c r="I279" s="29"/>
      <c r="J279" s="29"/>
      <c r="K279" s="29"/>
      <c r="L279" s="17">
        <f ca="1">LOOKUP(1000,INDIRECT("L1:"&amp;CELL("address",INDIRECT("R[-1]C",FALSE))))+1</f>
        <v>22</v>
      </c>
      <c r="M279" s="309" t="s">
        <v>1091</v>
      </c>
      <c r="N279" s="310"/>
      <c r="O279" s="5"/>
      <c r="P279" s="30"/>
      <c r="Q279" s="30"/>
      <c r="R279" s="30"/>
      <c r="S279" s="30"/>
      <c r="T279" s="155">
        <f>IF($S$6="Exclude", SUMIFS(S280:S289, J280:J289, "&lt;&gt;Yes", G280:G289, "&lt;&gt;Yes"), SUMIFS(S280:S289, J280:J289, "&lt;&gt;Yes"))</f>
        <v>18</v>
      </c>
      <c r="U279" s="30"/>
      <c r="V279" s="30"/>
      <c r="W279" s="30"/>
      <c r="X279" s="31"/>
      <c r="Y279" s="32"/>
      <c r="Z279" s="32"/>
      <c r="AA279" s="32"/>
      <c r="AB279" s="219" t="s">
        <v>954</v>
      </c>
      <c r="AC279" s="33"/>
      <c r="AD279" s="23" t="str">
        <f>IF(M279="", "Error: Task name cannot be empty.", "")</f>
        <v/>
      </c>
    </row>
    <row r="280" spans="1:30" s="12" customFormat="1" ht="1.5" customHeight="1" outlineLevel="2" x14ac:dyDescent="0.35">
      <c r="A280" s="86" t="s">
        <v>101</v>
      </c>
      <c r="B280" s="18"/>
      <c r="C280" s="77"/>
      <c r="D280" s="77"/>
      <c r="E280" s="77"/>
      <c r="F280" s="76"/>
      <c r="G280" s="29"/>
      <c r="H280" s="29"/>
      <c r="I280" s="29"/>
      <c r="J280" s="29"/>
      <c r="K280" s="29"/>
      <c r="L280" s="163">
        <f ca="1">L279</f>
        <v>22</v>
      </c>
      <c r="M280" s="164" t="s">
        <v>105</v>
      </c>
      <c r="N280" s="161"/>
      <c r="O280" s="162"/>
      <c r="P280" s="30"/>
      <c r="Q280" s="30"/>
      <c r="R280" s="30"/>
      <c r="S280" s="30"/>
      <c r="T280" s="155"/>
      <c r="U280" s="30"/>
      <c r="V280" s="30"/>
      <c r="W280" s="30"/>
      <c r="X280" s="31"/>
      <c r="Y280" s="32"/>
      <c r="Z280" s="32"/>
      <c r="AA280" s="32"/>
      <c r="AB280" s="33"/>
      <c r="AC280" s="33"/>
      <c r="AD280" s="23"/>
    </row>
    <row r="281" spans="1:30" ht="29" outlineLevel="2" x14ac:dyDescent="0.35">
      <c r="A281" s="86" t="s">
        <v>0</v>
      </c>
      <c r="B281" s="18"/>
      <c r="C281" s="78"/>
      <c r="D281" s="78"/>
      <c r="E281" s="78"/>
      <c r="F281" s="79"/>
      <c r="G281" s="19" t="s">
        <v>23</v>
      </c>
      <c r="H281" s="19" t="s">
        <v>23</v>
      </c>
      <c r="I281" s="20" t="s">
        <v>23</v>
      </c>
      <c r="J281" s="19" t="s">
        <v>23</v>
      </c>
      <c r="K281" s="35"/>
      <c r="L281" s="19"/>
      <c r="M281" s="263" t="str">
        <f ca="1">IFERROR(OFFSET(M281,-1,,1,1)+0.1,OFFSET(M281,-1,-1,1,1)&amp;".1")</f>
        <v>22.1</v>
      </c>
      <c r="N281" s="20" t="s">
        <v>1092</v>
      </c>
      <c r="O281" s="20"/>
      <c r="P281" s="20"/>
      <c r="Q281" s="134"/>
      <c r="R281" s="127"/>
      <c r="S281" s="157">
        <f>CEILING((IF(J281="Yes", 0, IF(H281="-",AA281,AA281+AA281*VLOOKUP(H281,BUFFERS_BY_TYPE,2,FALSE)))) +
   (IF(J281="Yes", 0, IF(H281="-",AA281,AA281+AA281*VLOOKUP(H281,BUFFERS_BY_TYPE,2,FALSE))))*VLOOKUP($S$5, SALES_CALL_SCALE_ARRAY, 2,FALSE),0.25)</f>
        <v>4.5</v>
      </c>
      <c r="T281" s="158"/>
      <c r="U281" s="21">
        <v>0</v>
      </c>
      <c r="V281" s="21">
        <v>1</v>
      </c>
      <c r="W281" s="21">
        <v>0</v>
      </c>
      <c r="X281" s="156">
        <v>4.5</v>
      </c>
      <c r="Y281" s="157">
        <f>CEILING((IF(P281=AS_DEV_EFFORT, DEV_EFFORT*Q281%,
                           IF(P281=AS_DURATION_EFFORT, (MANUAL_DURATION*5)*Q281%,
                                    (IF(Q281&lt;=1,X281,
                                          IF(SUM(U281:W281)=0,(Q281*X281),
                                               (((Q281*U281)*(X281+(X281*EXTRA_FOR_H)))+
                                               ((Q281*V281)*X281)+
                                               ((Q281*W281)*(X281-(X281*LESS_FOR_L)))
                                    )*IF(R281=0,1,R281))))))+Z281), 0.25)</f>
        <v>4.5</v>
      </c>
      <c r="Z281" s="22"/>
      <c r="AA281" s="157">
        <f>Y281+Y281*VLOOKUP(I281,EXTRAS_ARRAY,2,FALSE)</f>
        <v>4.5</v>
      </c>
      <c r="AB281" s="20"/>
      <c r="AC281" s="34"/>
      <c r="AD281" s="23" t="str">
        <f>IF(J281&lt;&gt;"Yes",
IF(S281&lt;=0,"Error: Effort value is not defined or is invalid.",
IF(AND(SUM(U281:W281)&gt;0,SUM(U281:W281)&lt;&gt;1),"Error: Complexity % distribution should sum to 100%.",
IF(AND(P281=AS_DEV_EFFORT,X281&lt;&gt;0),"Error: PDs should not be defined when defining as dev effort %.",
IF(AND(P281=AS_DURATION_EFFORT,X281&lt;&gt;0),"Error: PDs should not be defined when defining as duration effort %.","")))))</f>
        <v/>
      </c>
    </row>
    <row r="282" spans="1:30" ht="15.5" outlineLevel="2" x14ac:dyDescent="0.35">
      <c r="A282" s="86" t="s">
        <v>0</v>
      </c>
      <c r="B282" s="18"/>
      <c r="C282" s="78"/>
      <c r="D282" s="78"/>
      <c r="E282" s="78"/>
      <c r="F282" s="79"/>
      <c r="G282" s="19" t="s">
        <v>23</v>
      </c>
      <c r="H282" s="19" t="s">
        <v>23</v>
      </c>
      <c r="I282" s="20" t="s">
        <v>23</v>
      </c>
      <c r="J282" s="19" t="s">
        <v>23</v>
      </c>
      <c r="K282" s="35"/>
      <c r="L282" s="19"/>
      <c r="M282" s="263">
        <f ca="1">IFERROR(OFFSET(M282,-1,,1,1)+0.1,OFFSET(M282,-1,-1,1,1)&amp;".1")</f>
        <v>22.200000000000003</v>
      </c>
      <c r="N282" s="20" t="s">
        <v>1093</v>
      </c>
      <c r="O282" s="20"/>
      <c r="P282" s="20"/>
      <c r="Q282" s="134"/>
      <c r="R282" s="127"/>
      <c r="S282" s="157">
        <f>CEILING((IF(J282="Yes", 0, IF(H282="-",AA282,AA282+AA282*VLOOKUP(H282,BUFFERS_BY_TYPE,2,FALSE)))) +
   (IF(J282="Yes", 0, IF(H282="-",AA282,AA282+AA282*VLOOKUP(H282,BUFFERS_BY_TYPE,2,FALSE))))*VLOOKUP($S$5, SALES_CALL_SCALE_ARRAY, 2,FALSE),0.25)</f>
        <v>4.5</v>
      </c>
      <c r="T282" s="158"/>
      <c r="U282" s="21">
        <v>0</v>
      </c>
      <c r="V282" s="21">
        <v>1</v>
      </c>
      <c r="W282" s="21">
        <v>0</v>
      </c>
      <c r="X282" s="156">
        <v>4.5</v>
      </c>
      <c r="Y282" s="157">
        <f>CEILING((IF(P282=AS_DEV_EFFORT, DEV_EFFORT*Q282%,
                           IF(P282=AS_DURATION_EFFORT, (MANUAL_DURATION*5)*Q282%,
                                    (IF(Q282&lt;=1,X282,
                                          IF(SUM(U282:W282)=0,(Q282*X282),
                                               (((Q282*U282)*(X282+(X282*EXTRA_FOR_H)))+
                                               ((Q282*V282)*X282)+
                                               ((Q282*W282)*(X282-(X282*LESS_FOR_L)))
                                    )*IF(R282=0,1,R282))))))+Z282), 0.25)</f>
        <v>4.5</v>
      </c>
      <c r="Z282" s="22"/>
      <c r="AA282" s="157">
        <f>Y282+Y282*VLOOKUP(I282,EXTRAS_ARRAY,2,FALSE)</f>
        <v>4.5</v>
      </c>
      <c r="AB282" s="20"/>
      <c r="AC282" s="34"/>
      <c r="AD282" s="23" t="str">
        <f>IF(J282&lt;&gt;"Yes",
IF(S282&lt;=0,"Error: Effort value is not defined or is invalid.",
IF(AND(SUM(U282:W282)&gt;0,SUM(U282:W282)&lt;&gt;1),"Error: Complexity % distribution should sum to 100%.",
IF(AND(P282=AS_DEV_EFFORT,X282&lt;&gt;0),"Error: PDs should not be defined when defining as dev effort %.",
IF(AND(P282=AS_DURATION_EFFORT,X282&lt;&gt;0),"Error: PDs should not be defined when defining as duration effort %.","")))))</f>
        <v/>
      </c>
    </row>
    <row r="283" spans="1:30" ht="15.5" outlineLevel="2" x14ac:dyDescent="0.35">
      <c r="A283" s="86" t="s">
        <v>0</v>
      </c>
      <c r="B283" s="18"/>
      <c r="C283" s="78"/>
      <c r="D283" s="78"/>
      <c r="E283" s="78"/>
      <c r="F283" s="79"/>
      <c r="G283" s="19" t="s">
        <v>23</v>
      </c>
      <c r="H283" s="19" t="s">
        <v>23</v>
      </c>
      <c r="I283" s="20" t="s">
        <v>23</v>
      </c>
      <c r="J283" s="19" t="s">
        <v>23</v>
      </c>
      <c r="K283" s="35"/>
      <c r="L283" s="19"/>
      <c r="M283" s="263">
        <f ca="1">IFERROR(OFFSET(M283,-1,,1,1)+0.1,OFFSET(M283,-1,-1,1,1)&amp;".1")</f>
        <v>22.300000000000004</v>
      </c>
      <c r="N283" s="20" t="s">
        <v>1094</v>
      </c>
      <c r="O283" s="20"/>
      <c r="P283" s="20"/>
      <c r="Q283" s="134"/>
      <c r="R283" s="127"/>
      <c r="S283" s="157">
        <f>CEILING((IF(J283="Yes", 0, IF(H283="-",AA283,AA283+AA283*VLOOKUP(H283,BUFFERS_BY_TYPE,2,FALSE)))) +
   (IF(J283="Yes", 0, IF(H283="-",AA283,AA283+AA283*VLOOKUP(H283,BUFFERS_BY_TYPE,2,FALSE))))*VLOOKUP($S$5, SALES_CALL_SCALE_ARRAY, 2,FALSE),0.25)</f>
        <v>4</v>
      </c>
      <c r="T283" s="158"/>
      <c r="U283" s="21">
        <v>0</v>
      </c>
      <c r="V283" s="21">
        <v>1</v>
      </c>
      <c r="W283" s="21">
        <v>0</v>
      </c>
      <c r="X283" s="156">
        <v>4</v>
      </c>
      <c r="Y283" s="157">
        <f>CEILING((IF(P283=AS_DEV_EFFORT, DEV_EFFORT*Q283%,
                           IF(P283=AS_DURATION_EFFORT, (MANUAL_DURATION*5)*Q283%,
                                    (IF(Q283&lt;=1,X283,
                                          IF(SUM(U283:W283)=0,(Q283*X283),
                                               (((Q283*U283)*(X283+(X283*EXTRA_FOR_H)))+
                                               ((Q283*V283)*X283)+
                                               ((Q283*W283)*(X283-(X283*LESS_FOR_L)))
                                    )*IF(R283=0,1,R283))))))+Z283), 0.25)</f>
        <v>4</v>
      </c>
      <c r="Z283" s="22"/>
      <c r="AA283" s="157">
        <f>Y283+Y283*VLOOKUP(I283,EXTRAS_ARRAY,2,FALSE)</f>
        <v>4</v>
      </c>
      <c r="AB283" s="20"/>
      <c r="AC283" s="34"/>
      <c r="AD283" s="23" t="str">
        <f>IF(J283&lt;&gt;"Yes",
IF(S283&lt;=0,"Error: Effort value is not defined or is invalid.",
IF(AND(SUM(U283:W283)&gt;0,SUM(U283:W283)&lt;&gt;1),"Error: Complexity % distribution should sum to 100%.",
IF(AND(P283=AS_DEV_EFFORT,X283&lt;&gt;0),"Error: PDs should not be defined when defining as dev effort %.",
IF(AND(P283=AS_DURATION_EFFORT,X283&lt;&gt;0),"Error: PDs should not be defined when defining as duration effort %.","")))))</f>
        <v/>
      </c>
    </row>
    <row r="284" spans="1:30" ht="15.5" outlineLevel="2" x14ac:dyDescent="0.35">
      <c r="A284" s="86" t="s">
        <v>0</v>
      </c>
      <c r="B284" s="18"/>
      <c r="C284" s="78"/>
      <c r="D284" s="78"/>
      <c r="E284" s="78"/>
      <c r="F284" s="79"/>
      <c r="G284" s="19" t="s">
        <v>23</v>
      </c>
      <c r="H284" s="19" t="s">
        <v>23</v>
      </c>
      <c r="I284" s="20" t="s">
        <v>23</v>
      </c>
      <c r="J284" s="19" t="s">
        <v>23</v>
      </c>
      <c r="K284" s="35"/>
      <c r="L284" s="19"/>
      <c r="M284" s="263">
        <f ca="1">IFERROR(OFFSET(M284,-1,,1,1)+0.1,OFFSET(M284,-1,-1,1,1)&amp;".1")</f>
        <v>22.400000000000006</v>
      </c>
      <c r="N284" s="20" t="s">
        <v>1095</v>
      </c>
      <c r="O284" s="20"/>
      <c r="P284" s="20"/>
      <c r="Q284" s="134"/>
      <c r="R284" s="127"/>
      <c r="S284" s="157">
        <f>CEILING((IF(J284="Yes", 0, IF(H284="-",AA284,AA284+AA284*VLOOKUP(H284,BUFFERS_BY_TYPE,2,FALSE)))) +
   (IF(J284="Yes", 0, IF(H284="-",AA284,AA284+AA284*VLOOKUP(H284,BUFFERS_BY_TYPE,2,FALSE))))*VLOOKUP($S$5, SALES_CALL_SCALE_ARRAY, 2,FALSE),0.25)</f>
        <v>3</v>
      </c>
      <c r="T284" s="158"/>
      <c r="U284" s="21">
        <v>0</v>
      </c>
      <c r="V284" s="21">
        <v>1</v>
      </c>
      <c r="W284" s="21">
        <v>0</v>
      </c>
      <c r="X284" s="156">
        <v>3</v>
      </c>
      <c r="Y284" s="157">
        <f>CEILING((IF(P284=AS_DEV_EFFORT, DEV_EFFORT*Q284%,
                           IF(P284=AS_DURATION_EFFORT, (MANUAL_DURATION*5)*Q284%,
                                    (IF(Q284&lt;=1,X284,
                                          IF(SUM(U284:W284)=0,(Q284*X284),
                                               (((Q284*U284)*(X284+(X284*EXTRA_FOR_H)))+
                                               ((Q284*V284)*X284)+
                                               ((Q284*W284)*(X284-(X284*LESS_FOR_L)))
                                    )*IF(R284=0,1,R284))))))+Z284), 0.25)</f>
        <v>3</v>
      </c>
      <c r="Z284" s="22"/>
      <c r="AA284" s="157">
        <f>Y284+Y284*VLOOKUP(I284,EXTRAS_ARRAY,2,FALSE)</f>
        <v>3</v>
      </c>
      <c r="AB284" s="20"/>
      <c r="AC284" s="34"/>
      <c r="AD284" s="23" t="str">
        <f>IF(J284&lt;&gt;"Yes",
IF(S284&lt;=0,"Error: Effort value is not defined or is invalid.",
IF(AND(SUM(U284:W284)&gt;0,SUM(U284:W284)&lt;&gt;1),"Error: Complexity % distribution should sum to 100%.",
IF(AND(P284=AS_DEV_EFFORT,X284&lt;&gt;0),"Error: PDs should not be defined when defining as dev effort %.",
IF(AND(P284=AS_DURATION_EFFORT,X284&lt;&gt;0),"Error: PDs should not be defined when defining as duration effort %.","")))))</f>
        <v/>
      </c>
    </row>
    <row r="285" spans="1:30" ht="15.5" outlineLevel="2" x14ac:dyDescent="0.35">
      <c r="A285" s="86" t="s">
        <v>0</v>
      </c>
      <c r="B285" s="18"/>
      <c r="C285" s="78"/>
      <c r="D285" s="78"/>
      <c r="E285" s="78"/>
      <c r="F285" s="79"/>
      <c r="G285" s="19" t="s">
        <v>23</v>
      </c>
      <c r="H285" s="19" t="s">
        <v>23</v>
      </c>
      <c r="I285" s="20" t="s">
        <v>23</v>
      </c>
      <c r="J285" s="19" t="s">
        <v>23</v>
      </c>
      <c r="K285" s="35"/>
      <c r="L285" s="19"/>
      <c r="M285" s="263">
        <f ca="1">IFERROR(OFFSET(M285,-1,,1,1)+0.1,OFFSET(M285,-1,-1,1,1)&amp;".1")</f>
        <v>22.500000000000007</v>
      </c>
      <c r="N285" s="20" t="s">
        <v>1096</v>
      </c>
      <c r="O285" s="20"/>
      <c r="P285" s="20"/>
      <c r="Q285" s="134"/>
      <c r="R285" s="127"/>
      <c r="S285" s="157">
        <f>CEILING((IF(J285="Yes", 0, IF(H285="-",AA285,AA285+AA285*VLOOKUP(H285,BUFFERS_BY_TYPE,2,FALSE)))) +
   (IF(J285="Yes", 0, IF(H285="-",AA285,AA285+AA285*VLOOKUP(H285,BUFFERS_BY_TYPE,2,FALSE))))*VLOOKUP($S$5, SALES_CALL_SCALE_ARRAY, 2,FALSE),0.25)</f>
        <v>2</v>
      </c>
      <c r="T285" s="158"/>
      <c r="U285" s="21">
        <v>0</v>
      </c>
      <c r="V285" s="21">
        <v>1</v>
      </c>
      <c r="W285" s="21">
        <v>0</v>
      </c>
      <c r="X285" s="156">
        <v>2</v>
      </c>
      <c r="Y285" s="157">
        <f>CEILING((IF(P285=AS_DEV_EFFORT, DEV_EFFORT*Q285%,
                           IF(P285=AS_DURATION_EFFORT, (MANUAL_DURATION*5)*Q285%,
                                    (IF(Q285&lt;=1,X285,
                                          IF(SUM(U285:W285)=0,(Q285*X285),
                                               (((Q285*U285)*(X285+(X285*EXTRA_FOR_H)))+
                                               ((Q285*V285)*X285)+
                                               ((Q285*W285)*(X285-(X285*LESS_FOR_L)))
                                    )*IF(R285=0,1,R285))))))+Z285), 0.25)</f>
        <v>2</v>
      </c>
      <c r="Z285" s="22"/>
      <c r="AA285" s="157">
        <f>Y285+Y285*VLOOKUP(I285,EXTRAS_ARRAY,2,FALSE)</f>
        <v>2</v>
      </c>
      <c r="AB285" s="20"/>
      <c r="AC285" s="34"/>
      <c r="AD285" s="23" t="str">
        <f>IF(J285&lt;&gt;"Yes",
IF(S285&lt;=0,"Error: Effort value is not defined or is invalid.",
IF(AND(SUM(U285:W285)&gt;0,SUM(U285:W285)&lt;&gt;1),"Error: Complexity % distribution should sum to 100%.",
IF(AND(P285=AS_DEV_EFFORT,X285&lt;&gt;0),"Error: PDs should not be defined when defining as dev effort %.",
IF(AND(P285=AS_DURATION_EFFORT,X285&lt;&gt;0),"Error: PDs should not be defined when defining as duration effort %.","")))))</f>
        <v/>
      </c>
    </row>
    <row r="286" spans="1:30" ht="58" outlineLevel="2" x14ac:dyDescent="0.35">
      <c r="A286" s="86" t="s">
        <v>0</v>
      </c>
      <c r="B286" s="18"/>
      <c r="C286" s="78"/>
      <c r="D286" s="78"/>
      <c r="E286" s="78"/>
      <c r="F286" s="79"/>
      <c r="G286" s="19" t="s">
        <v>23</v>
      </c>
      <c r="H286" s="19" t="s">
        <v>23</v>
      </c>
      <c r="I286" s="20" t="s">
        <v>23</v>
      </c>
      <c r="J286" s="19" t="s">
        <v>23</v>
      </c>
      <c r="K286" s="35"/>
      <c r="L286" s="19"/>
      <c r="M286" s="263">
        <f ca="1">IFERROR(OFFSET(M286,-1,,1,1)+0.1,OFFSET(M286,-1,-1,1,1)&amp;".1")</f>
        <v>22.600000000000009</v>
      </c>
      <c r="N286" s="20" t="s">
        <v>438</v>
      </c>
      <c r="O286" s="20"/>
      <c r="P286" s="20"/>
      <c r="Q286" s="134"/>
      <c r="R286" s="127"/>
      <c r="S286" s="157">
        <f>CEILING((IF(J286="Yes", 0, IF(H286="-",AA286,AA286+AA286*VLOOKUP(H286,BUFFERS_BY_TYPE,2,FALSE)))) +
   (IF(J286="Yes", 0, IF(H286="-",AA286,AA286+AA286*VLOOKUP(H286,BUFFERS_BY_TYPE,2,FALSE))))*VLOOKUP($S$5, SALES_CALL_SCALE_ARRAY, 2,FALSE),0.25)</f>
        <v>0</v>
      </c>
      <c r="T286" s="158"/>
      <c r="U286" s="21">
        <v>0</v>
      </c>
      <c r="V286" s="21">
        <v>1</v>
      </c>
      <c r="W286" s="21">
        <v>0</v>
      </c>
      <c r="X286" s="156"/>
      <c r="Y286" s="157">
        <f>CEILING((IF(P286=AS_DEV_EFFORT, DEV_EFFORT*Q286%,
                           IF(P286=AS_DURATION_EFFORT, (MANUAL_DURATION*5)*Q286%,
                                    (IF(Q286&lt;=1,X286,
                                          IF(SUM(U286:W286)=0,(Q286*X286),
                                               (((Q286*U286)*(X286+(X286*EXTRA_FOR_H)))+
                                               ((Q286*V286)*X286)+
                                               ((Q286*W286)*(X286-(X286*LESS_FOR_L)))
                                    )*IF(R286=0,1,R286))))))+Z286), 0.25)</f>
        <v>0</v>
      </c>
      <c r="Z286" s="22"/>
      <c r="AA286" s="157">
        <f>Y286+Y286*VLOOKUP(I286,EXTRAS_ARRAY,2,FALSE)</f>
        <v>0</v>
      </c>
      <c r="AB286" s="20" t="s">
        <v>440</v>
      </c>
      <c r="AC286" s="34"/>
      <c r="AD286" s="23" t="str">
        <f>IF(J286&lt;&gt;"Yes",
IF(S286&lt;=0,"Error: Effort value is not defined or is invalid.",
IF(AND(SUM(U286:W286)&gt;0,SUM(U286:W286)&lt;&gt;1),"Error: Complexity % distribution should sum to 100%.",
IF(AND(P286=AS_DEV_EFFORT,X286&lt;&gt;0),"Error: PDs should not be defined when defining as dev effort %.",
IF(AND(P286=AS_DURATION_EFFORT,X286&lt;&gt;0),"Error: PDs should not be defined when defining as duration effort %.","")))))</f>
        <v>Error: Effort value is not defined or is invalid.</v>
      </c>
    </row>
    <row r="287" spans="1:30" ht="58" outlineLevel="2" x14ac:dyDescent="0.35">
      <c r="A287" s="86" t="s">
        <v>0</v>
      </c>
      <c r="B287" s="18"/>
      <c r="C287" s="78"/>
      <c r="D287" s="78"/>
      <c r="E287" s="78"/>
      <c r="F287" s="79"/>
      <c r="G287" s="19" t="s">
        <v>23</v>
      </c>
      <c r="H287" s="19" t="s">
        <v>23</v>
      </c>
      <c r="I287" s="20" t="s">
        <v>23</v>
      </c>
      <c r="J287" s="19" t="s">
        <v>23</v>
      </c>
      <c r="K287" s="35"/>
      <c r="L287" s="19"/>
      <c r="M287" s="263">
        <f ca="1">IFERROR(OFFSET(M287,-1,,1,1)+0.1,OFFSET(M287,-1,-1,1,1)&amp;".1")</f>
        <v>22.70000000000001</v>
      </c>
      <c r="N287" s="20" t="s">
        <v>438</v>
      </c>
      <c r="O287" s="20"/>
      <c r="P287" s="20"/>
      <c r="Q287" s="134"/>
      <c r="R287" s="127"/>
      <c r="S287" s="157">
        <f>CEILING((IF(J287="Yes", 0, IF(H287="-",AA287,AA287+AA287*VLOOKUP(H287,BUFFERS_BY_TYPE,2,FALSE)))) +
   (IF(J287="Yes", 0, IF(H287="-",AA287,AA287+AA287*VLOOKUP(H287,BUFFERS_BY_TYPE,2,FALSE))))*VLOOKUP($S$5, SALES_CALL_SCALE_ARRAY, 2,FALSE),0.25)</f>
        <v>0</v>
      </c>
      <c r="T287" s="158"/>
      <c r="U287" s="21">
        <v>0</v>
      </c>
      <c r="V287" s="21">
        <v>1</v>
      </c>
      <c r="W287" s="21">
        <v>0</v>
      </c>
      <c r="X287" s="156"/>
      <c r="Y287" s="157">
        <f>CEILING((IF(P287=AS_DEV_EFFORT, DEV_EFFORT*Q287%,
                           IF(P287=AS_DURATION_EFFORT, (MANUAL_DURATION*5)*Q287%,
                                    (IF(Q287&lt;=1,X287,
                                          IF(SUM(U287:W287)=0,(Q287*X287),
                                               (((Q287*U287)*(X287+(X287*EXTRA_FOR_H)))+
                                               ((Q287*V287)*X287)+
                                               ((Q287*W287)*(X287-(X287*LESS_FOR_L)))
                                    )*IF(R287=0,1,R287))))))+Z287), 0.25)</f>
        <v>0</v>
      </c>
      <c r="Z287" s="22"/>
      <c r="AA287" s="157">
        <f>Y287+Y287*VLOOKUP(I287,EXTRAS_ARRAY,2,FALSE)</f>
        <v>0</v>
      </c>
      <c r="AB287" s="20" t="s">
        <v>440</v>
      </c>
      <c r="AC287" s="34"/>
      <c r="AD287" s="23" t="str">
        <f>IF(J287&lt;&gt;"Yes",
IF(S287&lt;=0,"Error: Effort value is not defined or is invalid.",
IF(AND(SUM(U287:W287)&gt;0,SUM(U287:W287)&lt;&gt;1),"Error: Complexity % distribution should sum to 100%.",
IF(AND(P287=AS_DEV_EFFORT,X287&lt;&gt;0),"Error: PDs should not be defined when defining as dev effort %.",
IF(AND(P287=AS_DURATION_EFFORT,X287&lt;&gt;0),"Error: PDs should not be defined when defining as duration effort %.","")))))</f>
        <v>Error: Effort value is not defined or is invalid.</v>
      </c>
    </row>
    <row r="288" spans="1:30" ht="58" outlineLevel="2" x14ac:dyDescent="0.35">
      <c r="A288" s="86" t="s">
        <v>0</v>
      </c>
      <c r="B288" s="18"/>
      <c r="C288" s="78"/>
      <c r="D288" s="78"/>
      <c r="E288" s="78"/>
      <c r="F288" s="79"/>
      <c r="G288" s="19" t="s">
        <v>23</v>
      </c>
      <c r="H288" s="19" t="s">
        <v>23</v>
      </c>
      <c r="I288" s="20" t="s">
        <v>23</v>
      </c>
      <c r="J288" s="19" t="s">
        <v>23</v>
      </c>
      <c r="K288" s="35"/>
      <c r="L288" s="19"/>
      <c r="M288" s="263">
        <f ca="1">IFERROR(OFFSET(M288,-1,,1,1)+0.1,OFFSET(M288,-1,-1,1,1)&amp;".1")</f>
        <v>22.800000000000011</v>
      </c>
      <c r="N288" s="20" t="s">
        <v>438</v>
      </c>
      <c r="O288" s="20"/>
      <c r="P288" s="20"/>
      <c r="Q288" s="134"/>
      <c r="R288" s="127"/>
      <c r="S288" s="157">
        <f>CEILING((IF(J288="Yes", 0, IF(H288="-",AA288,AA288+AA288*VLOOKUP(H288,BUFFERS_BY_TYPE,2,FALSE)))) +
   (IF(J288="Yes", 0, IF(H288="-",AA288,AA288+AA288*VLOOKUP(H288,BUFFERS_BY_TYPE,2,FALSE))))*VLOOKUP($S$5, SALES_CALL_SCALE_ARRAY, 2,FALSE),0.25)</f>
        <v>0</v>
      </c>
      <c r="T288" s="158"/>
      <c r="U288" s="21">
        <v>0</v>
      </c>
      <c r="V288" s="21">
        <v>1</v>
      </c>
      <c r="W288" s="21">
        <v>0</v>
      </c>
      <c r="X288" s="156"/>
      <c r="Y288" s="157">
        <f>CEILING((IF(P288=AS_DEV_EFFORT, DEV_EFFORT*Q288%,
                           IF(P288=AS_DURATION_EFFORT, (MANUAL_DURATION*5)*Q288%,
                                    (IF(Q288&lt;=1,X288,
                                          IF(SUM(U288:W288)=0,(Q288*X288),
                                               (((Q288*U288)*(X288+(X288*EXTRA_FOR_H)))+
                                               ((Q288*V288)*X288)+
                                               ((Q288*W288)*(X288-(X288*LESS_FOR_L)))
                                    )*IF(R288=0,1,R288))))))+Z288), 0.25)</f>
        <v>0</v>
      </c>
      <c r="Z288" s="22"/>
      <c r="AA288" s="157">
        <f>Y288+Y288*VLOOKUP(I288,EXTRAS_ARRAY,2,FALSE)</f>
        <v>0</v>
      </c>
      <c r="AB288" s="20" t="s">
        <v>440</v>
      </c>
      <c r="AC288" s="34"/>
      <c r="AD288" s="23" t="str">
        <f>IF(J288&lt;&gt;"Yes",
IF(S288&lt;=0,"Error: Effort value is not defined or is invalid.",
IF(AND(SUM(U288:W288)&gt;0,SUM(U288:W288)&lt;&gt;1),"Error: Complexity % distribution should sum to 100%.",
IF(AND(P288=AS_DEV_EFFORT,X288&lt;&gt;0),"Error: PDs should not be defined when defining as dev effort %.",
IF(AND(P288=AS_DURATION_EFFORT,X288&lt;&gt;0),"Error: PDs should not be defined when defining as duration effort %.","")))))</f>
        <v>Error: Effort value is not defined or is invalid.</v>
      </c>
    </row>
    <row r="289" spans="1:30" s="9" customFormat="1" ht="7.5" customHeight="1" outlineLevel="2" x14ac:dyDescent="0.35">
      <c r="A289" s="86" t="s">
        <v>132</v>
      </c>
      <c r="B289" s="15"/>
      <c r="C289" s="72"/>
      <c r="D289" s="72"/>
      <c r="E289" s="72"/>
      <c r="F289" s="72"/>
      <c r="M289" s="252"/>
      <c r="T289" s="15"/>
      <c r="X289" s="15"/>
      <c r="AB289" s="10"/>
      <c r="AC289" s="10"/>
      <c r="AD289" s="10"/>
    </row>
    <row r="290" spans="1:30" s="14" customFormat="1" ht="15.5" outlineLevel="1" x14ac:dyDescent="0.35">
      <c r="A290" s="86" t="s">
        <v>100</v>
      </c>
      <c r="B290" s="18"/>
      <c r="C290" s="77"/>
      <c r="D290" s="77"/>
      <c r="E290" s="77"/>
      <c r="F290" s="76"/>
      <c r="G290" s="29"/>
      <c r="H290" s="29"/>
      <c r="I290" s="29"/>
      <c r="J290" s="29"/>
      <c r="K290" s="29"/>
      <c r="L290" s="17">
        <f ca="1">LOOKUP(1000,INDIRECT("L1:"&amp;CELL("address",INDIRECT("R[-1]C",FALSE))))+1</f>
        <v>23</v>
      </c>
      <c r="M290" s="309" t="s">
        <v>1097</v>
      </c>
      <c r="N290" s="310"/>
      <c r="O290" s="5"/>
      <c r="P290" s="30"/>
      <c r="Q290" s="30"/>
      <c r="R290" s="30"/>
      <c r="S290" s="30"/>
      <c r="T290" s="155">
        <f>IF($S$6="Exclude", SUMIFS(S291:S301, J291:J301, "&lt;&gt;Yes", G291:G301, "&lt;&gt;Yes"), SUMIFS(S291:S301, J291:J301, "&lt;&gt;Yes"))</f>
        <v>18</v>
      </c>
      <c r="U290" s="30"/>
      <c r="V290" s="30"/>
      <c r="W290" s="30"/>
      <c r="X290" s="31"/>
      <c r="Y290" s="32"/>
      <c r="Z290" s="32"/>
      <c r="AA290" s="32"/>
      <c r="AB290" s="219" t="s">
        <v>955</v>
      </c>
      <c r="AC290" s="33"/>
      <c r="AD290" s="23" t="str">
        <f>IF(M290="", "Error: Task name cannot be empty.", "")</f>
        <v/>
      </c>
    </row>
    <row r="291" spans="1:30" s="12" customFormat="1" ht="1.5" customHeight="1" outlineLevel="2" x14ac:dyDescent="0.35">
      <c r="A291" s="86" t="s">
        <v>101</v>
      </c>
      <c r="B291" s="18"/>
      <c r="C291" s="77"/>
      <c r="D291" s="77"/>
      <c r="E291" s="77"/>
      <c r="F291" s="76"/>
      <c r="G291" s="29"/>
      <c r="H291" s="29"/>
      <c r="I291" s="29"/>
      <c r="J291" s="29"/>
      <c r="K291" s="29"/>
      <c r="L291" s="163">
        <f ca="1">L290</f>
        <v>23</v>
      </c>
      <c r="M291" s="164" t="s">
        <v>105</v>
      </c>
      <c r="N291" s="161"/>
      <c r="O291" s="162"/>
      <c r="P291" s="30"/>
      <c r="Q291" s="30"/>
      <c r="R291" s="30"/>
      <c r="S291" s="30"/>
      <c r="T291" s="155"/>
      <c r="U291" s="30"/>
      <c r="V291" s="30"/>
      <c r="W291" s="30"/>
      <c r="X291" s="31"/>
      <c r="Y291" s="32"/>
      <c r="Z291" s="32"/>
      <c r="AA291" s="32"/>
      <c r="AB291" s="33"/>
      <c r="AC291" s="33"/>
      <c r="AD291" s="23"/>
    </row>
    <row r="292" spans="1:30" ht="29" outlineLevel="2" x14ac:dyDescent="0.35">
      <c r="A292" s="86" t="s">
        <v>0</v>
      </c>
      <c r="B292" s="18"/>
      <c r="C292" s="78"/>
      <c r="D292" s="78"/>
      <c r="E292" s="78"/>
      <c r="F292" s="79"/>
      <c r="G292" s="19" t="s">
        <v>23</v>
      </c>
      <c r="H292" s="19" t="s">
        <v>23</v>
      </c>
      <c r="I292" s="20" t="s">
        <v>23</v>
      </c>
      <c r="J292" s="19" t="s">
        <v>23</v>
      </c>
      <c r="K292" s="35"/>
      <c r="L292" s="19"/>
      <c r="M292" s="263" t="str">
        <f t="shared" ref="M292:M300" ca="1" si="35">IFERROR(OFFSET(M292,-1,,1,1)+0.1,OFFSET(M292,-1,-1,1,1)&amp;".1")</f>
        <v>23.1</v>
      </c>
      <c r="N292" s="20" t="s">
        <v>1098</v>
      </c>
      <c r="O292" s="20"/>
      <c r="P292" s="20"/>
      <c r="Q292" s="134"/>
      <c r="R292" s="127"/>
      <c r="S292" s="157">
        <f t="shared" ref="S292:S300" si="36">CEILING((IF(J292="Yes", 0, IF(H292="-",AA292,AA292+AA292*VLOOKUP(H292,BUFFERS_BY_TYPE,2,FALSE)))) +
   (IF(J292="Yes", 0, IF(H292="-",AA292,AA292+AA292*VLOOKUP(H292,BUFFERS_BY_TYPE,2,FALSE))))*VLOOKUP($S$5, SALES_CALL_SCALE_ARRAY, 2,FALSE),0.25)</f>
        <v>4.5</v>
      </c>
      <c r="T292" s="158"/>
      <c r="U292" s="21">
        <v>0</v>
      </c>
      <c r="V292" s="21">
        <v>1</v>
      </c>
      <c r="W292" s="21">
        <v>0</v>
      </c>
      <c r="X292" s="156">
        <v>4.5</v>
      </c>
      <c r="Y292" s="157">
        <f t="shared" ref="Y292:Y300" si="37">CEILING((IF(P292=AS_DEV_EFFORT, DEV_EFFORT*Q292%,
                           IF(P292=AS_DURATION_EFFORT, (MANUAL_DURATION*5)*Q292%,
                                    (IF(Q292&lt;=1,X292,
                                          IF(SUM(U292:W292)=0,(Q292*X292),
                                               (((Q292*U292)*(X292+(X292*EXTRA_FOR_H)))+
                                               ((Q292*V292)*X292)+
                                               ((Q292*W292)*(X292-(X292*LESS_FOR_L)))
                                    )*IF(R292=0,1,R292))))))+Z292), 0.25)</f>
        <v>4.5</v>
      </c>
      <c r="Z292" s="22"/>
      <c r="AA292" s="157">
        <f t="shared" ref="AA292:AA300" si="38">Y292+Y292*VLOOKUP(I292,EXTRAS_ARRAY,2,FALSE)</f>
        <v>4.5</v>
      </c>
      <c r="AB292" s="20"/>
      <c r="AC292" s="34"/>
      <c r="AD292" s="23" t="str">
        <f t="shared" ref="AD292:AD300" si="39">IF(J292&lt;&gt;"Yes",
IF(S292&lt;=0,"Error: Effort value is not defined or is invalid.",
IF(AND(SUM(U292:W292)&gt;0,SUM(U292:W292)&lt;&gt;1),"Error: Complexity % distribution should sum to 100%.",
IF(AND(P292=AS_DEV_EFFORT,X292&lt;&gt;0),"Error: PDs should not be defined when defining as dev effort %.",
IF(AND(P292=AS_DURATION_EFFORT,X292&lt;&gt;0),"Error: PDs should not be defined when defining as duration effort %.","")))))</f>
        <v/>
      </c>
    </row>
    <row r="293" spans="1:30" ht="15.5" outlineLevel="2" x14ac:dyDescent="0.35">
      <c r="A293" s="86" t="s">
        <v>0</v>
      </c>
      <c r="B293" s="18"/>
      <c r="C293" s="78"/>
      <c r="D293" s="78"/>
      <c r="E293" s="78"/>
      <c r="F293" s="79"/>
      <c r="G293" s="19" t="s">
        <v>23</v>
      </c>
      <c r="H293" s="19" t="s">
        <v>23</v>
      </c>
      <c r="I293" s="20" t="s">
        <v>23</v>
      </c>
      <c r="J293" s="19" t="s">
        <v>23</v>
      </c>
      <c r="K293" s="35"/>
      <c r="L293" s="19"/>
      <c r="M293" s="263">
        <f t="shared" ca="1" si="35"/>
        <v>23.200000000000003</v>
      </c>
      <c r="N293" s="20" t="s">
        <v>1099</v>
      </c>
      <c r="O293" s="20"/>
      <c r="P293" s="20"/>
      <c r="Q293" s="134"/>
      <c r="R293" s="127"/>
      <c r="S293" s="157">
        <f t="shared" si="36"/>
        <v>4.5</v>
      </c>
      <c r="T293" s="158"/>
      <c r="U293" s="21">
        <v>0</v>
      </c>
      <c r="V293" s="21">
        <v>1</v>
      </c>
      <c r="W293" s="21">
        <v>0</v>
      </c>
      <c r="X293" s="156">
        <v>4.5</v>
      </c>
      <c r="Y293" s="157">
        <f t="shared" si="37"/>
        <v>4.5</v>
      </c>
      <c r="Z293" s="22"/>
      <c r="AA293" s="157">
        <f t="shared" si="38"/>
        <v>4.5</v>
      </c>
      <c r="AB293" s="20"/>
      <c r="AC293" s="34"/>
      <c r="AD293" s="23" t="str">
        <f t="shared" si="39"/>
        <v/>
      </c>
    </row>
    <row r="294" spans="1:30" ht="15.5" outlineLevel="2" x14ac:dyDescent="0.35">
      <c r="A294" s="86" t="s">
        <v>0</v>
      </c>
      <c r="B294" s="18"/>
      <c r="C294" s="78"/>
      <c r="D294" s="78"/>
      <c r="E294" s="78"/>
      <c r="F294" s="79"/>
      <c r="G294" s="19" t="s">
        <v>23</v>
      </c>
      <c r="H294" s="19" t="s">
        <v>23</v>
      </c>
      <c r="I294" s="20" t="s">
        <v>23</v>
      </c>
      <c r="J294" s="19" t="s">
        <v>23</v>
      </c>
      <c r="K294" s="35"/>
      <c r="L294" s="19"/>
      <c r="M294" s="263">
        <f t="shared" ca="1" si="35"/>
        <v>23.300000000000004</v>
      </c>
      <c r="N294" s="20" t="s">
        <v>1100</v>
      </c>
      <c r="O294" s="20"/>
      <c r="P294" s="20"/>
      <c r="Q294" s="134"/>
      <c r="R294" s="127"/>
      <c r="S294" s="157">
        <f t="shared" si="36"/>
        <v>3</v>
      </c>
      <c r="T294" s="158"/>
      <c r="U294" s="21">
        <v>0</v>
      </c>
      <c r="V294" s="21">
        <v>1</v>
      </c>
      <c r="W294" s="21">
        <v>0</v>
      </c>
      <c r="X294" s="156">
        <v>3</v>
      </c>
      <c r="Y294" s="157">
        <f t="shared" si="37"/>
        <v>3</v>
      </c>
      <c r="Z294" s="22"/>
      <c r="AA294" s="157">
        <f t="shared" si="38"/>
        <v>3</v>
      </c>
      <c r="AB294" s="20"/>
      <c r="AC294" s="34"/>
      <c r="AD294" s="23" t="str">
        <f t="shared" si="39"/>
        <v/>
      </c>
    </row>
    <row r="295" spans="1:30" ht="15.5" outlineLevel="2" x14ac:dyDescent="0.35">
      <c r="A295" s="86" t="s">
        <v>0</v>
      </c>
      <c r="B295" s="18"/>
      <c r="C295" s="78"/>
      <c r="D295" s="78"/>
      <c r="E295" s="78"/>
      <c r="F295" s="79"/>
      <c r="G295" s="19" t="s">
        <v>23</v>
      </c>
      <c r="H295" s="19" t="s">
        <v>23</v>
      </c>
      <c r="I295" s="20" t="s">
        <v>23</v>
      </c>
      <c r="J295" s="19" t="s">
        <v>23</v>
      </c>
      <c r="K295" s="35"/>
      <c r="L295" s="19"/>
      <c r="M295" s="263">
        <f t="shared" ca="1" si="35"/>
        <v>23.400000000000006</v>
      </c>
      <c r="N295" s="20" t="s">
        <v>1101</v>
      </c>
      <c r="O295" s="20"/>
      <c r="P295" s="20"/>
      <c r="Q295" s="134"/>
      <c r="R295" s="127"/>
      <c r="S295" s="157">
        <f t="shared" si="36"/>
        <v>4</v>
      </c>
      <c r="T295" s="158"/>
      <c r="U295" s="21">
        <v>0</v>
      </c>
      <c r="V295" s="21">
        <v>1</v>
      </c>
      <c r="W295" s="21">
        <v>0</v>
      </c>
      <c r="X295" s="156">
        <v>4</v>
      </c>
      <c r="Y295" s="157">
        <f t="shared" si="37"/>
        <v>4</v>
      </c>
      <c r="Z295" s="22"/>
      <c r="AA295" s="157">
        <f t="shared" si="38"/>
        <v>4</v>
      </c>
      <c r="AB295" s="20"/>
      <c r="AC295" s="34"/>
      <c r="AD295" s="23" t="str">
        <f t="shared" si="39"/>
        <v/>
      </c>
    </row>
    <row r="296" spans="1:30" ht="15.5" outlineLevel="2" x14ac:dyDescent="0.35">
      <c r="A296" s="86" t="s">
        <v>0</v>
      </c>
      <c r="B296" s="18"/>
      <c r="C296" s="78"/>
      <c r="D296" s="78"/>
      <c r="E296" s="78"/>
      <c r="F296" s="79"/>
      <c r="G296" s="19" t="s">
        <v>23</v>
      </c>
      <c r="H296" s="19" t="s">
        <v>23</v>
      </c>
      <c r="I296" s="20" t="s">
        <v>23</v>
      </c>
      <c r="J296" s="19" t="s">
        <v>23</v>
      </c>
      <c r="K296" s="35"/>
      <c r="L296" s="19"/>
      <c r="M296" s="263">
        <f t="shared" ca="1" si="35"/>
        <v>23.500000000000007</v>
      </c>
      <c r="N296" s="20" t="s">
        <v>1102</v>
      </c>
      <c r="O296" s="20"/>
      <c r="P296" s="20"/>
      <c r="Q296" s="134"/>
      <c r="R296" s="127"/>
      <c r="S296" s="157">
        <f t="shared" si="36"/>
        <v>2</v>
      </c>
      <c r="T296" s="158"/>
      <c r="U296" s="21">
        <v>0</v>
      </c>
      <c r="V296" s="21">
        <v>1</v>
      </c>
      <c r="W296" s="21">
        <v>0</v>
      </c>
      <c r="X296" s="156">
        <v>2</v>
      </c>
      <c r="Y296" s="157">
        <f t="shared" si="37"/>
        <v>2</v>
      </c>
      <c r="Z296" s="22"/>
      <c r="AA296" s="157">
        <f t="shared" si="38"/>
        <v>2</v>
      </c>
      <c r="AB296" s="20"/>
      <c r="AC296" s="34"/>
      <c r="AD296" s="23" t="str">
        <f t="shared" si="39"/>
        <v/>
      </c>
    </row>
    <row r="297" spans="1:30" ht="58" outlineLevel="2" x14ac:dyDescent="0.35">
      <c r="A297" s="86" t="s">
        <v>0</v>
      </c>
      <c r="B297" s="18"/>
      <c r="C297" s="78"/>
      <c r="D297" s="78"/>
      <c r="E297" s="78"/>
      <c r="F297" s="79"/>
      <c r="G297" s="19" t="s">
        <v>23</v>
      </c>
      <c r="H297" s="19" t="s">
        <v>23</v>
      </c>
      <c r="I297" s="20" t="s">
        <v>23</v>
      </c>
      <c r="J297" s="19" t="s">
        <v>23</v>
      </c>
      <c r="K297" s="35"/>
      <c r="L297" s="19"/>
      <c r="M297" s="263">
        <f ca="1">IFERROR(OFFSET(M297,-1,,1,1)+0.1,OFFSET(M297,-1,-1,1,1)&amp;".1")</f>
        <v>23.600000000000009</v>
      </c>
      <c r="N297" s="20" t="s">
        <v>438</v>
      </c>
      <c r="O297" s="20"/>
      <c r="P297" s="20"/>
      <c r="Q297" s="134"/>
      <c r="R297" s="127"/>
      <c r="S297" s="157">
        <f>CEILING((IF(J297="Yes", 0, IF(H297="-",AA297,AA297+AA297*VLOOKUP(H297,BUFFERS_BY_TYPE,2,FALSE)))) +
   (IF(J297="Yes", 0, IF(H297="-",AA297,AA297+AA297*VLOOKUP(H297,BUFFERS_BY_TYPE,2,FALSE))))*VLOOKUP($S$5, SALES_CALL_SCALE_ARRAY, 2,FALSE),0.25)</f>
        <v>0</v>
      </c>
      <c r="T297" s="158"/>
      <c r="U297" s="21">
        <v>0</v>
      </c>
      <c r="V297" s="21">
        <v>1</v>
      </c>
      <c r="W297" s="21">
        <v>0</v>
      </c>
      <c r="X297" s="156"/>
      <c r="Y297" s="157">
        <f>CEILING((IF(P297=AS_DEV_EFFORT, DEV_EFFORT*Q297%,
                           IF(P297=AS_DURATION_EFFORT, (MANUAL_DURATION*5)*Q297%,
                                    (IF(Q297&lt;=1,X297,
                                          IF(SUM(U297:W297)=0,(Q297*X297),
                                               (((Q297*U297)*(X297+(X297*EXTRA_FOR_H)))+
                                               ((Q297*V297)*X297)+
                                               ((Q297*W297)*(X297-(X297*LESS_FOR_L)))
                                    )*IF(R297=0,1,R297))))))+Z297), 0.25)</f>
        <v>0</v>
      </c>
      <c r="Z297" s="22"/>
      <c r="AA297" s="157">
        <f>Y297+Y297*VLOOKUP(I297,EXTRAS_ARRAY,2,FALSE)</f>
        <v>0</v>
      </c>
      <c r="AB297" s="20" t="s">
        <v>440</v>
      </c>
      <c r="AC297" s="34"/>
      <c r="AD297" s="23" t="str">
        <f>IF(J297&lt;&gt;"Yes",
IF(S297&lt;=0,"Error: Effort value is not defined or is invalid.",
IF(AND(SUM(U297:W297)&gt;0,SUM(U297:W297)&lt;&gt;1),"Error: Complexity % distribution should sum to 100%.",
IF(AND(P297=AS_DEV_EFFORT,X297&lt;&gt;0),"Error: PDs should not be defined when defining as dev effort %.",
IF(AND(P297=AS_DURATION_EFFORT,X297&lt;&gt;0),"Error: PDs should not be defined when defining as duration effort %.","")))))</f>
        <v>Error: Effort value is not defined or is invalid.</v>
      </c>
    </row>
    <row r="298" spans="1:30" ht="58" outlineLevel="2" x14ac:dyDescent="0.35">
      <c r="A298" s="86" t="s">
        <v>0</v>
      </c>
      <c r="B298" s="18"/>
      <c r="C298" s="78"/>
      <c r="D298" s="78"/>
      <c r="E298" s="78"/>
      <c r="F298" s="79"/>
      <c r="G298" s="19" t="s">
        <v>23</v>
      </c>
      <c r="H298" s="19" t="s">
        <v>23</v>
      </c>
      <c r="I298" s="20" t="s">
        <v>23</v>
      </c>
      <c r="J298" s="19" t="s">
        <v>23</v>
      </c>
      <c r="K298" s="35"/>
      <c r="L298" s="19"/>
      <c r="M298" s="263">
        <f ca="1">IFERROR(OFFSET(M298,-1,,1,1)+0.1,OFFSET(M298,-1,-1,1,1)&amp;".1")</f>
        <v>23.70000000000001</v>
      </c>
      <c r="N298" s="20" t="s">
        <v>438</v>
      </c>
      <c r="O298" s="20"/>
      <c r="P298" s="20"/>
      <c r="Q298" s="134"/>
      <c r="R298" s="127"/>
      <c r="S298" s="157">
        <f>CEILING((IF(J298="Yes", 0, IF(H298="-",AA298,AA298+AA298*VLOOKUP(H298,BUFFERS_BY_TYPE,2,FALSE)))) +
   (IF(J298="Yes", 0, IF(H298="-",AA298,AA298+AA298*VLOOKUP(H298,BUFFERS_BY_TYPE,2,FALSE))))*VLOOKUP($S$5, SALES_CALL_SCALE_ARRAY, 2,FALSE),0.25)</f>
        <v>0</v>
      </c>
      <c r="T298" s="158"/>
      <c r="U298" s="21">
        <v>0</v>
      </c>
      <c r="V298" s="21">
        <v>1</v>
      </c>
      <c r="W298" s="21">
        <v>0</v>
      </c>
      <c r="X298" s="156"/>
      <c r="Y298" s="157">
        <f>CEILING((IF(P298=AS_DEV_EFFORT, DEV_EFFORT*Q298%,
                           IF(P298=AS_DURATION_EFFORT, (MANUAL_DURATION*5)*Q298%,
                                    (IF(Q298&lt;=1,X298,
                                          IF(SUM(U298:W298)=0,(Q298*X298),
                                               (((Q298*U298)*(X298+(X298*EXTRA_FOR_H)))+
                                               ((Q298*V298)*X298)+
                                               ((Q298*W298)*(X298-(X298*LESS_FOR_L)))
                                    )*IF(R298=0,1,R298))))))+Z298), 0.25)</f>
        <v>0</v>
      </c>
      <c r="Z298" s="22"/>
      <c r="AA298" s="157">
        <f>Y298+Y298*VLOOKUP(I298,EXTRAS_ARRAY,2,FALSE)</f>
        <v>0</v>
      </c>
      <c r="AB298" s="20" t="s">
        <v>440</v>
      </c>
      <c r="AC298" s="34"/>
      <c r="AD298" s="23" t="str">
        <f>IF(J298&lt;&gt;"Yes",
IF(S298&lt;=0,"Error: Effort value is not defined or is invalid.",
IF(AND(SUM(U298:W298)&gt;0,SUM(U298:W298)&lt;&gt;1),"Error: Complexity % distribution should sum to 100%.",
IF(AND(P298=AS_DEV_EFFORT,X298&lt;&gt;0),"Error: PDs should not be defined when defining as dev effort %.",
IF(AND(P298=AS_DURATION_EFFORT,X298&lt;&gt;0),"Error: PDs should not be defined when defining as duration effort %.","")))))</f>
        <v>Error: Effort value is not defined or is invalid.</v>
      </c>
    </row>
    <row r="299" spans="1:30" ht="58" outlineLevel="2" x14ac:dyDescent="0.35">
      <c r="A299" s="86" t="s">
        <v>0</v>
      </c>
      <c r="B299" s="18"/>
      <c r="C299" s="78"/>
      <c r="D299" s="78"/>
      <c r="E299" s="78"/>
      <c r="F299" s="79"/>
      <c r="G299" s="19" t="s">
        <v>23</v>
      </c>
      <c r="H299" s="19" t="s">
        <v>23</v>
      </c>
      <c r="I299" s="20" t="s">
        <v>23</v>
      </c>
      <c r="J299" s="19" t="s">
        <v>23</v>
      </c>
      <c r="K299" s="35"/>
      <c r="L299" s="19"/>
      <c r="M299" s="263">
        <f ca="1">IFERROR(OFFSET(M299,-1,,1,1)+0.1,OFFSET(M299,-1,-1,1,1)&amp;".1")</f>
        <v>23.800000000000011</v>
      </c>
      <c r="N299" s="20" t="s">
        <v>438</v>
      </c>
      <c r="O299" s="20"/>
      <c r="P299" s="20"/>
      <c r="Q299" s="134"/>
      <c r="R299" s="127"/>
      <c r="S299" s="157">
        <f>CEILING((IF(J299="Yes", 0, IF(H299="-",AA299,AA299+AA299*VLOOKUP(H299,BUFFERS_BY_TYPE,2,FALSE)))) +
   (IF(J299="Yes", 0, IF(H299="-",AA299,AA299+AA299*VLOOKUP(H299,BUFFERS_BY_TYPE,2,FALSE))))*VLOOKUP($S$5, SALES_CALL_SCALE_ARRAY, 2,FALSE),0.25)</f>
        <v>0</v>
      </c>
      <c r="T299" s="158"/>
      <c r="U299" s="21">
        <v>0</v>
      </c>
      <c r="V299" s="21">
        <v>1</v>
      </c>
      <c r="W299" s="21">
        <v>0</v>
      </c>
      <c r="X299" s="156"/>
      <c r="Y299" s="157">
        <f>CEILING((IF(P299=AS_DEV_EFFORT, DEV_EFFORT*Q299%,
                           IF(P299=AS_DURATION_EFFORT, (MANUAL_DURATION*5)*Q299%,
                                    (IF(Q299&lt;=1,X299,
                                          IF(SUM(U299:W299)=0,(Q299*X299),
                                               (((Q299*U299)*(X299+(X299*EXTRA_FOR_H)))+
                                               ((Q299*V299)*X299)+
                                               ((Q299*W299)*(X299-(X299*LESS_FOR_L)))
                                    )*IF(R299=0,1,R299))))))+Z299), 0.25)</f>
        <v>0</v>
      </c>
      <c r="Z299" s="22"/>
      <c r="AA299" s="157">
        <f>Y299+Y299*VLOOKUP(I299,EXTRAS_ARRAY,2,FALSE)</f>
        <v>0</v>
      </c>
      <c r="AB299" s="20" t="s">
        <v>440</v>
      </c>
      <c r="AC299" s="34"/>
      <c r="AD299" s="23" t="str">
        <f>IF(J299&lt;&gt;"Yes",
IF(S299&lt;=0,"Error: Effort value is not defined or is invalid.",
IF(AND(SUM(U299:W299)&gt;0,SUM(U299:W299)&lt;&gt;1),"Error: Complexity % distribution should sum to 100%.",
IF(AND(P299=AS_DEV_EFFORT,X299&lt;&gt;0),"Error: PDs should not be defined when defining as dev effort %.",
IF(AND(P299=AS_DURATION_EFFORT,X299&lt;&gt;0),"Error: PDs should not be defined when defining as duration effort %.","")))))</f>
        <v>Error: Effort value is not defined or is invalid.</v>
      </c>
    </row>
    <row r="300" spans="1:30" ht="58" outlineLevel="2" x14ac:dyDescent="0.35">
      <c r="A300" s="86" t="s">
        <v>0</v>
      </c>
      <c r="B300" s="18"/>
      <c r="C300" s="78"/>
      <c r="D300" s="78"/>
      <c r="E300" s="78"/>
      <c r="F300" s="79"/>
      <c r="G300" s="19" t="s">
        <v>23</v>
      </c>
      <c r="H300" s="19" t="s">
        <v>23</v>
      </c>
      <c r="I300" s="20" t="s">
        <v>23</v>
      </c>
      <c r="J300" s="19" t="s">
        <v>23</v>
      </c>
      <c r="K300" s="35"/>
      <c r="L300" s="19"/>
      <c r="M300" s="263">
        <f t="shared" ca="1" si="35"/>
        <v>23.900000000000013</v>
      </c>
      <c r="N300" s="20" t="s">
        <v>438</v>
      </c>
      <c r="O300" s="20"/>
      <c r="P300" s="20"/>
      <c r="Q300" s="134"/>
      <c r="R300" s="127"/>
      <c r="S300" s="157">
        <f t="shared" si="36"/>
        <v>0</v>
      </c>
      <c r="T300" s="158"/>
      <c r="U300" s="21">
        <v>0</v>
      </c>
      <c r="V300" s="21">
        <v>1</v>
      </c>
      <c r="W300" s="21">
        <v>0</v>
      </c>
      <c r="X300" s="156"/>
      <c r="Y300" s="157">
        <f t="shared" si="37"/>
        <v>0</v>
      </c>
      <c r="Z300" s="22"/>
      <c r="AA300" s="157">
        <f t="shared" si="38"/>
        <v>0</v>
      </c>
      <c r="AB300" s="20" t="s">
        <v>440</v>
      </c>
      <c r="AC300" s="34"/>
      <c r="AD300" s="23" t="str">
        <f t="shared" si="39"/>
        <v>Error: Effort value is not defined or is invalid.</v>
      </c>
    </row>
    <row r="301" spans="1:30" s="9" customFormat="1" ht="7.5" customHeight="1" outlineLevel="2" x14ac:dyDescent="0.35">
      <c r="A301" s="86" t="s">
        <v>132</v>
      </c>
      <c r="B301" s="15"/>
      <c r="C301" s="72"/>
      <c r="D301" s="72"/>
      <c r="E301" s="72"/>
      <c r="F301" s="72"/>
      <c r="M301" s="252"/>
      <c r="T301" s="15"/>
      <c r="X301" s="15"/>
      <c r="AB301" s="10"/>
      <c r="AC301" s="10"/>
      <c r="AD301" s="10"/>
    </row>
    <row r="302" spans="1:30" s="14" customFormat="1" ht="15.5" outlineLevel="1" x14ac:dyDescent="0.35">
      <c r="A302" s="86" t="s">
        <v>107</v>
      </c>
      <c r="B302" s="18"/>
      <c r="C302" s="77"/>
      <c r="D302" s="77"/>
      <c r="E302" s="77"/>
      <c r="F302" s="76"/>
      <c r="G302" s="170"/>
      <c r="H302" s="170"/>
      <c r="I302" s="170"/>
      <c r="J302" s="170"/>
      <c r="K302" s="170"/>
      <c r="L302" s="85" t="s">
        <v>109</v>
      </c>
      <c r="M302" s="311" t="s">
        <v>1103</v>
      </c>
      <c r="N302" s="311"/>
      <c r="O302" s="80"/>
      <c r="P302" s="81"/>
      <c r="Q302" s="81"/>
      <c r="R302" s="81"/>
      <c r="S302" s="307">
        <f>SUMGROUP(ROW(), "T")</f>
        <v>22</v>
      </c>
      <c r="T302" s="307"/>
      <c r="U302" s="308"/>
      <c r="V302" s="308"/>
      <c r="W302" s="308"/>
      <c r="X302" s="82"/>
      <c r="Y302" s="83"/>
      <c r="Z302" s="83"/>
      <c r="AA302" s="83"/>
      <c r="AB302" s="221"/>
      <c r="AC302" s="84"/>
      <c r="AD302" s="23" t="str">
        <f>IF(M302="", "Error: Module name cannot be empty.", "")</f>
        <v/>
      </c>
    </row>
    <row r="303" spans="1:30" s="14" customFormat="1" ht="29" outlineLevel="1" collapsed="1" x14ac:dyDescent="0.35">
      <c r="A303" s="86" t="s">
        <v>100</v>
      </c>
      <c r="B303" s="18"/>
      <c r="C303" s="77"/>
      <c r="D303" s="77"/>
      <c r="E303" s="77"/>
      <c r="F303" s="76"/>
      <c r="G303" s="29"/>
      <c r="H303" s="29"/>
      <c r="I303" s="29"/>
      <c r="J303" s="29"/>
      <c r="K303" s="29"/>
      <c r="L303" s="17">
        <f ca="1">LOOKUP(1000,INDIRECT("L1:"&amp;CELL("address",INDIRECT("R[-1]C",FALSE))))+1</f>
        <v>24</v>
      </c>
      <c r="M303" s="309" t="s">
        <v>1104</v>
      </c>
      <c r="N303" s="310"/>
      <c r="O303" s="5"/>
      <c r="P303" s="30"/>
      <c r="Q303" s="30"/>
      <c r="R303" s="30"/>
      <c r="S303" s="30"/>
      <c r="T303" s="155">
        <f>IF($S$6="Exclude", SUMIFS(S304:S310, J304:J310, "&lt;&gt;Yes", G304:G310, "&lt;&gt;Yes"), SUMIFS(S304:S310, J304:J310, "&lt;&gt;Yes"))</f>
        <v>14</v>
      </c>
      <c r="U303" s="30"/>
      <c r="V303" s="30"/>
      <c r="W303" s="30"/>
      <c r="X303" s="31"/>
      <c r="Y303" s="32"/>
      <c r="Z303" s="32"/>
      <c r="AA303" s="32"/>
      <c r="AB303" s="219" t="s">
        <v>1105</v>
      </c>
      <c r="AC303" s="33"/>
      <c r="AD303" s="23" t="str">
        <f>IF(M303="", "Error: Task name cannot be empty.", "")</f>
        <v/>
      </c>
    </row>
    <row r="304" spans="1:30" s="12" customFormat="1" ht="1.5" hidden="1" customHeight="1" outlineLevel="2" x14ac:dyDescent="0.35">
      <c r="A304" s="86" t="s">
        <v>101</v>
      </c>
      <c r="B304" s="18"/>
      <c r="C304" s="77"/>
      <c r="D304" s="77"/>
      <c r="E304" s="77"/>
      <c r="F304" s="76"/>
      <c r="G304" s="29"/>
      <c r="H304" s="29"/>
      <c r="I304" s="29"/>
      <c r="J304" s="29"/>
      <c r="K304" s="29"/>
      <c r="L304" s="163">
        <f ca="1">L303</f>
        <v>24</v>
      </c>
      <c r="M304" s="164" t="s">
        <v>105</v>
      </c>
      <c r="N304" s="161"/>
      <c r="O304" s="162"/>
      <c r="P304" s="30"/>
      <c r="Q304" s="30"/>
      <c r="R304" s="30"/>
      <c r="S304" s="30"/>
      <c r="T304" s="155"/>
      <c r="U304" s="30"/>
      <c r="V304" s="30"/>
      <c r="W304" s="30"/>
      <c r="X304" s="31"/>
      <c r="Y304" s="32"/>
      <c r="Z304" s="32"/>
      <c r="AA304" s="32"/>
      <c r="AB304" s="33"/>
      <c r="AC304" s="33"/>
      <c r="AD304" s="23"/>
    </row>
    <row r="305" spans="1:30" ht="15.5" hidden="1" outlineLevel="2" x14ac:dyDescent="0.35">
      <c r="A305" s="86" t="s">
        <v>0</v>
      </c>
      <c r="B305" s="18"/>
      <c r="C305" s="78"/>
      <c r="D305" s="78"/>
      <c r="E305" s="78"/>
      <c r="F305" s="79"/>
      <c r="G305" s="19" t="s">
        <v>23</v>
      </c>
      <c r="H305" s="19" t="s">
        <v>23</v>
      </c>
      <c r="I305" s="20" t="s">
        <v>23</v>
      </c>
      <c r="J305" s="19" t="s">
        <v>23</v>
      </c>
      <c r="K305" s="35"/>
      <c r="L305" s="19"/>
      <c r="M305" s="263" t="str">
        <f ca="1">IFERROR(OFFSET(M305,-1,,1,1)+0.1,OFFSET(M305,-1,-1,1,1)&amp;".1")</f>
        <v>24.1</v>
      </c>
      <c r="N305" s="20" t="s">
        <v>1106</v>
      </c>
      <c r="O305" s="20"/>
      <c r="P305" s="20"/>
      <c r="Q305" s="134"/>
      <c r="R305" s="127"/>
      <c r="S305" s="157">
        <f>CEILING((IF(J305="Yes", 0, IF(H305="-",AA305,AA305+AA305*VLOOKUP(H305,BUFFERS_BY_TYPE,2,FALSE)))) +
   (IF(J305="Yes", 0, IF(H305="-",AA305,AA305+AA305*VLOOKUP(H305,BUFFERS_BY_TYPE,2,FALSE))))*VLOOKUP($S$5, SALES_CALL_SCALE_ARRAY, 2,FALSE),0.25)</f>
        <v>3.5</v>
      </c>
      <c r="T305" s="158"/>
      <c r="U305" s="21">
        <v>0</v>
      </c>
      <c r="V305" s="21">
        <v>1</v>
      </c>
      <c r="W305" s="21">
        <v>0</v>
      </c>
      <c r="X305" s="156">
        <v>3.5</v>
      </c>
      <c r="Y305" s="157">
        <f>CEILING((IF(P305=AS_DEV_EFFORT, DEV_EFFORT*Q305%,
                           IF(P305=AS_DURATION_EFFORT, (MANUAL_DURATION*5)*Q305%,
                                    (IF(Q305&lt;=1,X305,
                                          IF(SUM(U305:W305)=0,(Q305*X305),
                                               (((Q305*U305)*(X305+(X305*EXTRA_FOR_H)))+
                                               ((Q305*V305)*X305)+
                                               ((Q305*W305)*(X305-(X305*LESS_FOR_L)))
                                    )*IF(R305=0,1,R305))))))+Z305), 0.25)</f>
        <v>3.5</v>
      </c>
      <c r="Z305" s="22"/>
      <c r="AA305" s="157">
        <f>Y305+Y305*VLOOKUP(I305,EXTRAS_ARRAY,2,FALSE)</f>
        <v>3.5</v>
      </c>
      <c r="AB305" s="20"/>
      <c r="AC305" s="34"/>
      <c r="AD305" s="23" t="str">
        <f>IF(J305&lt;&gt;"Yes",
IF(S305&lt;=0,"Error: Effort value is not defined or is invalid.",
IF(AND(SUM(U305:W305)&gt;0,SUM(U305:W305)&lt;&gt;1),"Error: Complexity % distribution should sum to 100%.",
IF(AND(P305=AS_DEV_EFFORT,X305&lt;&gt;0),"Error: PDs should not be defined when defining as dev effort %.",
IF(AND(P305=AS_DURATION_EFFORT,X305&lt;&gt;0),"Error: PDs should not be defined when defining as duration effort %.","")))))</f>
        <v/>
      </c>
    </row>
    <row r="306" spans="1:30" ht="15.5" hidden="1" outlineLevel="2" x14ac:dyDescent="0.35">
      <c r="A306" s="86" t="s">
        <v>0</v>
      </c>
      <c r="B306" s="18"/>
      <c r="C306" s="78"/>
      <c r="D306" s="78"/>
      <c r="E306" s="78"/>
      <c r="F306" s="79"/>
      <c r="G306" s="19" t="s">
        <v>23</v>
      </c>
      <c r="H306" s="19" t="s">
        <v>23</v>
      </c>
      <c r="I306" s="20" t="s">
        <v>23</v>
      </c>
      <c r="J306" s="19" t="s">
        <v>23</v>
      </c>
      <c r="K306" s="35"/>
      <c r="L306" s="19"/>
      <c r="M306" s="263">
        <f ca="1">IFERROR(OFFSET(M306,-1,,1,1)+0.1,OFFSET(M306,-1,-1,1,1)&amp;".1")</f>
        <v>24.200000000000003</v>
      </c>
      <c r="N306" s="20" t="s">
        <v>1107</v>
      </c>
      <c r="O306" s="20"/>
      <c r="P306" s="20"/>
      <c r="Q306" s="134"/>
      <c r="R306" s="127"/>
      <c r="S306" s="157">
        <f>CEILING((IF(J306="Yes", 0, IF(H306="-",AA306,AA306+AA306*VLOOKUP(H306,BUFFERS_BY_TYPE,2,FALSE)))) +
   (IF(J306="Yes", 0, IF(H306="-",AA306,AA306+AA306*VLOOKUP(H306,BUFFERS_BY_TYPE,2,FALSE))))*VLOOKUP($S$5, SALES_CALL_SCALE_ARRAY, 2,FALSE),0.25)</f>
        <v>3.5</v>
      </c>
      <c r="T306" s="158"/>
      <c r="U306" s="21">
        <v>0</v>
      </c>
      <c r="V306" s="21">
        <v>1</v>
      </c>
      <c r="W306" s="21">
        <v>0</v>
      </c>
      <c r="X306" s="156">
        <v>3.5</v>
      </c>
      <c r="Y306" s="157">
        <f>CEILING((IF(P306=AS_DEV_EFFORT, DEV_EFFORT*Q306%,
                           IF(P306=AS_DURATION_EFFORT, (MANUAL_DURATION*5)*Q306%,
                                    (IF(Q306&lt;=1,X306,
                                          IF(SUM(U306:W306)=0,(Q306*X306),
                                               (((Q306*U306)*(X306+(X306*EXTRA_FOR_H)))+
                                               ((Q306*V306)*X306)+
                                               ((Q306*W306)*(X306-(X306*LESS_FOR_L)))
                                    )*IF(R306=0,1,R306))))))+Z306), 0.25)</f>
        <v>3.5</v>
      </c>
      <c r="Z306" s="22"/>
      <c r="AA306" s="157">
        <f>Y306+Y306*VLOOKUP(I306,EXTRAS_ARRAY,2,FALSE)</f>
        <v>3.5</v>
      </c>
      <c r="AB306" s="20"/>
      <c r="AC306" s="34"/>
      <c r="AD306" s="23" t="str">
        <f>IF(J306&lt;&gt;"Yes",
IF(S306&lt;=0,"Error: Effort value is not defined or is invalid.",
IF(AND(SUM(U306:W306)&gt;0,SUM(U306:W306)&lt;&gt;1),"Error: Complexity % distribution should sum to 100%.",
IF(AND(P306=AS_DEV_EFFORT,X306&lt;&gt;0),"Error: PDs should not be defined when defining as dev effort %.",
IF(AND(P306=AS_DURATION_EFFORT,X306&lt;&gt;0),"Error: PDs should not be defined when defining as duration effort %.","")))))</f>
        <v/>
      </c>
    </row>
    <row r="307" spans="1:30" ht="15.5" hidden="1" outlineLevel="2" x14ac:dyDescent="0.35">
      <c r="A307" s="86" t="s">
        <v>0</v>
      </c>
      <c r="B307" s="18"/>
      <c r="C307" s="78"/>
      <c r="D307" s="78"/>
      <c r="E307" s="78"/>
      <c r="F307" s="79"/>
      <c r="G307" s="19" t="s">
        <v>23</v>
      </c>
      <c r="H307" s="19" t="s">
        <v>23</v>
      </c>
      <c r="I307" s="20" t="s">
        <v>23</v>
      </c>
      <c r="J307" s="19" t="s">
        <v>23</v>
      </c>
      <c r="K307" s="35"/>
      <c r="L307" s="19"/>
      <c r="M307" s="263">
        <f ca="1">IFERROR(OFFSET(M307,-1,,1,1)+0.1,OFFSET(M307,-1,-1,1,1)&amp;".1")</f>
        <v>24.300000000000004</v>
      </c>
      <c r="N307" s="20" t="s">
        <v>1108</v>
      </c>
      <c r="O307" s="20"/>
      <c r="P307" s="20"/>
      <c r="Q307" s="134"/>
      <c r="R307" s="127"/>
      <c r="S307" s="157">
        <f>CEILING((IF(J307="Yes", 0, IF(H307="-",AA307,AA307+AA307*VLOOKUP(H307,BUFFERS_BY_TYPE,2,FALSE)))) +
   (IF(J307="Yes", 0, IF(H307="-",AA307,AA307+AA307*VLOOKUP(H307,BUFFERS_BY_TYPE,2,FALSE))))*VLOOKUP($S$5, SALES_CALL_SCALE_ARRAY, 2,FALSE),0.25)</f>
        <v>3</v>
      </c>
      <c r="T307" s="158"/>
      <c r="U307" s="21">
        <v>0</v>
      </c>
      <c r="V307" s="21">
        <v>1</v>
      </c>
      <c r="W307" s="21">
        <v>0</v>
      </c>
      <c r="X307" s="156">
        <v>3</v>
      </c>
      <c r="Y307" s="157">
        <f>CEILING((IF(P307=AS_DEV_EFFORT, DEV_EFFORT*Q307%,
                           IF(P307=AS_DURATION_EFFORT, (MANUAL_DURATION*5)*Q307%,
                                    (IF(Q307&lt;=1,X307,
                                          IF(SUM(U307:W307)=0,(Q307*X307),
                                               (((Q307*U307)*(X307+(X307*EXTRA_FOR_H)))+
                                               ((Q307*V307)*X307)+
                                               ((Q307*W307)*(X307-(X307*LESS_FOR_L)))
                                    )*IF(R307=0,1,R307))))))+Z307), 0.25)</f>
        <v>3</v>
      </c>
      <c r="Z307" s="22"/>
      <c r="AA307" s="157">
        <f>Y307+Y307*VLOOKUP(I307,EXTRAS_ARRAY,2,FALSE)</f>
        <v>3</v>
      </c>
      <c r="AB307" s="20"/>
      <c r="AC307" s="34"/>
      <c r="AD307" s="23" t="str">
        <f>IF(J307&lt;&gt;"Yes",
IF(S307&lt;=0,"Error: Effort value is not defined or is invalid.",
IF(AND(SUM(U307:W307)&gt;0,SUM(U307:W307)&lt;&gt;1),"Error: Complexity % distribution should sum to 100%.",
IF(AND(P307=AS_DEV_EFFORT,X307&lt;&gt;0),"Error: PDs should not be defined when defining as dev effort %.",
IF(AND(P307=AS_DURATION_EFFORT,X307&lt;&gt;0),"Error: PDs should not be defined when defining as duration effort %.","")))))</f>
        <v/>
      </c>
    </row>
    <row r="308" spans="1:30" ht="15.5" hidden="1" outlineLevel="2" x14ac:dyDescent="0.35">
      <c r="A308" s="86" t="s">
        <v>0</v>
      </c>
      <c r="B308" s="18"/>
      <c r="C308" s="78"/>
      <c r="D308" s="78"/>
      <c r="E308" s="78"/>
      <c r="F308" s="79"/>
      <c r="G308" s="19" t="s">
        <v>23</v>
      </c>
      <c r="H308" s="19" t="s">
        <v>23</v>
      </c>
      <c r="I308" s="20" t="s">
        <v>23</v>
      </c>
      <c r="J308" s="19" t="s">
        <v>23</v>
      </c>
      <c r="K308" s="35"/>
      <c r="L308" s="19"/>
      <c r="M308" s="263">
        <f ca="1">IFERROR(OFFSET(M308,-1,,1,1)+0.1,OFFSET(M308,-1,-1,1,1)&amp;".1")</f>
        <v>24.400000000000006</v>
      </c>
      <c r="N308" s="20" t="s">
        <v>1109</v>
      </c>
      <c r="O308" s="20"/>
      <c r="P308" s="20"/>
      <c r="Q308" s="134"/>
      <c r="R308" s="127"/>
      <c r="S308" s="157">
        <f>CEILING((IF(J308="Yes", 0, IF(H308="-",AA308,AA308+AA308*VLOOKUP(H308,BUFFERS_BY_TYPE,2,FALSE)))) +
   (IF(J308="Yes", 0, IF(H308="-",AA308,AA308+AA308*VLOOKUP(H308,BUFFERS_BY_TYPE,2,FALSE))))*VLOOKUP($S$5, SALES_CALL_SCALE_ARRAY, 2,FALSE),0.25)</f>
        <v>2.5</v>
      </c>
      <c r="T308" s="158"/>
      <c r="U308" s="21">
        <v>0</v>
      </c>
      <c r="V308" s="21">
        <v>1</v>
      </c>
      <c r="W308" s="21">
        <v>0</v>
      </c>
      <c r="X308" s="156">
        <v>2.5</v>
      </c>
      <c r="Y308" s="157">
        <f>CEILING((IF(P308=AS_DEV_EFFORT, DEV_EFFORT*Q308%,
                           IF(P308=AS_DURATION_EFFORT, (MANUAL_DURATION*5)*Q308%,
                                    (IF(Q308&lt;=1,X308,
                                          IF(SUM(U308:W308)=0,(Q308*X308),
                                               (((Q308*U308)*(X308+(X308*EXTRA_FOR_H)))+
                                               ((Q308*V308)*X308)+
                                               ((Q308*W308)*(X308-(X308*LESS_FOR_L)))
                                    )*IF(R308=0,1,R308))))))+Z308), 0.25)</f>
        <v>2.5</v>
      </c>
      <c r="Z308" s="22"/>
      <c r="AA308" s="157">
        <f>Y308+Y308*VLOOKUP(I308,EXTRAS_ARRAY,2,FALSE)</f>
        <v>2.5</v>
      </c>
      <c r="AB308" s="20"/>
      <c r="AC308" s="34"/>
      <c r="AD308" s="23" t="str">
        <f>IF(J308&lt;&gt;"Yes",
IF(S308&lt;=0,"Error: Effort value is not defined or is invalid.",
IF(AND(SUM(U308:W308)&gt;0,SUM(U308:W308)&lt;&gt;1),"Error: Complexity % distribution should sum to 100%.",
IF(AND(P308=AS_DEV_EFFORT,X308&lt;&gt;0),"Error: PDs should not be defined when defining as dev effort %.",
IF(AND(P308=AS_DURATION_EFFORT,X308&lt;&gt;0),"Error: PDs should not be defined when defining as duration effort %.","")))))</f>
        <v/>
      </c>
    </row>
    <row r="309" spans="1:30" ht="15.5" hidden="1" outlineLevel="2" x14ac:dyDescent="0.35">
      <c r="A309" s="86" t="s">
        <v>0</v>
      </c>
      <c r="B309" s="18"/>
      <c r="C309" s="78"/>
      <c r="D309" s="78"/>
      <c r="E309" s="78"/>
      <c r="F309" s="79"/>
      <c r="G309" s="19" t="s">
        <v>23</v>
      </c>
      <c r="H309" s="19" t="s">
        <v>23</v>
      </c>
      <c r="I309" s="20" t="s">
        <v>23</v>
      </c>
      <c r="J309" s="19" t="s">
        <v>23</v>
      </c>
      <c r="K309" s="35"/>
      <c r="L309" s="19"/>
      <c r="M309" s="263">
        <f ca="1">IFERROR(OFFSET(M309,-1,,1,1)+0.1,OFFSET(M309,-1,-1,1,1)&amp;".1")</f>
        <v>24.500000000000007</v>
      </c>
      <c r="N309" s="20" t="s">
        <v>1110</v>
      </c>
      <c r="O309" s="20"/>
      <c r="P309" s="20"/>
      <c r="Q309" s="134"/>
      <c r="R309" s="127"/>
      <c r="S309" s="157">
        <f>CEILING((IF(J309="Yes", 0, IF(H309="-",AA309,AA309+AA309*VLOOKUP(H309,BUFFERS_BY_TYPE,2,FALSE)))) +
   (IF(J309="Yes", 0, IF(H309="-",AA309,AA309+AA309*VLOOKUP(H309,BUFFERS_BY_TYPE,2,FALSE))))*VLOOKUP($S$5, SALES_CALL_SCALE_ARRAY, 2,FALSE),0.25)</f>
        <v>1.5</v>
      </c>
      <c r="T309" s="158"/>
      <c r="U309" s="21">
        <v>0</v>
      </c>
      <c r="V309" s="21">
        <v>1</v>
      </c>
      <c r="W309" s="21">
        <v>0</v>
      </c>
      <c r="X309" s="156">
        <v>1.5</v>
      </c>
      <c r="Y309" s="157">
        <f>CEILING((IF(P309=AS_DEV_EFFORT, DEV_EFFORT*Q309%,
                           IF(P309=AS_DURATION_EFFORT, (MANUAL_DURATION*5)*Q309%,
                                    (IF(Q309&lt;=1,X309,
                                          IF(SUM(U309:W309)=0,(Q309*X309),
                                               (((Q309*U309)*(X309+(X309*EXTRA_FOR_H)))+
                                               ((Q309*V309)*X309)+
                                               ((Q309*W309)*(X309-(X309*LESS_FOR_L)))
                                    )*IF(R309=0,1,R309))))))+Z309), 0.25)</f>
        <v>1.5</v>
      </c>
      <c r="Z309" s="22"/>
      <c r="AA309" s="157">
        <f>Y309+Y309*VLOOKUP(I309,EXTRAS_ARRAY,2,FALSE)</f>
        <v>1.5</v>
      </c>
      <c r="AB309" s="20"/>
      <c r="AC309" s="34"/>
      <c r="AD309" s="23" t="str">
        <f>IF(J309&lt;&gt;"Yes",
IF(S309&lt;=0,"Error: Effort value is not defined or is invalid.",
IF(AND(SUM(U309:W309)&gt;0,SUM(U309:W309)&lt;&gt;1),"Error: Complexity % distribution should sum to 100%.",
IF(AND(P309=AS_DEV_EFFORT,X309&lt;&gt;0),"Error: PDs should not be defined when defining as dev effort %.",
IF(AND(P309=AS_DURATION_EFFORT,X309&lt;&gt;0),"Error: PDs should not be defined when defining as duration effort %.","")))))</f>
        <v/>
      </c>
    </row>
    <row r="310" spans="1:30" s="9" customFormat="1" ht="7.5" hidden="1" customHeight="1" outlineLevel="2" x14ac:dyDescent="0.35">
      <c r="A310" s="86" t="s">
        <v>132</v>
      </c>
      <c r="B310" s="15"/>
      <c r="C310" s="72"/>
      <c r="D310" s="72"/>
      <c r="E310" s="72"/>
      <c r="F310" s="72"/>
      <c r="M310" s="252"/>
      <c r="T310" s="15"/>
      <c r="X310" s="15"/>
      <c r="AB310" s="10"/>
      <c r="AC310" s="10"/>
      <c r="AD310" s="10"/>
    </row>
    <row r="311" spans="1:30" s="14" customFormat="1" ht="15.5" outlineLevel="1" x14ac:dyDescent="0.35">
      <c r="A311" s="86" t="s">
        <v>100</v>
      </c>
      <c r="B311" s="18"/>
      <c r="C311" s="77"/>
      <c r="D311" s="77"/>
      <c r="E311" s="77"/>
      <c r="F311" s="76"/>
      <c r="G311" s="29"/>
      <c r="H311" s="29"/>
      <c r="I311" s="29"/>
      <c r="J311" s="29"/>
      <c r="K311" s="29"/>
      <c r="L311" s="17">
        <f ca="1">LOOKUP(1000,INDIRECT("L1:"&amp;CELL("address",INDIRECT("R[-1]C",FALSE))))+1</f>
        <v>25</v>
      </c>
      <c r="M311" s="309" t="s">
        <v>1111</v>
      </c>
      <c r="N311" s="310"/>
      <c r="O311" s="5"/>
      <c r="P311" s="30"/>
      <c r="Q311" s="30"/>
      <c r="R311" s="30"/>
      <c r="S311" s="30"/>
      <c r="T311" s="155">
        <f>IF($S$6="Exclude", SUMIFS(S312:S317, J312:J317, "&lt;&gt;Yes", G312:G317, "&lt;&gt;Yes"), SUMIFS(S312:S317, J312:J317, "&lt;&gt;Yes"))</f>
        <v>8</v>
      </c>
      <c r="U311" s="30"/>
      <c r="V311" s="30"/>
      <c r="W311" s="30"/>
      <c r="X311" s="31"/>
      <c r="Y311" s="32"/>
      <c r="Z311" s="32"/>
      <c r="AA311" s="32"/>
      <c r="AB311" s="219" t="s">
        <v>956</v>
      </c>
      <c r="AC311" s="33"/>
      <c r="AD311" s="23" t="str">
        <f>IF(M311="", "Error: Task name cannot be empty.", "")</f>
        <v/>
      </c>
    </row>
    <row r="312" spans="1:30" s="12" customFormat="1" ht="1.5" customHeight="1" outlineLevel="2" x14ac:dyDescent="0.35">
      <c r="A312" s="86" t="s">
        <v>101</v>
      </c>
      <c r="B312" s="18"/>
      <c r="C312" s="77"/>
      <c r="D312" s="77"/>
      <c r="E312" s="77"/>
      <c r="F312" s="76"/>
      <c r="G312" s="29"/>
      <c r="H312" s="29"/>
      <c r="I312" s="29"/>
      <c r="J312" s="29"/>
      <c r="K312" s="29"/>
      <c r="L312" s="163">
        <f ca="1">L311</f>
        <v>25</v>
      </c>
      <c r="M312" s="164" t="s">
        <v>105</v>
      </c>
      <c r="N312" s="161"/>
      <c r="O312" s="162"/>
      <c r="P312" s="30"/>
      <c r="Q312" s="30"/>
      <c r="R312" s="30"/>
      <c r="S312" s="30"/>
      <c r="T312" s="155"/>
      <c r="U312" s="30"/>
      <c r="V312" s="30"/>
      <c r="W312" s="30"/>
      <c r="X312" s="31"/>
      <c r="Y312" s="32"/>
      <c r="Z312" s="32"/>
      <c r="AA312" s="32"/>
      <c r="AB312" s="33"/>
      <c r="AC312" s="33"/>
      <c r="AD312" s="23"/>
    </row>
    <row r="313" spans="1:30" ht="15.5" outlineLevel="2" x14ac:dyDescent="0.35">
      <c r="A313" s="86" t="s">
        <v>0</v>
      </c>
      <c r="B313" s="18"/>
      <c r="C313" s="78"/>
      <c r="D313" s="78"/>
      <c r="E313" s="78"/>
      <c r="F313" s="79"/>
      <c r="G313" s="19" t="s">
        <v>23</v>
      </c>
      <c r="H313" s="19" t="s">
        <v>23</v>
      </c>
      <c r="I313" s="20" t="s">
        <v>23</v>
      </c>
      <c r="J313" s="19" t="s">
        <v>23</v>
      </c>
      <c r="K313" s="35"/>
      <c r="L313" s="19"/>
      <c r="M313" s="263" t="str">
        <f ca="1">IFERROR(OFFSET(M313,-1,,1,1)+0.1,OFFSET(M313,-1,-1,1,1)&amp;".1")</f>
        <v>25.1</v>
      </c>
      <c r="N313" s="20" t="s">
        <v>1112</v>
      </c>
      <c r="O313" s="20"/>
      <c r="P313" s="20"/>
      <c r="Q313" s="134"/>
      <c r="R313" s="127"/>
      <c r="S313" s="157">
        <f>CEILING((IF(J313="Yes", 0, IF(H313="-",AA313,AA313+AA313*VLOOKUP(H313,BUFFERS_BY_TYPE,2,FALSE)))) +
   (IF(J313="Yes", 0, IF(H313="-",AA313,AA313+AA313*VLOOKUP(H313,BUFFERS_BY_TYPE,2,FALSE))))*VLOOKUP($S$5, SALES_CALL_SCALE_ARRAY, 2,FALSE),0.25)</f>
        <v>2.5</v>
      </c>
      <c r="T313" s="158"/>
      <c r="U313" s="21">
        <v>0</v>
      </c>
      <c r="V313" s="21">
        <v>1</v>
      </c>
      <c r="W313" s="21">
        <v>0</v>
      </c>
      <c r="X313" s="156">
        <v>2.5</v>
      </c>
      <c r="Y313" s="157">
        <f>CEILING((IF(P313=AS_DEV_EFFORT, DEV_EFFORT*Q313%,
                           IF(P313=AS_DURATION_EFFORT, (MANUAL_DURATION*5)*Q313%,
                                    (IF(Q313&lt;=1,X313,
                                          IF(SUM(U313:W313)=0,(Q313*X313),
                                               (((Q313*U313)*(X313+(X313*EXTRA_FOR_H)))+
                                               ((Q313*V313)*X313)+
                                               ((Q313*W313)*(X313-(X313*LESS_FOR_L)))
                                    )*IF(R313=0,1,R313))))))+Z313), 0.25)</f>
        <v>2.5</v>
      </c>
      <c r="Z313" s="22"/>
      <c r="AA313" s="157">
        <f>Y313+Y313*VLOOKUP(I313,EXTRAS_ARRAY,2,FALSE)</f>
        <v>2.5</v>
      </c>
      <c r="AB313" s="20"/>
      <c r="AC313" s="34"/>
      <c r="AD313" s="23" t="str">
        <f>IF(J313&lt;&gt;"Yes",
IF(S313&lt;=0,"Error: Effort value is not defined or is invalid.",
IF(AND(SUM(U313:W313)&gt;0,SUM(U313:W313)&lt;&gt;1),"Error: Complexity % distribution should sum to 100%.",
IF(AND(P313=AS_DEV_EFFORT,X313&lt;&gt;0),"Error: PDs should not be defined when defining as dev effort %.",
IF(AND(P313=AS_DURATION_EFFORT,X313&lt;&gt;0),"Error: PDs should not be defined when defining as duration effort %.","")))))</f>
        <v/>
      </c>
    </row>
    <row r="314" spans="1:30" ht="15.5" outlineLevel="2" x14ac:dyDescent="0.35">
      <c r="A314" s="86" t="s">
        <v>0</v>
      </c>
      <c r="B314" s="18"/>
      <c r="C314" s="78"/>
      <c r="D314" s="78"/>
      <c r="E314" s="78"/>
      <c r="F314" s="79"/>
      <c r="G314" s="19" t="s">
        <v>23</v>
      </c>
      <c r="H314" s="19" t="s">
        <v>23</v>
      </c>
      <c r="I314" s="20" t="s">
        <v>23</v>
      </c>
      <c r="J314" s="19" t="s">
        <v>23</v>
      </c>
      <c r="K314" s="35"/>
      <c r="L314" s="19"/>
      <c r="M314" s="263">
        <f ca="1">IFERROR(OFFSET(M314,-1,,1,1)+0.1,OFFSET(M314,-1,-1,1,1)&amp;".1")</f>
        <v>25.200000000000003</v>
      </c>
      <c r="N314" s="20" t="s">
        <v>1113</v>
      </c>
      <c r="O314" s="20"/>
      <c r="P314" s="20"/>
      <c r="Q314" s="134"/>
      <c r="R314" s="127"/>
      <c r="S314" s="157">
        <f>CEILING((IF(J314="Yes", 0, IF(H314="-",AA314,AA314+AA314*VLOOKUP(H314,BUFFERS_BY_TYPE,2,FALSE)))) +
   (IF(J314="Yes", 0, IF(H314="-",AA314,AA314+AA314*VLOOKUP(H314,BUFFERS_BY_TYPE,2,FALSE))))*VLOOKUP($S$5, SALES_CALL_SCALE_ARRAY, 2,FALSE),0.25)</f>
        <v>3</v>
      </c>
      <c r="T314" s="158"/>
      <c r="U314" s="21">
        <v>0</v>
      </c>
      <c r="V314" s="21">
        <v>1</v>
      </c>
      <c r="W314" s="21">
        <v>0</v>
      </c>
      <c r="X314" s="156">
        <v>3</v>
      </c>
      <c r="Y314" s="157">
        <f>CEILING((IF(P314=AS_DEV_EFFORT, DEV_EFFORT*Q314%,
                           IF(P314=AS_DURATION_EFFORT, (MANUAL_DURATION*5)*Q314%,
                                    (IF(Q314&lt;=1,X314,
                                          IF(SUM(U314:W314)=0,(Q314*X314),
                                               (((Q314*U314)*(X314+(X314*EXTRA_FOR_H)))+
                                               ((Q314*V314)*X314)+
                                               ((Q314*W314)*(X314-(X314*LESS_FOR_L)))
                                    )*IF(R314=0,1,R314))))))+Z314), 0.25)</f>
        <v>3</v>
      </c>
      <c r="Z314" s="22"/>
      <c r="AA314" s="157">
        <f>Y314+Y314*VLOOKUP(I314,EXTRAS_ARRAY,2,FALSE)</f>
        <v>3</v>
      </c>
      <c r="AB314" s="20"/>
      <c r="AC314" s="34"/>
      <c r="AD314" s="23" t="str">
        <f>IF(J314&lt;&gt;"Yes",
IF(S314&lt;=0,"Error: Effort value is not defined or is invalid.",
IF(AND(SUM(U314:W314)&gt;0,SUM(U314:W314)&lt;&gt;1),"Error: Complexity % distribution should sum to 100%.",
IF(AND(P314=AS_DEV_EFFORT,X314&lt;&gt;0),"Error: PDs should not be defined when defining as dev effort %.",
IF(AND(P314=AS_DURATION_EFFORT,X314&lt;&gt;0),"Error: PDs should not be defined when defining as duration effort %.","")))))</f>
        <v/>
      </c>
    </row>
    <row r="315" spans="1:30" ht="15.5" outlineLevel="2" x14ac:dyDescent="0.35">
      <c r="A315" s="86" t="s">
        <v>0</v>
      </c>
      <c r="B315" s="18"/>
      <c r="C315" s="78"/>
      <c r="D315" s="78"/>
      <c r="E315" s="78"/>
      <c r="F315" s="79"/>
      <c r="G315" s="19" t="s">
        <v>23</v>
      </c>
      <c r="H315" s="19" t="s">
        <v>23</v>
      </c>
      <c r="I315" s="20" t="s">
        <v>23</v>
      </c>
      <c r="J315" s="19" t="s">
        <v>23</v>
      </c>
      <c r="K315" s="35"/>
      <c r="L315" s="19"/>
      <c r="M315" s="263">
        <f ca="1">IFERROR(OFFSET(M315,-1,,1,1)+0.1,OFFSET(M315,-1,-1,1,1)&amp;".1")</f>
        <v>25.300000000000004</v>
      </c>
      <c r="N315" s="20" t="s">
        <v>1114</v>
      </c>
      <c r="O315" s="20"/>
      <c r="P315" s="20"/>
      <c r="Q315" s="134"/>
      <c r="R315" s="127"/>
      <c r="S315" s="157">
        <f>CEILING((IF(J315="Yes", 0, IF(H315="-",AA315,AA315+AA315*VLOOKUP(H315,BUFFERS_BY_TYPE,2,FALSE)))) +
   (IF(J315="Yes", 0, IF(H315="-",AA315,AA315+AA315*VLOOKUP(H315,BUFFERS_BY_TYPE,2,FALSE))))*VLOOKUP($S$5, SALES_CALL_SCALE_ARRAY, 2,FALSE),0.25)</f>
        <v>2.5</v>
      </c>
      <c r="T315" s="158"/>
      <c r="U315" s="21">
        <v>0</v>
      </c>
      <c r="V315" s="21">
        <v>1</v>
      </c>
      <c r="W315" s="21">
        <v>0</v>
      </c>
      <c r="X315" s="156">
        <v>2.5</v>
      </c>
      <c r="Y315" s="157">
        <f>CEILING((IF(P315=AS_DEV_EFFORT, DEV_EFFORT*Q315%,
                           IF(P315=AS_DURATION_EFFORT, (MANUAL_DURATION*5)*Q315%,
                                    (IF(Q315&lt;=1,X315,
                                          IF(SUM(U315:W315)=0,(Q315*X315),
                                               (((Q315*U315)*(X315+(X315*EXTRA_FOR_H)))+
                                               ((Q315*V315)*X315)+
                                               ((Q315*W315)*(X315-(X315*LESS_FOR_L)))
                                    )*IF(R315=0,1,R315))))))+Z315), 0.25)</f>
        <v>2.5</v>
      </c>
      <c r="Z315" s="22"/>
      <c r="AA315" s="157">
        <f>Y315+Y315*VLOOKUP(I315,EXTRAS_ARRAY,2,FALSE)</f>
        <v>2.5</v>
      </c>
      <c r="AB315" s="20"/>
      <c r="AC315" s="34"/>
      <c r="AD315" s="23" t="str">
        <f>IF(J315&lt;&gt;"Yes",
IF(S315&lt;=0,"Error: Effort value is not defined or is invalid.",
IF(AND(SUM(U315:W315)&gt;0,SUM(U315:W315)&lt;&gt;1),"Error: Complexity % distribution should sum to 100%.",
IF(AND(P315=AS_DEV_EFFORT,X315&lt;&gt;0),"Error: PDs should not be defined when defining as dev effort %.",
IF(AND(P315=AS_DURATION_EFFORT,X315&lt;&gt;0),"Error: PDs should not be defined when defining as duration effort %.","")))))</f>
        <v/>
      </c>
    </row>
    <row r="316" spans="1:30" ht="58" outlineLevel="2" x14ac:dyDescent="0.35">
      <c r="A316" s="86" t="s">
        <v>0</v>
      </c>
      <c r="B316" s="18"/>
      <c r="C316" s="78"/>
      <c r="D316" s="78"/>
      <c r="E316" s="78"/>
      <c r="F316" s="79"/>
      <c r="G316" s="19" t="s">
        <v>23</v>
      </c>
      <c r="H316" s="19" t="s">
        <v>23</v>
      </c>
      <c r="I316" s="20" t="s">
        <v>23</v>
      </c>
      <c r="J316" s="19" t="s">
        <v>23</v>
      </c>
      <c r="K316" s="35"/>
      <c r="L316" s="19"/>
      <c r="M316" s="263">
        <f ca="1">IFERROR(OFFSET(M316,-1,,1,1)+0.1,OFFSET(M316,-1,-1,1,1)&amp;".1")</f>
        <v>25.400000000000006</v>
      </c>
      <c r="N316" s="20" t="s">
        <v>438</v>
      </c>
      <c r="O316" s="20"/>
      <c r="P316" s="20"/>
      <c r="Q316" s="134"/>
      <c r="R316" s="127"/>
      <c r="S316" s="157">
        <f>CEILING((IF(J316="Yes", 0, IF(H316="-",AA316,AA316+AA316*VLOOKUP(H316,BUFFERS_BY_TYPE,2,FALSE)))) +
   (IF(J316="Yes", 0, IF(H316="-",AA316,AA316+AA316*VLOOKUP(H316,BUFFERS_BY_TYPE,2,FALSE))))*VLOOKUP($S$5, SALES_CALL_SCALE_ARRAY, 2,FALSE),0.25)</f>
        <v>0</v>
      </c>
      <c r="T316" s="158"/>
      <c r="U316" s="21">
        <v>0</v>
      </c>
      <c r="V316" s="21">
        <v>1</v>
      </c>
      <c r="W316" s="21">
        <v>0</v>
      </c>
      <c r="X316" s="156"/>
      <c r="Y316" s="157">
        <f>CEILING((IF(P316=AS_DEV_EFFORT, DEV_EFFORT*Q316%,
                           IF(P316=AS_DURATION_EFFORT, (MANUAL_DURATION*5)*Q316%,
                                    (IF(Q316&lt;=1,X316,
                                          IF(SUM(U316:W316)=0,(Q316*X316),
                                               (((Q316*U316)*(X316+(X316*EXTRA_FOR_H)))+
                                               ((Q316*V316)*X316)+
                                               ((Q316*W316)*(X316-(X316*LESS_FOR_L)))
                                    )*IF(R316=0,1,R316))))))+Z316), 0.25)</f>
        <v>0</v>
      </c>
      <c r="Z316" s="22"/>
      <c r="AA316" s="157">
        <f>Y316+Y316*VLOOKUP(I316,EXTRAS_ARRAY,2,FALSE)</f>
        <v>0</v>
      </c>
      <c r="AB316" s="20" t="s">
        <v>440</v>
      </c>
      <c r="AC316" s="34"/>
      <c r="AD316" s="23" t="str">
        <f>IF(J316&lt;&gt;"Yes",
IF(S316&lt;=0,"Error: Effort value is not defined or is invalid.",
IF(AND(SUM(U316:W316)&gt;0,SUM(U316:W316)&lt;&gt;1),"Error: Complexity % distribution should sum to 100%.",
IF(AND(P316=AS_DEV_EFFORT,X316&lt;&gt;0),"Error: PDs should not be defined when defining as dev effort %.",
IF(AND(P316=AS_DURATION_EFFORT,X316&lt;&gt;0),"Error: PDs should not be defined when defining as duration effort %.","")))))</f>
        <v>Error: Effort value is not defined or is invalid.</v>
      </c>
    </row>
    <row r="317" spans="1:30" s="9" customFormat="1" ht="7.5" customHeight="1" outlineLevel="2" x14ac:dyDescent="0.35">
      <c r="A317" s="86" t="s">
        <v>132</v>
      </c>
      <c r="B317" s="15"/>
      <c r="C317" s="72"/>
      <c r="D317" s="72"/>
      <c r="E317" s="72"/>
      <c r="F317" s="72"/>
      <c r="M317" s="252"/>
      <c r="T317" s="15"/>
      <c r="X317" s="15"/>
      <c r="AB317" s="10"/>
      <c r="AC317" s="10"/>
      <c r="AD317" s="10"/>
    </row>
    <row r="318" spans="1:30" s="14" customFormat="1" ht="15.5" outlineLevel="1" x14ac:dyDescent="0.35">
      <c r="A318" s="86" t="s">
        <v>107</v>
      </c>
      <c r="B318" s="18"/>
      <c r="C318" s="77"/>
      <c r="D318" s="77"/>
      <c r="E318" s="77"/>
      <c r="F318" s="76"/>
      <c r="G318" s="170"/>
      <c r="H318" s="170"/>
      <c r="I318" s="170"/>
      <c r="J318" s="170"/>
      <c r="K318" s="170"/>
      <c r="L318" s="85" t="s">
        <v>109</v>
      </c>
      <c r="M318" s="311" t="s">
        <v>884</v>
      </c>
      <c r="N318" s="311"/>
      <c r="O318" s="80"/>
      <c r="P318" s="81"/>
      <c r="Q318" s="81"/>
      <c r="R318" s="81"/>
      <c r="S318" s="307">
        <f>SUMGROUP(ROW(), "T")</f>
        <v>64</v>
      </c>
      <c r="T318" s="307"/>
      <c r="U318" s="308"/>
      <c r="V318" s="308"/>
      <c r="W318" s="308"/>
      <c r="X318" s="82"/>
      <c r="Y318" s="83"/>
      <c r="Z318" s="83"/>
      <c r="AA318" s="83"/>
      <c r="AB318" s="221"/>
      <c r="AC318" s="84"/>
      <c r="AD318" s="23" t="str">
        <f>IF(M318="", "Error: Module name cannot be empty.", "")</f>
        <v/>
      </c>
    </row>
    <row r="319" spans="1:30" s="14" customFormat="1" ht="15.5" outlineLevel="1" collapsed="1" x14ac:dyDescent="0.35">
      <c r="A319" s="86" t="s">
        <v>100</v>
      </c>
      <c r="B319" s="18"/>
      <c r="C319" s="77"/>
      <c r="D319" s="77"/>
      <c r="E319" s="77"/>
      <c r="F319" s="76"/>
      <c r="G319" s="29"/>
      <c r="H319" s="29"/>
      <c r="I319" s="29"/>
      <c r="J319" s="29"/>
      <c r="K319" s="29"/>
      <c r="L319" s="17">
        <f ca="1">LOOKUP(1000,INDIRECT("L1:"&amp;CELL("address",INDIRECT("R[-1]C",FALSE))))+1</f>
        <v>26</v>
      </c>
      <c r="M319" s="310" t="s">
        <v>1115</v>
      </c>
      <c r="N319" s="310"/>
      <c r="O319" s="5"/>
      <c r="P319" s="30"/>
      <c r="Q319" s="30"/>
      <c r="R319" s="30"/>
      <c r="S319" s="30"/>
      <c r="T319" s="155">
        <f>IF($S$6="Exclude", SUMIFS(S320:S326, J320:J326, "&lt;&gt;Yes", G320:G326, "&lt;&gt;Yes"), SUMIFS(S320:S326, J320:J326, "&lt;&gt;Yes"))</f>
        <v>14</v>
      </c>
      <c r="U319" s="30"/>
      <c r="V319" s="30"/>
      <c r="W319" s="30"/>
      <c r="X319" s="31"/>
      <c r="Y319" s="32"/>
      <c r="Z319" s="32"/>
      <c r="AA319" s="32"/>
      <c r="AB319" s="219" t="s">
        <v>957</v>
      </c>
      <c r="AC319" s="33"/>
      <c r="AD319" s="23" t="str">
        <f>IF(M319="", "Error: Task name cannot be empty.", "")</f>
        <v/>
      </c>
    </row>
    <row r="320" spans="1:30" s="12" customFormat="1" ht="1.5" hidden="1" customHeight="1" outlineLevel="2" x14ac:dyDescent="0.35">
      <c r="A320" s="86" t="s">
        <v>101</v>
      </c>
      <c r="B320" s="18"/>
      <c r="C320" s="77"/>
      <c r="D320" s="77"/>
      <c r="E320" s="77"/>
      <c r="F320" s="76"/>
      <c r="G320" s="29"/>
      <c r="H320" s="29"/>
      <c r="I320" s="29"/>
      <c r="J320" s="29"/>
      <c r="K320" s="29"/>
      <c r="L320" s="163">
        <f ca="1">L319</f>
        <v>26</v>
      </c>
      <c r="M320" s="164" t="s">
        <v>105</v>
      </c>
      <c r="N320" s="161"/>
      <c r="O320" s="162"/>
      <c r="P320" s="30"/>
      <c r="Q320" s="30"/>
      <c r="R320" s="30"/>
      <c r="S320" s="30"/>
      <c r="T320" s="155"/>
      <c r="U320" s="30"/>
      <c r="V320" s="30"/>
      <c r="W320" s="30"/>
      <c r="X320" s="31"/>
      <c r="Y320" s="32"/>
      <c r="Z320" s="32"/>
      <c r="AA320" s="32"/>
      <c r="AB320" s="33"/>
      <c r="AC320" s="33"/>
      <c r="AD320" s="23"/>
    </row>
    <row r="321" spans="1:30" ht="15.5" hidden="1" outlineLevel="2" x14ac:dyDescent="0.35">
      <c r="A321" s="86" t="s">
        <v>0</v>
      </c>
      <c r="B321" s="18"/>
      <c r="C321" s="78"/>
      <c r="D321" s="78"/>
      <c r="E321" s="78"/>
      <c r="F321" s="79"/>
      <c r="G321" s="19" t="s">
        <v>23</v>
      </c>
      <c r="H321" s="19" t="s">
        <v>23</v>
      </c>
      <c r="I321" s="20" t="s">
        <v>23</v>
      </c>
      <c r="J321" s="19" t="s">
        <v>23</v>
      </c>
      <c r="K321" s="35"/>
      <c r="L321" s="19"/>
      <c r="M321" s="263" t="str">
        <f ca="1">IFERROR(OFFSET(M321,-1,,1,1)+0.1,OFFSET(M321,-1,-1,1,1)&amp;".1")</f>
        <v>26.1</v>
      </c>
      <c r="N321" s="20" t="s">
        <v>1116</v>
      </c>
      <c r="O321" s="20"/>
      <c r="P321" s="20"/>
      <c r="Q321" s="134"/>
      <c r="R321" s="127"/>
      <c r="S321" s="157">
        <f>CEILING((IF(J321="Yes", 0, IF(H321="-",AA321,AA321+AA321*VLOOKUP(H321,BUFFERS_BY_TYPE,2,FALSE)))) +
   (IF(J321="Yes", 0, IF(H321="-",AA321,AA321+AA321*VLOOKUP(H321,BUFFERS_BY_TYPE,2,FALSE))))*VLOOKUP($S$5, SALES_CALL_SCALE_ARRAY, 2,FALSE),0.25)</f>
        <v>3</v>
      </c>
      <c r="T321" s="158"/>
      <c r="U321" s="21">
        <v>0</v>
      </c>
      <c r="V321" s="21">
        <v>1</v>
      </c>
      <c r="W321" s="21">
        <v>0</v>
      </c>
      <c r="X321" s="156">
        <v>3</v>
      </c>
      <c r="Y321" s="157">
        <f>CEILING((IF(P321=AS_DEV_EFFORT, DEV_EFFORT*Q321%,
                           IF(P321=AS_DURATION_EFFORT, (MANUAL_DURATION*5)*Q321%,
                                    (IF(Q321&lt;=1,X321,
                                          IF(SUM(U321:W321)=0,(Q321*X321),
                                               (((Q321*U321)*(X321+(X321*EXTRA_FOR_H)))+
                                               ((Q321*V321)*X321)+
                                               ((Q321*W321)*(X321-(X321*LESS_FOR_L)))
                                    )*IF(R321=0,1,R321))))))+Z321), 0.25)</f>
        <v>3</v>
      </c>
      <c r="Z321" s="22"/>
      <c r="AA321" s="157">
        <f>Y321+Y321*VLOOKUP(I321,EXTRAS_ARRAY,2,FALSE)</f>
        <v>3</v>
      </c>
      <c r="AB321" s="20"/>
      <c r="AC321" s="34"/>
      <c r="AD321" s="23" t="str">
        <f>IF(J321&lt;&gt;"Yes",
IF(S321&lt;=0,"Error: Effort value is not defined or is invalid.",
IF(AND(SUM(U321:W321)&gt;0,SUM(U321:W321)&lt;&gt;1),"Error: Complexity % distribution should sum to 100%.",
IF(AND(P321=AS_DEV_EFFORT,X321&lt;&gt;0),"Error: PDs should not be defined when defining as dev effort %.",
IF(AND(P321=AS_DURATION_EFFORT,X321&lt;&gt;0),"Error: PDs should not be defined when defining as duration effort %.","")))))</f>
        <v/>
      </c>
    </row>
    <row r="322" spans="1:30" ht="29" hidden="1" outlineLevel="2" x14ac:dyDescent="0.35">
      <c r="A322" s="86" t="s">
        <v>0</v>
      </c>
      <c r="B322" s="18"/>
      <c r="C322" s="78"/>
      <c r="D322" s="78"/>
      <c r="E322" s="78"/>
      <c r="F322" s="79"/>
      <c r="G322" s="19" t="s">
        <v>23</v>
      </c>
      <c r="H322" s="19" t="s">
        <v>23</v>
      </c>
      <c r="I322" s="20" t="s">
        <v>23</v>
      </c>
      <c r="J322" s="19" t="s">
        <v>23</v>
      </c>
      <c r="K322" s="35"/>
      <c r="L322" s="19"/>
      <c r="M322" s="263">
        <f ca="1">IFERROR(OFFSET(M322,-1,,1,1)+0.1,OFFSET(M322,-1,-1,1,1)&amp;".1")</f>
        <v>26.200000000000003</v>
      </c>
      <c r="N322" s="20" t="s">
        <v>1117</v>
      </c>
      <c r="O322" s="20"/>
      <c r="P322" s="20"/>
      <c r="Q322" s="134"/>
      <c r="R322" s="127"/>
      <c r="S322" s="157">
        <f>CEILING((IF(J322="Yes", 0, IF(H322="-",AA322,AA322+AA322*VLOOKUP(H322,BUFFERS_BY_TYPE,2,FALSE)))) +
   (IF(J322="Yes", 0, IF(H322="-",AA322,AA322+AA322*VLOOKUP(H322,BUFFERS_BY_TYPE,2,FALSE))))*VLOOKUP($S$5, SALES_CALL_SCALE_ARRAY, 2,FALSE),0.25)</f>
        <v>3</v>
      </c>
      <c r="T322" s="158"/>
      <c r="U322" s="21">
        <v>0</v>
      </c>
      <c r="V322" s="21">
        <v>1</v>
      </c>
      <c r="W322" s="21">
        <v>0</v>
      </c>
      <c r="X322" s="156">
        <v>3</v>
      </c>
      <c r="Y322" s="157">
        <f>CEILING((IF(P322=AS_DEV_EFFORT, DEV_EFFORT*Q322%,
                           IF(P322=AS_DURATION_EFFORT, (MANUAL_DURATION*5)*Q322%,
                                    (IF(Q322&lt;=1,X322,
                                          IF(SUM(U322:W322)=0,(Q322*X322),
                                               (((Q322*U322)*(X322+(X322*EXTRA_FOR_H)))+
                                               ((Q322*V322)*X322)+
                                               ((Q322*W322)*(X322-(X322*LESS_FOR_L)))
                                    )*IF(R322=0,1,R322))))))+Z322), 0.25)</f>
        <v>3</v>
      </c>
      <c r="Z322" s="22"/>
      <c r="AA322" s="157">
        <f>Y322+Y322*VLOOKUP(I322,EXTRAS_ARRAY,2,FALSE)</f>
        <v>3</v>
      </c>
      <c r="AB322" s="20"/>
      <c r="AC322" s="34"/>
      <c r="AD322" s="23" t="str">
        <f>IF(J322&lt;&gt;"Yes",
IF(S322&lt;=0,"Error: Effort value is not defined or is invalid.",
IF(AND(SUM(U322:W322)&gt;0,SUM(U322:W322)&lt;&gt;1),"Error: Complexity % distribution should sum to 100%.",
IF(AND(P322=AS_DEV_EFFORT,X322&lt;&gt;0),"Error: PDs should not be defined when defining as dev effort %.",
IF(AND(P322=AS_DURATION_EFFORT,X322&lt;&gt;0),"Error: PDs should not be defined when defining as duration effort %.","")))))</f>
        <v/>
      </c>
    </row>
    <row r="323" spans="1:30" ht="15.5" hidden="1" outlineLevel="2" x14ac:dyDescent="0.35">
      <c r="A323" s="86" t="s">
        <v>0</v>
      </c>
      <c r="B323" s="18"/>
      <c r="C323" s="78"/>
      <c r="D323" s="78"/>
      <c r="E323" s="78"/>
      <c r="F323" s="79"/>
      <c r="G323" s="19" t="s">
        <v>23</v>
      </c>
      <c r="H323" s="19" t="s">
        <v>23</v>
      </c>
      <c r="I323" s="20" t="s">
        <v>23</v>
      </c>
      <c r="J323" s="19" t="s">
        <v>23</v>
      </c>
      <c r="K323" s="35"/>
      <c r="L323" s="19"/>
      <c r="M323" s="263">
        <f ca="1">IFERROR(OFFSET(M323,-1,,1,1)+0.1,OFFSET(M323,-1,-1,1,1)&amp;".1")</f>
        <v>26.300000000000004</v>
      </c>
      <c r="N323" s="20" t="s">
        <v>1118</v>
      </c>
      <c r="O323" s="20"/>
      <c r="P323" s="20"/>
      <c r="Q323" s="134"/>
      <c r="R323" s="127"/>
      <c r="S323" s="157">
        <f>CEILING((IF(J323="Yes", 0, IF(H323="-",AA323,AA323+AA323*VLOOKUP(H323,BUFFERS_BY_TYPE,2,FALSE)))) +
   (IF(J323="Yes", 0, IF(H323="-",AA323,AA323+AA323*VLOOKUP(H323,BUFFERS_BY_TYPE,2,FALSE))))*VLOOKUP($S$5, SALES_CALL_SCALE_ARRAY, 2,FALSE),0.25)</f>
        <v>2.5</v>
      </c>
      <c r="T323" s="158"/>
      <c r="U323" s="21">
        <v>0</v>
      </c>
      <c r="V323" s="21">
        <v>1</v>
      </c>
      <c r="W323" s="21">
        <v>0</v>
      </c>
      <c r="X323" s="156">
        <v>2.5</v>
      </c>
      <c r="Y323" s="157">
        <f>CEILING((IF(P323=AS_DEV_EFFORT, DEV_EFFORT*Q323%,
                           IF(P323=AS_DURATION_EFFORT, (MANUAL_DURATION*5)*Q323%,
                                    (IF(Q323&lt;=1,X323,
                                          IF(SUM(U323:W323)=0,(Q323*X323),
                                               (((Q323*U323)*(X323+(X323*EXTRA_FOR_H)))+
                                               ((Q323*V323)*X323)+
                                               ((Q323*W323)*(X323-(X323*LESS_FOR_L)))
                                    )*IF(R323=0,1,R323))))))+Z323), 0.25)</f>
        <v>2.5</v>
      </c>
      <c r="Z323" s="22"/>
      <c r="AA323" s="157">
        <f>Y323+Y323*VLOOKUP(I323,EXTRAS_ARRAY,2,FALSE)</f>
        <v>2.5</v>
      </c>
      <c r="AB323" s="20"/>
      <c r="AC323" s="34"/>
      <c r="AD323" s="23" t="str">
        <f>IF(J323&lt;&gt;"Yes",
IF(S323&lt;=0,"Error: Effort value is not defined or is invalid.",
IF(AND(SUM(U323:W323)&gt;0,SUM(U323:W323)&lt;&gt;1),"Error: Complexity % distribution should sum to 100%.",
IF(AND(P323=AS_DEV_EFFORT,X323&lt;&gt;0),"Error: PDs should not be defined when defining as dev effort %.",
IF(AND(P323=AS_DURATION_EFFORT,X323&lt;&gt;0),"Error: PDs should not be defined when defining as duration effort %.","")))))</f>
        <v/>
      </c>
    </row>
    <row r="324" spans="1:30" ht="15.5" hidden="1" outlineLevel="2" x14ac:dyDescent="0.35">
      <c r="A324" s="86" t="s">
        <v>0</v>
      </c>
      <c r="B324" s="18"/>
      <c r="C324" s="78"/>
      <c r="D324" s="78"/>
      <c r="E324" s="78"/>
      <c r="F324" s="79"/>
      <c r="G324" s="19" t="s">
        <v>23</v>
      </c>
      <c r="H324" s="19" t="s">
        <v>23</v>
      </c>
      <c r="I324" s="20" t="s">
        <v>23</v>
      </c>
      <c r="J324" s="19" t="s">
        <v>23</v>
      </c>
      <c r="K324" s="35"/>
      <c r="L324" s="19"/>
      <c r="M324" s="263">
        <f ca="1">IFERROR(OFFSET(M324,-1,,1,1)+0.1,OFFSET(M324,-1,-1,1,1)&amp;".1")</f>
        <v>26.400000000000006</v>
      </c>
      <c r="N324" s="20" t="s">
        <v>1119</v>
      </c>
      <c r="O324" s="20"/>
      <c r="P324" s="20"/>
      <c r="Q324" s="134"/>
      <c r="R324" s="127"/>
      <c r="S324" s="157">
        <f>CEILING((IF(J324="Yes", 0, IF(H324="-",AA324,AA324+AA324*VLOOKUP(H324,BUFFERS_BY_TYPE,2,FALSE)))) +
   (IF(J324="Yes", 0, IF(H324="-",AA324,AA324+AA324*VLOOKUP(H324,BUFFERS_BY_TYPE,2,FALSE))))*VLOOKUP($S$5, SALES_CALL_SCALE_ARRAY, 2,FALSE),0.25)</f>
        <v>3</v>
      </c>
      <c r="T324" s="158"/>
      <c r="U324" s="21">
        <v>0</v>
      </c>
      <c r="V324" s="21">
        <v>1</v>
      </c>
      <c r="W324" s="21">
        <v>0</v>
      </c>
      <c r="X324" s="156">
        <v>3</v>
      </c>
      <c r="Y324" s="157">
        <f>CEILING((IF(P324=AS_DEV_EFFORT, DEV_EFFORT*Q324%,
                           IF(P324=AS_DURATION_EFFORT, (MANUAL_DURATION*5)*Q324%,
                                    (IF(Q324&lt;=1,X324,
                                          IF(SUM(U324:W324)=0,(Q324*X324),
                                               (((Q324*U324)*(X324+(X324*EXTRA_FOR_H)))+
                                               ((Q324*V324)*X324)+
                                               ((Q324*W324)*(X324-(X324*LESS_FOR_L)))
                                    )*IF(R324=0,1,R324))))))+Z324), 0.25)</f>
        <v>3</v>
      </c>
      <c r="Z324" s="22"/>
      <c r="AA324" s="157">
        <f>Y324+Y324*VLOOKUP(I324,EXTRAS_ARRAY,2,FALSE)</f>
        <v>3</v>
      </c>
      <c r="AB324" s="20"/>
      <c r="AC324" s="34"/>
      <c r="AD324" s="23" t="str">
        <f>IF(J324&lt;&gt;"Yes",
IF(S324&lt;=0,"Error: Effort value is not defined or is invalid.",
IF(AND(SUM(U324:W324)&gt;0,SUM(U324:W324)&lt;&gt;1),"Error: Complexity % distribution should sum to 100%.",
IF(AND(P324=AS_DEV_EFFORT,X324&lt;&gt;0),"Error: PDs should not be defined when defining as dev effort %.",
IF(AND(P324=AS_DURATION_EFFORT,X324&lt;&gt;0),"Error: PDs should not be defined when defining as duration effort %.","")))))</f>
        <v/>
      </c>
    </row>
    <row r="325" spans="1:30" ht="15.5" hidden="1" outlineLevel="2" x14ac:dyDescent="0.35">
      <c r="A325" s="86" t="s">
        <v>0</v>
      </c>
      <c r="B325" s="18"/>
      <c r="C325" s="78"/>
      <c r="D325" s="78"/>
      <c r="E325" s="78"/>
      <c r="F325" s="79"/>
      <c r="G325" s="19" t="s">
        <v>23</v>
      </c>
      <c r="H325" s="19" t="s">
        <v>23</v>
      </c>
      <c r="I325" s="20" t="s">
        <v>23</v>
      </c>
      <c r="J325" s="19" t="s">
        <v>23</v>
      </c>
      <c r="K325" s="35"/>
      <c r="L325" s="19"/>
      <c r="M325" s="263">
        <f ca="1">IFERROR(OFFSET(M325,-1,,1,1)+0.1,OFFSET(M325,-1,-1,1,1)&amp;".1")</f>
        <v>26.500000000000007</v>
      </c>
      <c r="N325" s="20" t="s">
        <v>1120</v>
      </c>
      <c r="O325" s="20"/>
      <c r="P325" s="20"/>
      <c r="Q325" s="134"/>
      <c r="R325" s="127"/>
      <c r="S325" s="157">
        <f>CEILING((IF(J325="Yes", 0, IF(H325="-",AA325,AA325+AA325*VLOOKUP(H325,BUFFERS_BY_TYPE,2,FALSE)))) +
   (IF(J325="Yes", 0, IF(H325="-",AA325,AA325+AA325*VLOOKUP(H325,BUFFERS_BY_TYPE,2,FALSE))))*VLOOKUP($S$5, SALES_CALL_SCALE_ARRAY, 2,FALSE),0.25)</f>
        <v>2.5</v>
      </c>
      <c r="T325" s="158"/>
      <c r="U325" s="21">
        <v>0</v>
      </c>
      <c r="V325" s="21">
        <v>1</v>
      </c>
      <c r="W325" s="21">
        <v>0</v>
      </c>
      <c r="X325" s="156">
        <v>2.5</v>
      </c>
      <c r="Y325" s="157">
        <f>CEILING((IF(P325=AS_DEV_EFFORT, DEV_EFFORT*Q325%,
                           IF(P325=AS_DURATION_EFFORT, (MANUAL_DURATION*5)*Q325%,
                                    (IF(Q325&lt;=1,X325,
                                          IF(SUM(U325:W325)=0,(Q325*X325),
                                               (((Q325*U325)*(X325+(X325*EXTRA_FOR_H)))+
                                               ((Q325*V325)*X325)+
                                               ((Q325*W325)*(X325-(X325*LESS_FOR_L)))
                                    )*IF(R325=0,1,R325))))))+Z325), 0.25)</f>
        <v>2.5</v>
      </c>
      <c r="Z325" s="22"/>
      <c r="AA325" s="157">
        <f>Y325+Y325*VLOOKUP(I325,EXTRAS_ARRAY,2,FALSE)</f>
        <v>2.5</v>
      </c>
      <c r="AB325" s="20"/>
      <c r="AC325" s="34"/>
      <c r="AD325" s="23" t="str">
        <f>IF(J325&lt;&gt;"Yes",
IF(S325&lt;=0,"Error: Effort value is not defined or is invalid.",
IF(AND(SUM(U325:W325)&gt;0,SUM(U325:W325)&lt;&gt;1),"Error: Complexity % distribution should sum to 100%.",
IF(AND(P325=AS_DEV_EFFORT,X325&lt;&gt;0),"Error: PDs should not be defined when defining as dev effort %.",
IF(AND(P325=AS_DURATION_EFFORT,X325&lt;&gt;0),"Error: PDs should not be defined when defining as duration effort %.","")))))</f>
        <v/>
      </c>
    </row>
    <row r="326" spans="1:30" s="9" customFormat="1" ht="7.5" hidden="1" customHeight="1" outlineLevel="2" x14ac:dyDescent="0.35">
      <c r="A326" s="86" t="s">
        <v>132</v>
      </c>
      <c r="B326" s="15"/>
      <c r="C326" s="72"/>
      <c r="D326" s="72"/>
      <c r="E326" s="72"/>
      <c r="F326" s="72"/>
      <c r="M326" s="252"/>
      <c r="T326" s="15"/>
      <c r="X326" s="15"/>
      <c r="AB326" s="10"/>
      <c r="AC326" s="10"/>
      <c r="AD326" s="10"/>
    </row>
    <row r="327" spans="1:30" s="14" customFormat="1" ht="15.5" outlineLevel="1" collapsed="1" x14ac:dyDescent="0.35">
      <c r="A327" s="86" t="s">
        <v>100</v>
      </c>
      <c r="B327" s="18"/>
      <c r="C327" s="77"/>
      <c r="D327" s="77"/>
      <c r="E327" s="77"/>
      <c r="F327" s="76"/>
      <c r="G327" s="29"/>
      <c r="H327" s="29"/>
      <c r="I327" s="29"/>
      <c r="J327" s="29"/>
      <c r="K327" s="29"/>
      <c r="L327" s="17">
        <f ca="1">LOOKUP(1000,INDIRECT("L1:"&amp;CELL("address",INDIRECT("R[-1]C",FALSE))))+1</f>
        <v>27</v>
      </c>
      <c r="M327" s="310" t="s">
        <v>1121</v>
      </c>
      <c r="N327" s="310"/>
      <c r="O327" s="5"/>
      <c r="P327" s="30"/>
      <c r="Q327" s="30"/>
      <c r="R327" s="30"/>
      <c r="S327" s="30"/>
      <c r="T327" s="155">
        <f>IF($S$6="Exclude", SUMIFS(S328:S332, J328:J332, "&lt;&gt;Yes", G328:G332, "&lt;&gt;Yes"), SUMIFS(S328:S332, J328:J332, "&lt;&gt;Yes"))</f>
        <v>16</v>
      </c>
      <c r="U327" s="30"/>
      <c r="V327" s="30"/>
      <c r="W327" s="30"/>
      <c r="X327" s="31"/>
      <c r="Y327" s="32"/>
      <c r="Z327" s="32"/>
      <c r="AA327" s="32"/>
      <c r="AB327" s="219" t="s">
        <v>1122</v>
      </c>
      <c r="AC327" s="33"/>
      <c r="AD327" s="23" t="str">
        <f>IF(M327="", "Error: Task name cannot be empty.", "")</f>
        <v/>
      </c>
    </row>
    <row r="328" spans="1:30" s="12" customFormat="1" ht="1.5" hidden="1" customHeight="1" outlineLevel="2" x14ac:dyDescent="0.35">
      <c r="A328" s="86" t="s">
        <v>101</v>
      </c>
      <c r="B328" s="18"/>
      <c r="C328" s="77"/>
      <c r="D328" s="77"/>
      <c r="E328" s="77"/>
      <c r="F328" s="76"/>
      <c r="G328" s="29"/>
      <c r="H328" s="29"/>
      <c r="I328" s="29"/>
      <c r="J328" s="29"/>
      <c r="K328" s="29"/>
      <c r="L328" s="163">
        <f ca="1">L327</f>
        <v>27</v>
      </c>
      <c r="M328" s="164" t="s">
        <v>105</v>
      </c>
      <c r="N328" s="161"/>
      <c r="O328" s="162"/>
      <c r="P328" s="30"/>
      <c r="Q328" s="30"/>
      <c r="R328" s="30"/>
      <c r="S328" s="30"/>
      <c r="T328" s="155"/>
      <c r="U328" s="30"/>
      <c r="V328" s="30"/>
      <c r="W328" s="30"/>
      <c r="X328" s="31"/>
      <c r="Y328" s="32"/>
      <c r="Z328" s="32"/>
      <c r="AA328" s="32"/>
      <c r="AB328" s="33"/>
      <c r="AC328" s="33"/>
      <c r="AD328" s="23"/>
    </row>
    <row r="329" spans="1:30" ht="15.5" hidden="1" outlineLevel="2" x14ac:dyDescent="0.35">
      <c r="A329" s="86" t="s">
        <v>0</v>
      </c>
      <c r="B329" s="18"/>
      <c r="C329" s="78"/>
      <c r="D329" s="78"/>
      <c r="E329" s="78"/>
      <c r="F329" s="79"/>
      <c r="G329" s="19" t="s">
        <v>23</v>
      </c>
      <c r="H329" s="19" t="s">
        <v>23</v>
      </c>
      <c r="I329" s="20" t="s">
        <v>23</v>
      </c>
      <c r="J329" s="19" t="s">
        <v>23</v>
      </c>
      <c r="K329" s="35"/>
      <c r="L329" s="19"/>
      <c r="M329" s="263" t="str">
        <f ca="1">IFERROR(OFFSET(M329,-1,,1,1)+0.1,OFFSET(M329,-1,-1,1,1)&amp;".1")</f>
        <v>27.1</v>
      </c>
      <c r="N329" s="20" t="s">
        <v>1123</v>
      </c>
      <c r="O329" s="20"/>
      <c r="P329" s="20"/>
      <c r="Q329" s="134"/>
      <c r="R329" s="127"/>
      <c r="S329" s="157">
        <f>CEILING((IF(J329="Yes", 0, IF(H329="-",AA329,AA329+AA329*VLOOKUP(H329,BUFFERS_BY_TYPE,2,FALSE)))) +
   (IF(J329="Yes", 0, IF(H329="-",AA329,AA329+AA329*VLOOKUP(H329,BUFFERS_BY_TYPE,2,FALSE))))*VLOOKUP($S$5, SALES_CALL_SCALE_ARRAY, 2,FALSE),0.25)</f>
        <v>6</v>
      </c>
      <c r="T329" s="158"/>
      <c r="U329" s="21">
        <v>0.25</v>
      </c>
      <c r="V329" s="21">
        <v>0.5</v>
      </c>
      <c r="W329" s="21">
        <v>0.25</v>
      </c>
      <c r="X329" s="156">
        <v>6</v>
      </c>
      <c r="Y329" s="157">
        <f>CEILING((IF(P329=AS_DEV_EFFORT, DEV_EFFORT*Q329%,
                           IF(P329=AS_DURATION_EFFORT, (MANUAL_DURATION*5)*Q329%,
                                    (IF(Q329&lt;=1,X329,
                                          IF(SUM(U329:W329)=0,(Q329*X329),
                                               (((Q329*U329)*(X329+(X329*EXTRA_FOR_H)))+
                                               ((Q329*V329)*X329)+
                                               ((Q329*W329)*(X329-(X329*LESS_FOR_L)))
                                    )*IF(R329=0,1,R329))))))+Z329), 0.25)</f>
        <v>6</v>
      </c>
      <c r="Z329" s="22"/>
      <c r="AA329" s="157">
        <f>Y329+Y329*VLOOKUP(I329,EXTRAS_ARRAY,2,FALSE)</f>
        <v>6</v>
      </c>
      <c r="AB329" s="20"/>
      <c r="AC329" s="34"/>
      <c r="AD329" s="23" t="str">
        <f>IF(J329&lt;&gt;"Yes",
IF(S329&lt;=0,"Error: Effort value is not defined or is invalid.",
IF(AND(SUM(U329:W329)&gt;0,SUM(U329:W329)&lt;&gt;1),"Error: Complexity % distribution should sum to 100%.",
IF(AND(P329=AS_DEV_EFFORT,X329&lt;&gt;0),"Error: PDs should not be defined when defining as dev effort %.",
IF(AND(P329=AS_DURATION_EFFORT,X329&lt;&gt;0),"Error: PDs should not be defined when defining as duration effort %.","")))))</f>
        <v/>
      </c>
    </row>
    <row r="330" spans="1:30" ht="15.5" hidden="1" outlineLevel="2" x14ac:dyDescent="0.35">
      <c r="A330" s="86" t="s">
        <v>0</v>
      </c>
      <c r="B330" s="18"/>
      <c r="C330" s="78"/>
      <c r="D330" s="78"/>
      <c r="E330" s="78"/>
      <c r="F330" s="79"/>
      <c r="G330" s="19" t="s">
        <v>23</v>
      </c>
      <c r="H330" s="19" t="s">
        <v>23</v>
      </c>
      <c r="I330" s="20" t="s">
        <v>23</v>
      </c>
      <c r="J330" s="19" t="s">
        <v>23</v>
      </c>
      <c r="K330" s="35"/>
      <c r="L330" s="19"/>
      <c r="M330" s="263">
        <f ca="1">IFERROR(OFFSET(M330,-1,,1,1)+0.1,OFFSET(M330,-1,-1,1,1)&amp;".1")</f>
        <v>27.200000000000003</v>
      </c>
      <c r="N330" s="20" t="s">
        <v>1124</v>
      </c>
      <c r="O330" s="20"/>
      <c r="P330" s="20"/>
      <c r="Q330" s="134"/>
      <c r="R330" s="127"/>
      <c r="S330" s="157">
        <f>CEILING((IF(J330="Yes", 0, IF(H330="-",AA330,AA330+AA330*VLOOKUP(H330,BUFFERS_BY_TYPE,2,FALSE)))) +
   (IF(J330="Yes", 0, IF(H330="-",AA330,AA330+AA330*VLOOKUP(H330,BUFFERS_BY_TYPE,2,FALSE))))*VLOOKUP($S$5, SALES_CALL_SCALE_ARRAY, 2,FALSE),0.25)</f>
        <v>5</v>
      </c>
      <c r="T330" s="158"/>
      <c r="U330" s="21">
        <v>0.1</v>
      </c>
      <c r="V330" s="21">
        <v>0.8</v>
      </c>
      <c r="W330" s="21">
        <v>0.1</v>
      </c>
      <c r="X330" s="156">
        <v>5</v>
      </c>
      <c r="Y330" s="157">
        <f>CEILING((IF(P330=AS_DEV_EFFORT, DEV_EFFORT*Q330%,
                           IF(P330=AS_DURATION_EFFORT, (MANUAL_DURATION*5)*Q330%,
                                    (IF(Q330&lt;=1,X330,
                                          IF(SUM(U330:W330)=0,(Q330*X330),
                                               (((Q330*U330)*(X330+(X330*EXTRA_FOR_H)))+
                                               ((Q330*V330)*X330)+
                                               ((Q330*W330)*(X330-(X330*LESS_FOR_L)))
                                    )*IF(R330=0,1,R330))))))+Z330), 0.25)</f>
        <v>5</v>
      </c>
      <c r="Z330" s="22"/>
      <c r="AA330" s="157">
        <f>Y330+Y330*VLOOKUP(I330,EXTRAS_ARRAY,2,FALSE)</f>
        <v>5</v>
      </c>
      <c r="AB330" s="20"/>
      <c r="AC330" s="34"/>
      <c r="AD330" s="23" t="str">
        <f>IF(J330&lt;&gt;"Yes",
IF(S330&lt;=0,"Error: Effort value is not defined or is invalid.",
IF(AND(SUM(U330:W330)&gt;0,SUM(U330:W330)&lt;&gt;1),"Error: Complexity % distribution should sum to 100%.",
IF(AND(P330=AS_DEV_EFFORT,X330&lt;&gt;0),"Error: PDs should not be defined when defining as dev effort %.",
IF(AND(P330=AS_DURATION_EFFORT,X330&lt;&gt;0),"Error: PDs should not be defined when defining as duration effort %.","")))))</f>
        <v/>
      </c>
    </row>
    <row r="331" spans="1:30" ht="15.5" hidden="1" outlineLevel="2" x14ac:dyDescent="0.35">
      <c r="A331" s="86" t="s">
        <v>0</v>
      </c>
      <c r="B331" s="18"/>
      <c r="C331" s="78"/>
      <c r="D331" s="78"/>
      <c r="E331" s="78"/>
      <c r="F331" s="79"/>
      <c r="G331" s="19" t="s">
        <v>23</v>
      </c>
      <c r="H331" s="19" t="s">
        <v>23</v>
      </c>
      <c r="I331" s="20" t="s">
        <v>23</v>
      </c>
      <c r="J331" s="19" t="s">
        <v>23</v>
      </c>
      <c r="K331" s="35"/>
      <c r="L331" s="19"/>
      <c r="M331" s="263">
        <f ca="1">IFERROR(OFFSET(M331,-1,,1,1)+0.1,OFFSET(M331,-1,-1,1,1)&amp;".1")</f>
        <v>27.300000000000004</v>
      </c>
      <c r="N331" s="20" t="s">
        <v>1125</v>
      </c>
      <c r="O331" s="20"/>
      <c r="P331" s="20"/>
      <c r="Q331" s="134"/>
      <c r="R331" s="127"/>
      <c r="S331" s="157">
        <f>CEILING((IF(J331="Yes", 0, IF(H331="-",AA331,AA331+AA331*VLOOKUP(H331,BUFFERS_BY_TYPE,2,FALSE)))) +
   (IF(J331="Yes", 0, IF(H331="-",AA331,AA331+AA331*VLOOKUP(H331,BUFFERS_BY_TYPE,2,FALSE))))*VLOOKUP($S$5, SALES_CALL_SCALE_ARRAY, 2,FALSE),0.25)</f>
        <v>5</v>
      </c>
      <c r="T331" s="158"/>
      <c r="U331" s="21">
        <v>0.15</v>
      </c>
      <c r="V331" s="21">
        <v>0.7</v>
      </c>
      <c r="W331" s="21">
        <v>0.15</v>
      </c>
      <c r="X331" s="156">
        <v>5</v>
      </c>
      <c r="Y331" s="157">
        <f>CEILING((IF(P331=AS_DEV_EFFORT, DEV_EFFORT*Q331%,
                           IF(P331=AS_DURATION_EFFORT, (MANUAL_DURATION*5)*Q331%,
                                    (IF(Q331&lt;=1,X331,
                                          IF(SUM(U331:W331)=0,(Q331*X331),
                                               (((Q331*U331)*(X331+(X331*EXTRA_FOR_H)))+
                                               ((Q331*V331)*X331)+
                                               ((Q331*W331)*(X331-(X331*LESS_FOR_L)))
                                    )*IF(R331=0,1,R331))))))+Z331), 0.25)</f>
        <v>5</v>
      </c>
      <c r="Z331" s="22"/>
      <c r="AA331" s="157">
        <f>Y331+Y331*VLOOKUP(I331,EXTRAS_ARRAY,2,FALSE)</f>
        <v>5</v>
      </c>
      <c r="AB331" s="20"/>
      <c r="AC331" s="34"/>
      <c r="AD331" s="23" t="str">
        <f>IF(J331&lt;&gt;"Yes",
IF(S331&lt;=0,"Error: Effort value is not defined or is invalid.",
IF(AND(SUM(U331:W331)&gt;0,SUM(U331:W331)&lt;&gt;1),"Error: Complexity % distribution should sum to 100%.",
IF(AND(P331=AS_DEV_EFFORT,X331&lt;&gt;0),"Error: PDs should not be defined when defining as dev effort %.",
IF(AND(P331=AS_DURATION_EFFORT,X331&lt;&gt;0),"Error: PDs should not be defined when defining as duration effort %.","")))))</f>
        <v/>
      </c>
    </row>
    <row r="332" spans="1:30" s="9" customFormat="1" ht="7.5" hidden="1" customHeight="1" outlineLevel="2" x14ac:dyDescent="0.35">
      <c r="A332" s="86" t="s">
        <v>132</v>
      </c>
      <c r="B332" s="15"/>
      <c r="C332" s="72"/>
      <c r="D332" s="72"/>
      <c r="E332" s="72"/>
      <c r="F332" s="72"/>
      <c r="M332" s="252"/>
      <c r="T332" s="15"/>
      <c r="X332" s="15"/>
      <c r="AB332" s="10"/>
      <c r="AC332" s="10"/>
      <c r="AD332" s="10"/>
    </row>
    <row r="333" spans="1:30" s="14" customFormat="1" ht="15.5" outlineLevel="1" x14ac:dyDescent="0.35">
      <c r="A333" s="86" t="s">
        <v>100</v>
      </c>
      <c r="B333" s="18"/>
      <c r="C333" s="77"/>
      <c r="D333" s="77"/>
      <c r="E333" s="77"/>
      <c r="F333" s="76"/>
      <c r="G333" s="29"/>
      <c r="H333" s="29"/>
      <c r="I333" s="29"/>
      <c r="J333" s="29"/>
      <c r="K333" s="29"/>
      <c r="L333" s="17">
        <f ca="1">LOOKUP(1000,INDIRECT("L1:"&amp;CELL("address",INDIRECT("R[-1]C",FALSE))))+1</f>
        <v>28</v>
      </c>
      <c r="M333" s="310" t="s">
        <v>1126</v>
      </c>
      <c r="N333" s="310"/>
      <c r="O333" s="5"/>
      <c r="P333" s="30"/>
      <c r="Q333" s="30"/>
      <c r="R333" s="30"/>
      <c r="S333" s="30"/>
      <c r="T333" s="155">
        <f>IF($S$6="Exclude", SUMIFS(S334:S338, J334:J338, "&lt;&gt;Yes", G334:G338, "&lt;&gt;Yes"), SUMIFS(S334:S338, J334:J338, "&lt;&gt;Yes"))</f>
        <v>10</v>
      </c>
      <c r="U333" s="30"/>
      <c r="V333" s="30"/>
      <c r="W333" s="30"/>
      <c r="X333" s="31"/>
      <c r="Y333" s="32"/>
      <c r="Z333" s="32"/>
      <c r="AA333" s="32"/>
      <c r="AB333" s="219" t="s">
        <v>970</v>
      </c>
      <c r="AC333" s="33"/>
      <c r="AD333" s="23" t="str">
        <f>IF(M333="", "Error: Task name cannot be empty.", "")</f>
        <v/>
      </c>
    </row>
    <row r="334" spans="1:30" s="12" customFormat="1" ht="1.5" customHeight="1" outlineLevel="2" x14ac:dyDescent="0.35">
      <c r="A334" s="86" t="s">
        <v>101</v>
      </c>
      <c r="B334" s="18"/>
      <c r="C334" s="77"/>
      <c r="D334" s="77"/>
      <c r="E334" s="77"/>
      <c r="F334" s="76"/>
      <c r="G334" s="29"/>
      <c r="H334" s="29"/>
      <c r="I334" s="29"/>
      <c r="J334" s="29"/>
      <c r="K334" s="29"/>
      <c r="L334" s="163">
        <f ca="1">L333</f>
        <v>28</v>
      </c>
      <c r="M334" s="164" t="s">
        <v>105</v>
      </c>
      <c r="N334" s="161"/>
      <c r="O334" s="162"/>
      <c r="P334" s="30"/>
      <c r="Q334" s="30"/>
      <c r="R334" s="30"/>
      <c r="S334" s="30"/>
      <c r="T334" s="155"/>
      <c r="U334" s="30"/>
      <c r="V334" s="30"/>
      <c r="W334" s="30"/>
      <c r="X334" s="31"/>
      <c r="Y334" s="32"/>
      <c r="Z334" s="32"/>
      <c r="AA334" s="32"/>
      <c r="AB334" s="33"/>
      <c r="AC334" s="33"/>
      <c r="AD334" s="23"/>
    </row>
    <row r="335" spans="1:30" ht="15.5" outlineLevel="2" x14ac:dyDescent="0.35">
      <c r="A335" s="86" t="s">
        <v>0</v>
      </c>
      <c r="B335" s="18"/>
      <c r="C335" s="78"/>
      <c r="D335" s="78"/>
      <c r="E335" s="78"/>
      <c r="F335" s="79"/>
      <c r="G335" s="19" t="s">
        <v>23</v>
      </c>
      <c r="H335" s="19" t="s">
        <v>23</v>
      </c>
      <c r="I335" s="20" t="s">
        <v>23</v>
      </c>
      <c r="J335" s="19" t="s">
        <v>23</v>
      </c>
      <c r="K335" s="35"/>
      <c r="L335" s="19"/>
      <c r="M335" s="263" t="str">
        <f ca="1">IFERROR(OFFSET(M335,-1,,1,1)+0.1,OFFSET(M335,-1,-1,1,1)&amp;".1")</f>
        <v>28.1</v>
      </c>
      <c r="N335" s="20" t="s">
        <v>1127</v>
      </c>
      <c r="O335" s="20"/>
      <c r="P335" s="20"/>
      <c r="Q335" s="134"/>
      <c r="R335" s="127"/>
      <c r="S335" s="157">
        <f>CEILING((IF(J335="Yes", 0, IF(H335="-",AA335,AA335+AA335*VLOOKUP(H335,BUFFERS_BY_TYPE,2,FALSE)))) +
   (IF(J335="Yes", 0, IF(H335="-",AA335,AA335+AA335*VLOOKUP(H335,BUFFERS_BY_TYPE,2,FALSE))))*VLOOKUP($S$5, SALES_CALL_SCALE_ARRAY, 2,FALSE),0.25)</f>
        <v>5.5</v>
      </c>
      <c r="T335" s="158"/>
      <c r="U335" s="21">
        <v>0.25</v>
      </c>
      <c r="V335" s="21">
        <v>0.75</v>
      </c>
      <c r="W335" s="21">
        <v>0</v>
      </c>
      <c r="X335" s="156">
        <v>5.5</v>
      </c>
      <c r="Y335" s="157">
        <f>CEILING((IF(P335=AS_DEV_EFFORT, DEV_EFFORT*Q335%,
                           IF(P335=AS_DURATION_EFFORT, (MANUAL_DURATION*5)*Q335%,
                                    (IF(Q335&lt;=1,X335,
                                          IF(SUM(U335:W335)=0,(Q335*X335),
                                               (((Q335*U335)*(X335+(X335*EXTRA_FOR_H)))+
                                               ((Q335*V335)*X335)+
                                               ((Q335*W335)*(X335-(X335*LESS_FOR_L)))
                                    )*IF(R335=0,1,R335))))))+Z335), 0.25)</f>
        <v>5.5</v>
      </c>
      <c r="Z335" s="22"/>
      <c r="AA335" s="157">
        <f>Y335+Y335*VLOOKUP(I335,EXTRAS_ARRAY,2,FALSE)</f>
        <v>5.5</v>
      </c>
      <c r="AB335" s="20"/>
      <c r="AC335" s="34"/>
      <c r="AD335" s="23" t="str">
        <f>IF(J335&lt;&gt;"Yes",
IF(S335&lt;=0,"Error: Effort value is not defined or is invalid.",
IF(AND(SUM(U335:W335)&gt;0,SUM(U335:W335)&lt;&gt;1),"Error: Complexity % distribution should sum to 100%.",
IF(AND(P335=AS_DEV_EFFORT,X335&lt;&gt;0),"Error: PDs should not be defined when defining as dev effort %.",
IF(AND(P335=AS_DURATION_EFFORT,X335&lt;&gt;0),"Error: PDs should not be defined when defining as duration effort %.","")))))</f>
        <v/>
      </c>
    </row>
    <row r="336" spans="1:30" ht="15.5" outlineLevel="2" x14ac:dyDescent="0.35">
      <c r="A336" s="86" t="s">
        <v>0</v>
      </c>
      <c r="B336" s="18"/>
      <c r="C336" s="78"/>
      <c r="D336" s="78"/>
      <c r="E336" s="78"/>
      <c r="F336" s="79"/>
      <c r="G336" s="19" t="s">
        <v>23</v>
      </c>
      <c r="H336" s="19" t="s">
        <v>23</v>
      </c>
      <c r="I336" s="20" t="s">
        <v>23</v>
      </c>
      <c r="J336" s="19" t="s">
        <v>23</v>
      </c>
      <c r="K336" s="35"/>
      <c r="L336" s="19"/>
      <c r="M336" s="263">
        <f ca="1">IFERROR(OFFSET(M336,-1,,1,1)+0.1,OFFSET(M336,-1,-1,1,1)&amp;".1")</f>
        <v>28.200000000000003</v>
      </c>
      <c r="N336" s="20" t="s">
        <v>1128</v>
      </c>
      <c r="O336" s="20"/>
      <c r="P336" s="20"/>
      <c r="Q336" s="134"/>
      <c r="R336" s="127"/>
      <c r="S336" s="157">
        <f>CEILING((IF(J336="Yes", 0, IF(H336="-",AA336,AA336+AA336*VLOOKUP(H336,BUFFERS_BY_TYPE,2,FALSE)))) +
   (IF(J336="Yes", 0, IF(H336="-",AA336,AA336+AA336*VLOOKUP(H336,BUFFERS_BY_TYPE,2,FALSE))))*VLOOKUP($S$5, SALES_CALL_SCALE_ARRAY, 2,FALSE),0.25)</f>
        <v>4.5</v>
      </c>
      <c r="T336" s="158"/>
      <c r="U336" s="21">
        <v>0.5</v>
      </c>
      <c r="V336" s="21">
        <v>0.5</v>
      </c>
      <c r="W336" s="21">
        <v>0</v>
      </c>
      <c r="X336" s="156">
        <v>4.5</v>
      </c>
      <c r="Y336" s="157">
        <f>CEILING((IF(P336=AS_DEV_EFFORT, DEV_EFFORT*Q336%,
                           IF(P336=AS_DURATION_EFFORT, (MANUAL_DURATION*5)*Q336%,
                                    (IF(Q336&lt;=1,X336,
                                          IF(SUM(U336:W336)=0,(Q336*X336),
                                               (((Q336*U336)*(X336+(X336*EXTRA_FOR_H)))+
                                               ((Q336*V336)*X336)+
                                               ((Q336*W336)*(X336-(X336*LESS_FOR_L)))
                                    )*IF(R336=0,1,R336))))))+Z336), 0.25)</f>
        <v>4.5</v>
      </c>
      <c r="Z336" s="22"/>
      <c r="AA336" s="157">
        <f>Y336+Y336*VLOOKUP(I336,EXTRAS_ARRAY,2,FALSE)</f>
        <v>4.5</v>
      </c>
      <c r="AB336" s="20"/>
      <c r="AC336" s="34"/>
      <c r="AD336" s="23" t="str">
        <f>IF(J336&lt;&gt;"Yes",
IF(S336&lt;=0,"Error: Effort value is not defined or is invalid.",
IF(AND(SUM(U336:W336)&gt;0,SUM(U336:W336)&lt;&gt;1),"Error: Complexity % distribution should sum to 100%.",
IF(AND(P336=AS_DEV_EFFORT,X336&lt;&gt;0),"Error: PDs should not be defined when defining as dev effort %.",
IF(AND(P336=AS_DURATION_EFFORT,X336&lt;&gt;0),"Error: PDs should not be defined when defining as duration effort %.","")))))</f>
        <v/>
      </c>
    </row>
    <row r="337" spans="1:30" ht="58" outlineLevel="2" x14ac:dyDescent="0.35">
      <c r="A337" s="86" t="s">
        <v>0</v>
      </c>
      <c r="B337" s="18"/>
      <c r="C337" s="78"/>
      <c r="D337" s="78"/>
      <c r="E337" s="78"/>
      <c r="F337" s="79"/>
      <c r="G337" s="19" t="s">
        <v>23</v>
      </c>
      <c r="H337" s="19" t="s">
        <v>23</v>
      </c>
      <c r="I337" s="20" t="s">
        <v>23</v>
      </c>
      <c r="J337" s="19" t="s">
        <v>23</v>
      </c>
      <c r="K337" s="35"/>
      <c r="L337" s="19"/>
      <c r="M337" s="263">
        <f ca="1">IFERROR(OFFSET(M337,-1,,1,1)+0.1,OFFSET(M337,-1,-1,1,1)&amp;".1")</f>
        <v>28.300000000000004</v>
      </c>
      <c r="N337" s="20" t="s">
        <v>438</v>
      </c>
      <c r="O337" s="20"/>
      <c r="P337" s="20"/>
      <c r="Q337" s="134"/>
      <c r="R337" s="127"/>
      <c r="S337" s="157">
        <f>CEILING((IF(J337="Yes", 0, IF(H337="-",AA337,AA337+AA337*VLOOKUP(H337,BUFFERS_BY_TYPE,2,FALSE)))) +
   (IF(J337="Yes", 0, IF(H337="-",AA337,AA337+AA337*VLOOKUP(H337,BUFFERS_BY_TYPE,2,FALSE))))*VLOOKUP($S$5, SALES_CALL_SCALE_ARRAY, 2,FALSE),0.25)</f>
        <v>0</v>
      </c>
      <c r="T337" s="158"/>
      <c r="U337" s="21">
        <v>0</v>
      </c>
      <c r="V337" s="21">
        <v>1</v>
      </c>
      <c r="W337" s="21">
        <v>0</v>
      </c>
      <c r="X337" s="156"/>
      <c r="Y337" s="157">
        <f>CEILING((IF(P337=AS_DEV_EFFORT, DEV_EFFORT*Q337%,
                           IF(P337=AS_DURATION_EFFORT, (MANUAL_DURATION*5)*Q337%,
                                    (IF(Q337&lt;=1,X337,
                                          IF(SUM(U337:W337)=0,(Q337*X337),
                                               (((Q337*U337)*(X337+(X337*EXTRA_FOR_H)))+
                                               ((Q337*V337)*X337)+
                                               ((Q337*W337)*(X337-(X337*LESS_FOR_L)))
                                    )*IF(R337=0,1,R337))))))+Z337), 0.25)</f>
        <v>0</v>
      </c>
      <c r="Z337" s="22"/>
      <c r="AA337" s="157">
        <f>Y337+Y337*VLOOKUP(I337,EXTRAS_ARRAY,2,FALSE)</f>
        <v>0</v>
      </c>
      <c r="AB337" s="20" t="s">
        <v>440</v>
      </c>
      <c r="AC337" s="34"/>
      <c r="AD337" s="23" t="str">
        <f>IF(J337&lt;&gt;"Yes",
IF(S337&lt;=0,"Error: Effort value is not defined or is invalid.",
IF(AND(SUM(U337:W337)&gt;0,SUM(U337:W337)&lt;&gt;1),"Error: Complexity % distribution should sum to 100%.",
IF(AND(P337=AS_DEV_EFFORT,X337&lt;&gt;0),"Error: PDs should not be defined when defining as dev effort %.",
IF(AND(P337=AS_DURATION_EFFORT,X337&lt;&gt;0),"Error: PDs should not be defined when defining as duration effort %.","")))))</f>
        <v>Error: Effort value is not defined or is invalid.</v>
      </c>
    </row>
    <row r="338" spans="1:30" s="9" customFormat="1" ht="7.5" customHeight="1" outlineLevel="2" x14ac:dyDescent="0.35">
      <c r="A338" s="86" t="s">
        <v>132</v>
      </c>
      <c r="B338" s="15"/>
      <c r="C338" s="72"/>
      <c r="D338" s="72"/>
      <c r="E338" s="72"/>
      <c r="F338" s="72"/>
      <c r="M338" s="252"/>
      <c r="T338" s="15"/>
      <c r="X338" s="15"/>
      <c r="AB338" s="10"/>
      <c r="AC338" s="10"/>
      <c r="AD338" s="10"/>
    </row>
    <row r="339" spans="1:30" s="14" customFormat="1" ht="15.5" outlineLevel="1" collapsed="1" x14ac:dyDescent="0.35">
      <c r="A339" s="86" t="s">
        <v>100</v>
      </c>
      <c r="B339" s="18"/>
      <c r="C339" s="77"/>
      <c r="D339" s="77"/>
      <c r="E339" s="77"/>
      <c r="F339" s="76"/>
      <c r="G339" s="29"/>
      <c r="H339" s="29"/>
      <c r="I339" s="29"/>
      <c r="J339" s="29"/>
      <c r="K339" s="29"/>
      <c r="L339" s="17">
        <f ca="1">LOOKUP(1000,INDIRECT("L1:"&amp;CELL("address",INDIRECT("R[-1]C",FALSE))))+1</f>
        <v>29</v>
      </c>
      <c r="M339" s="310" t="s">
        <v>1129</v>
      </c>
      <c r="N339" s="310"/>
      <c r="O339" s="5"/>
      <c r="P339" s="30"/>
      <c r="Q339" s="30"/>
      <c r="R339" s="30"/>
      <c r="S339" s="30"/>
      <c r="T339" s="155">
        <f>IF($S$6="Exclude", SUMIFS(S340:S343, J340:J343, "&lt;&gt;Yes", G340:G343, "&lt;&gt;Yes"), SUMIFS(S340:S343, J340:J343, "&lt;&gt;Yes"))</f>
        <v>10</v>
      </c>
      <c r="U339" s="30"/>
      <c r="V339" s="30"/>
      <c r="W339" s="30"/>
      <c r="X339" s="31"/>
      <c r="Y339" s="32"/>
      <c r="Z339" s="32"/>
      <c r="AA339" s="32"/>
      <c r="AB339" s="219" t="s">
        <v>971</v>
      </c>
      <c r="AC339" s="33"/>
      <c r="AD339" s="23" t="str">
        <f>IF(M339="", "Error: Task name cannot be empty.", "")</f>
        <v/>
      </c>
    </row>
    <row r="340" spans="1:30" s="12" customFormat="1" ht="1.5" hidden="1" customHeight="1" outlineLevel="2" x14ac:dyDescent="0.35">
      <c r="A340" s="86" t="s">
        <v>101</v>
      </c>
      <c r="B340" s="18"/>
      <c r="C340" s="77"/>
      <c r="D340" s="77"/>
      <c r="E340" s="77"/>
      <c r="F340" s="76"/>
      <c r="G340" s="29"/>
      <c r="H340" s="29"/>
      <c r="I340" s="29"/>
      <c r="J340" s="29"/>
      <c r="K340" s="29"/>
      <c r="L340" s="163">
        <f ca="1">L339</f>
        <v>29</v>
      </c>
      <c r="M340" s="164" t="s">
        <v>105</v>
      </c>
      <c r="N340" s="161"/>
      <c r="O340" s="162"/>
      <c r="P340" s="30"/>
      <c r="Q340" s="30"/>
      <c r="R340" s="30"/>
      <c r="S340" s="30"/>
      <c r="T340" s="155"/>
      <c r="U340" s="30"/>
      <c r="V340" s="30"/>
      <c r="W340" s="30"/>
      <c r="X340" s="31"/>
      <c r="Y340" s="32"/>
      <c r="Z340" s="32"/>
      <c r="AA340" s="32"/>
      <c r="AB340" s="33"/>
      <c r="AC340" s="33"/>
      <c r="AD340" s="23"/>
    </row>
    <row r="341" spans="1:30" ht="15.5" hidden="1" outlineLevel="2" x14ac:dyDescent="0.35">
      <c r="A341" s="86" t="s">
        <v>0</v>
      </c>
      <c r="B341" s="18"/>
      <c r="C341" s="78"/>
      <c r="D341" s="78"/>
      <c r="E341" s="78"/>
      <c r="F341" s="79"/>
      <c r="G341" s="19" t="s">
        <v>23</v>
      </c>
      <c r="H341" s="19" t="s">
        <v>23</v>
      </c>
      <c r="I341" s="20" t="s">
        <v>23</v>
      </c>
      <c r="J341" s="19" t="s">
        <v>23</v>
      </c>
      <c r="K341" s="35"/>
      <c r="L341" s="19"/>
      <c r="M341" s="263" t="str">
        <f ca="1">IFERROR(OFFSET(M341,-1,,1,1)+0.1,OFFSET(M341,-1,-1,1,1)&amp;".1")</f>
        <v>29.1</v>
      </c>
      <c r="N341" s="20" t="s">
        <v>1130</v>
      </c>
      <c r="O341" s="20"/>
      <c r="P341" s="20"/>
      <c r="Q341" s="134"/>
      <c r="R341" s="127"/>
      <c r="S341" s="157">
        <f>CEILING((IF(J341="Yes", 0, IF(H341="-",AA341,AA341+AA341*VLOOKUP(H341,BUFFERS_BY_TYPE,2,FALSE)))) +
   (IF(J341="Yes", 0, IF(H341="-",AA341,AA341+AA341*VLOOKUP(H341,BUFFERS_BY_TYPE,2,FALSE))))*VLOOKUP($S$5, SALES_CALL_SCALE_ARRAY, 2,FALSE),0.25)</f>
        <v>5</v>
      </c>
      <c r="T341" s="158"/>
      <c r="U341" s="21">
        <v>0</v>
      </c>
      <c r="V341" s="21">
        <v>1</v>
      </c>
      <c r="W341" s="21">
        <v>0</v>
      </c>
      <c r="X341" s="156">
        <v>5</v>
      </c>
      <c r="Y341" s="157">
        <f>CEILING((IF(P341=AS_DEV_EFFORT, DEV_EFFORT*Q341%,
                           IF(P341=AS_DURATION_EFFORT, (MANUAL_DURATION*5)*Q341%,
                                    (IF(Q341&lt;=1,X341,
                                          IF(SUM(U341:W341)=0,(Q341*X341),
                                               (((Q341*U341)*(X341+(X341*EXTRA_FOR_H)))+
                                               ((Q341*V341)*X341)+
                                               ((Q341*W341)*(X341-(X341*LESS_FOR_L)))
                                    )*IF(R341=0,1,R341))))))+Z341), 0.25)</f>
        <v>5</v>
      </c>
      <c r="Z341" s="22"/>
      <c r="AA341" s="157">
        <f>Y341+Y341*VLOOKUP(I341,EXTRAS_ARRAY,2,FALSE)</f>
        <v>5</v>
      </c>
      <c r="AB341" s="20"/>
      <c r="AC341" s="34"/>
      <c r="AD341" s="23" t="str">
        <f>IF(J341&lt;&gt;"Yes",
IF(S341&lt;=0,"Error: Effort value is not defined or is invalid.",
IF(AND(SUM(U341:W341)&gt;0,SUM(U341:W341)&lt;&gt;1),"Error: Complexity % distribution should sum to 100%.",
IF(AND(P341=AS_DEV_EFFORT,X341&lt;&gt;0),"Error: PDs should not be defined when defining as dev effort %.",
IF(AND(P341=AS_DURATION_EFFORT,X341&lt;&gt;0),"Error: PDs should not be defined when defining as duration effort %.","")))))</f>
        <v/>
      </c>
    </row>
    <row r="342" spans="1:30" ht="15.5" hidden="1" outlineLevel="2" x14ac:dyDescent="0.35">
      <c r="A342" s="86" t="s">
        <v>0</v>
      </c>
      <c r="B342" s="18"/>
      <c r="C342" s="78"/>
      <c r="D342" s="78"/>
      <c r="E342" s="78"/>
      <c r="F342" s="79"/>
      <c r="G342" s="19" t="s">
        <v>23</v>
      </c>
      <c r="H342" s="19" t="s">
        <v>23</v>
      </c>
      <c r="I342" s="20" t="s">
        <v>23</v>
      </c>
      <c r="J342" s="19" t="s">
        <v>23</v>
      </c>
      <c r="K342" s="35"/>
      <c r="L342" s="19"/>
      <c r="M342" s="263">
        <f ca="1">IFERROR(OFFSET(M342,-1,,1,1)+0.1,OFFSET(M342,-1,-1,1,1)&amp;".1")</f>
        <v>29.200000000000003</v>
      </c>
      <c r="N342" s="20" t="s">
        <v>1131</v>
      </c>
      <c r="O342" s="20"/>
      <c r="P342" s="20"/>
      <c r="Q342" s="134"/>
      <c r="R342" s="127"/>
      <c r="S342" s="157">
        <f>CEILING((IF(J342="Yes", 0, IF(H342="-",AA342,AA342+AA342*VLOOKUP(H342,BUFFERS_BY_TYPE,2,FALSE)))) +
   (IF(J342="Yes", 0, IF(H342="-",AA342,AA342+AA342*VLOOKUP(H342,BUFFERS_BY_TYPE,2,FALSE))))*VLOOKUP($S$5, SALES_CALL_SCALE_ARRAY, 2,FALSE),0.25)</f>
        <v>5</v>
      </c>
      <c r="T342" s="158"/>
      <c r="U342" s="21">
        <v>0</v>
      </c>
      <c r="V342" s="21">
        <v>1</v>
      </c>
      <c r="W342" s="21">
        <v>0</v>
      </c>
      <c r="X342" s="156">
        <v>5</v>
      </c>
      <c r="Y342" s="157">
        <f>CEILING((IF(P342=AS_DEV_EFFORT, DEV_EFFORT*Q342%,
                           IF(P342=AS_DURATION_EFFORT, (MANUAL_DURATION*5)*Q342%,
                                    (IF(Q342&lt;=1,X342,
                                          IF(SUM(U342:W342)=0,(Q342*X342),
                                               (((Q342*U342)*(X342+(X342*EXTRA_FOR_H)))+
                                               ((Q342*V342)*X342)+
                                               ((Q342*W342)*(X342-(X342*LESS_FOR_L)))
                                    )*IF(R342=0,1,R342))))))+Z342), 0.25)</f>
        <v>5</v>
      </c>
      <c r="Z342" s="22"/>
      <c r="AA342" s="157">
        <f>Y342+Y342*VLOOKUP(I342,EXTRAS_ARRAY,2,FALSE)</f>
        <v>5</v>
      </c>
      <c r="AB342" s="20"/>
      <c r="AC342" s="34"/>
      <c r="AD342" s="23" t="str">
        <f>IF(J342&lt;&gt;"Yes",
IF(S342&lt;=0,"Error: Effort value is not defined or is invalid.",
IF(AND(SUM(U342:W342)&gt;0,SUM(U342:W342)&lt;&gt;1),"Error: Complexity % distribution should sum to 100%.",
IF(AND(P342=AS_DEV_EFFORT,X342&lt;&gt;0),"Error: PDs should not be defined when defining as dev effort %.",
IF(AND(P342=AS_DURATION_EFFORT,X342&lt;&gt;0),"Error: PDs should not be defined when defining as duration effort %.","")))))</f>
        <v/>
      </c>
    </row>
    <row r="343" spans="1:30" s="9" customFormat="1" ht="7.5" hidden="1" customHeight="1" outlineLevel="2" x14ac:dyDescent="0.35">
      <c r="A343" s="86" t="s">
        <v>132</v>
      </c>
      <c r="B343" s="15"/>
      <c r="C343" s="72"/>
      <c r="D343" s="72"/>
      <c r="E343" s="72"/>
      <c r="F343" s="72"/>
      <c r="M343" s="252"/>
      <c r="T343" s="15"/>
      <c r="X343" s="15"/>
      <c r="AB343" s="10"/>
      <c r="AC343" s="10"/>
      <c r="AD343" s="10"/>
    </row>
    <row r="344" spans="1:30" s="14" customFormat="1" ht="15.5" outlineLevel="1" collapsed="1" x14ac:dyDescent="0.35">
      <c r="A344" s="86" t="s">
        <v>100</v>
      </c>
      <c r="B344" s="18"/>
      <c r="C344" s="77"/>
      <c r="D344" s="77"/>
      <c r="E344" s="77"/>
      <c r="F344" s="76"/>
      <c r="G344" s="29"/>
      <c r="H344" s="29"/>
      <c r="I344" s="29"/>
      <c r="J344" s="29"/>
      <c r="K344" s="29"/>
      <c r="L344" s="17">
        <f ca="1">LOOKUP(1000,INDIRECT("L1:"&amp;CELL("address",INDIRECT("R[-1]C",FALSE))))+1</f>
        <v>30</v>
      </c>
      <c r="M344" s="310" t="s">
        <v>1132</v>
      </c>
      <c r="N344" s="310"/>
      <c r="O344" s="5"/>
      <c r="P344" s="30"/>
      <c r="Q344" s="30"/>
      <c r="R344" s="30"/>
      <c r="S344" s="30"/>
      <c r="T344" s="155">
        <f>IF($S$6="Exclude", SUMIFS(S345:S348, J345:J348, "&lt;&gt;Yes", G345:G348, "&lt;&gt;Yes"), SUMIFS(S345:S348, J345:J348, "&lt;&gt;Yes"))</f>
        <v>14</v>
      </c>
      <c r="U344" s="30"/>
      <c r="V344" s="30"/>
      <c r="W344" s="30"/>
      <c r="X344" s="31"/>
      <c r="Y344" s="32"/>
      <c r="Z344" s="32"/>
      <c r="AA344" s="32"/>
      <c r="AB344" s="219" t="s">
        <v>972</v>
      </c>
      <c r="AC344" s="33"/>
      <c r="AD344" s="23" t="str">
        <f>IF(M344="", "Error: Task name cannot be empty.", "")</f>
        <v/>
      </c>
    </row>
    <row r="345" spans="1:30" s="12" customFormat="1" ht="1.5" hidden="1" customHeight="1" outlineLevel="2" x14ac:dyDescent="0.35">
      <c r="A345" s="86" t="s">
        <v>101</v>
      </c>
      <c r="B345" s="18"/>
      <c r="C345" s="77"/>
      <c r="D345" s="77"/>
      <c r="E345" s="77"/>
      <c r="F345" s="76"/>
      <c r="G345" s="29"/>
      <c r="H345" s="29"/>
      <c r="I345" s="29"/>
      <c r="J345" s="29"/>
      <c r="K345" s="29"/>
      <c r="L345" s="163">
        <f ca="1">L344</f>
        <v>30</v>
      </c>
      <c r="M345" s="164" t="s">
        <v>105</v>
      </c>
      <c r="N345" s="161"/>
      <c r="O345" s="162"/>
      <c r="P345" s="30"/>
      <c r="Q345" s="30"/>
      <c r="R345" s="30"/>
      <c r="S345" s="30"/>
      <c r="T345" s="155"/>
      <c r="U345" s="30"/>
      <c r="V345" s="30"/>
      <c r="W345" s="30"/>
      <c r="X345" s="31"/>
      <c r="Y345" s="32"/>
      <c r="Z345" s="32"/>
      <c r="AA345" s="32"/>
      <c r="AB345" s="33"/>
      <c r="AC345" s="33"/>
      <c r="AD345" s="23"/>
    </row>
    <row r="346" spans="1:30" ht="15.5" hidden="1" outlineLevel="2" x14ac:dyDescent="0.35">
      <c r="A346" s="86" t="s">
        <v>0</v>
      </c>
      <c r="B346" s="18"/>
      <c r="C346" s="78"/>
      <c r="D346" s="78"/>
      <c r="E346" s="78"/>
      <c r="F346" s="79"/>
      <c r="G346" s="19" t="s">
        <v>23</v>
      </c>
      <c r="H346" s="19" t="s">
        <v>23</v>
      </c>
      <c r="I346" s="20" t="s">
        <v>23</v>
      </c>
      <c r="J346" s="19" t="s">
        <v>23</v>
      </c>
      <c r="K346" s="35"/>
      <c r="L346" s="19"/>
      <c r="M346" s="263" t="str">
        <f ca="1">IFERROR(OFFSET(M346,-1,,1,1)+0.1,OFFSET(M346,-1,-1,1,1)&amp;".1")</f>
        <v>30.1</v>
      </c>
      <c r="N346" s="20" t="s">
        <v>1133</v>
      </c>
      <c r="O346" s="20"/>
      <c r="P346" s="20"/>
      <c r="Q346" s="134"/>
      <c r="R346" s="127"/>
      <c r="S346" s="157">
        <f>CEILING((IF(J346="Yes", 0, IF(H346="-",AA346,AA346+AA346*VLOOKUP(H346,BUFFERS_BY_TYPE,2,FALSE)))) +
   (IF(J346="Yes", 0, IF(H346="-",AA346,AA346+AA346*VLOOKUP(H346,BUFFERS_BY_TYPE,2,FALSE))))*VLOOKUP($S$5, SALES_CALL_SCALE_ARRAY, 2,FALSE),0.25)</f>
        <v>6</v>
      </c>
      <c r="T346" s="158"/>
      <c r="U346" s="21">
        <v>0</v>
      </c>
      <c r="V346" s="21">
        <v>1</v>
      </c>
      <c r="W346" s="21">
        <v>0</v>
      </c>
      <c r="X346" s="156">
        <v>6</v>
      </c>
      <c r="Y346" s="157">
        <f>CEILING((IF(P346=AS_DEV_EFFORT, DEV_EFFORT*Q346%,
                           IF(P346=AS_DURATION_EFFORT, (MANUAL_DURATION*5)*Q346%,
                                    (IF(Q346&lt;=1,X346,
                                          IF(SUM(U346:W346)=0,(Q346*X346),
                                               (((Q346*U346)*(X346+(X346*EXTRA_FOR_H)))+
                                               ((Q346*V346)*X346)+
                                               ((Q346*W346)*(X346-(X346*LESS_FOR_L)))
                                    )*IF(R346=0,1,R346))))))+Z346), 0.25)</f>
        <v>6</v>
      </c>
      <c r="Z346" s="22"/>
      <c r="AA346" s="157">
        <f>Y346+Y346*VLOOKUP(I346,EXTRAS_ARRAY,2,FALSE)</f>
        <v>6</v>
      </c>
      <c r="AB346" s="20"/>
      <c r="AC346" s="34"/>
      <c r="AD346" s="23" t="str">
        <f>IF(J346&lt;&gt;"Yes",
IF(S346&lt;=0,"Error: Effort value is not defined or is invalid.",
IF(AND(SUM(U346:W346)&gt;0,SUM(U346:W346)&lt;&gt;1),"Error: Complexity % distribution should sum to 100%.",
IF(AND(P346=AS_DEV_EFFORT,X346&lt;&gt;0),"Error: PDs should not be defined when defining as dev effort %.",
IF(AND(P346=AS_DURATION_EFFORT,X346&lt;&gt;0),"Error: PDs should not be defined when defining as duration effort %.","")))))</f>
        <v/>
      </c>
    </row>
    <row r="347" spans="1:30" ht="15.5" hidden="1" outlineLevel="2" x14ac:dyDescent="0.35">
      <c r="A347" s="86" t="s">
        <v>0</v>
      </c>
      <c r="B347" s="18"/>
      <c r="C347" s="78"/>
      <c r="D347" s="78"/>
      <c r="E347" s="78"/>
      <c r="F347" s="79"/>
      <c r="G347" s="19" t="s">
        <v>23</v>
      </c>
      <c r="H347" s="19" t="s">
        <v>23</v>
      </c>
      <c r="I347" s="20" t="s">
        <v>23</v>
      </c>
      <c r="J347" s="19" t="s">
        <v>23</v>
      </c>
      <c r="K347" s="35"/>
      <c r="L347" s="19"/>
      <c r="M347" s="263">
        <f ca="1">IFERROR(OFFSET(M347,-1,,1,1)+0.1,OFFSET(M347,-1,-1,1,1)&amp;".1")</f>
        <v>30.200000000000003</v>
      </c>
      <c r="N347" s="20" t="s">
        <v>1134</v>
      </c>
      <c r="O347" s="20"/>
      <c r="P347" s="20"/>
      <c r="Q347" s="134"/>
      <c r="R347" s="127"/>
      <c r="S347" s="157">
        <f>CEILING((IF(J347="Yes", 0, IF(H347="-",AA347,AA347+AA347*VLOOKUP(H347,BUFFERS_BY_TYPE,2,FALSE)))) +
   (IF(J347="Yes", 0, IF(H347="-",AA347,AA347+AA347*VLOOKUP(H347,BUFFERS_BY_TYPE,2,FALSE))))*VLOOKUP($S$5, SALES_CALL_SCALE_ARRAY, 2,FALSE),0.25)</f>
        <v>8</v>
      </c>
      <c r="T347" s="158"/>
      <c r="U347" s="21">
        <v>0</v>
      </c>
      <c r="V347" s="21">
        <v>1</v>
      </c>
      <c r="W347" s="21">
        <v>0</v>
      </c>
      <c r="X347" s="156">
        <v>8</v>
      </c>
      <c r="Y347" s="157">
        <f>CEILING((IF(P347=AS_DEV_EFFORT, DEV_EFFORT*Q347%,
                           IF(P347=AS_DURATION_EFFORT, (MANUAL_DURATION*5)*Q347%,
                                    (IF(Q347&lt;=1,X347,
                                          IF(SUM(U347:W347)=0,(Q347*X347),
                                               (((Q347*U347)*(X347+(X347*EXTRA_FOR_H)))+
                                               ((Q347*V347)*X347)+
                                               ((Q347*W347)*(X347-(X347*LESS_FOR_L)))
                                    )*IF(R347=0,1,R347))))))+Z347), 0.25)</f>
        <v>8</v>
      </c>
      <c r="Z347" s="22"/>
      <c r="AA347" s="157">
        <f>Y347+Y347*VLOOKUP(I347,EXTRAS_ARRAY,2,FALSE)</f>
        <v>8</v>
      </c>
      <c r="AB347" s="20"/>
      <c r="AC347" s="34"/>
      <c r="AD347" s="23" t="str">
        <f>IF(J347&lt;&gt;"Yes",
IF(S347&lt;=0,"Error: Effort value is not defined or is invalid.",
IF(AND(SUM(U347:W347)&gt;0,SUM(U347:W347)&lt;&gt;1),"Error: Complexity % distribution should sum to 100%.",
IF(AND(P347=AS_DEV_EFFORT,X347&lt;&gt;0),"Error: PDs should not be defined when defining as dev effort %.",
IF(AND(P347=AS_DURATION_EFFORT,X347&lt;&gt;0),"Error: PDs should not be defined when defining as duration effort %.","")))))</f>
        <v/>
      </c>
    </row>
    <row r="348" spans="1:30" s="9" customFormat="1" ht="7.5" hidden="1" customHeight="1" outlineLevel="2" x14ac:dyDescent="0.35">
      <c r="A348" s="86" t="s">
        <v>132</v>
      </c>
      <c r="B348" s="15"/>
      <c r="C348" s="72"/>
      <c r="D348" s="72"/>
      <c r="E348" s="72"/>
      <c r="F348" s="72"/>
      <c r="M348" s="252"/>
      <c r="T348" s="15"/>
      <c r="X348" s="15"/>
      <c r="AB348" s="10"/>
      <c r="AC348" s="10"/>
      <c r="AD348" s="10"/>
    </row>
    <row r="349" spans="1:30" s="14" customFormat="1" ht="15.5" outlineLevel="1" x14ac:dyDescent="0.35">
      <c r="A349" s="86" t="s">
        <v>107</v>
      </c>
      <c r="B349" s="18"/>
      <c r="C349" s="77"/>
      <c r="D349" s="77"/>
      <c r="E349" s="77"/>
      <c r="F349" s="76"/>
      <c r="G349" s="170"/>
      <c r="H349" s="170"/>
      <c r="I349" s="170"/>
      <c r="J349" s="170"/>
      <c r="K349" s="170"/>
      <c r="L349" s="85" t="s">
        <v>109</v>
      </c>
      <c r="M349" s="311" t="s">
        <v>885</v>
      </c>
      <c r="N349" s="311"/>
      <c r="O349" s="80"/>
      <c r="P349" s="81"/>
      <c r="Q349" s="81"/>
      <c r="R349" s="81"/>
      <c r="S349" s="307">
        <f>SUMGROUP(ROW(), "T")</f>
        <v>131</v>
      </c>
      <c r="T349" s="307"/>
      <c r="U349" s="308"/>
      <c r="V349" s="308"/>
      <c r="W349" s="308"/>
      <c r="X349" s="82"/>
      <c r="Y349" s="83"/>
      <c r="Z349" s="83"/>
      <c r="AA349" s="83"/>
      <c r="AB349" s="221"/>
      <c r="AC349" s="84"/>
      <c r="AD349" s="23" t="str">
        <f>IF(M349="", "Error: Module name cannot be empty.", "")</f>
        <v/>
      </c>
    </row>
    <row r="350" spans="1:30" s="14" customFormat="1" ht="15.5" outlineLevel="1" collapsed="1" x14ac:dyDescent="0.35">
      <c r="A350" s="86" t="s">
        <v>100</v>
      </c>
      <c r="B350" s="18"/>
      <c r="C350" s="77"/>
      <c r="D350" s="77"/>
      <c r="E350" s="77"/>
      <c r="F350" s="76"/>
      <c r="G350" s="29"/>
      <c r="H350" s="29"/>
      <c r="I350" s="29"/>
      <c r="J350" s="29"/>
      <c r="K350" s="29"/>
      <c r="L350" s="17">
        <f ca="1">LOOKUP(1000,INDIRECT("L1:"&amp;CELL("address",INDIRECT("R[-1]C",FALSE))))+1</f>
        <v>31</v>
      </c>
      <c r="M350" s="310" t="s">
        <v>1135</v>
      </c>
      <c r="N350" s="310"/>
      <c r="O350" s="5"/>
      <c r="P350" s="30"/>
      <c r="Q350" s="30"/>
      <c r="R350" s="30"/>
      <c r="S350" s="30"/>
      <c r="T350" s="155">
        <f>IF($S$6="Exclude", SUMIFS(S351:S359, J351:J359, "&lt;&gt;Yes", G351:G359, "&lt;&gt;Yes"), SUMIFS(S351:S359, J351:J359, "&lt;&gt;Yes"))</f>
        <v>12</v>
      </c>
      <c r="U350" s="30"/>
      <c r="V350" s="30"/>
      <c r="W350" s="30"/>
      <c r="X350" s="31"/>
      <c r="Y350" s="32"/>
      <c r="Z350" s="32"/>
      <c r="AA350" s="32"/>
      <c r="AB350" s="219" t="s">
        <v>973</v>
      </c>
      <c r="AC350" s="33"/>
      <c r="AD350" s="23" t="str">
        <f>IF(M350="", "Error: Task name cannot be empty.", "")</f>
        <v/>
      </c>
    </row>
    <row r="351" spans="1:30" s="12" customFormat="1" ht="1.5" hidden="1" customHeight="1" outlineLevel="2" x14ac:dyDescent="0.35">
      <c r="A351" s="86" t="s">
        <v>101</v>
      </c>
      <c r="B351" s="18"/>
      <c r="C351" s="77"/>
      <c r="D351" s="77"/>
      <c r="E351" s="77"/>
      <c r="F351" s="76"/>
      <c r="G351" s="29"/>
      <c r="H351" s="29"/>
      <c r="I351" s="29"/>
      <c r="J351" s="29"/>
      <c r="K351" s="29"/>
      <c r="L351" s="163">
        <f ca="1">L350</f>
        <v>31</v>
      </c>
      <c r="M351" s="164" t="s">
        <v>105</v>
      </c>
      <c r="N351" s="161"/>
      <c r="O351" s="162"/>
      <c r="P351" s="30"/>
      <c r="Q351" s="30"/>
      <c r="R351" s="30"/>
      <c r="S351" s="30"/>
      <c r="T351" s="155"/>
      <c r="U351" s="30"/>
      <c r="V351" s="30"/>
      <c r="W351" s="30"/>
      <c r="X351" s="31"/>
      <c r="Y351" s="32"/>
      <c r="Z351" s="32"/>
      <c r="AA351" s="32"/>
      <c r="AB351" s="33"/>
      <c r="AC351" s="33"/>
      <c r="AD351" s="23"/>
    </row>
    <row r="352" spans="1:30" ht="15.5" hidden="1" outlineLevel="2" x14ac:dyDescent="0.35">
      <c r="A352" s="86" t="s">
        <v>0</v>
      </c>
      <c r="B352" s="18"/>
      <c r="C352" s="78"/>
      <c r="D352" s="78"/>
      <c r="E352" s="78"/>
      <c r="F352" s="79"/>
      <c r="G352" s="19" t="s">
        <v>23</v>
      </c>
      <c r="H352" s="19" t="s">
        <v>23</v>
      </c>
      <c r="I352" s="20" t="s">
        <v>23</v>
      </c>
      <c r="J352" s="19" t="s">
        <v>23</v>
      </c>
      <c r="K352" s="35"/>
      <c r="L352" s="19"/>
      <c r="M352" s="263" t="str">
        <f t="shared" ref="M352:M358" ca="1" si="40">IFERROR(OFFSET(M352,-1,,1,1)+0.1,OFFSET(M352,-1,-1,1,1)&amp;".1")</f>
        <v>31.1</v>
      </c>
      <c r="N352" s="20" t="s">
        <v>1136</v>
      </c>
      <c r="O352" s="20"/>
      <c r="P352" s="20"/>
      <c r="Q352" s="134"/>
      <c r="R352" s="127"/>
      <c r="S352" s="157">
        <f t="shared" ref="S352:S358" si="41">CEILING((IF(J352="Yes", 0, IF(H352="-",AA352,AA352+AA352*VLOOKUP(H352,BUFFERS_BY_TYPE,2,FALSE)))) +
   (IF(J352="Yes", 0, IF(H352="-",AA352,AA352+AA352*VLOOKUP(H352,BUFFERS_BY_TYPE,2,FALSE))))*VLOOKUP($S$5, SALES_CALL_SCALE_ARRAY, 2,FALSE),0.25)</f>
        <v>2</v>
      </c>
      <c r="T352" s="158"/>
      <c r="U352" s="21">
        <v>0</v>
      </c>
      <c r="V352" s="21">
        <v>1</v>
      </c>
      <c r="W352" s="21">
        <v>0</v>
      </c>
      <c r="X352" s="156">
        <v>2</v>
      </c>
      <c r="Y352" s="157">
        <f t="shared" ref="Y352:Y358" si="42">CEILING((IF(P352=AS_DEV_EFFORT, DEV_EFFORT*Q352%,
                           IF(P352=AS_DURATION_EFFORT, (MANUAL_DURATION*5)*Q352%,
                                    (IF(Q352&lt;=1,X352,
                                          IF(SUM(U352:W352)=0,(Q352*X352),
                                               (((Q352*U352)*(X352+(X352*EXTRA_FOR_H)))+
                                               ((Q352*V352)*X352)+
                                               ((Q352*W352)*(X352-(X352*LESS_FOR_L)))
                                    )*IF(R352=0,1,R352))))))+Z352), 0.25)</f>
        <v>2</v>
      </c>
      <c r="Z352" s="22"/>
      <c r="AA352" s="157">
        <f t="shared" ref="AA352:AA358" si="43">Y352+Y352*VLOOKUP(I352,EXTRAS_ARRAY,2,FALSE)</f>
        <v>2</v>
      </c>
      <c r="AB352" s="20"/>
      <c r="AC352" s="34"/>
      <c r="AD352" s="23" t="str">
        <f t="shared" ref="AD352:AD358" si="44">IF(J352&lt;&gt;"Yes",
IF(S352&lt;=0,"Error: Effort value is not defined or is invalid.",
IF(AND(SUM(U352:W352)&gt;0,SUM(U352:W352)&lt;&gt;1),"Error: Complexity % distribution should sum to 100%.",
IF(AND(P352=AS_DEV_EFFORT,X352&lt;&gt;0),"Error: PDs should not be defined when defining as dev effort %.",
IF(AND(P352=AS_DURATION_EFFORT,X352&lt;&gt;0),"Error: PDs should not be defined when defining as duration effort %.","")))))</f>
        <v/>
      </c>
    </row>
    <row r="353" spans="1:30" ht="15.5" hidden="1" outlineLevel="2" x14ac:dyDescent="0.35">
      <c r="A353" s="86" t="s">
        <v>0</v>
      </c>
      <c r="B353" s="18"/>
      <c r="C353" s="78"/>
      <c r="D353" s="78"/>
      <c r="E353" s="78"/>
      <c r="F353" s="79"/>
      <c r="G353" s="19" t="s">
        <v>23</v>
      </c>
      <c r="H353" s="19" t="s">
        <v>23</v>
      </c>
      <c r="I353" s="20" t="s">
        <v>23</v>
      </c>
      <c r="J353" s="19" t="s">
        <v>23</v>
      </c>
      <c r="K353" s="35"/>
      <c r="L353" s="19"/>
      <c r="M353" s="263">
        <f t="shared" ca="1" si="40"/>
        <v>31.200000000000003</v>
      </c>
      <c r="N353" s="20" t="s">
        <v>886</v>
      </c>
      <c r="O353" s="20"/>
      <c r="P353" s="20"/>
      <c r="Q353" s="134"/>
      <c r="R353" s="127"/>
      <c r="S353" s="157">
        <f t="shared" si="41"/>
        <v>1.5</v>
      </c>
      <c r="T353" s="158"/>
      <c r="U353" s="21">
        <v>0</v>
      </c>
      <c r="V353" s="21">
        <v>1</v>
      </c>
      <c r="W353" s="21">
        <v>0</v>
      </c>
      <c r="X353" s="156">
        <v>1.5</v>
      </c>
      <c r="Y353" s="157">
        <f t="shared" si="42"/>
        <v>1.5</v>
      </c>
      <c r="Z353" s="22"/>
      <c r="AA353" s="157">
        <f t="shared" si="43"/>
        <v>1.5</v>
      </c>
      <c r="AB353" s="20"/>
      <c r="AC353" s="34"/>
      <c r="AD353" s="23" t="str">
        <f t="shared" si="44"/>
        <v/>
      </c>
    </row>
    <row r="354" spans="1:30" ht="15.5" hidden="1" outlineLevel="2" x14ac:dyDescent="0.35">
      <c r="A354" s="86" t="s">
        <v>0</v>
      </c>
      <c r="B354" s="18"/>
      <c r="C354" s="78"/>
      <c r="D354" s="78"/>
      <c r="E354" s="78"/>
      <c r="F354" s="79"/>
      <c r="G354" s="19" t="s">
        <v>23</v>
      </c>
      <c r="H354" s="19" t="s">
        <v>23</v>
      </c>
      <c r="I354" s="20" t="s">
        <v>23</v>
      </c>
      <c r="J354" s="19" t="s">
        <v>23</v>
      </c>
      <c r="K354" s="35"/>
      <c r="L354" s="19"/>
      <c r="M354" s="263">
        <f t="shared" ca="1" si="40"/>
        <v>31.300000000000004</v>
      </c>
      <c r="N354" s="20" t="s">
        <v>887</v>
      </c>
      <c r="O354" s="20"/>
      <c r="P354" s="20"/>
      <c r="Q354" s="134"/>
      <c r="R354" s="127"/>
      <c r="S354" s="157">
        <f t="shared" si="41"/>
        <v>2</v>
      </c>
      <c r="T354" s="158"/>
      <c r="U354" s="21">
        <v>0</v>
      </c>
      <c r="V354" s="21">
        <v>1</v>
      </c>
      <c r="W354" s="21">
        <v>0</v>
      </c>
      <c r="X354" s="156">
        <v>2</v>
      </c>
      <c r="Y354" s="157">
        <f t="shared" si="42"/>
        <v>2</v>
      </c>
      <c r="Z354" s="22"/>
      <c r="AA354" s="157">
        <f t="shared" si="43"/>
        <v>2</v>
      </c>
      <c r="AB354" s="20"/>
      <c r="AC354" s="34"/>
      <c r="AD354" s="23" t="str">
        <f t="shared" si="44"/>
        <v/>
      </c>
    </row>
    <row r="355" spans="1:30" ht="15.5" hidden="1" outlineLevel="2" x14ac:dyDescent="0.35">
      <c r="A355" s="86" t="s">
        <v>0</v>
      </c>
      <c r="B355" s="18"/>
      <c r="C355" s="78"/>
      <c r="D355" s="78"/>
      <c r="E355" s="78"/>
      <c r="F355" s="79"/>
      <c r="G355" s="19" t="s">
        <v>23</v>
      </c>
      <c r="H355" s="19" t="s">
        <v>23</v>
      </c>
      <c r="I355" s="20" t="s">
        <v>23</v>
      </c>
      <c r="J355" s="19" t="s">
        <v>23</v>
      </c>
      <c r="K355" s="35"/>
      <c r="L355" s="19"/>
      <c r="M355" s="263">
        <f t="shared" ca="1" si="40"/>
        <v>31.400000000000006</v>
      </c>
      <c r="N355" s="20" t="s">
        <v>888</v>
      </c>
      <c r="O355" s="20"/>
      <c r="P355" s="20"/>
      <c r="Q355" s="134"/>
      <c r="R355" s="127"/>
      <c r="S355" s="157">
        <f t="shared" si="41"/>
        <v>2</v>
      </c>
      <c r="T355" s="158"/>
      <c r="U355" s="21">
        <v>0</v>
      </c>
      <c r="V355" s="21">
        <v>1</v>
      </c>
      <c r="W355" s="21">
        <v>0</v>
      </c>
      <c r="X355" s="156">
        <v>2</v>
      </c>
      <c r="Y355" s="157">
        <f t="shared" si="42"/>
        <v>2</v>
      </c>
      <c r="Z355" s="22"/>
      <c r="AA355" s="157">
        <f t="shared" si="43"/>
        <v>2</v>
      </c>
      <c r="AB355" s="20"/>
      <c r="AC355" s="34"/>
      <c r="AD355" s="23" t="str">
        <f t="shared" si="44"/>
        <v/>
      </c>
    </row>
    <row r="356" spans="1:30" ht="15.5" hidden="1" outlineLevel="2" x14ac:dyDescent="0.35">
      <c r="A356" s="86" t="s">
        <v>0</v>
      </c>
      <c r="B356" s="18"/>
      <c r="C356" s="78"/>
      <c r="D356" s="78"/>
      <c r="E356" s="78"/>
      <c r="F356" s="79"/>
      <c r="G356" s="19" t="s">
        <v>23</v>
      </c>
      <c r="H356" s="19" t="s">
        <v>23</v>
      </c>
      <c r="I356" s="20" t="s">
        <v>23</v>
      </c>
      <c r="J356" s="19" t="s">
        <v>23</v>
      </c>
      <c r="K356" s="35"/>
      <c r="L356" s="19"/>
      <c r="M356" s="263">
        <f t="shared" ca="1" si="40"/>
        <v>31.500000000000007</v>
      </c>
      <c r="N356" s="20" t="s">
        <v>889</v>
      </c>
      <c r="O356" s="20"/>
      <c r="P356" s="20"/>
      <c r="Q356" s="134"/>
      <c r="R356" s="127"/>
      <c r="S356" s="157">
        <f t="shared" si="41"/>
        <v>1.5</v>
      </c>
      <c r="T356" s="158"/>
      <c r="U356" s="21">
        <v>0</v>
      </c>
      <c r="V356" s="21">
        <v>1</v>
      </c>
      <c r="W356" s="21">
        <v>0</v>
      </c>
      <c r="X356" s="156">
        <v>1.5</v>
      </c>
      <c r="Y356" s="157">
        <f t="shared" si="42"/>
        <v>1.5</v>
      </c>
      <c r="Z356" s="22"/>
      <c r="AA356" s="157">
        <f t="shared" si="43"/>
        <v>1.5</v>
      </c>
      <c r="AB356" s="20"/>
      <c r="AC356" s="34"/>
      <c r="AD356" s="23" t="str">
        <f t="shared" si="44"/>
        <v/>
      </c>
    </row>
    <row r="357" spans="1:30" ht="15.5" hidden="1" outlineLevel="2" x14ac:dyDescent="0.35">
      <c r="A357" s="86" t="s">
        <v>0</v>
      </c>
      <c r="B357" s="18"/>
      <c r="C357" s="78"/>
      <c r="D357" s="78"/>
      <c r="E357" s="78"/>
      <c r="F357" s="79"/>
      <c r="G357" s="19" t="s">
        <v>23</v>
      </c>
      <c r="H357" s="19" t="s">
        <v>23</v>
      </c>
      <c r="I357" s="20" t="s">
        <v>23</v>
      </c>
      <c r="J357" s="19" t="s">
        <v>23</v>
      </c>
      <c r="K357" s="35"/>
      <c r="L357" s="19"/>
      <c r="M357" s="263">
        <f t="shared" ca="1" si="40"/>
        <v>31.600000000000009</v>
      </c>
      <c r="N357" s="20" t="s">
        <v>890</v>
      </c>
      <c r="O357" s="20"/>
      <c r="P357" s="20"/>
      <c r="Q357" s="134"/>
      <c r="R357" s="127"/>
      <c r="S357" s="157">
        <f t="shared" si="41"/>
        <v>1.5</v>
      </c>
      <c r="T357" s="158"/>
      <c r="U357" s="21">
        <v>0</v>
      </c>
      <c r="V357" s="21">
        <v>1</v>
      </c>
      <c r="W357" s="21">
        <v>0</v>
      </c>
      <c r="X357" s="156">
        <v>1.5</v>
      </c>
      <c r="Y357" s="157">
        <f t="shared" si="42"/>
        <v>1.5</v>
      </c>
      <c r="Z357" s="22"/>
      <c r="AA357" s="157">
        <f t="shared" si="43"/>
        <v>1.5</v>
      </c>
      <c r="AB357" s="20"/>
      <c r="AC357" s="34"/>
      <c r="AD357" s="23" t="str">
        <f t="shared" si="44"/>
        <v/>
      </c>
    </row>
    <row r="358" spans="1:30" ht="15.5" hidden="1" outlineLevel="2" x14ac:dyDescent="0.35">
      <c r="A358" s="86" t="s">
        <v>0</v>
      </c>
      <c r="B358" s="18"/>
      <c r="C358" s="78"/>
      <c r="D358" s="78"/>
      <c r="E358" s="78"/>
      <c r="F358" s="79"/>
      <c r="G358" s="19" t="s">
        <v>23</v>
      </c>
      <c r="H358" s="19" t="s">
        <v>23</v>
      </c>
      <c r="I358" s="20" t="s">
        <v>23</v>
      </c>
      <c r="J358" s="19" t="s">
        <v>23</v>
      </c>
      <c r="K358" s="35"/>
      <c r="L358" s="19"/>
      <c r="M358" s="263">
        <f t="shared" ca="1" si="40"/>
        <v>31.70000000000001</v>
      </c>
      <c r="N358" s="20" t="s">
        <v>891</v>
      </c>
      <c r="O358" s="20"/>
      <c r="P358" s="20"/>
      <c r="Q358" s="134"/>
      <c r="R358" s="127"/>
      <c r="S358" s="157">
        <f t="shared" si="41"/>
        <v>1.5</v>
      </c>
      <c r="T358" s="158"/>
      <c r="U358" s="21">
        <v>0</v>
      </c>
      <c r="V358" s="21">
        <v>1</v>
      </c>
      <c r="W358" s="21">
        <v>0</v>
      </c>
      <c r="X358" s="156">
        <v>1.5</v>
      </c>
      <c r="Y358" s="157">
        <f t="shared" si="42"/>
        <v>1.5</v>
      </c>
      <c r="Z358" s="22"/>
      <c r="AA358" s="157">
        <f t="shared" si="43"/>
        <v>1.5</v>
      </c>
      <c r="AB358" s="20"/>
      <c r="AC358" s="34"/>
      <c r="AD358" s="23" t="str">
        <f t="shared" si="44"/>
        <v/>
      </c>
    </row>
    <row r="359" spans="1:30" s="9" customFormat="1" ht="7.5" hidden="1" customHeight="1" outlineLevel="2" x14ac:dyDescent="0.35">
      <c r="A359" s="86" t="s">
        <v>132</v>
      </c>
      <c r="B359" s="15"/>
      <c r="C359" s="72"/>
      <c r="D359" s="72"/>
      <c r="E359" s="72"/>
      <c r="F359" s="72"/>
      <c r="M359" s="252"/>
      <c r="T359" s="15"/>
      <c r="X359" s="15"/>
      <c r="AB359" s="10"/>
      <c r="AC359" s="10"/>
      <c r="AD359" s="10"/>
    </row>
    <row r="360" spans="1:30" s="14" customFormat="1" ht="15.5" outlineLevel="1" collapsed="1" x14ac:dyDescent="0.35">
      <c r="A360" s="86" t="s">
        <v>100</v>
      </c>
      <c r="B360" s="18"/>
      <c r="C360" s="77"/>
      <c r="D360" s="77"/>
      <c r="E360" s="77"/>
      <c r="F360" s="76"/>
      <c r="G360" s="29"/>
      <c r="H360" s="29"/>
      <c r="I360" s="29"/>
      <c r="J360" s="29"/>
      <c r="K360" s="29"/>
      <c r="L360" s="17">
        <f ca="1">LOOKUP(1000,INDIRECT("L1:"&amp;CELL("address",INDIRECT("R[-1]C",FALSE))))+1</f>
        <v>32</v>
      </c>
      <c r="M360" s="310" t="s">
        <v>1137</v>
      </c>
      <c r="N360" s="310"/>
      <c r="O360" s="5"/>
      <c r="P360" s="30"/>
      <c r="Q360" s="30"/>
      <c r="R360" s="30"/>
      <c r="S360" s="30"/>
      <c r="T360" s="155">
        <f>IF($S$6="Exclude", SUMIFS(S361:S369, J361:J369, "&lt;&gt;Yes", G361:G369, "&lt;&gt;Yes"), SUMIFS(S361:S369, J361:J369, "&lt;&gt;Yes"))</f>
        <v>16</v>
      </c>
      <c r="U360" s="30"/>
      <c r="V360" s="30"/>
      <c r="W360" s="30"/>
      <c r="X360" s="31"/>
      <c r="Y360" s="32"/>
      <c r="Z360" s="32"/>
      <c r="AA360" s="32"/>
      <c r="AB360" s="219" t="s">
        <v>974</v>
      </c>
      <c r="AC360" s="33"/>
      <c r="AD360" s="23" t="str">
        <f>IF(M360="", "Error: Task name cannot be empty.", "")</f>
        <v/>
      </c>
    </row>
    <row r="361" spans="1:30" s="12" customFormat="1" ht="1.5" hidden="1" customHeight="1" outlineLevel="2" x14ac:dyDescent="0.35">
      <c r="A361" s="86" t="s">
        <v>101</v>
      </c>
      <c r="B361" s="18"/>
      <c r="C361" s="77"/>
      <c r="D361" s="77"/>
      <c r="E361" s="77"/>
      <c r="F361" s="76"/>
      <c r="G361" s="29"/>
      <c r="H361" s="29"/>
      <c r="I361" s="29"/>
      <c r="J361" s="29"/>
      <c r="K361" s="29"/>
      <c r="L361" s="163">
        <f ca="1">L360</f>
        <v>32</v>
      </c>
      <c r="M361" s="164" t="s">
        <v>105</v>
      </c>
      <c r="N361" s="161"/>
      <c r="O361" s="162"/>
      <c r="P361" s="30"/>
      <c r="Q361" s="30"/>
      <c r="R361" s="30"/>
      <c r="S361" s="30"/>
      <c r="T361" s="155"/>
      <c r="U361" s="30"/>
      <c r="V361" s="30"/>
      <c r="W361" s="30"/>
      <c r="X361" s="31"/>
      <c r="Y361" s="32"/>
      <c r="Z361" s="32"/>
      <c r="AA361" s="32"/>
      <c r="AB361" s="33"/>
      <c r="AC361" s="33"/>
      <c r="AD361" s="23"/>
    </row>
    <row r="362" spans="1:30" ht="15.5" hidden="1" outlineLevel="2" x14ac:dyDescent="0.35">
      <c r="A362" s="86" t="s">
        <v>0</v>
      </c>
      <c r="B362" s="18"/>
      <c r="C362" s="78"/>
      <c r="D362" s="78"/>
      <c r="E362" s="78"/>
      <c r="F362" s="79"/>
      <c r="G362" s="19" t="s">
        <v>23</v>
      </c>
      <c r="H362" s="19" t="s">
        <v>23</v>
      </c>
      <c r="I362" s="20" t="s">
        <v>23</v>
      </c>
      <c r="J362" s="19" t="s">
        <v>23</v>
      </c>
      <c r="K362" s="35"/>
      <c r="L362" s="19"/>
      <c r="M362" s="263" t="str">
        <f t="shared" ref="M362:M368" ca="1" si="45">IFERROR(OFFSET(M362,-1,,1,1)+0.1,OFFSET(M362,-1,-1,1,1)&amp;".1")</f>
        <v>32.1</v>
      </c>
      <c r="N362" s="20" t="s">
        <v>1138</v>
      </c>
      <c r="O362" s="20"/>
      <c r="P362" s="20"/>
      <c r="Q362" s="134"/>
      <c r="R362" s="127"/>
      <c r="S362" s="157">
        <f t="shared" ref="S362:S368" si="46">CEILING((IF(J362="Yes", 0, IF(H362="-",AA362,AA362+AA362*VLOOKUP(H362,BUFFERS_BY_TYPE,2,FALSE)))) +
   (IF(J362="Yes", 0, IF(H362="-",AA362,AA362+AA362*VLOOKUP(H362,BUFFERS_BY_TYPE,2,FALSE))))*VLOOKUP($S$5, SALES_CALL_SCALE_ARRAY, 2,FALSE),0.25)</f>
        <v>2.5</v>
      </c>
      <c r="T362" s="158"/>
      <c r="U362" s="21">
        <v>0</v>
      </c>
      <c r="V362" s="21">
        <v>1</v>
      </c>
      <c r="W362" s="21">
        <v>0</v>
      </c>
      <c r="X362" s="156">
        <v>2.5</v>
      </c>
      <c r="Y362" s="157">
        <f t="shared" ref="Y362:Y368" si="47">CEILING((IF(P362=AS_DEV_EFFORT, DEV_EFFORT*Q362%,
                           IF(P362=AS_DURATION_EFFORT, (MANUAL_DURATION*5)*Q362%,
                                    (IF(Q362&lt;=1,X362,
                                          IF(SUM(U362:W362)=0,(Q362*X362),
                                               (((Q362*U362)*(X362+(X362*EXTRA_FOR_H)))+
                                               ((Q362*V362)*X362)+
                                               ((Q362*W362)*(X362-(X362*LESS_FOR_L)))
                                    )*IF(R362=0,1,R362))))))+Z362), 0.25)</f>
        <v>2.5</v>
      </c>
      <c r="Z362" s="22"/>
      <c r="AA362" s="157">
        <f t="shared" ref="AA362:AA368" si="48">Y362+Y362*VLOOKUP(I362,EXTRAS_ARRAY,2,FALSE)</f>
        <v>2.5</v>
      </c>
      <c r="AB362" s="20"/>
      <c r="AC362" s="34"/>
      <c r="AD362" s="23" t="str">
        <f t="shared" ref="AD362:AD368" si="49">IF(J362&lt;&gt;"Yes",
IF(S362&lt;=0,"Error: Effort value is not defined or is invalid.",
IF(AND(SUM(U362:W362)&gt;0,SUM(U362:W362)&lt;&gt;1),"Error: Complexity % distribution should sum to 100%.",
IF(AND(P362=AS_DEV_EFFORT,X362&lt;&gt;0),"Error: PDs should not be defined when defining as dev effort %.",
IF(AND(P362=AS_DURATION_EFFORT,X362&lt;&gt;0),"Error: PDs should not be defined when defining as duration effort %.","")))))</f>
        <v/>
      </c>
    </row>
    <row r="363" spans="1:30" ht="15.5" hidden="1" outlineLevel="2" x14ac:dyDescent="0.35">
      <c r="A363" s="86" t="s">
        <v>0</v>
      </c>
      <c r="B363" s="18"/>
      <c r="C363" s="78"/>
      <c r="D363" s="78"/>
      <c r="E363" s="78"/>
      <c r="F363" s="79"/>
      <c r="G363" s="19" t="s">
        <v>23</v>
      </c>
      <c r="H363" s="19" t="s">
        <v>23</v>
      </c>
      <c r="I363" s="20" t="s">
        <v>23</v>
      </c>
      <c r="J363" s="19" t="s">
        <v>23</v>
      </c>
      <c r="K363" s="35"/>
      <c r="L363" s="19"/>
      <c r="M363" s="263">
        <f t="shared" ca="1" si="45"/>
        <v>32.200000000000003</v>
      </c>
      <c r="N363" s="20" t="s">
        <v>1139</v>
      </c>
      <c r="O363" s="20"/>
      <c r="P363" s="20"/>
      <c r="Q363" s="134"/>
      <c r="R363" s="127"/>
      <c r="S363" s="157">
        <f t="shared" si="46"/>
        <v>2</v>
      </c>
      <c r="T363" s="158"/>
      <c r="U363" s="21">
        <v>0</v>
      </c>
      <c r="V363" s="21">
        <v>1</v>
      </c>
      <c r="W363" s="21">
        <v>0</v>
      </c>
      <c r="X363" s="156">
        <v>2</v>
      </c>
      <c r="Y363" s="157">
        <f t="shared" si="47"/>
        <v>2</v>
      </c>
      <c r="Z363" s="22"/>
      <c r="AA363" s="157">
        <f t="shared" si="48"/>
        <v>2</v>
      </c>
      <c r="AB363" s="20"/>
      <c r="AC363" s="34"/>
      <c r="AD363" s="23" t="str">
        <f t="shared" si="49"/>
        <v/>
      </c>
    </row>
    <row r="364" spans="1:30" ht="15.5" hidden="1" outlineLevel="2" x14ac:dyDescent="0.35">
      <c r="A364" s="86" t="s">
        <v>0</v>
      </c>
      <c r="B364" s="18"/>
      <c r="C364" s="78"/>
      <c r="D364" s="78"/>
      <c r="E364" s="78"/>
      <c r="F364" s="79"/>
      <c r="G364" s="19" t="s">
        <v>23</v>
      </c>
      <c r="H364" s="19" t="s">
        <v>23</v>
      </c>
      <c r="I364" s="20" t="s">
        <v>23</v>
      </c>
      <c r="J364" s="19" t="s">
        <v>23</v>
      </c>
      <c r="K364" s="35"/>
      <c r="L364" s="19"/>
      <c r="M364" s="263">
        <f t="shared" ca="1" si="45"/>
        <v>32.300000000000004</v>
      </c>
      <c r="N364" s="20" t="s">
        <v>1140</v>
      </c>
      <c r="O364" s="20"/>
      <c r="P364" s="20"/>
      <c r="Q364" s="134"/>
      <c r="R364" s="127"/>
      <c r="S364" s="157">
        <f t="shared" si="46"/>
        <v>2.5</v>
      </c>
      <c r="T364" s="158"/>
      <c r="U364" s="21">
        <v>0</v>
      </c>
      <c r="V364" s="21">
        <v>1</v>
      </c>
      <c r="W364" s="21">
        <v>0</v>
      </c>
      <c r="X364" s="156">
        <v>2.5</v>
      </c>
      <c r="Y364" s="157">
        <f t="shared" si="47"/>
        <v>2.5</v>
      </c>
      <c r="Z364" s="22"/>
      <c r="AA364" s="157">
        <f t="shared" si="48"/>
        <v>2.5</v>
      </c>
      <c r="AB364" s="20"/>
      <c r="AC364" s="34"/>
      <c r="AD364" s="23" t="str">
        <f t="shared" si="49"/>
        <v/>
      </c>
    </row>
    <row r="365" spans="1:30" ht="15.5" hidden="1" outlineLevel="2" x14ac:dyDescent="0.35">
      <c r="A365" s="86" t="s">
        <v>0</v>
      </c>
      <c r="B365" s="18"/>
      <c r="C365" s="78"/>
      <c r="D365" s="78"/>
      <c r="E365" s="78"/>
      <c r="F365" s="79"/>
      <c r="G365" s="19" t="s">
        <v>23</v>
      </c>
      <c r="H365" s="19" t="s">
        <v>23</v>
      </c>
      <c r="I365" s="20" t="s">
        <v>23</v>
      </c>
      <c r="J365" s="19" t="s">
        <v>23</v>
      </c>
      <c r="K365" s="35"/>
      <c r="L365" s="19"/>
      <c r="M365" s="263">
        <f t="shared" ca="1" si="45"/>
        <v>32.400000000000006</v>
      </c>
      <c r="N365" s="20" t="s">
        <v>1141</v>
      </c>
      <c r="O365" s="20"/>
      <c r="P365" s="20"/>
      <c r="Q365" s="134"/>
      <c r="R365" s="127"/>
      <c r="S365" s="157">
        <f t="shared" si="46"/>
        <v>2</v>
      </c>
      <c r="T365" s="158"/>
      <c r="U365" s="21">
        <v>0</v>
      </c>
      <c r="V365" s="21">
        <v>1</v>
      </c>
      <c r="W365" s="21">
        <v>0</v>
      </c>
      <c r="X365" s="156">
        <v>2</v>
      </c>
      <c r="Y365" s="157">
        <f t="shared" si="47"/>
        <v>2</v>
      </c>
      <c r="Z365" s="22"/>
      <c r="AA365" s="157">
        <f t="shared" si="48"/>
        <v>2</v>
      </c>
      <c r="AB365" s="20"/>
      <c r="AC365" s="34"/>
      <c r="AD365" s="23" t="str">
        <f t="shared" si="49"/>
        <v/>
      </c>
    </row>
    <row r="366" spans="1:30" ht="15.5" hidden="1" outlineLevel="2" x14ac:dyDescent="0.35">
      <c r="A366" s="86" t="s">
        <v>0</v>
      </c>
      <c r="B366" s="18"/>
      <c r="C366" s="78"/>
      <c r="D366" s="78"/>
      <c r="E366" s="78"/>
      <c r="F366" s="79"/>
      <c r="G366" s="19" t="s">
        <v>23</v>
      </c>
      <c r="H366" s="19" t="s">
        <v>23</v>
      </c>
      <c r="I366" s="20" t="s">
        <v>23</v>
      </c>
      <c r="J366" s="19" t="s">
        <v>23</v>
      </c>
      <c r="K366" s="35"/>
      <c r="L366" s="19"/>
      <c r="M366" s="263">
        <f t="shared" ca="1" si="45"/>
        <v>32.500000000000007</v>
      </c>
      <c r="N366" s="20" t="s">
        <v>1142</v>
      </c>
      <c r="O366" s="20"/>
      <c r="P366" s="20"/>
      <c r="Q366" s="134"/>
      <c r="R366" s="127"/>
      <c r="S366" s="157">
        <f t="shared" si="46"/>
        <v>2</v>
      </c>
      <c r="T366" s="158"/>
      <c r="U366" s="21">
        <v>0</v>
      </c>
      <c r="V366" s="21">
        <v>1</v>
      </c>
      <c r="W366" s="21">
        <v>0</v>
      </c>
      <c r="X366" s="156">
        <v>2</v>
      </c>
      <c r="Y366" s="157">
        <f t="shared" si="47"/>
        <v>2</v>
      </c>
      <c r="Z366" s="22"/>
      <c r="AA366" s="157">
        <f t="shared" si="48"/>
        <v>2</v>
      </c>
      <c r="AB366" s="20"/>
      <c r="AC366" s="34"/>
      <c r="AD366" s="23" t="str">
        <f t="shared" si="49"/>
        <v/>
      </c>
    </row>
    <row r="367" spans="1:30" ht="15.5" hidden="1" outlineLevel="2" x14ac:dyDescent="0.35">
      <c r="A367" s="86" t="s">
        <v>0</v>
      </c>
      <c r="B367" s="18"/>
      <c r="C367" s="78"/>
      <c r="D367" s="78"/>
      <c r="E367" s="78"/>
      <c r="F367" s="79"/>
      <c r="G367" s="19" t="s">
        <v>23</v>
      </c>
      <c r="H367" s="19" t="s">
        <v>23</v>
      </c>
      <c r="I367" s="20" t="s">
        <v>23</v>
      </c>
      <c r="J367" s="19" t="s">
        <v>23</v>
      </c>
      <c r="K367" s="35"/>
      <c r="L367" s="19"/>
      <c r="M367" s="263">
        <f t="shared" ca="1" si="45"/>
        <v>32.600000000000009</v>
      </c>
      <c r="N367" s="20" t="s">
        <v>892</v>
      </c>
      <c r="O367" s="20"/>
      <c r="P367" s="20"/>
      <c r="Q367" s="134"/>
      <c r="R367" s="127"/>
      <c r="S367" s="157">
        <f t="shared" si="46"/>
        <v>2</v>
      </c>
      <c r="T367" s="158"/>
      <c r="U367" s="21">
        <v>0</v>
      </c>
      <c r="V367" s="21">
        <v>1</v>
      </c>
      <c r="W367" s="21">
        <v>0</v>
      </c>
      <c r="X367" s="156">
        <v>2</v>
      </c>
      <c r="Y367" s="157">
        <f t="shared" si="47"/>
        <v>2</v>
      </c>
      <c r="Z367" s="22"/>
      <c r="AA367" s="157">
        <f t="shared" si="48"/>
        <v>2</v>
      </c>
      <c r="AB367" s="20"/>
      <c r="AC367" s="34"/>
      <c r="AD367" s="23" t="str">
        <f t="shared" si="49"/>
        <v/>
      </c>
    </row>
    <row r="368" spans="1:30" ht="15.5" hidden="1" outlineLevel="2" x14ac:dyDescent="0.35">
      <c r="A368" s="86" t="s">
        <v>0</v>
      </c>
      <c r="B368" s="18"/>
      <c r="C368" s="78"/>
      <c r="D368" s="78"/>
      <c r="E368" s="78"/>
      <c r="F368" s="79"/>
      <c r="G368" s="19" t="s">
        <v>23</v>
      </c>
      <c r="H368" s="19" t="s">
        <v>23</v>
      </c>
      <c r="I368" s="20" t="s">
        <v>23</v>
      </c>
      <c r="J368" s="19" t="s">
        <v>23</v>
      </c>
      <c r="K368" s="35"/>
      <c r="L368" s="19"/>
      <c r="M368" s="263">
        <f t="shared" ca="1" si="45"/>
        <v>32.70000000000001</v>
      </c>
      <c r="N368" s="20" t="s">
        <v>893</v>
      </c>
      <c r="O368" s="20"/>
      <c r="P368" s="20"/>
      <c r="Q368" s="134"/>
      <c r="R368" s="127"/>
      <c r="S368" s="157">
        <f t="shared" si="46"/>
        <v>3</v>
      </c>
      <c r="T368" s="158"/>
      <c r="U368" s="21">
        <v>0</v>
      </c>
      <c r="V368" s="21">
        <v>1</v>
      </c>
      <c r="W368" s="21">
        <v>0</v>
      </c>
      <c r="X368" s="156">
        <v>3</v>
      </c>
      <c r="Y368" s="157">
        <f t="shared" si="47"/>
        <v>3</v>
      </c>
      <c r="Z368" s="22"/>
      <c r="AA368" s="157">
        <f t="shared" si="48"/>
        <v>3</v>
      </c>
      <c r="AB368" s="20"/>
      <c r="AC368" s="34"/>
      <c r="AD368" s="23" t="str">
        <f t="shared" si="49"/>
        <v/>
      </c>
    </row>
    <row r="369" spans="1:30" s="9" customFormat="1" ht="7.5" hidden="1" customHeight="1" outlineLevel="2" x14ac:dyDescent="0.35">
      <c r="A369" s="86" t="s">
        <v>132</v>
      </c>
      <c r="B369" s="15"/>
      <c r="C369" s="72"/>
      <c r="D369" s="72"/>
      <c r="E369" s="72"/>
      <c r="F369" s="72"/>
      <c r="M369" s="252"/>
      <c r="T369" s="15"/>
      <c r="X369" s="15"/>
      <c r="AB369" s="10"/>
      <c r="AC369" s="10"/>
      <c r="AD369" s="10"/>
    </row>
    <row r="370" spans="1:30" s="14" customFormat="1" ht="15.5" outlineLevel="1" x14ac:dyDescent="0.35">
      <c r="A370" s="86" t="s">
        <v>100</v>
      </c>
      <c r="B370" s="18"/>
      <c r="C370" s="77"/>
      <c r="D370" s="77"/>
      <c r="E370" s="77"/>
      <c r="F370" s="76"/>
      <c r="G370" s="29"/>
      <c r="H370" s="29"/>
      <c r="I370" s="29"/>
      <c r="J370" s="29"/>
      <c r="K370" s="29"/>
      <c r="L370" s="17">
        <f ca="1">LOOKUP(1000,INDIRECT("L1:"&amp;CELL("address",INDIRECT("R[-1]C",FALSE))))+1</f>
        <v>33</v>
      </c>
      <c r="M370" s="310" t="s">
        <v>1143</v>
      </c>
      <c r="N370" s="310"/>
      <c r="O370" s="5"/>
      <c r="P370" s="30"/>
      <c r="Q370" s="30"/>
      <c r="R370" s="30"/>
      <c r="S370" s="30"/>
      <c r="T370" s="155">
        <f>IF($S$6="Exclude", SUMIFS(S371:S383, J371:J383, "&lt;&gt;Yes", G371:G383, "&lt;&gt;Yes"), SUMIFS(S371:S383, J371:J383, "&lt;&gt;Yes"))</f>
        <v>30</v>
      </c>
      <c r="U370" s="30"/>
      <c r="V370" s="30"/>
      <c r="W370" s="30"/>
      <c r="X370" s="31"/>
      <c r="Y370" s="32"/>
      <c r="Z370" s="32"/>
      <c r="AA370" s="32"/>
      <c r="AB370" s="219" t="s">
        <v>975</v>
      </c>
      <c r="AC370" s="33"/>
      <c r="AD370" s="23" t="str">
        <f>IF(M370="", "Error: Task name cannot be empty.", "")</f>
        <v/>
      </c>
    </row>
    <row r="371" spans="1:30" s="12" customFormat="1" ht="1.5" customHeight="1" outlineLevel="2" x14ac:dyDescent="0.35">
      <c r="A371" s="86" t="s">
        <v>101</v>
      </c>
      <c r="B371" s="18"/>
      <c r="C371" s="77"/>
      <c r="D371" s="77"/>
      <c r="E371" s="77"/>
      <c r="F371" s="76"/>
      <c r="G371" s="29"/>
      <c r="H371" s="29"/>
      <c r="I371" s="29"/>
      <c r="J371" s="29"/>
      <c r="K371" s="29"/>
      <c r="L371" s="163">
        <f ca="1">L370</f>
        <v>33</v>
      </c>
      <c r="M371" s="164" t="s">
        <v>105</v>
      </c>
      <c r="N371" s="161"/>
      <c r="O371" s="162"/>
      <c r="P371" s="30"/>
      <c r="Q371" s="30"/>
      <c r="R371" s="30"/>
      <c r="S371" s="30"/>
      <c r="T371" s="155"/>
      <c r="U371" s="30"/>
      <c r="V371" s="30"/>
      <c r="W371" s="30"/>
      <c r="X371" s="31"/>
      <c r="Y371" s="32"/>
      <c r="Z371" s="32"/>
      <c r="AA371" s="32"/>
      <c r="AB371" s="33"/>
      <c r="AC371" s="33"/>
      <c r="AD371" s="23"/>
    </row>
    <row r="372" spans="1:30" ht="15.5" outlineLevel="2" x14ac:dyDescent="0.35">
      <c r="A372" s="86" t="s">
        <v>0</v>
      </c>
      <c r="B372" s="18"/>
      <c r="C372" s="78"/>
      <c r="D372" s="78"/>
      <c r="E372" s="78"/>
      <c r="F372" s="79"/>
      <c r="G372" s="19" t="s">
        <v>23</v>
      </c>
      <c r="H372" s="19" t="s">
        <v>23</v>
      </c>
      <c r="I372" s="20" t="s">
        <v>23</v>
      </c>
      <c r="J372" s="19" t="s">
        <v>23</v>
      </c>
      <c r="K372" s="35"/>
      <c r="L372" s="19"/>
      <c r="M372" s="263" t="str">
        <f t="shared" ref="M372:M381" ca="1" si="50">IFERROR(OFFSET(M372,-1,,1,1)+0.1,OFFSET(M372,-1,-1,1,1)&amp;".1")</f>
        <v>33.1</v>
      </c>
      <c r="N372" s="20" t="s">
        <v>1144</v>
      </c>
      <c r="O372" s="20"/>
      <c r="P372" s="20"/>
      <c r="Q372" s="134"/>
      <c r="R372" s="127"/>
      <c r="S372" s="157">
        <f t="shared" ref="S372:S381" si="51">CEILING((IF(J372="Yes", 0, IF(H372="-",AA372,AA372+AA372*VLOOKUP(H372,BUFFERS_BY_TYPE,2,FALSE)))) +
   (IF(J372="Yes", 0, IF(H372="-",AA372,AA372+AA372*VLOOKUP(H372,BUFFERS_BY_TYPE,2,FALSE))))*VLOOKUP($S$5, SALES_CALL_SCALE_ARRAY, 2,FALSE),0.25)</f>
        <v>2</v>
      </c>
      <c r="T372" s="158"/>
      <c r="U372" s="21">
        <v>0</v>
      </c>
      <c r="V372" s="21">
        <v>1</v>
      </c>
      <c r="W372" s="21">
        <v>0</v>
      </c>
      <c r="X372" s="156">
        <v>2</v>
      </c>
      <c r="Y372" s="157">
        <f t="shared" ref="Y372:Y381" si="52">CEILING((IF(P372=AS_DEV_EFFORT, DEV_EFFORT*Q372%,
                           IF(P372=AS_DURATION_EFFORT, (MANUAL_DURATION*5)*Q372%,
                                    (IF(Q372&lt;=1,X372,
                                          IF(SUM(U372:W372)=0,(Q372*X372),
                                               (((Q372*U372)*(X372+(X372*EXTRA_FOR_H)))+
                                               ((Q372*V372)*X372)+
                                               ((Q372*W372)*(X372-(X372*LESS_FOR_L)))
                                    )*IF(R372=0,1,R372))))))+Z372), 0.25)</f>
        <v>2</v>
      </c>
      <c r="Z372" s="22"/>
      <c r="AA372" s="157">
        <f t="shared" ref="AA372:AA381" si="53">Y372+Y372*VLOOKUP(I372,EXTRAS_ARRAY,2,FALSE)</f>
        <v>2</v>
      </c>
      <c r="AB372" s="20"/>
      <c r="AC372" s="34"/>
      <c r="AD372" s="23" t="str">
        <f t="shared" ref="AD372:AD381" si="54">IF(J372&lt;&gt;"Yes",
IF(S372&lt;=0,"Error: Effort value is not defined or is invalid.",
IF(AND(SUM(U372:W372)&gt;0,SUM(U372:W372)&lt;&gt;1),"Error: Complexity % distribution should sum to 100%.",
IF(AND(P372=AS_DEV_EFFORT,X372&lt;&gt;0),"Error: PDs should not be defined when defining as dev effort %.",
IF(AND(P372=AS_DURATION_EFFORT,X372&lt;&gt;0),"Error: PDs should not be defined when defining as duration effort %.","")))))</f>
        <v/>
      </c>
    </row>
    <row r="373" spans="1:30" ht="15.5" outlineLevel="2" x14ac:dyDescent="0.35">
      <c r="A373" s="86" t="s">
        <v>0</v>
      </c>
      <c r="B373" s="18"/>
      <c r="C373" s="78"/>
      <c r="D373" s="78"/>
      <c r="E373" s="78"/>
      <c r="F373" s="79"/>
      <c r="G373" s="19" t="s">
        <v>23</v>
      </c>
      <c r="H373" s="19" t="s">
        <v>23</v>
      </c>
      <c r="I373" s="20" t="s">
        <v>23</v>
      </c>
      <c r="J373" s="19" t="s">
        <v>23</v>
      </c>
      <c r="K373" s="35"/>
      <c r="L373" s="19"/>
      <c r="M373" s="263">
        <f t="shared" ca="1" si="50"/>
        <v>33.200000000000003</v>
      </c>
      <c r="N373" s="20" t="s">
        <v>894</v>
      </c>
      <c r="O373" s="20"/>
      <c r="P373" s="20"/>
      <c r="Q373" s="134"/>
      <c r="R373" s="127"/>
      <c r="S373" s="157">
        <f t="shared" si="51"/>
        <v>4</v>
      </c>
      <c r="T373" s="158"/>
      <c r="U373" s="21">
        <v>0</v>
      </c>
      <c r="V373" s="21">
        <v>1</v>
      </c>
      <c r="W373" s="21">
        <v>0</v>
      </c>
      <c r="X373" s="156">
        <v>4</v>
      </c>
      <c r="Y373" s="157">
        <f t="shared" si="52"/>
        <v>4</v>
      </c>
      <c r="Z373" s="22"/>
      <c r="AA373" s="157">
        <f t="shared" si="53"/>
        <v>4</v>
      </c>
      <c r="AB373" s="20"/>
      <c r="AC373" s="34"/>
      <c r="AD373" s="23" t="str">
        <f t="shared" si="54"/>
        <v/>
      </c>
    </row>
    <row r="374" spans="1:30" ht="15.5" outlineLevel="2" x14ac:dyDescent="0.35">
      <c r="A374" s="86" t="s">
        <v>0</v>
      </c>
      <c r="B374" s="18"/>
      <c r="C374" s="78"/>
      <c r="D374" s="78"/>
      <c r="E374" s="78"/>
      <c r="F374" s="79"/>
      <c r="G374" s="19" t="s">
        <v>23</v>
      </c>
      <c r="H374" s="19" t="s">
        <v>23</v>
      </c>
      <c r="I374" s="20" t="s">
        <v>23</v>
      </c>
      <c r="J374" s="19" t="s">
        <v>23</v>
      </c>
      <c r="K374" s="35"/>
      <c r="L374" s="19"/>
      <c r="M374" s="263">
        <f t="shared" ca="1" si="50"/>
        <v>33.300000000000004</v>
      </c>
      <c r="N374" s="20" t="s">
        <v>895</v>
      </c>
      <c r="O374" s="20"/>
      <c r="P374" s="20"/>
      <c r="Q374" s="134"/>
      <c r="R374" s="127"/>
      <c r="S374" s="157">
        <f t="shared" si="51"/>
        <v>3</v>
      </c>
      <c r="T374" s="158"/>
      <c r="U374" s="21">
        <v>0</v>
      </c>
      <c r="V374" s="21">
        <v>1</v>
      </c>
      <c r="W374" s="21">
        <v>0</v>
      </c>
      <c r="X374" s="156">
        <v>3</v>
      </c>
      <c r="Y374" s="157">
        <f t="shared" si="52"/>
        <v>3</v>
      </c>
      <c r="Z374" s="22"/>
      <c r="AA374" s="157">
        <f t="shared" si="53"/>
        <v>3</v>
      </c>
      <c r="AB374" s="20"/>
      <c r="AC374" s="34"/>
      <c r="AD374" s="23" t="str">
        <f t="shared" si="54"/>
        <v/>
      </c>
    </row>
    <row r="375" spans="1:30" ht="15.5" outlineLevel="2" x14ac:dyDescent="0.35">
      <c r="A375" s="86" t="s">
        <v>0</v>
      </c>
      <c r="B375" s="18"/>
      <c r="C375" s="78"/>
      <c r="D375" s="78"/>
      <c r="E375" s="78"/>
      <c r="F375" s="79"/>
      <c r="G375" s="19" t="s">
        <v>23</v>
      </c>
      <c r="H375" s="19" t="s">
        <v>23</v>
      </c>
      <c r="I375" s="20" t="s">
        <v>23</v>
      </c>
      <c r="J375" s="19" t="s">
        <v>23</v>
      </c>
      <c r="K375" s="35"/>
      <c r="L375" s="19"/>
      <c r="M375" s="263">
        <f t="shared" ca="1" si="50"/>
        <v>33.400000000000006</v>
      </c>
      <c r="N375" s="20" t="s">
        <v>896</v>
      </c>
      <c r="O375" s="20"/>
      <c r="P375" s="20"/>
      <c r="Q375" s="134"/>
      <c r="R375" s="127"/>
      <c r="S375" s="157">
        <f t="shared" si="51"/>
        <v>3</v>
      </c>
      <c r="T375" s="158"/>
      <c r="U375" s="21">
        <v>0</v>
      </c>
      <c r="V375" s="21">
        <v>1</v>
      </c>
      <c r="W375" s="21">
        <v>0</v>
      </c>
      <c r="X375" s="156">
        <v>3</v>
      </c>
      <c r="Y375" s="157">
        <f t="shared" si="52"/>
        <v>3</v>
      </c>
      <c r="Z375" s="22"/>
      <c r="AA375" s="157">
        <f t="shared" si="53"/>
        <v>3</v>
      </c>
      <c r="AB375" s="20"/>
      <c r="AC375" s="34"/>
      <c r="AD375" s="23" t="str">
        <f t="shared" si="54"/>
        <v/>
      </c>
    </row>
    <row r="376" spans="1:30" ht="15.5" outlineLevel="2" x14ac:dyDescent="0.35">
      <c r="A376" s="86" t="s">
        <v>0</v>
      </c>
      <c r="B376" s="18"/>
      <c r="C376" s="78"/>
      <c r="D376" s="78"/>
      <c r="E376" s="78"/>
      <c r="F376" s="79"/>
      <c r="G376" s="19" t="s">
        <v>23</v>
      </c>
      <c r="H376" s="19" t="s">
        <v>23</v>
      </c>
      <c r="I376" s="20" t="s">
        <v>23</v>
      </c>
      <c r="J376" s="19" t="s">
        <v>23</v>
      </c>
      <c r="K376" s="35"/>
      <c r="L376" s="19"/>
      <c r="M376" s="263">
        <f t="shared" ca="1" si="50"/>
        <v>33.500000000000007</v>
      </c>
      <c r="N376" s="20" t="s">
        <v>897</v>
      </c>
      <c r="O376" s="20"/>
      <c r="P376" s="20"/>
      <c r="Q376" s="134"/>
      <c r="R376" s="127"/>
      <c r="S376" s="157">
        <f t="shared" si="51"/>
        <v>2.5</v>
      </c>
      <c r="T376" s="158"/>
      <c r="U376" s="21">
        <v>0</v>
      </c>
      <c r="V376" s="21">
        <v>1</v>
      </c>
      <c r="W376" s="21">
        <v>0</v>
      </c>
      <c r="X376" s="156">
        <v>2.5</v>
      </c>
      <c r="Y376" s="157">
        <f t="shared" si="52"/>
        <v>2.5</v>
      </c>
      <c r="Z376" s="22"/>
      <c r="AA376" s="157">
        <f t="shared" si="53"/>
        <v>2.5</v>
      </c>
      <c r="AB376" s="20"/>
      <c r="AC376" s="34"/>
      <c r="AD376" s="23" t="str">
        <f t="shared" si="54"/>
        <v/>
      </c>
    </row>
    <row r="377" spans="1:30" ht="15.5" outlineLevel="2" x14ac:dyDescent="0.35">
      <c r="A377" s="86" t="s">
        <v>0</v>
      </c>
      <c r="B377" s="18"/>
      <c r="C377" s="78"/>
      <c r="D377" s="78"/>
      <c r="E377" s="78"/>
      <c r="F377" s="79"/>
      <c r="G377" s="19" t="s">
        <v>23</v>
      </c>
      <c r="H377" s="19" t="s">
        <v>23</v>
      </c>
      <c r="I377" s="20" t="s">
        <v>23</v>
      </c>
      <c r="J377" s="19" t="s">
        <v>23</v>
      </c>
      <c r="K377" s="35"/>
      <c r="L377" s="19"/>
      <c r="M377" s="263">
        <f t="shared" ca="1" si="50"/>
        <v>33.600000000000009</v>
      </c>
      <c r="N377" s="20" t="s">
        <v>898</v>
      </c>
      <c r="O377" s="20"/>
      <c r="P377" s="20"/>
      <c r="Q377" s="134"/>
      <c r="R377" s="127"/>
      <c r="S377" s="157">
        <f t="shared" si="51"/>
        <v>2.5</v>
      </c>
      <c r="T377" s="158"/>
      <c r="U377" s="21">
        <v>0</v>
      </c>
      <c r="V377" s="21">
        <v>1</v>
      </c>
      <c r="W377" s="21">
        <v>0</v>
      </c>
      <c r="X377" s="156">
        <v>2.5</v>
      </c>
      <c r="Y377" s="157">
        <f t="shared" si="52"/>
        <v>2.5</v>
      </c>
      <c r="Z377" s="22"/>
      <c r="AA377" s="157">
        <f t="shared" si="53"/>
        <v>2.5</v>
      </c>
      <c r="AB377" s="20"/>
      <c r="AC377" s="34"/>
      <c r="AD377" s="23" t="str">
        <f t="shared" si="54"/>
        <v/>
      </c>
    </row>
    <row r="378" spans="1:30" ht="15.5" outlineLevel="2" x14ac:dyDescent="0.35">
      <c r="A378" s="86" t="s">
        <v>0</v>
      </c>
      <c r="B378" s="18"/>
      <c r="C378" s="78"/>
      <c r="D378" s="78"/>
      <c r="E378" s="78"/>
      <c r="F378" s="79"/>
      <c r="G378" s="19" t="s">
        <v>23</v>
      </c>
      <c r="H378" s="19" t="s">
        <v>23</v>
      </c>
      <c r="I378" s="20" t="s">
        <v>23</v>
      </c>
      <c r="J378" s="19" t="s">
        <v>23</v>
      </c>
      <c r="K378" s="35"/>
      <c r="L378" s="19"/>
      <c r="M378" s="263">
        <f t="shared" ca="1" si="50"/>
        <v>33.70000000000001</v>
      </c>
      <c r="N378" s="20" t="s">
        <v>899</v>
      </c>
      <c r="O378" s="20"/>
      <c r="P378" s="20"/>
      <c r="Q378" s="134"/>
      <c r="R378" s="127"/>
      <c r="S378" s="157">
        <f t="shared" si="51"/>
        <v>4</v>
      </c>
      <c r="T378" s="158"/>
      <c r="U378" s="21">
        <v>0</v>
      </c>
      <c r="V378" s="21">
        <v>1</v>
      </c>
      <c r="W378" s="21">
        <v>0</v>
      </c>
      <c r="X378" s="156">
        <v>4</v>
      </c>
      <c r="Y378" s="157">
        <f t="shared" si="52"/>
        <v>4</v>
      </c>
      <c r="Z378" s="22"/>
      <c r="AA378" s="157">
        <f t="shared" si="53"/>
        <v>4</v>
      </c>
      <c r="AB378" s="20"/>
      <c r="AC378" s="34"/>
      <c r="AD378" s="23" t="str">
        <f t="shared" si="54"/>
        <v/>
      </c>
    </row>
    <row r="379" spans="1:30" ht="15.5" outlineLevel="2" x14ac:dyDescent="0.35">
      <c r="A379" s="86" t="s">
        <v>0</v>
      </c>
      <c r="B379" s="18"/>
      <c r="C379" s="78"/>
      <c r="D379" s="78"/>
      <c r="E379" s="78"/>
      <c r="F379" s="79"/>
      <c r="G379" s="19" t="s">
        <v>23</v>
      </c>
      <c r="H379" s="19" t="s">
        <v>23</v>
      </c>
      <c r="I379" s="20" t="s">
        <v>23</v>
      </c>
      <c r="J379" s="19" t="s">
        <v>23</v>
      </c>
      <c r="K379" s="35"/>
      <c r="L379" s="19"/>
      <c r="M379" s="263">
        <f t="shared" ca="1" si="50"/>
        <v>33.800000000000011</v>
      </c>
      <c r="N379" s="20" t="s">
        <v>900</v>
      </c>
      <c r="O379" s="20"/>
      <c r="P379" s="20"/>
      <c r="Q379" s="134"/>
      <c r="R379" s="127"/>
      <c r="S379" s="157">
        <f t="shared" si="51"/>
        <v>2.5</v>
      </c>
      <c r="T379" s="158"/>
      <c r="U379" s="21">
        <v>0</v>
      </c>
      <c r="V379" s="21">
        <v>1</v>
      </c>
      <c r="W379" s="21">
        <v>0</v>
      </c>
      <c r="X379" s="156">
        <v>2.5</v>
      </c>
      <c r="Y379" s="157">
        <f t="shared" si="52"/>
        <v>2.5</v>
      </c>
      <c r="Z379" s="22"/>
      <c r="AA379" s="157">
        <f t="shared" si="53"/>
        <v>2.5</v>
      </c>
      <c r="AB379" s="20"/>
      <c r="AC379" s="34"/>
      <c r="AD379" s="23" t="str">
        <f t="shared" si="54"/>
        <v/>
      </c>
    </row>
    <row r="380" spans="1:30" ht="15.5" outlineLevel="2" x14ac:dyDescent="0.35">
      <c r="A380" s="86" t="s">
        <v>0</v>
      </c>
      <c r="B380" s="18"/>
      <c r="C380" s="78"/>
      <c r="D380" s="78"/>
      <c r="E380" s="78"/>
      <c r="F380" s="79"/>
      <c r="G380" s="19" t="s">
        <v>23</v>
      </c>
      <c r="H380" s="19" t="s">
        <v>23</v>
      </c>
      <c r="I380" s="20" t="s">
        <v>23</v>
      </c>
      <c r="J380" s="19" t="s">
        <v>23</v>
      </c>
      <c r="K380" s="35"/>
      <c r="L380" s="19"/>
      <c r="M380" s="263">
        <f t="shared" ca="1" si="50"/>
        <v>33.900000000000013</v>
      </c>
      <c r="N380" s="20" t="s">
        <v>901</v>
      </c>
      <c r="O380" s="20"/>
      <c r="P380" s="20"/>
      <c r="Q380" s="134"/>
      <c r="R380" s="127"/>
      <c r="S380" s="157">
        <f t="shared" si="51"/>
        <v>3</v>
      </c>
      <c r="T380" s="158"/>
      <c r="U380" s="21">
        <v>0</v>
      </c>
      <c r="V380" s="21">
        <v>1</v>
      </c>
      <c r="W380" s="21">
        <v>0</v>
      </c>
      <c r="X380" s="156">
        <v>3</v>
      </c>
      <c r="Y380" s="157">
        <f t="shared" si="52"/>
        <v>3</v>
      </c>
      <c r="Z380" s="22"/>
      <c r="AA380" s="157">
        <f t="shared" si="53"/>
        <v>3</v>
      </c>
      <c r="AB380" s="20"/>
      <c r="AC380" s="34"/>
      <c r="AD380" s="23" t="str">
        <f t="shared" si="54"/>
        <v/>
      </c>
    </row>
    <row r="381" spans="1:30" ht="15.5" outlineLevel="2" x14ac:dyDescent="0.35">
      <c r="A381" s="86" t="s">
        <v>0</v>
      </c>
      <c r="B381" s="18"/>
      <c r="C381" s="78"/>
      <c r="D381" s="78"/>
      <c r="E381" s="78"/>
      <c r="F381" s="79"/>
      <c r="G381" s="19" t="s">
        <v>23</v>
      </c>
      <c r="H381" s="19" t="s">
        <v>23</v>
      </c>
      <c r="I381" s="20" t="s">
        <v>23</v>
      </c>
      <c r="J381" s="19" t="s">
        <v>23</v>
      </c>
      <c r="K381" s="35"/>
      <c r="L381" s="19"/>
      <c r="M381" s="263">
        <f t="shared" ca="1" si="50"/>
        <v>34.000000000000014</v>
      </c>
      <c r="N381" s="20" t="s">
        <v>902</v>
      </c>
      <c r="O381" s="20"/>
      <c r="P381" s="20"/>
      <c r="Q381" s="134"/>
      <c r="R381" s="127"/>
      <c r="S381" s="157">
        <f t="shared" si="51"/>
        <v>3.5</v>
      </c>
      <c r="T381" s="158"/>
      <c r="U381" s="21">
        <v>0</v>
      </c>
      <c r="V381" s="21">
        <v>1</v>
      </c>
      <c r="W381" s="21">
        <v>0</v>
      </c>
      <c r="X381" s="156">
        <v>3.5</v>
      </c>
      <c r="Y381" s="157">
        <f t="shared" si="52"/>
        <v>3.5</v>
      </c>
      <c r="Z381" s="22"/>
      <c r="AA381" s="157">
        <f t="shared" si="53"/>
        <v>3.5</v>
      </c>
      <c r="AB381" s="20"/>
      <c r="AC381" s="34"/>
      <c r="AD381" s="23" t="str">
        <f t="shared" si="54"/>
        <v/>
      </c>
    </row>
    <row r="382" spans="1:30" ht="58" outlineLevel="2" x14ac:dyDescent="0.35">
      <c r="A382" s="86" t="s">
        <v>0</v>
      </c>
      <c r="B382" s="18"/>
      <c r="C382" s="78"/>
      <c r="D382" s="78"/>
      <c r="E382" s="78"/>
      <c r="F382" s="79"/>
      <c r="G382" s="19" t="s">
        <v>23</v>
      </c>
      <c r="H382" s="19" t="s">
        <v>23</v>
      </c>
      <c r="I382" s="20" t="s">
        <v>23</v>
      </c>
      <c r="J382" s="19" t="s">
        <v>23</v>
      </c>
      <c r="K382" s="35"/>
      <c r="L382" s="19"/>
      <c r="M382" s="263">
        <f ca="1">IFERROR(OFFSET(M382,-1,,1,1)+0.1,OFFSET(M382,-1,-1,1,1)&amp;".1")</f>
        <v>34.100000000000016</v>
      </c>
      <c r="N382" s="20" t="s">
        <v>438</v>
      </c>
      <c r="O382" s="20"/>
      <c r="P382" s="20"/>
      <c r="Q382" s="134"/>
      <c r="R382" s="127"/>
      <c r="S382" s="157">
        <f>CEILING((IF(J382="Yes", 0, IF(H382="-",AA382,AA382+AA382*VLOOKUP(H382,BUFFERS_BY_TYPE,2,FALSE)))) +
   (IF(J382="Yes", 0, IF(H382="-",AA382,AA382+AA382*VLOOKUP(H382,BUFFERS_BY_TYPE,2,FALSE))))*VLOOKUP($S$5, SALES_CALL_SCALE_ARRAY, 2,FALSE),0.25)</f>
        <v>0</v>
      </c>
      <c r="T382" s="158"/>
      <c r="U382" s="21">
        <v>0</v>
      </c>
      <c r="V382" s="21">
        <v>1</v>
      </c>
      <c r="W382" s="21">
        <v>0</v>
      </c>
      <c r="X382" s="156"/>
      <c r="Y382" s="157">
        <f>CEILING((IF(P382=AS_DEV_EFFORT, DEV_EFFORT*Q382%,
                           IF(P382=AS_DURATION_EFFORT, (MANUAL_DURATION*5)*Q382%,
                                    (IF(Q382&lt;=1,X382,
                                          IF(SUM(U382:W382)=0,(Q382*X382),
                                               (((Q382*U382)*(X382+(X382*EXTRA_FOR_H)))+
                                               ((Q382*V382)*X382)+
                                               ((Q382*W382)*(X382-(X382*LESS_FOR_L)))
                                    )*IF(R382=0,1,R382))))))+Z382), 0.25)</f>
        <v>0</v>
      </c>
      <c r="Z382" s="22"/>
      <c r="AA382" s="157">
        <f>Y382+Y382*VLOOKUP(I382,EXTRAS_ARRAY,2,FALSE)</f>
        <v>0</v>
      </c>
      <c r="AB382" s="20" t="s">
        <v>440</v>
      </c>
      <c r="AC382" s="34"/>
      <c r="AD382" s="23" t="str">
        <f>IF(J382&lt;&gt;"Yes",
IF(S382&lt;=0,"Error: Effort value is not defined or is invalid.",
IF(AND(SUM(U382:W382)&gt;0,SUM(U382:W382)&lt;&gt;1),"Error: Complexity % distribution should sum to 100%.",
IF(AND(P382=AS_DEV_EFFORT,X382&lt;&gt;0),"Error: PDs should not be defined when defining as dev effort %.",
IF(AND(P382=AS_DURATION_EFFORT,X382&lt;&gt;0),"Error: PDs should not be defined when defining as duration effort %.","")))))</f>
        <v>Error: Effort value is not defined or is invalid.</v>
      </c>
    </row>
    <row r="383" spans="1:30" s="9" customFormat="1" ht="7.5" customHeight="1" outlineLevel="2" x14ac:dyDescent="0.35">
      <c r="A383" s="86" t="s">
        <v>132</v>
      </c>
      <c r="B383" s="15"/>
      <c r="C383" s="72"/>
      <c r="D383" s="72"/>
      <c r="E383" s="72"/>
      <c r="F383" s="72"/>
      <c r="M383" s="252"/>
      <c r="T383" s="15"/>
      <c r="X383" s="15"/>
      <c r="AB383" s="10"/>
      <c r="AC383" s="10"/>
      <c r="AD383" s="10"/>
    </row>
    <row r="384" spans="1:30" s="14" customFormat="1" ht="15.5" outlineLevel="1" collapsed="1" x14ac:dyDescent="0.35">
      <c r="A384" s="86" t="s">
        <v>100</v>
      </c>
      <c r="B384" s="18"/>
      <c r="C384" s="77"/>
      <c r="D384" s="77"/>
      <c r="E384" s="77"/>
      <c r="F384" s="76"/>
      <c r="G384" s="29"/>
      <c r="H384" s="29"/>
      <c r="I384" s="29"/>
      <c r="J384" s="29"/>
      <c r="K384" s="29"/>
      <c r="L384" s="17">
        <f ca="1">LOOKUP(1000,INDIRECT("L1:"&amp;CELL("address",INDIRECT("R[-1]C",FALSE))))+1</f>
        <v>34</v>
      </c>
      <c r="M384" s="310" t="s">
        <v>1145</v>
      </c>
      <c r="N384" s="310"/>
      <c r="O384" s="5"/>
      <c r="P384" s="30"/>
      <c r="Q384" s="30"/>
      <c r="R384" s="30"/>
      <c r="S384" s="30"/>
      <c r="T384" s="155">
        <f>IF($S$6="Exclude", SUMIFS(S385:S394, J385:J394, "&lt;&gt;Yes", G385:G394, "&lt;&gt;Yes"), SUMIFS(S385:S394, J385:J394, "&lt;&gt;Yes"))</f>
        <v>28</v>
      </c>
      <c r="U384" s="30"/>
      <c r="V384" s="30"/>
      <c r="W384" s="30"/>
      <c r="X384" s="31"/>
      <c r="Y384" s="32"/>
      <c r="Z384" s="32"/>
      <c r="AA384" s="32"/>
      <c r="AB384" s="219" t="s">
        <v>976</v>
      </c>
      <c r="AC384" s="33"/>
      <c r="AD384" s="23" t="str">
        <f>IF(M384="", "Error: Task name cannot be empty.", "")</f>
        <v/>
      </c>
    </row>
    <row r="385" spans="1:30" s="12" customFormat="1" ht="1.5" hidden="1" customHeight="1" outlineLevel="2" x14ac:dyDescent="0.35">
      <c r="A385" s="86" t="s">
        <v>101</v>
      </c>
      <c r="B385" s="18"/>
      <c r="C385" s="77"/>
      <c r="D385" s="77"/>
      <c r="E385" s="77"/>
      <c r="F385" s="76"/>
      <c r="G385" s="29"/>
      <c r="H385" s="29"/>
      <c r="I385" s="29"/>
      <c r="J385" s="29"/>
      <c r="K385" s="29"/>
      <c r="L385" s="163">
        <f ca="1">L384</f>
        <v>34</v>
      </c>
      <c r="M385" s="164" t="s">
        <v>105</v>
      </c>
      <c r="N385" s="161"/>
      <c r="O385" s="162"/>
      <c r="P385" s="30"/>
      <c r="Q385" s="30"/>
      <c r="R385" s="30"/>
      <c r="S385" s="30"/>
      <c r="T385" s="155"/>
      <c r="U385" s="30"/>
      <c r="V385" s="30"/>
      <c r="W385" s="30"/>
      <c r="X385" s="31"/>
      <c r="Y385" s="32"/>
      <c r="Z385" s="32"/>
      <c r="AA385" s="32"/>
      <c r="AB385" s="33"/>
      <c r="AC385" s="33"/>
      <c r="AD385" s="23"/>
    </row>
    <row r="386" spans="1:30" ht="15.5" hidden="1" outlineLevel="2" x14ac:dyDescent="0.35">
      <c r="A386" s="86" t="s">
        <v>0</v>
      </c>
      <c r="B386" s="18"/>
      <c r="C386" s="78"/>
      <c r="D386" s="78"/>
      <c r="E386" s="78"/>
      <c r="F386" s="79"/>
      <c r="G386" s="19" t="s">
        <v>23</v>
      </c>
      <c r="H386" s="19" t="s">
        <v>23</v>
      </c>
      <c r="I386" s="20" t="s">
        <v>23</v>
      </c>
      <c r="J386" s="19" t="s">
        <v>23</v>
      </c>
      <c r="K386" s="35"/>
      <c r="L386" s="19"/>
      <c r="M386" s="263" t="str">
        <f t="shared" ref="M386:M393" ca="1" si="55">IFERROR(OFFSET(M386,-1,,1,1)+0.1,OFFSET(M386,-1,-1,1,1)&amp;".1")</f>
        <v>34.1</v>
      </c>
      <c r="N386" s="20" t="s">
        <v>903</v>
      </c>
      <c r="O386" s="20"/>
      <c r="P386" s="20"/>
      <c r="Q386" s="134"/>
      <c r="R386" s="127"/>
      <c r="S386" s="157">
        <f t="shared" ref="S386:S393" si="56">CEILING((IF(J386="Yes", 0, IF(H386="-",AA386,AA386+AA386*VLOOKUP(H386,BUFFERS_BY_TYPE,2,FALSE)))) +
   (IF(J386="Yes", 0, IF(H386="-",AA386,AA386+AA386*VLOOKUP(H386,BUFFERS_BY_TYPE,2,FALSE))))*VLOOKUP($S$5, SALES_CALL_SCALE_ARRAY, 2,FALSE),0.25)</f>
        <v>4</v>
      </c>
      <c r="T386" s="158"/>
      <c r="U386" s="21">
        <v>0</v>
      </c>
      <c r="V386" s="21">
        <v>1</v>
      </c>
      <c r="W386" s="21">
        <v>0</v>
      </c>
      <c r="X386" s="156">
        <v>4</v>
      </c>
      <c r="Y386" s="157">
        <f t="shared" ref="Y386:Y393" si="57">CEILING((IF(P386=AS_DEV_EFFORT, DEV_EFFORT*Q386%,
                           IF(P386=AS_DURATION_EFFORT, (MANUAL_DURATION*5)*Q386%,
                                    (IF(Q386&lt;=1,X386,
                                          IF(SUM(U386:W386)=0,(Q386*X386),
                                               (((Q386*U386)*(X386+(X386*EXTRA_FOR_H)))+
                                               ((Q386*V386)*X386)+
                                               ((Q386*W386)*(X386-(X386*LESS_FOR_L)))
                                    )*IF(R386=0,1,R386))))))+Z386), 0.25)</f>
        <v>4</v>
      </c>
      <c r="Z386" s="22"/>
      <c r="AA386" s="157">
        <f t="shared" ref="AA386:AA393" si="58">Y386+Y386*VLOOKUP(I386,EXTRAS_ARRAY,2,FALSE)</f>
        <v>4</v>
      </c>
      <c r="AB386" s="20"/>
      <c r="AC386" s="34"/>
      <c r="AD386" s="23" t="str">
        <f t="shared" ref="AD386:AD393" si="59">IF(J386&lt;&gt;"Yes",
IF(S386&lt;=0,"Error: Effort value is not defined or is invalid.",
IF(AND(SUM(U386:W386)&gt;0,SUM(U386:W386)&lt;&gt;1),"Error: Complexity % distribution should sum to 100%.",
IF(AND(P386=AS_DEV_EFFORT,X386&lt;&gt;0),"Error: PDs should not be defined when defining as dev effort %.",
IF(AND(P386=AS_DURATION_EFFORT,X386&lt;&gt;0),"Error: PDs should not be defined when defining as duration effort %.","")))))</f>
        <v/>
      </c>
    </row>
    <row r="387" spans="1:30" ht="15.5" hidden="1" outlineLevel="2" x14ac:dyDescent="0.35">
      <c r="A387" s="86" t="s">
        <v>0</v>
      </c>
      <c r="B387" s="18"/>
      <c r="C387" s="78"/>
      <c r="D387" s="78"/>
      <c r="E387" s="78"/>
      <c r="F387" s="79"/>
      <c r="G387" s="19" t="s">
        <v>23</v>
      </c>
      <c r="H387" s="19" t="s">
        <v>23</v>
      </c>
      <c r="I387" s="20" t="s">
        <v>23</v>
      </c>
      <c r="J387" s="19" t="s">
        <v>23</v>
      </c>
      <c r="K387" s="35"/>
      <c r="L387" s="19"/>
      <c r="M387" s="263">
        <f t="shared" ca="1" si="55"/>
        <v>34.200000000000003</v>
      </c>
      <c r="N387" s="20" t="s">
        <v>904</v>
      </c>
      <c r="O387" s="20"/>
      <c r="P387" s="20"/>
      <c r="Q387" s="134"/>
      <c r="R387" s="127"/>
      <c r="S387" s="157">
        <f t="shared" si="56"/>
        <v>4</v>
      </c>
      <c r="T387" s="158"/>
      <c r="U387" s="21">
        <v>0</v>
      </c>
      <c r="V387" s="21">
        <v>1</v>
      </c>
      <c r="W387" s="21">
        <v>0</v>
      </c>
      <c r="X387" s="156">
        <v>4</v>
      </c>
      <c r="Y387" s="157">
        <f t="shared" si="57"/>
        <v>4</v>
      </c>
      <c r="Z387" s="22"/>
      <c r="AA387" s="157">
        <f t="shared" si="58"/>
        <v>4</v>
      </c>
      <c r="AB387" s="20"/>
      <c r="AC387" s="34"/>
      <c r="AD387" s="23" t="str">
        <f t="shared" si="59"/>
        <v/>
      </c>
    </row>
    <row r="388" spans="1:30" ht="15.5" hidden="1" outlineLevel="2" x14ac:dyDescent="0.35">
      <c r="A388" s="86" t="s">
        <v>0</v>
      </c>
      <c r="B388" s="18"/>
      <c r="C388" s="78"/>
      <c r="D388" s="78"/>
      <c r="E388" s="78"/>
      <c r="F388" s="79"/>
      <c r="G388" s="19" t="s">
        <v>23</v>
      </c>
      <c r="H388" s="19" t="s">
        <v>23</v>
      </c>
      <c r="I388" s="20" t="s">
        <v>23</v>
      </c>
      <c r="J388" s="19" t="s">
        <v>23</v>
      </c>
      <c r="K388" s="35"/>
      <c r="L388" s="19"/>
      <c r="M388" s="263">
        <f t="shared" ca="1" si="55"/>
        <v>34.300000000000004</v>
      </c>
      <c r="N388" s="20" t="s">
        <v>905</v>
      </c>
      <c r="O388" s="20"/>
      <c r="P388" s="20"/>
      <c r="Q388" s="134"/>
      <c r="R388" s="127"/>
      <c r="S388" s="157">
        <f t="shared" si="56"/>
        <v>3</v>
      </c>
      <c r="T388" s="158"/>
      <c r="U388" s="21">
        <v>0</v>
      </c>
      <c r="V388" s="21">
        <v>1</v>
      </c>
      <c r="W388" s="21">
        <v>0</v>
      </c>
      <c r="X388" s="156">
        <v>3</v>
      </c>
      <c r="Y388" s="157">
        <f t="shared" si="57"/>
        <v>3</v>
      </c>
      <c r="Z388" s="22"/>
      <c r="AA388" s="157">
        <f t="shared" si="58"/>
        <v>3</v>
      </c>
      <c r="AB388" s="20"/>
      <c r="AC388" s="34"/>
      <c r="AD388" s="23" t="str">
        <f t="shared" si="59"/>
        <v/>
      </c>
    </row>
    <row r="389" spans="1:30" ht="15.5" hidden="1" outlineLevel="2" x14ac:dyDescent="0.35">
      <c r="A389" s="86" t="s">
        <v>0</v>
      </c>
      <c r="B389" s="18"/>
      <c r="C389" s="78"/>
      <c r="D389" s="78"/>
      <c r="E389" s="78"/>
      <c r="F389" s="79"/>
      <c r="G389" s="19" t="s">
        <v>23</v>
      </c>
      <c r="H389" s="19" t="s">
        <v>23</v>
      </c>
      <c r="I389" s="20" t="s">
        <v>23</v>
      </c>
      <c r="J389" s="19" t="s">
        <v>23</v>
      </c>
      <c r="K389" s="35"/>
      <c r="L389" s="19"/>
      <c r="M389" s="263">
        <f t="shared" ca="1" si="55"/>
        <v>34.400000000000006</v>
      </c>
      <c r="N389" s="20" t="s">
        <v>906</v>
      </c>
      <c r="O389" s="20"/>
      <c r="P389" s="20"/>
      <c r="Q389" s="134"/>
      <c r="R389" s="127"/>
      <c r="S389" s="157">
        <f t="shared" si="56"/>
        <v>4</v>
      </c>
      <c r="T389" s="158"/>
      <c r="U389" s="21">
        <v>0</v>
      </c>
      <c r="V389" s="21">
        <v>1</v>
      </c>
      <c r="W389" s="21">
        <v>0</v>
      </c>
      <c r="X389" s="156">
        <v>4</v>
      </c>
      <c r="Y389" s="157">
        <f t="shared" si="57"/>
        <v>4</v>
      </c>
      <c r="Z389" s="22"/>
      <c r="AA389" s="157">
        <f t="shared" si="58"/>
        <v>4</v>
      </c>
      <c r="AB389" s="20"/>
      <c r="AC389" s="34"/>
      <c r="AD389" s="23" t="str">
        <f t="shared" si="59"/>
        <v/>
      </c>
    </row>
    <row r="390" spans="1:30" ht="15.5" hidden="1" outlineLevel="2" x14ac:dyDescent="0.35">
      <c r="A390" s="86" t="s">
        <v>0</v>
      </c>
      <c r="B390" s="18"/>
      <c r="C390" s="78"/>
      <c r="D390" s="78"/>
      <c r="E390" s="78"/>
      <c r="F390" s="79"/>
      <c r="G390" s="19" t="s">
        <v>23</v>
      </c>
      <c r="H390" s="19" t="s">
        <v>23</v>
      </c>
      <c r="I390" s="20" t="s">
        <v>23</v>
      </c>
      <c r="J390" s="19" t="s">
        <v>23</v>
      </c>
      <c r="K390" s="35"/>
      <c r="L390" s="19"/>
      <c r="M390" s="263">
        <f t="shared" ca="1" si="55"/>
        <v>34.500000000000007</v>
      </c>
      <c r="N390" s="20" t="s">
        <v>907</v>
      </c>
      <c r="O390" s="20"/>
      <c r="P390" s="20"/>
      <c r="Q390" s="134"/>
      <c r="R390" s="127"/>
      <c r="S390" s="157">
        <f t="shared" si="56"/>
        <v>3.5</v>
      </c>
      <c r="T390" s="158"/>
      <c r="U390" s="21">
        <v>0</v>
      </c>
      <c r="V390" s="21">
        <v>1</v>
      </c>
      <c r="W390" s="21">
        <v>0</v>
      </c>
      <c r="X390" s="156">
        <v>3.5</v>
      </c>
      <c r="Y390" s="157">
        <f t="shared" si="57"/>
        <v>3.5</v>
      </c>
      <c r="Z390" s="22"/>
      <c r="AA390" s="157">
        <f t="shared" si="58"/>
        <v>3.5</v>
      </c>
      <c r="AB390" s="20"/>
      <c r="AC390" s="34"/>
      <c r="AD390" s="23" t="str">
        <f t="shared" si="59"/>
        <v/>
      </c>
    </row>
    <row r="391" spans="1:30" ht="15.5" hidden="1" outlineLevel="2" x14ac:dyDescent="0.35">
      <c r="A391" s="86" t="s">
        <v>0</v>
      </c>
      <c r="B391" s="18"/>
      <c r="C391" s="78"/>
      <c r="D391" s="78"/>
      <c r="E391" s="78"/>
      <c r="F391" s="79"/>
      <c r="G391" s="19" t="s">
        <v>23</v>
      </c>
      <c r="H391" s="19" t="s">
        <v>23</v>
      </c>
      <c r="I391" s="20" t="s">
        <v>23</v>
      </c>
      <c r="J391" s="19" t="s">
        <v>23</v>
      </c>
      <c r="K391" s="35"/>
      <c r="L391" s="19"/>
      <c r="M391" s="263">
        <f t="shared" ca="1" si="55"/>
        <v>34.600000000000009</v>
      </c>
      <c r="N391" s="20" t="s">
        <v>908</v>
      </c>
      <c r="O391" s="20"/>
      <c r="P391" s="20"/>
      <c r="Q391" s="134"/>
      <c r="R391" s="127"/>
      <c r="S391" s="157">
        <f t="shared" si="56"/>
        <v>4</v>
      </c>
      <c r="T391" s="158"/>
      <c r="U391" s="21">
        <v>0</v>
      </c>
      <c r="V391" s="21">
        <v>1</v>
      </c>
      <c r="W391" s="21">
        <v>0</v>
      </c>
      <c r="X391" s="156">
        <v>4</v>
      </c>
      <c r="Y391" s="157">
        <f t="shared" si="57"/>
        <v>4</v>
      </c>
      <c r="Z391" s="22"/>
      <c r="AA391" s="157">
        <f t="shared" si="58"/>
        <v>4</v>
      </c>
      <c r="AB391" s="20"/>
      <c r="AC391" s="34"/>
      <c r="AD391" s="23" t="str">
        <f t="shared" si="59"/>
        <v/>
      </c>
    </row>
    <row r="392" spans="1:30" ht="15.5" hidden="1" outlineLevel="2" x14ac:dyDescent="0.35">
      <c r="A392" s="86" t="s">
        <v>0</v>
      </c>
      <c r="B392" s="18"/>
      <c r="C392" s="78"/>
      <c r="D392" s="78"/>
      <c r="E392" s="78"/>
      <c r="F392" s="79"/>
      <c r="G392" s="19" t="s">
        <v>23</v>
      </c>
      <c r="H392" s="19" t="s">
        <v>23</v>
      </c>
      <c r="I392" s="20" t="s">
        <v>23</v>
      </c>
      <c r="J392" s="19" t="s">
        <v>23</v>
      </c>
      <c r="K392" s="35"/>
      <c r="L392" s="19"/>
      <c r="M392" s="263">
        <f t="shared" ca="1" si="55"/>
        <v>34.70000000000001</v>
      </c>
      <c r="N392" s="20" t="s">
        <v>909</v>
      </c>
      <c r="O392" s="20"/>
      <c r="P392" s="20"/>
      <c r="Q392" s="134"/>
      <c r="R392" s="127"/>
      <c r="S392" s="157">
        <f t="shared" si="56"/>
        <v>2.5</v>
      </c>
      <c r="T392" s="158"/>
      <c r="U392" s="21">
        <v>0</v>
      </c>
      <c r="V392" s="21">
        <v>1</v>
      </c>
      <c r="W392" s="21">
        <v>0</v>
      </c>
      <c r="X392" s="156">
        <v>2.5</v>
      </c>
      <c r="Y392" s="157">
        <f t="shared" si="57"/>
        <v>2.5</v>
      </c>
      <c r="Z392" s="22"/>
      <c r="AA392" s="157">
        <f t="shared" si="58"/>
        <v>2.5</v>
      </c>
      <c r="AB392" s="20"/>
      <c r="AC392" s="34"/>
      <c r="AD392" s="23" t="str">
        <f t="shared" si="59"/>
        <v/>
      </c>
    </row>
    <row r="393" spans="1:30" ht="15.5" hidden="1" outlineLevel="2" x14ac:dyDescent="0.35">
      <c r="A393" s="86" t="s">
        <v>0</v>
      </c>
      <c r="B393" s="18"/>
      <c r="C393" s="78"/>
      <c r="D393" s="78"/>
      <c r="E393" s="78"/>
      <c r="F393" s="79"/>
      <c r="G393" s="19" t="s">
        <v>23</v>
      </c>
      <c r="H393" s="19" t="s">
        <v>23</v>
      </c>
      <c r="I393" s="20" t="s">
        <v>23</v>
      </c>
      <c r="J393" s="19" t="s">
        <v>23</v>
      </c>
      <c r="K393" s="35"/>
      <c r="L393" s="19"/>
      <c r="M393" s="263">
        <f t="shared" ca="1" si="55"/>
        <v>34.800000000000011</v>
      </c>
      <c r="N393" s="20" t="s">
        <v>910</v>
      </c>
      <c r="O393" s="20"/>
      <c r="P393" s="20"/>
      <c r="Q393" s="134"/>
      <c r="R393" s="127"/>
      <c r="S393" s="157">
        <f t="shared" si="56"/>
        <v>3</v>
      </c>
      <c r="T393" s="158"/>
      <c r="U393" s="21">
        <v>0</v>
      </c>
      <c r="V393" s="21">
        <v>1</v>
      </c>
      <c r="W393" s="21">
        <v>0</v>
      </c>
      <c r="X393" s="156">
        <v>3</v>
      </c>
      <c r="Y393" s="157">
        <f t="shared" si="57"/>
        <v>3</v>
      </c>
      <c r="Z393" s="22"/>
      <c r="AA393" s="157">
        <f t="shared" si="58"/>
        <v>3</v>
      </c>
      <c r="AB393" s="20"/>
      <c r="AC393" s="34"/>
      <c r="AD393" s="23" t="str">
        <f t="shared" si="59"/>
        <v/>
      </c>
    </row>
    <row r="394" spans="1:30" s="9" customFormat="1" ht="7.5" hidden="1" customHeight="1" outlineLevel="2" x14ac:dyDescent="0.35">
      <c r="A394" s="86" t="s">
        <v>132</v>
      </c>
      <c r="B394" s="15"/>
      <c r="C394" s="72"/>
      <c r="D394" s="72"/>
      <c r="E394" s="72"/>
      <c r="F394" s="72"/>
      <c r="M394" s="252"/>
      <c r="T394" s="15"/>
      <c r="X394" s="15"/>
      <c r="AB394" s="10"/>
      <c r="AC394" s="10"/>
      <c r="AD394" s="10"/>
    </row>
    <row r="395" spans="1:30" s="14" customFormat="1" ht="15.5" outlineLevel="1" x14ac:dyDescent="0.35">
      <c r="A395" s="86" t="s">
        <v>100</v>
      </c>
      <c r="B395" s="18"/>
      <c r="C395" s="77"/>
      <c r="D395" s="77"/>
      <c r="E395" s="77"/>
      <c r="F395" s="76"/>
      <c r="G395" s="29"/>
      <c r="H395" s="29"/>
      <c r="I395" s="29"/>
      <c r="J395" s="29"/>
      <c r="K395" s="29"/>
      <c r="L395" s="17">
        <f ca="1">LOOKUP(1000,INDIRECT("L1:"&amp;CELL("address",INDIRECT("R[-1]C",FALSE))))+1</f>
        <v>35</v>
      </c>
      <c r="M395" s="310" t="s">
        <v>1146</v>
      </c>
      <c r="N395" s="310"/>
      <c r="O395" s="5"/>
      <c r="P395" s="30"/>
      <c r="Q395" s="30"/>
      <c r="R395" s="30"/>
      <c r="S395" s="30"/>
      <c r="T395" s="155">
        <f>IF($S$6="Exclude", SUMIFS(S396:S406, J396:J406, "&lt;&gt;Yes", G396:G406, "&lt;&gt;Yes"), SUMIFS(S396:S406, J396:J406, "&lt;&gt;Yes"))</f>
        <v>18</v>
      </c>
      <c r="U395" s="30"/>
      <c r="V395" s="30"/>
      <c r="W395" s="30"/>
      <c r="X395" s="31"/>
      <c r="Y395" s="32"/>
      <c r="Z395" s="32"/>
      <c r="AA395" s="32"/>
      <c r="AB395" s="219" t="s">
        <v>977</v>
      </c>
      <c r="AC395" s="33"/>
      <c r="AD395" s="23" t="str">
        <f>IF(M395="", "Error: Task name cannot be empty.", "")</f>
        <v/>
      </c>
    </row>
    <row r="396" spans="1:30" s="12" customFormat="1" ht="1.5" customHeight="1" outlineLevel="2" x14ac:dyDescent="0.35">
      <c r="A396" s="86" t="s">
        <v>101</v>
      </c>
      <c r="B396" s="18"/>
      <c r="C396" s="77"/>
      <c r="D396" s="77"/>
      <c r="E396" s="77"/>
      <c r="F396" s="76"/>
      <c r="G396" s="29"/>
      <c r="H396" s="29"/>
      <c r="I396" s="29"/>
      <c r="J396" s="29"/>
      <c r="K396" s="29"/>
      <c r="L396" s="163">
        <f ca="1">L395</f>
        <v>35</v>
      </c>
      <c r="M396" s="164" t="s">
        <v>105</v>
      </c>
      <c r="N396" s="161"/>
      <c r="O396" s="162"/>
      <c r="P396" s="30"/>
      <c r="Q396" s="30"/>
      <c r="R396" s="30"/>
      <c r="S396" s="30"/>
      <c r="T396" s="155"/>
      <c r="U396" s="30"/>
      <c r="V396" s="30"/>
      <c r="W396" s="30"/>
      <c r="X396" s="31"/>
      <c r="Y396" s="32"/>
      <c r="Z396" s="32"/>
      <c r="AA396" s="32"/>
      <c r="AB396" s="33"/>
      <c r="AC396" s="33"/>
      <c r="AD396" s="23"/>
    </row>
    <row r="397" spans="1:30" ht="15.5" outlineLevel="2" x14ac:dyDescent="0.35">
      <c r="A397" s="86" t="s">
        <v>0</v>
      </c>
      <c r="B397" s="18"/>
      <c r="C397" s="78"/>
      <c r="D397" s="78"/>
      <c r="E397" s="78"/>
      <c r="F397" s="79"/>
      <c r="G397" s="19" t="s">
        <v>23</v>
      </c>
      <c r="H397" s="19" t="s">
        <v>23</v>
      </c>
      <c r="I397" s="20" t="s">
        <v>23</v>
      </c>
      <c r="J397" s="19" t="s">
        <v>23</v>
      </c>
      <c r="K397" s="35"/>
      <c r="L397" s="19"/>
      <c r="M397" s="263" t="str">
        <f t="shared" ref="M397:M402" ca="1" si="60">IFERROR(OFFSET(M397,-1,,1,1)+0.1,OFFSET(M397,-1,-1,1,1)&amp;".1")</f>
        <v>35.1</v>
      </c>
      <c r="N397" s="20" t="s">
        <v>911</v>
      </c>
      <c r="O397" s="20"/>
      <c r="P397" s="20"/>
      <c r="Q397" s="134"/>
      <c r="R397" s="127"/>
      <c r="S397" s="157">
        <f t="shared" ref="S397:S402" si="61">CEILING((IF(J397="Yes", 0, IF(H397="-",AA397,AA397+AA397*VLOOKUP(H397,BUFFERS_BY_TYPE,2,FALSE)))) +
   (IF(J397="Yes", 0, IF(H397="-",AA397,AA397+AA397*VLOOKUP(H397,BUFFERS_BY_TYPE,2,FALSE))))*VLOOKUP($S$5, SALES_CALL_SCALE_ARRAY, 2,FALSE),0.25)</f>
        <v>2</v>
      </c>
      <c r="T397" s="158"/>
      <c r="U397" s="21">
        <v>0</v>
      </c>
      <c r="V397" s="21">
        <v>1</v>
      </c>
      <c r="W397" s="21">
        <v>0</v>
      </c>
      <c r="X397" s="156">
        <v>2</v>
      </c>
      <c r="Y397" s="157">
        <f t="shared" ref="Y397:Y402" si="62">CEILING((IF(P397=AS_DEV_EFFORT, DEV_EFFORT*Q397%,
                           IF(P397=AS_DURATION_EFFORT, (MANUAL_DURATION*5)*Q397%,
                                    (IF(Q397&lt;=1,X397,
                                          IF(SUM(U397:W397)=0,(Q397*X397),
                                               (((Q397*U397)*(X397+(X397*EXTRA_FOR_H)))+
                                               ((Q397*V397)*X397)+
                                               ((Q397*W397)*(X397-(X397*LESS_FOR_L)))
                                    )*IF(R397=0,1,R397))))))+Z397), 0.25)</f>
        <v>2</v>
      </c>
      <c r="Z397" s="22"/>
      <c r="AA397" s="157">
        <f t="shared" ref="AA397:AA402" si="63">Y397+Y397*VLOOKUP(I397,EXTRAS_ARRAY,2,FALSE)</f>
        <v>2</v>
      </c>
      <c r="AB397" s="20"/>
      <c r="AC397" s="34"/>
      <c r="AD397" s="23" t="str">
        <f t="shared" ref="AD397:AD402" si="64">IF(J397&lt;&gt;"Yes",
IF(S397&lt;=0,"Error: Effort value is not defined or is invalid.",
IF(AND(SUM(U397:W397)&gt;0,SUM(U397:W397)&lt;&gt;1),"Error: Complexity % distribution should sum to 100%.",
IF(AND(P397=AS_DEV_EFFORT,X397&lt;&gt;0),"Error: PDs should not be defined when defining as dev effort %.",
IF(AND(P397=AS_DURATION_EFFORT,X397&lt;&gt;0),"Error: PDs should not be defined when defining as duration effort %.","")))))</f>
        <v/>
      </c>
    </row>
    <row r="398" spans="1:30" ht="15.5" outlineLevel="2" x14ac:dyDescent="0.35">
      <c r="A398" s="86" t="s">
        <v>0</v>
      </c>
      <c r="B398" s="18"/>
      <c r="C398" s="78"/>
      <c r="D398" s="78"/>
      <c r="E398" s="78"/>
      <c r="F398" s="79"/>
      <c r="G398" s="19" t="s">
        <v>23</v>
      </c>
      <c r="H398" s="19" t="s">
        <v>23</v>
      </c>
      <c r="I398" s="20" t="s">
        <v>23</v>
      </c>
      <c r="J398" s="19" t="s">
        <v>23</v>
      </c>
      <c r="K398" s="35"/>
      <c r="L398" s="19"/>
      <c r="M398" s="263">
        <f t="shared" ca="1" si="60"/>
        <v>35.200000000000003</v>
      </c>
      <c r="N398" s="20" t="s">
        <v>912</v>
      </c>
      <c r="O398" s="20"/>
      <c r="P398" s="20"/>
      <c r="Q398" s="134"/>
      <c r="R398" s="127"/>
      <c r="S398" s="157">
        <f t="shared" si="61"/>
        <v>2.5</v>
      </c>
      <c r="T398" s="158"/>
      <c r="U398" s="21">
        <v>0</v>
      </c>
      <c r="V398" s="21">
        <v>1</v>
      </c>
      <c r="W398" s="21">
        <v>0</v>
      </c>
      <c r="X398" s="156">
        <v>2.5</v>
      </c>
      <c r="Y398" s="157">
        <f t="shared" si="62"/>
        <v>2.5</v>
      </c>
      <c r="Z398" s="22"/>
      <c r="AA398" s="157">
        <f t="shared" si="63"/>
        <v>2.5</v>
      </c>
      <c r="AB398" s="20"/>
      <c r="AC398" s="34"/>
      <c r="AD398" s="23" t="str">
        <f t="shared" si="64"/>
        <v/>
      </c>
    </row>
    <row r="399" spans="1:30" ht="15.5" outlineLevel="2" x14ac:dyDescent="0.35">
      <c r="A399" s="86" t="s">
        <v>0</v>
      </c>
      <c r="B399" s="18"/>
      <c r="C399" s="78"/>
      <c r="D399" s="78"/>
      <c r="E399" s="78"/>
      <c r="F399" s="79"/>
      <c r="G399" s="19" t="s">
        <v>23</v>
      </c>
      <c r="H399" s="19" t="s">
        <v>23</v>
      </c>
      <c r="I399" s="20" t="s">
        <v>23</v>
      </c>
      <c r="J399" s="19" t="s">
        <v>23</v>
      </c>
      <c r="K399" s="35"/>
      <c r="L399" s="19"/>
      <c r="M399" s="263">
        <f t="shared" ca="1" si="60"/>
        <v>35.300000000000004</v>
      </c>
      <c r="N399" s="20" t="s">
        <v>913</v>
      </c>
      <c r="O399" s="20"/>
      <c r="P399" s="20"/>
      <c r="Q399" s="134"/>
      <c r="R399" s="127"/>
      <c r="S399" s="157">
        <f t="shared" si="61"/>
        <v>3.5</v>
      </c>
      <c r="T399" s="158"/>
      <c r="U399" s="21">
        <v>0</v>
      </c>
      <c r="V399" s="21">
        <v>1</v>
      </c>
      <c r="W399" s="21">
        <v>0</v>
      </c>
      <c r="X399" s="156">
        <v>3.5</v>
      </c>
      <c r="Y399" s="157">
        <f t="shared" si="62"/>
        <v>3.5</v>
      </c>
      <c r="Z399" s="22"/>
      <c r="AA399" s="157">
        <f t="shared" si="63"/>
        <v>3.5</v>
      </c>
      <c r="AB399" s="20"/>
      <c r="AC399" s="34"/>
      <c r="AD399" s="23" t="str">
        <f t="shared" si="64"/>
        <v/>
      </c>
    </row>
    <row r="400" spans="1:30" ht="15.5" outlineLevel="2" x14ac:dyDescent="0.35">
      <c r="A400" s="86" t="s">
        <v>0</v>
      </c>
      <c r="B400" s="18"/>
      <c r="C400" s="78"/>
      <c r="D400" s="78"/>
      <c r="E400" s="78"/>
      <c r="F400" s="79"/>
      <c r="G400" s="19" t="s">
        <v>23</v>
      </c>
      <c r="H400" s="19" t="s">
        <v>23</v>
      </c>
      <c r="I400" s="20" t="s">
        <v>23</v>
      </c>
      <c r="J400" s="19" t="s">
        <v>23</v>
      </c>
      <c r="K400" s="35"/>
      <c r="L400" s="19"/>
      <c r="M400" s="263">
        <f t="shared" ca="1" si="60"/>
        <v>35.400000000000006</v>
      </c>
      <c r="N400" s="20" t="s">
        <v>914</v>
      </c>
      <c r="O400" s="20"/>
      <c r="P400" s="20"/>
      <c r="Q400" s="134"/>
      <c r="R400" s="127"/>
      <c r="S400" s="157">
        <f t="shared" si="61"/>
        <v>3</v>
      </c>
      <c r="T400" s="158"/>
      <c r="U400" s="21">
        <v>0</v>
      </c>
      <c r="V400" s="21">
        <v>1</v>
      </c>
      <c r="W400" s="21">
        <v>0</v>
      </c>
      <c r="X400" s="156">
        <v>3</v>
      </c>
      <c r="Y400" s="157">
        <f t="shared" si="62"/>
        <v>3</v>
      </c>
      <c r="Z400" s="22"/>
      <c r="AA400" s="157">
        <f t="shared" si="63"/>
        <v>3</v>
      </c>
      <c r="AB400" s="20"/>
      <c r="AC400" s="34"/>
      <c r="AD400" s="23" t="str">
        <f t="shared" si="64"/>
        <v/>
      </c>
    </row>
    <row r="401" spans="1:30" ht="15.5" outlineLevel="2" x14ac:dyDescent="0.35">
      <c r="A401" s="86" t="s">
        <v>0</v>
      </c>
      <c r="B401" s="18"/>
      <c r="C401" s="78"/>
      <c r="D401" s="78"/>
      <c r="E401" s="78"/>
      <c r="F401" s="79"/>
      <c r="G401" s="19" t="s">
        <v>23</v>
      </c>
      <c r="H401" s="19" t="s">
        <v>23</v>
      </c>
      <c r="I401" s="20" t="s">
        <v>23</v>
      </c>
      <c r="J401" s="19" t="s">
        <v>23</v>
      </c>
      <c r="K401" s="35"/>
      <c r="L401" s="19"/>
      <c r="M401" s="263">
        <f t="shared" ca="1" si="60"/>
        <v>35.500000000000007</v>
      </c>
      <c r="N401" s="20" t="s">
        <v>915</v>
      </c>
      <c r="O401" s="20"/>
      <c r="P401" s="20"/>
      <c r="Q401" s="134"/>
      <c r="R401" s="127"/>
      <c r="S401" s="157">
        <f t="shared" si="61"/>
        <v>3.5</v>
      </c>
      <c r="T401" s="158"/>
      <c r="U401" s="21">
        <v>0</v>
      </c>
      <c r="V401" s="21">
        <v>1</v>
      </c>
      <c r="W401" s="21">
        <v>0</v>
      </c>
      <c r="X401" s="156">
        <v>3.5</v>
      </c>
      <c r="Y401" s="157">
        <f t="shared" si="62"/>
        <v>3.5</v>
      </c>
      <c r="Z401" s="22"/>
      <c r="AA401" s="157">
        <f t="shared" si="63"/>
        <v>3.5</v>
      </c>
      <c r="AB401" s="20"/>
      <c r="AC401" s="34"/>
      <c r="AD401" s="23" t="str">
        <f t="shared" si="64"/>
        <v/>
      </c>
    </row>
    <row r="402" spans="1:30" ht="15.5" outlineLevel="2" x14ac:dyDescent="0.35">
      <c r="A402" s="86" t="s">
        <v>0</v>
      </c>
      <c r="B402" s="18"/>
      <c r="C402" s="78"/>
      <c r="D402" s="78"/>
      <c r="E402" s="78"/>
      <c r="F402" s="79"/>
      <c r="G402" s="19" t="s">
        <v>23</v>
      </c>
      <c r="H402" s="19" t="s">
        <v>23</v>
      </c>
      <c r="I402" s="20" t="s">
        <v>23</v>
      </c>
      <c r="J402" s="19" t="s">
        <v>23</v>
      </c>
      <c r="K402" s="35"/>
      <c r="L402" s="19"/>
      <c r="M402" s="263">
        <f t="shared" ca="1" si="60"/>
        <v>35.600000000000009</v>
      </c>
      <c r="N402" s="20" t="s">
        <v>916</v>
      </c>
      <c r="O402" s="20"/>
      <c r="P402" s="20"/>
      <c r="Q402" s="134"/>
      <c r="R402" s="127"/>
      <c r="S402" s="157">
        <f t="shared" si="61"/>
        <v>3.5</v>
      </c>
      <c r="T402" s="158"/>
      <c r="U402" s="21">
        <v>0</v>
      </c>
      <c r="V402" s="21">
        <v>1</v>
      </c>
      <c r="W402" s="21">
        <v>0</v>
      </c>
      <c r="X402" s="156">
        <v>3.5</v>
      </c>
      <c r="Y402" s="157">
        <f t="shared" si="62"/>
        <v>3.5</v>
      </c>
      <c r="Z402" s="22"/>
      <c r="AA402" s="157">
        <f t="shared" si="63"/>
        <v>3.5</v>
      </c>
      <c r="AB402" s="20"/>
      <c r="AC402" s="34"/>
      <c r="AD402" s="23" t="str">
        <f t="shared" si="64"/>
        <v/>
      </c>
    </row>
    <row r="403" spans="1:30" ht="58" outlineLevel="2" x14ac:dyDescent="0.35">
      <c r="A403" s="86" t="s">
        <v>0</v>
      </c>
      <c r="B403" s="18"/>
      <c r="C403" s="78"/>
      <c r="D403" s="78"/>
      <c r="E403" s="78"/>
      <c r="F403" s="79"/>
      <c r="G403" s="19" t="s">
        <v>23</v>
      </c>
      <c r="H403" s="19" t="s">
        <v>23</v>
      </c>
      <c r="I403" s="20" t="s">
        <v>23</v>
      </c>
      <c r="J403" s="19" t="s">
        <v>23</v>
      </c>
      <c r="K403" s="35"/>
      <c r="L403" s="19"/>
      <c r="M403" s="263">
        <f ca="1">IFERROR(OFFSET(M403,-1,,1,1)+0.1,OFFSET(M403,-1,-1,1,1)&amp;".1")</f>
        <v>35.70000000000001</v>
      </c>
      <c r="N403" s="20" t="s">
        <v>438</v>
      </c>
      <c r="O403" s="20"/>
      <c r="P403" s="20"/>
      <c r="Q403" s="134"/>
      <c r="R403" s="127"/>
      <c r="S403" s="157">
        <f>CEILING((IF(J403="Yes", 0, IF(H403="-",AA403,AA403+AA403*VLOOKUP(H403,BUFFERS_BY_TYPE,2,FALSE)))) +
   (IF(J403="Yes", 0, IF(H403="-",AA403,AA403+AA403*VLOOKUP(H403,BUFFERS_BY_TYPE,2,FALSE))))*VLOOKUP($S$5, SALES_CALL_SCALE_ARRAY, 2,FALSE),0.25)</f>
        <v>0</v>
      </c>
      <c r="T403" s="158"/>
      <c r="U403" s="21">
        <v>0</v>
      </c>
      <c r="V403" s="21">
        <v>1</v>
      </c>
      <c r="W403" s="21">
        <v>0</v>
      </c>
      <c r="X403" s="156"/>
      <c r="Y403" s="157">
        <f>CEILING((IF(P403=AS_DEV_EFFORT, DEV_EFFORT*Q403%,
                           IF(P403=AS_DURATION_EFFORT, (MANUAL_DURATION*5)*Q403%,
                                    (IF(Q403&lt;=1,X403,
                                          IF(SUM(U403:W403)=0,(Q403*X403),
                                               (((Q403*U403)*(X403+(X403*EXTRA_FOR_H)))+
                                               ((Q403*V403)*X403)+
                                               ((Q403*W403)*(X403-(X403*LESS_FOR_L)))
                                    )*IF(R403=0,1,R403))))))+Z403), 0.25)</f>
        <v>0</v>
      </c>
      <c r="Z403" s="22"/>
      <c r="AA403" s="157">
        <f>Y403+Y403*VLOOKUP(I403,EXTRAS_ARRAY,2,FALSE)</f>
        <v>0</v>
      </c>
      <c r="AB403" s="20" t="s">
        <v>440</v>
      </c>
      <c r="AC403" s="34"/>
      <c r="AD403" s="23" t="str">
        <f>IF(J403&lt;&gt;"Yes",
IF(S403&lt;=0,"Error: Effort value is not defined or is invalid.",
IF(AND(SUM(U403:W403)&gt;0,SUM(U403:W403)&lt;&gt;1),"Error: Complexity % distribution should sum to 100%.",
IF(AND(P403=AS_DEV_EFFORT,X403&lt;&gt;0),"Error: PDs should not be defined when defining as dev effort %.",
IF(AND(P403=AS_DURATION_EFFORT,X403&lt;&gt;0),"Error: PDs should not be defined when defining as duration effort %.","")))))</f>
        <v>Error: Effort value is not defined or is invalid.</v>
      </c>
    </row>
    <row r="404" spans="1:30" ht="58" outlineLevel="2" x14ac:dyDescent="0.35">
      <c r="A404" s="86" t="s">
        <v>0</v>
      </c>
      <c r="B404" s="18"/>
      <c r="C404" s="78"/>
      <c r="D404" s="78"/>
      <c r="E404" s="78"/>
      <c r="F404" s="79"/>
      <c r="G404" s="19" t="s">
        <v>23</v>
      </c>
      <c r="H404" s="19" t="s">
        <v>23</v>
      </c>
      <c r="I404" s="20" t="s">
        <v>23</v>
      </c>
      <c r="J404" s="19" t="s">
        <v>23</v>
      </c>
      <c r="K404" s="35"/>
      <c r="L404" s="19"/>
      <c r="M404" s="263">
        <f ca="1">IFERROR(OFFSET(M404,-1,,1,1)+0.1,OFFSET(M404,-1,-1,1,1)&amp;".1")</f>
        <v>35.800000000000011</v>
      </c>
      <c r="N404" s="20" t="s">
        <v>438</v>
      </c>
      <c r="O404" s="20"/>
      <c r="P404" s="20"/>
      <c r="Q404" s="134"/>
      <c r="R404" s="127"/>
      <c r="S404" s="157">
        <f>CEILING((IF(J404="Yes", 0, IF(H404="-",AA404,AA404+AA404*VLOOKUP(H404,BUFFERS_BY_TYPE,2,FALSE)))) +
   (IF(J404="Yes", 0, IF(H404="-",AA404,AA404+AA404*VLOOKUP(H404,BUFFERS_BY_TYPE,2,FALSE))))*VLOOKUP($S$5, SALES_CALL_SCALE_ARRAY, 2,FALSE),0.25)</f>
        <v>0</v>
      </c>
      <c r="T404" s="158"/>
      <c r="U404" s="21">
        <v>0</v>
      </c>
      <c r="V404" s="21">
        <v>1</v>
      </c>
      <c r="W404" s="21">
        <v>0</v>
      </c>
      <c r="X404" s="156"/>
      <c r="Y404" s="157">
        <f>CEILING((IF(P404=AS_DEV_EFFORT, DEV_EFFORT*Q404%,
                           IF(P404=AS_DURATION_EFFORT, (MANUAL_DURATION*5)*Q404%,
                                    (IF(Q404&lt;=1,X404,
                                          IF(SUM(U404:W404)=0,(Q404*X404),
                                               (((Q404*U404)*(X404+(X404*EXTRA_FOR_H)))+
                                               ((Q404*V404)*X404)+
                                               ((Q404*W404)*(X404-(X404*LESS_FOR_L)))
                                    )*IF(R404=0,1,R404))))))+Z404), 0.25)</f>
        <v>0</v>
      </c>
      <c r="Z404" s="22"/>
      <c r="AA404" s="157">
        <f>Y404+Y404*VLOOKUP(I404,EXTRAS_ARRAY,2,FALSE)</f>
        <v>0</v>
      </c>
      <c r="AB404" s="20" t="s">
        <v>440</v>
      </c>
      <c r="AC404" s="34"/>
      <c r="AD404" s="23" t="str">
        <f>IF(J404&lt;&gt;"Yes",
IF(S404&lt;=0,"Error: Effort value is not defined or is invalid.",
IF(AND(SUM(U404:W404)&gt;0,SUM(U404:W404)&lt;&gt;1),"Error: Complexity % distribution should sum to 100%.",
IF(AND(P404=AS_DEV_EFFORT,X404&lt;&gt;0),"Error: PDs should not be defined when defining as dev effort %.",
IF(AND(P404=AS_DURATION_EFFORT,X404&lt;&gt;0),"Error: PDs should not be defined when defining as duration effort %.","")))))</f>
        <v>Error: Effort value is not defined or is invalid.</v>
      </c>
    </row>
    <row r="405" spans="1:30" ht="58" outlineLevel="2" x14ac:dyDescent="0.35">
      <c r="A405" s="86" t="s">
        <v>0</v>
      </c>
      <c r="B405" s="18"/>
      <c r="C405" s="78"/>
      <c r="D405" s="78"/>
      <c r="E405" s="78"/>
      <c r="F405" s="79"/>
      <c r="G405" s="19" t="s">
        <v>23</v>
      </c>
      <c r="H405" s="19" t="s">
        <v>23</v>
      </c>
      <c r="I405" s="20" t="s">
        <v>23</v>
      </c>
      <c r="J405" s="19" t="s">
        <v>23</v>
      </c>
      <c r="K405" s="35"/>
      <c r="L405" s="19"/>
      <c r="M405" s="263">
        <f ca="1">IFERROR(OFFSET(M405,-1,,1,1)+0.1,OFFSET(M405,-1,-1,1,1)&amp;".1")</f>
        <v>35.900000000000013</v>
      </c>
      <c r="N405" s="20" t="s">
        <v>438</v>
      </c>
      <c r="O405" s="20"/>
      <c r="P405" s="20"/>
      <c r="Q405" s="134"/>
      <c r="R405" s="127"/>
      <c r="S405" s="157">
        <f>CEILING((IF(J405="Yes", 0, IF(H405="-",AA405,AA405+AA405*VLOOKUP(H405,BUFFERS_BY_TYPE,2,FALSE)))) +
   (IF(J405="Yes", 0, IF(H405="-",AA405,AA405+AA405*VLOOKUP(H405,BUFFERS_BY_TYPE,2,FALSE))))*VLOOKUP($S$5, SALES_CALL_SCALE_ARRAY, 2,FALSE),0.25)</f>
        <v>0</v>
      </c>
      <c r="T405" s="158"/>
      <c r="U405" s="21">
        <v>0</v>
      </c>
      <c r="V405" s="21">
        <v>1</v>
      </c>
      <c r="W405" s="21">
        <v>0</v>
      </c>
      <c r="X405" s="156"/>
      <c r="Y405" s="157">
        <f>CEILING((IF(P405=AS_DEV_EFFORT, DEV_EFFORT*Q405%,
                           IF(P405=AS_DURATION_EFFORT, (MANUAL_DURATION*5)*Q405%,
                                    (IF(Q405&lt;=1,X405,
                                          IF(SUM(U405:W405)=0,(Q405*X405),
                                               (((Q405*U405)*(X405+(X405*EXTRA_FOR_H)))+
                                               ((Q405*V405)*X405)+
                                               ((Q405*W405)*(X405-(X405*LESS_FOR_L)))
                                    )*IF(R405=0,1,R405))))))+Z405), 0.25)</f>
        <v>0</v>
      </c>
      <c r="Z405" s="22"/>
      <c r="AA405" s="157">
        <f>Y405+Y405*VLOOKUP(I405,EXTRAS_ARRAY,2,FALSE)</f>
        <v>0</v>
      </c>
      <c r="AB405" s="20" t="s">
        <v>440</v>
      </c>
      <c r="AC405" s="34"/>
      <c r="AD405" s="23" t="str">
        <f>IF(J405&lt;&gt;"Yes",
IF(S405&lt;=0,"Error: Effort value is not defined or is invalid.",
IF(AND(SUM(U405:W405)&gt;0,SUM(U405:W405)&lt;&gt;1),"Error: Complexity % distribution should sum to 100%.",
IF(AND(P405=AS_DEV_EFFORT,X405&lt;&gt;0),"Error: PDs should not be defined when defining as dev effort %.",
IF(AND(P405=AS_DURATION_EFFORT,X405&lt;&gt;0),"Error: PDs should not be defined when defining as duration effort %.","")))))</f>
        <v>Error: Effort value is not defined or is invalid.</v>
      </c>
    </row>
    <row r="406" spans="1:30" s="9" customFormat="1" ht="7.5" customHeight="1" outlineLevel="2" x14ac:dyDescent="0.35">
      <c r="A406" s="86" t="s">
        <v>132</v>
      </c>
      <c r="B406" s="15"/>
      <c r="C406" s="72"/>
      <c r="D406" s="72"/>
      <c r="E406" s="72"/>
      <c r="F406" s="72"/>
      <c r="M406" s="252"/>
      <c r="T406" s="15"/>
      <c r="X406" s="15"/>
      <c r="AB406" s="10"/>
      <c r="AC406" s="10"/>
      <c r="AD406" s="10"/>
    </row>
    <row r="407" spans="1:30" s="14" customFormat="1" ht="15.5" outlineLevel="1" collapsed="1" x14ac:dyDescent="0.35">
      <c r="A407" s="86" t="s">
        <v>100</v>
      </c>
      <c r="B407" s="18"/>
      <c r="C407" s="77"/>
      <c r="D407" s="77"/>
      <c r="E407" s="77"/>
      <c r="F407" s="76"/>
      <c r="G407" s="29"/>
      <c r="H407" s="29"/>
      <c r="I407" s="29"/>
      <c r="J407" s="29"/>
      <c r="K407" s="29"/>
      <c r="L407" s="17">
        <f ca="1">LOOKUP(1000,INDIRECT("L1:"&amp;CELL("address",INDIRECT("R[-1]C",FALSE))))+1</f>
        <v>36</v>
      </c>
      <c r="M407" s="310" t="s">
        <v>1147</v>
      </c>
      <c r="N407" s="310"/>
      <c r="O407" s="5"/>
      <c r="P407" s="30"/>
      <c r="Q407" s="30"/>
      <c r="R407" s="30"/>
      <c r="S407" s="30"/>
      <c r="T407" s="155">
        <f>IF($S$6="Exclude", SUMIFS(S408:S414, J408:J414, "&lt;&gt;Yes", G408:G414, "&lt;&gt;Yes"), SUMIFS(S408:S414, J408:J414, "&lt;&gt;Yes"))</f>
        <v>15</v>
      </c>
      <c r="U407" s="30"/>
      <c r="V407" s="30"/>
      <c r="W407" s="30"/>
      <c r="X407" s="31"/>
      <c r="Y407" s="32"/>
      <c r="Z407" s="32"/>
      <c r="AA407" s="32"/>
      <c r="AB407" s="219" t="s">
        <v>978</v>
      </c>
      <c r="AC407" s="33"/>
      <c r="AD407" s="23" t="str">
        <f>IF(M407="", "Error: Task name cannot be empty.", "")</f>
        <v/>
      </c>
    </row>
    <row r="408" spans="1:30" s="12" customFormat="1" ht="1.5" hidden="1" customHeight="1" outlineLevel="2" x14ac:dyDescent="0.35">
      <c r="A408" s="86" t="s">
        <v>101</v>
      </c>
      <c r="B408" s="18"/>
      <c r="C408" s="77"/>
      <c r="D408" s="77"/>
      <c r="E408" s="77"/>
      <c r="F408" s="76"/>
      <c r="G408" s="29"/>
      <c r="H408" s="29"/>
      <c r="I408" s="29"/>
      <c r="J408" s="29"/>
      <c r="K408" s="29"/>
      <c r="L408" s="163">
        <f ca="1">L407</f>
        <v>36</v>
      </c>
      <c r="M408" s="164" t="s">
        <v>105</v>
      </c>
      <c r="N408" s="161"/>
      <c r="O408" s="162"/>
      <c r="P408" s="30"/>
      <c r="Q408" s="30"/>
      <c r="R408" s="30"/>
      <c r="S408" s="30"/>
      <c r="T408" s="155"/>
      <c r="U408" s="30"/>
      <c r="V408" s="30"/>
      <c r="W408" s="30"/>
      <c r="X408" s="31"/>
      <c r="Y408" s="32"/>
      <c r="Z408" s="32"/>
      <c r="AA408" s="32"/>
      <c r="AB408" s="33"/>
      <c r="AC408" s="33"/>
      <c r="AD408" s="23"/>
    </row>
    <row r="409" spans="1:30" ht="15.5" hidden="1" outlineLevel="2" x14ac:dyDescent="0.35">
      <c r="A409" s="86" t="s">
        <v>0</v>
      </c>
      <c r="B409" s="18"/>
      <c r="C409" s="78"/>
      <c r="D409" s="78"/>
      <c r="E409" s="78"/>
      <c r="F409" s="79"/>
      <c r="G409" s="19" t="s">
        <v>23</v>
      </c>
      <c r="H409" s="19" t="s">
        <v>23</v>
      </c>
      <c r="I409" s="20" t="s">
        <v>23</v>
      </c>
      <c r="J409" s="19" t="s">
        <v>23</v>
      </c>
      <c r="K409" s="35"/>
      <c r="L409" s="19"/>
      <c r="M409" s="263" t="str">
        <f ca="1">IFERROR(OFFSET(M409,-1,,1,1)+0.1,OFFSET(M409,-1,-1,1,1)&amp;".1")</f>
        <v>36.1</v>
      </c>
      <c r="N409" s="20" t="s">
        <v>917</v>
      </c>
      <c r="O409" s="20"/>
      <c r="P409" s="20"/>
      <c r="Q409" s="134"/>
      <c r="R409" s="127"/>
      <c r="S409" s="157">
        <f>CEILING((IF(J409="Yes", 0, IF(H409="-",AA409,AA409+AA409*VLOOKUP(H409,BUFFERS_BY_TYPE,2,FALSE)))) +
   (IF(J409="Yes", 0, IF(H409="-",AA409,AA409+AA409*VLOOKUP(H409,BUFFERS_BY_TYPE,2,FALSE))))*VLOOKUP($S$5, SALES_CALL_SCALE_ARRAY, 2,FALSE),0.25)</f>
        <v>3</v>
      </c>
      <c r="T409" s="158"/>
      <c r="U409" s="21">
        <v>0</v>
      </c>
      <c r="V409" s="21">
        <v>1</v>
      </c>
      <c r="W409" s="21">
        <v>0</v>
      </c>
      <c r="X409" s="156">
        <v>3</v>
      </c>
      <c r="Y409" s="157">
        <f>CEILING((IF(P409=AS_DEV_EFFORT, DEV_EFFORT*Q409%,
                           IF(P409=AS_DURATION_EFFORT, (MANUAL_DURATION*5)*Q409%,
                                    (IF(Q409&lt;=1,X409,
                                          IF(SUM(U409:W409)=0,(Q409*X409),
                                               (((Q409*U409)*(X409+(X409*EXTRA_FOR_H)))+
                                               ((Q409*V409)*X409)+
                                               ((Q409*W409)*(X409-(X409*LESS_FOR_L)))
                                    )*IF(R409=0,1,R409))))))+Z409), 0.25)</f>
        <v>3</v>
      </c>
      <c r="Z409" s="22"/>
      <c r="AA409" s="157">
        <f>Y409+Y409*VLOOKUP(I409,EXTRAS_ARRAY,2,FALSE)</f>
        <v>3</v>
      </c>
      <c r="AB409" s="20"/>
      <c r="AC409" s="34"/>
      <c r="AD409" s="23" t="str">
        <f>IF(J409&lt;&gt;"Yes",
IF(S409&lt;=0,"Error: Effort value is not defined or is invalid.",
IF(AND(SUM(U409:W409)&gt;0,SUM(U409:W409)&lt;&gt;1),"Error: Complexity % distribution should sum to 100%.",
IF(AND(P409=AS_DEV_EFFORT,X409&lt;&gt;0),"Error: PDs should not be defined when defining as dev effort %.",
IF(AND(P409=AS_DURATION_EFFORT,X409&lt;&gt;0),"Error: PDs should not be defined when defining as duration effort %.","")))))</f>
        <v/>
      </c>
    </row>
    <row r="410" spans="1:30" ht="15.5" hidden="1" outlineLevel="2" x14ac:dyDescent="0.35">
      <c r="A410" s="86" t="s">
        <v>0</v>
      </c>
      <c r="B410" s="18"/>
      <c r="C410" s="78"/>
      <c r="D410" s="78"/>
      <c r="E410" s="78"/>
      <c r="F410" s="79"/>
      <c r="G410" s="19" t="s">
        <v>23</v>
      </c>
      <c r="H410" s="19" t="s">
        <v>23</v>
      </c>
      <c r="I410" s="20" t="s">
        <v>23</v>
      </c>
      <c r="J410" s="19" t="s">
        <v>23</v>
      </c>
      <c r="K410" s="35"/>
      <c r="L410" s="19"/>
      <c r="M410" s="263">
        <f ca="1">IFERROR(OFFSET(M410,-1,,1,1)+0.1,OFFSET(M410,-1,-1,1,1)&amp;".1")</f>
        <v>36.200000000000003</v>
      </c>
      <c r="N410" s="20" t="s">
        <v>918</v>
      </c>
      <c r="O410" s="20"/>
      <c r="P410" s="20"/>
      <c r="Q410" s="134"/>
      <c r="R410" s="127"/>
      <c r="S410" s="157">
        <f>CEILING((IF(J410="Yes", 0, IF(H410="-",AA410,AA410+AA410*VLOOKUP(H410,BUFFERS_BY_TYPE,2,FALSE)))) +
   (IF(J410="Yes", 0, IF(H410="-",AA410,AA410+AA410*VLOOKUP(H410,BUFFERS_BY_TYPE,2,FALSE))))*VLOOKUP($S$5, SALES_CALL_SCALE_ARRAY, 2,FALSE),0.25)</f>
        <v>3</v>
      </c>
      <c r="T410" s="158"/>
      <c r="U410" s="21">
        <v>0</v>
      </c>
      <c r="V410" s="21">
        <v>1</v>
      </c>
      <c r="W410" s="21">
        <v>0</v>
      </c>
      <c r="X410" s="156">
        <v>3</v>
      </c>
      <c r="Y410" s="157">
        <f>CEILING((IF(P410=AS_DEV_EFFORT, DEV_EFFORT*Q410%,
                           IF(P410=AS_DURATION_EFFORT, (MANUAL_DURATION*5)*Q410%,
                                    (IF(Q410&lt;=1,X410,
                                          IF(SUM(U410:W410)=0,(Q410*X410),
                                               (((Q410*U410)*(X410+(X410*EXTRA_FOR_H)))+
                                               ((Q410*V410)*X410)+
                                               ((Q410*W410)*(X410-(X410*LESS_FOR_L)))
                                    )*IF(R410=0,1,R410))))))+Z410), 0.25)</f>
        <v>3</v>
      </c>
      <c r="Z410" s="22"/>
      <c r="AA410" s="157">
        <f>Y410+Y410*VLOOKUP(I410,EXTRAS_ARRAY,2,FALSE)</f>
        <v>3</v>
      </c>
      <c r="AB410" s="20"/>
      <c r="AC410" s="34"/>
      <c r="AD410" s="23" t="str">
        <f>IF(J410&lt;&gt;"Yes",
IF(S410&lt;=0,"Error: Effort value is not defined or is invalid.",
IF(AND(SUM(U410:W410)&gt;0,SUM(U410:W410)&lt;&gt;1),"Error: Complexity % distribution should sum to 100%.",
IF(AND(P410=AS_DEV_EFFORT,X410&lt;&gt;0),"Error: PDs should not be defined when defining as dev effort %.",
IF(AND(P410=AS_DURATION_EFFORT,X410&lt;&gt;0),"Error: PDs should not be defined when defining as duration effort %.","")))))</f>
        <v/>
      </c>
    </row>
    <row r="411" spans="1:30" ht="15.5" hidden="1" outlineLevel="2" x14ac:dyDescent="0.35">
      <c r="A411" s="86" t="s">
        <v>0</v>
      </c>
      <c r="B411" s="18"/>
      <c r="C411" s="78"/>
      <c r="D411" s="78"/>
      <c r="E411" s="78"/>
      <c r="F411" s="79"/>
      <c r="G411" s="19" t="s">
        <v>23</v>
      </c>
      <c r="H411" s="19" t="s">
        <v>23</v>
      </c>
      <c r="I411" s="20" t="s">
        <v>23</v>
      </c>
      <c r="J411" s="19" t="s">
        <v>23</v>
      </c>
      <c r="K411" s="35"/>
      <c r="L411" s="19"/>
      <c r="M411" s="263">
        <f ca="1">IFERROR(OFFSET(M411,-1,,1,1)+0.1,OFFSET(M411,-1,-1,1,1)&amp;".1")</f>
        <v>36.300000000000004</v>
      </c>
      <c r="N411" s="20" t="s">
        <v>919</v>
      </c>
      <c r="O411" s="20"/>
      <c r="P411" s="20"/>
      <c r="Q411" s="134"/>
      <c r="R411" s="127"/>
      <c r="S411" s="157">
        <f>CEILING((IF(J411="Yes", 0, IF(H411="-",AA411,AA411+AA411*VLOOKUP(H411,BUFFERS_BY_TYPE,2,FALSE)))) +
   (IF(J411="Yes", 0, IF(H411="-",AA411,AA411+AA411*VLOOKUP(H411,BUFFERS_BY_TYPE,2,FALSE))))*VLOOKUP($S$5, SALES_CALL_SCALE_ARRAY, 2,FALSE),0.25)</f>
        <v>3</v>
      </c>
      <c r="T411" s="158"/>
      <c r="U411" s="21">
        <v>0</v>
      </c>
      <c r="V411" s="21">
        <v>1</v>
      </c>
      <c r="W411" s="21">
        <v>0</v>
      </c>
      <c r="X411" s="156">
        <v>3</v>
      </c>
      <c r="Y411" s="157">
        <f>CEILING((IF(P411=AS_DEV_EFFORT, DEV_EFFORT*Q411%,
                           IF(P411=AS_DURATION_EFFORT, (MANUAL_DURATION*5)*Q411%,
                                    (IF(Q411&lt;=1,X411,
                                          IF(SUM(U411:W411)=0,(Q411*X411),
                                               (((Q411*U411)*(X411+(X411*EXTRA_FOR_H)))+
                                               ((Q411*V411)*X411)+
                                               ((Q411*W411)*(X411-(X411*LESS_FOR_L)))
                                    )*IF(R411=0,1,R411))))))+Z411), 0.25)</f>
        <v>3</v>
      </c>
      <c r="Z411" s="22"/>
      <c r="AA411" s="157">
        <f>Y411+Y411*VLOOKUP(I411,EXTRAS_ARRAY,2,FALSE)</f>
        <v>3</v>
      </c>
      <c r="AB411" s="20"/>
      <c r="AC411" s="34"/>
      <c r="AD411" s="23" t="str">
        <f>IF(J411&lt;&gt;"Yes",
IF(S411&lt;=0,"Error: Effort value is not defined or is invalid.",
IF(AND(SUM(U411:W411)&gt;0,SUM(U411:W411)&lt;&gt;1),"Error: Complexity % distribution should sum to 100%.",
IF(AND(P411=AS_DEV_EFFORT,X411&lt;&gt;0),"Error: PDs should not be defined when defining as dev effort %.",
IF(AND(P411=AS_DURATION_EFFORT,X411&lt;&gt;0),"Error: PDs should not be defined when defining as duration effort %.","")))))</f>
        <v/>
      </c>
    </row>
    <row r="412" spans="1:30" ht="15.5" hidden="1" outlineLevel="2" x14ac:dyDescent="0.35">
      <c r="A412" s="86" t="s">
        <v>0</v>
      </c>
      <c r="B412" s="18"/>
      <c r="C412" s="78"/>
      <c r="D412" s="78"/>
      <c r="E412" s="78"/>
      <c r="F412" s="79"/>
      <c r="G412" s="19" t="s">
        <v>23</v>
      </c>
      <c r="H412" s="19" t="s">
        <v>23</v>
      </c>
      <c r="I412" s="20" t="s">
        <v>23</v>
      </c>
      <c r="J412" s="19" t="s">
        <v>23</v>
      </c>
      <c r="K412" s="35"/>
      <c r="L412" s="19"/>
      <c r="M412" s="263">
        <f ca="1">IFERROR(OFFSET(M412,-1,,1,1)+0.1,OFFSET(M412,-1,-1,1,1)&amp;".1")</f>
        <v>36.400000000000006</v>
      </c>
      <c r="N412" s="20" t="s">
        <v>920</v>
      </c>
      <c r="O412" s="20"/>
      <c r="P412" s="20"/>
      <c r="Q412" s="134"/>
      <c r="R412" s="127"/>
      <c r="S412" s="157">
        <f>CEILING((IF(J412="Yes", 0, IF(H412="-",AA412,AA412+AA412*VLOOKUP(H412,BUFFERS_BY_TYPE,2,FALSE)))) +
   (IF(J412="Yes", 0, IF(H412="-",AA412,AA412+AA412*VLOOKUP(H412,BUFFERS_BY_TYPE,2,FALSE))))*VLOOKUP($S$5, SALES_CALL_SCALE_ARRAY, 2,FALSE),0.25)</f>
        <v>3</v>
      </c>
      <c r="T412" s="158"/>
      <c r="U412" s="21">
        <v>0</v>
      </c>
      <c r="V412" s="21">
        <v>1</v>
      </c>
      <c r="W412" s="21">
        <v>0</v>
      </c>
      <c r="X412" s="156">
        <v>3</v>
      </c>
      <c r="Y412" s="157">
        <f>CEILING((IF(P412=AS_DEV_EFFORT, DEV_EFFORT*Q412%,
                           IF(P412=AS_DURATION_EFFORT, (MANUAL_DURATION*5)*Q412%,
                                    (IF(Q412&lt;=1,X412,
                                          IF(SUM(U412:W412)=0,(Q412*X412),
                                               (((Q412*U412)*(X412+(X412*EXTRA_FOR_H)))+
                                               ((Q412*V412)*X412)+
                                               ((Q412*W412)*(X412-(X412*LESS_FOR_L)))
                                    )*IF(R412=0,1,R412))))))+Z412), 0.25)</f>
        <v>3</v>
      </c>
      <c r="Z412" s="22"/>
      <c r="AA412" s="157">
        <f>Y412+Y412*VLOOKUP(I412,EXTRAS_ARRAY,2,FALSE)</f>
        <v>3</v>
      </c>
      <c r="AB412" s="20"/>
      <c r="AC412" s="34"/>
      <c r="AD412" s="23" t="str">
        <f>IF(J412&lt;&gt;"Yes",
IF(S412&lt;=0,"Error: Effort value is not defined or is invalid.",
IF(AND(SUM(U412:W412)&gt;0,SUM(U412:W412)&lt;&gt;1),"Error: Complexity % distribution should sum to 100%.",
IF(AND(P412=AS_DEV_EFFORT,X412&lt;&gt;0),"Error: PDs should not be defined when defining as dev effort %.",
IF(AND(P412=AS_DURATION_EFFORT,X412&lt;&gt;0),"Error: PDs should not be defined when defining as duration effort %.","")))))</f>
        <v/>
      </c>
    </row>
    <row r="413" spans="1:30" ht="15.5" hidden="1" outlineLevel="2" x14ac:dyDescent="0.35">
      <c r="A413" s="86" t="s">
        <v>0</v>
      </c>
      <c r="B413" s="18"/>
      <c r="C413" s="78"/>
      <c r="D413" s="78"/>
      <c r="E413" s="78"/>
      <c r="F413" s="79"/>
      <c r="G413" s="19" t="s">
        <v>23</v>
      </c>
      <c r="H413" s="19" t="s">
        <v>23</v>
      </c>
      <c r="I413" s="20" t="s">
        <v>23</v>
      </c>
      <c r="J413" s="19" t="s">
        <v>23</v>
      </c>
      <c r="K413" s="35"/>
      <c r="L413" s="19"/>
      <c r="M413" s="263">
        <f ca="1">IFERROR(OFFSET(M413,-1,,1,1)+0.1,OFFSET(M413,-1,-1,1,1)&amp;".1")</f>
        <v>36.500000000000007</v>
      </c>
      <c r="N413" s="20" t="s">
        <v>921</v>
      </c>
      <c r="O413" s="20"/>
      <c r="P413" s="20"/>
      <c r="Q413" s="134"/>
      <c r="R413" s="127"/>
      <c r="S413" s="157">
        <f>CEILING((IF(J413="Yes", 0, IF(H413="-",AA413,AA413+AA413*VLOOKUP(H413,BUFFERS_BY_TYPE,2,FALSE)))) +
   (IF(J413="Yes", 0, IF(H413="-",AA413,AA413+AA413*VLOOKUP(H413,BUFFERS_BY_TYPE,2,FALSE))))*VLOOKUP($S$5, SALES_CALL_SCALE_ARRAY, 2,FALSE),0.25)</f>
        <v>3</v>
      </c>
      <c r="T413" s="158"/>
      <c r="U413" s="21">
        <v>0</v>
      </c>
      <c r="V413" s="21">
        <v>1</v>
      </c>
      <c r="W413" s="21">
        <v>0</v>
      </c>
      <c r="X413" s="156">
        <v>3</v>
      </c>
      <c r="Y413" s="157">
        <f>CEILING((IF(P413=AS_DEV_EFFORT, DEV_EFFORT*Q413%,
                           IF(P413=AS_DURATION_EFFORT, (MANUAL_DURATION*5)*Q413%,
                                    (IF(Q413&lt;=1,X413,
                                          IF(SUM(U413:W413)=0,(Q413*X413),
                                               (((Q413*U413)*(X413+(X413*EXTRA_FOR_H)))+
                                               ((Q413*V413)*X413)+
                                               ((Q413*W413)*(X413-(X413*LESS_FOR_L)))
                                    )*IF(R413=0,1,R413))))))+Z413), 0.25)</f>
        <v>3</v>
      </c>
      <c r="Z413" s="22"/>
      <c r="AA413" s="157">
        <f>Y413+Y413*VLOOKUP(I413,EXTRAS_ARRAY,2,FALSE)</f>
        <v>3</v>
      </c>
      <c r="AB413" s="20"/>
      <c r="AC413" s="34"/>
      <c r="AD413" s="23" t="str">
        <f>IF(J413&lt;&gt;"Yes",
IF(S413&lt;=0,"Error: Effort value is not defined or is invalid.",
IF(AND(SUM(U413:W413)&gt;0,SUM(U413:W413)&lt;&gt;1),"Error: Complexity % distribution should sum to 100%.",
IF(AND(P413=AS_DEV_EFFORT,X413&lt;&gt;0),"Error: PDs should not be defined when defining as dev effort %.",
IF(AND(P413=AS_DURATION_EFFORT,X413&lt;&gt;0),"Error: PDs should not be defined when defining as duration effort %.","")))))</f>
        <v/>
      </c>
    </row>
    <row r="414" spans="1:30" s="9" customFormat="1" ht="7.5" hidden="1" customHeight="1" outlineLevel="2" x14ac:dyDescent="0.35">
      <c r="A414" s="86" t="s">
        <v>132</v>
      </c>
      <c r="B414" s="15"/>
      <c r="C414" s="72"/>
      <c r="D414" s="72"/>
      <c r="E414" s="72"/>
      <c r="F414" s="72"/>
      <c r="M414" s="252"/>
      <c r="T414" s="15"/>
      <c r="X414" s="15"/>
      <c r="AB414" s="10"/>
      <c r="AC414" s="10"/>
      <c r="AD414" s="10"/>
    </row>
    <row r="415" spans="1:30" s="14" customFormat="1" ht="15.5" outlineLevel="1" collapsed="1" x14ac:dyDescent="0.35">
      <c r="A415" s="86" t="s">
        <v>100</v>
      </c>
      <c r="B415" s="18"/>
      <c r="C415" s="77"/>
      <c r="D415" s="77"/>
      <c r="E415" s="77"/>
      <c r="F415" s="76"/>
      <c r="G415" s="29"/>
      <c r="H415" s="29"/>
      <c r="I415" s="29"/>
      <c r="J415" s="29"/>
      <c r="K415" s="29"/>
      <c r="L415" s="17">
        <f ca="1">LOOKUP(1000,INDIRECT("L1:"&amp;CELL("address",INDIRECT("R[-1]C",FALSE))))+1</f>
        <v>37</v>
      </c>
      <c r="M415" s="310" t="s">
        <v>1148</v>
      </c>
      <c r="N415" s="310"/>
      <c r="O415" s="5"/>
      <c r="P415" s="30"/>
      <c r="Q415" s="30"/>
      <c r="R415" s="30"/>
      <c r="S415" s="30"/>
      <c r="T415" s="155">
        <f>IF($S$6="Exclude", SUMIFS(S416:S424, J416:J424, "&lt;&gt;Yes", G416:G424, "&lt;&gt;Yes"), SUMIFS(S416:S424, J416:J424, "&lt;&gt;Yes"))</f>
        <v>12</v>
      </c>
      <c r="U415" s="30"/>
      <c r="V415" s="30"/>
      <c r="W415" s="30"/>
      <c r="X415" s="31"/>
      <c r="Y415" s="32"/>
      <c r="Z415" s="32"/>
      <c r="AA415" s="32"/>
      <c r="AB415" s="219" t="s">
        <v>979</v>
      </c>
      <c r="AC415" s="33"/>
      <c r="AD415" s="23" t="str">
        <f>IF(M415="", "Error: Task name cannot be empty.", "")</f>
        <v/>
      </c>
    </row>
    <row r="416" spans="1:30" s="12" customFormat="1" ht="1.5" hidden="1" customHeight="1" outlineLevel="2" x14ac:dyDescent="0.35">
      <c r="A416" s="86" t="s">
        <v>101</v>
      </c>
      <c r="B416" s="18"/>
      <c r="C416" s="77"/>
      <c r="D416" s="77"/>
      <c r="E416" s="77"/>
      <c r="F416" s="76"/>
      <c r="G416" s="29"/>
      <c r="H416" s="29"/>
      <c r="I416" s="29"/>
      <c r="J416" s="29"/>
      <c r="K416" s="29"/>
      <c r="L416" s="163">
        <f ca="1">L415</f>
        <v>37</v>
      </c>
      <c r="M416" s="164" t="s">
        <v>105</v>
      </c>
      <c r="N416" s="161"/>
      <c r="O416" s="162"/>
      <c r="P416" s="30"/>
      <c r="Q416" s="30"/>
      <c r="R416" s="30"/>
      <c r="S416" s="30"/>
      <c r="T416" s="155"/>
      <c r="U416" s="30"/>
      <c r="V416" s="30"/>
      <c r="W416" s="30"/>
      <c r="X416" s="31"/>
      <c r="Y416" s="32"/>
      <c r="Z416" s="32"/>
      <c r="AA416" s="32"/>
      <c r="AB416" s="33"/>
      <c r="AC416" s="33"/>
      <c r="AD416" s="23"/>
    </row>
    <row r="417" spans="1:30" ht="15.5" hidden="1" outlineLevel="2" x14ac:dyDescent="0.35">
      <c r="A417" s="86" t="s">
        <v>0</v>
      </c>
      <c r="B417" s="18"/>
      <c r="C417" s="78"/>
      <c r="D417" s="78"/>
      <c r="E417" s="78"/>
      <c r="F417" s="79"/>
      <c r="G417" s="19" t="s">
        <v>23</v>
      </c>
      <c r="H417" s="19" t="s">
        <v>23</v>
      </c>
      <c r="I417" s="20" t="s">
        <v>23</v>
      </c>
      <c r="J417" s="19" t="s">
        <v>23</v>
      </c>
      <c r="K417" s="35"/>
      <c r="L417" s="19"/>
      <c r="M417" s="263" t="str">
        <f t="shared" ref="M417:M423" ca="1" si="65">IFERROR(OFFSET(M417,-1,,1,1)+0.1,OFFSET(M417,-1,-1,1,1)&amp;".1")</f>
        <v>37.1</v>
      </c>
      <c r="N417" s="20" t="s">
        <v>922</v>
      </c>
      <c r="O417" s="20"/>
      <c r="P417" s="20"/>
      <c r="Q417" s="134"/>
      <c r="R417" s="127"/>
      <c r="S417" s="157">
        <f t="shared" ref="S417:S423" si="66">CEILING((IF(J417="Yes", 0, IF(H417="-",AA417,AA417+AA417*VLOOKUP(H417,BUFFERS_BY_TYPE,2,FALSE)))) +
   (IF(J417="Yes", 0, IF(H417="-",AA417,AA417+AA417*VLOOKUP(H417,BUFFERS_BY_TYPE,2,FALSE))))*VLOOKUP($S$5, SALES_CALL_SCALE_ARRAY, 2,FALSE),0.25)</f>
        <v>1.5</v>
      </c>
      <c r="T417" s="158"/>
      <c r="U417" s="21">
        <v>0</v>
      </c>
      <c r="V417" s="21">
        <v>1</v>
      </c>
      <c r="W417" s="21">
        <v>0</v>
      </c>
      <c r="X417" s="156">
        <v>1.5</v>
      </c>
      <c r="Y417" s="157">
        <f t="shared" ref="Y417:Y423" si="67">CEILING((IF(P417=AS_DEV_EFFORT, DEV_EFFORT*Q417%,
                           IF(P417=AS_DURATION_EFFORT, (MANUAL_DURATION*5)*Q417%,
                                    (IF(Q417&lt;=1,X417,
                                          IF(SUM(U417:W417)=0,(Q417*X417),
                                               (((Q417*U417)*(X417+(X417*EXTRA_FOR_H)))+
                                               ((Q417*V417)*X417)+
                                               ((Q417*W417)*(X417-(X417*LESS_FOR_L)))
                                    )*IF(R417=0,1,R417))))))+Z417), 0.25)</f>
        <v>1.5</v>
      </c>
      <c r="Z417" s="22"/>
      <c r="AA417" s="157">
        <f t="shared" ref="AA417:AA423" si="68">Y417+Y417*VLOOKUP(I417,EXTRAS_ARRAY,2,FALSE)</f>
        <v>1.5</v>
      </c>
      <c r="AB417" s="20"/>
      <c r="AC417" s="34"/>
      <c r="AD417" s="23" t="str">
        <f t="shared" ref="AD417:AD423" si="69">IF(J417&lt;&gt;"Yes",
IF(S417&lt;=0,"Error: Effort value is not defined or is invalid.",
IF(AND(SUM(U417:W417)&gt;0,SUM(U417:W417)&lt;&gt;1),"Error: Complexity % distribution should sum to 100%.",
IF(AND(P417=AS_DEV_EFFORT,X417&lt;&gt;0),"Error: PDs should not be defined when defining as dev effort %.",
IF(AND(P417=AS_DURATION_EFFORT,X417&lt;&gt;0),"Error: PDs should not be defined when defining as duration effort %.","")))))</f>
        <v/>
      </c>
    </row>
    <row r="418" spans="1:30" ht="15.5" hidden="1" outlineLevel="2" x14ac:dyDescent="0.35">
      <c r="A418" s="86" t="s">
        <v>0</v>
      </c>
      <c r="B418" s="18"/>
      <c r="C418" s="78"/>
      <c r="D418" s="78"/>
      <c r="E418" s="78"/>
      <c r="F418" s="79"/>
      <c r="G418" s="19" t="s">
        <v>23</v>
      </c>
      <c r="H418" s="19" t="s">
        <v>23</v>
      </c>
      <c r="I418" s="20" t="s">
        <v>23</v>
      </c>
      <c r="J418" s="19" t="s">
        <v>23</v>
      </c>
      <c r="K418" s="35"/>
      <c r="L418" s="19"/>
      <c r="M418" s="263">
        <f t="shared" ca="1" si="65"/>
        <v>37.200000000000003</v>
      </c>
      <c r="N418" s="20" t="s">
        <v>923</v>
      </c>
      <c r="O418" s="20"/>
      <c r="P418" s="20"/>
      <c r="Q418" s="134"/>
      <c r="R418" s="127"/>
      <c r="S418" s="157">
        <f t="shared" si="66"/>
        <v>2</v>
      </c>
      <c r="T418" s="158"/>
      <c r="U418" s="21">
        <v>0</v>
      </c>
      <c r="V418" s="21">
        <v>1</v>
      </c>
      <c r="W418" s="21">
        <v>0</v>
      </c>
      <c r="X418" s="156">
        <v>2</v>
      </c>
      <c r="Y418" s="157">
        <f t="shared" si="67"/>
        <v>2</v>
      </c>
      <c r="Z418" s="22"/>
      <c r="AA418" s="157">
        <f t="shared" si="68"/>
        <v>2</v>
      </c>
      <c r="AB418" s="20"/>
      <c r="AC418" s="34"/>
      <c r="AD418" s="23" t="str">
        <f t="shared" si="69"/>
        <v/>
      </c>
    </row>
    <row r="419" spans="1:30" ht="15.5" hidden="1" outlineLevel="2" x14ac:dyDescent="0.35">
      <c r="A419" s="86" t="s">
        <v>0</v>
      </c>
      <c r="B419" s="18"/>
      <c r="C419" s="78"/>
      <c r="D419" s="78"/>
      <c r="E419" s="78"/>
      <c r="F419" s="79"/>
      <c r="G419" s="19" t="s">
        <v>23</v>
      </c>
      <c r="H419" s="19" t="s">
        <v>23</v>
      </c>
      <c r="I419" s="20" t="s">
        <v>23</v>
      </c>
      <c r="J419" s="19" t="s">
        <v>23</v>
      </c>
      <c r="K419" s="35"/>
      <c r="L419" s="19"/>
      <c r="M419" s="263">
        <f t="shared" ca="1" si="65"/>
        <v>37.300000000000004</v>
      </c>
      <c r="N419" s="20" t="s">
        <v>924</v>
      </c>
      <c r="O419" s="20"/>
      <c r="P419" s="20"/>
      <c r="Q419" s="134"/>
      <c r="R419" s="127"/>
      <c r="S419" s="157">
        <f t="shared" si="66"/>
        <v>1.5</v>
      </c>
      <c r="T419" s="158"/>
      <c r="U419" s="21">
        <v>0</v>
      </c>
      <c r="V419" s="21">
        <v>1</v>
      </c>
      <c r="W419" s="21">
        <v>0</v>
      </c>
      <c r="X419" s="156">
        <v>1.5</v>
      </c>
      <c r="Y419" s="157">
        <f t="shared" si="67"/>
        <v>1.5</v>
      </c>
      <c r="Z419" s="22"/>
      <c r="AA419" s="157">
        <f t="shared" si="68"/>
        <v>1.5</v>
      </c>
      <c r="AB419" s="20"/>
      <c r="AC419" s="34"/>
      <c r="AD419" s="23" t="str">
        <f t="shared" si="69"/>
        <v/>
      </c>
    </row>
    <row r="420" spans="1:30" ht="15.5" hidden="1" outlineLevel="2" x14ac:dyDescent="0.35">
      <c r="A420" s="86" t="s">
        <v>0</v>
      </c>
      <c r="B420" s="18"/>
      <c r="C420" s="78"/>
      <c r="D420" s="78"/>
      <c r="E420" s="78"/>
      <c r="F420" s="79"/>
      <c r="G420" s="19" t="s">
        <v>23</v>
      </c>
      <c r="H420" s="19" t="s">
        <v>23</v>
      </c>
      <c r="I420" s="20" t="s">
        <v>23</v>
      </c>
      <c r="J420" s="19" t="s">
        <v>23</v>
      </c>
      <c r="K420" s="35"/>
      <c r="L420" s="19"/>
      <c r="M420" s="263">
        <f t="shared" ca="1" si="65"/>
        <v>37.400000000000006</v>
      </c>
      <c r="N420" s="20" t="s">
        <v>925</v>
      </c>
      <c r="O420" s="20"/>
      <c r="P420" s="20"/>
      <c r="Q420" s="134"/>
      <c r="R420" s="127"/>
      <c r="S420" s="157">
        <f t="shared" si="66"/>
        <v>2</v>
      </c>
      <c r="T420" s="158"/>
      <c r="U420" s="21">
        <v>0</v>
      </c>
      <c r="V420" s="21">
        <v>1</v>
      </c>
      <c r="W420" s="21">
        <v>0</v>
      </c>
      <c r="X420" s="156">
        <v>2</v>
      </c>
      <c r="Y420" s="157">
        <f t="shared" si="67"/>
        <v>2</v>
      </c>
      <c r="Z420" s="22"/>
      <c r="AA420" s="157">
        <f t="shared" si="68"/>
        <v>2</v>
      </c>
      <c r="AB420" s="20"/>
      <c r="AC420" s="34"/>
      <c r="AD420" s="23" t="str">
        <f t="shared" si="69"/>
        <v/>
      </c>
    </row>
    <row r="421" spans="1:30" ht="15.5" hidden="1" outlineLevel="2" x14ac:dyDescent="0.35">
      <c r="A421" s="86" t="s">
        <v>0</v>
      </c>
      <c r="B421" s="18"/>
      <c r="C421" s="78"/>
      <c r="D421" s="78"/>
      <c r="E421" s="78"/>
      <c r="F421" s="79"/>
      <c r="G421" s="19" t="s">
        <v>23</v>
      </c>
      <c r="H421" s="19" t="s">
        <v>23</v>
      </c>
      <c r="I421" s="20" t="s">
        <v>23</v>
      </c>
      <c r="J421" s="19" t="s">
        <v>23</v>
      </c>
      <c r="K421" s="35"/>
      <c r="L421" s="19"/>
      <c r="M421" s="263">
        <f t="shared" ca="1" si="65"/>
        <v>37.500000000000007</v>
      </c>
      <c r="N421" s="20" t="s">
        <v>926</v>
      </c>
      <c r="O421" s="20"/>
      <c r="P421" s="20"/>
      <c r="Q421" s="134"/>
      <c r="R421" s="127"/>
      <c r="S421" s="157">
        <f t="shared" si="66"/>
        <v>2</v>
      </c>
      <c r="T421" s="158"/>
      <c r="U421" s="21">
        <v>0</v>
      </c>
      <c r="V421" s="21">
        <v>1</v>
      </c>
      <c r="W421" s="21">
        <v>0</v>
      </c>
      <c r="X421" s="156">
        <v>2</v>
      </c>
      <c r="Y421" s="157">
        <f t="shared" si="67"/>
        <v>2</v>
      </c>
      <c r="Z421" s="22"/>
      <c r="AA421" s="157">
        <f t="shared" si="68"/>
        <v>2</v>
      </c>
      <c r="AB421" s="20"/>
      <c r="AC421" s="34"/>
      <c r="AD421" s="23" t="str">
        <f t="shared" si="69"/>
        <v/>
      </c>
    </row>
    <row r="422" spans="1:30" ht="15.5" hidden="1" outlineLevel="2" x14ac:dyDescent="0.35">
      <c r="A422" s="86" t="s">
        <v>0</v>
      </c>
      <c r="B422" s="18"/>
      <c r="C422" s="78"/>
      <c r="D422" s="78"/>
      <c r="E422" s="78"/>
      <c r="F422" s="79"/>
      <c r="G422" s="19" t="s">
        <v>23</v>
      </c>
      <c r="H422" s="19" t="s">
        <v>23</v>
      </c>
      <c r="I422" s="20" t="s">
        <v>23</v>
      </c>
      <c r="J422" s="19" t="s">
        <v>23</v>
      </c>
      <c r="K422" s="35"/>
      <c r="L422" s="19"/>
      <c r="M422" s="263">
        <f t="shared" ca="1" si="65"/>
        <v>37.600000000000009</v>
      </c>
      <c r="N422" s="20" t="s">
        <v>927</v>
      </c>
      <c r="O422" s="20"/>
      <c r="P422" s="20"/>
      <c r="Q422" s="134"/>
      <c r="R422" s="127"/>
      <c r="S422" s="157">
        <f t="shared" si="66"/>
        <v>1.5</v>
      </c>
      <c r="T422" s="158"/>
      <c r="U422" s="21">
        <v>0</v>
      </c>
      <c r="V422" s="21">
        <v>1</v>
      </c>
      <c r="W422" s="21">
        <v>0</v>
      </c>
      <c r="X422" s="156">
        <v>1.5</v>
      </c>
      <c r="Y422" s="157">
        <f t="shared" si="67"/>
        <v>1.5</v>
      </c>
      <c r="Z422" s="22"/>
      <c r="AA422" s="157">
        <f t="shared" si="68"/>
        <v>1.5</v>
      </c>
      <c r="AB422" s="20"/>
      <c r="AC422" s="34"/>
      <c r="AD422" s="23" t="str">
        <f t="shared" si="69"/>
        <v/>
      </c>
    </row>
    <row r="423" spans="1:30" ht="15.5" hidden="1" outlineLevel="2" x14ac:dyDescent="0.35">
      <c r="A423" s="86" t="s">
        <v>0</v>
      </c>
      <c r="B423" s="18"/>
      <c r="C423" s="78"/>
      <c r="D423" s="78"/>
      <c r="E423" s="78"/>
      <c r="F423" s="79"/>
      <c r="G423" s="19" t="s">
        <v>23</v>
      </c>
      <c r="H423" s="19" t="s">
        <v>23</v>
      </c>
      <c r="I423" s="20" t="s">
        <v>23</v>
      </c>
      <c r="J423" s="19" t="s">
        <v>23</v>
      </c>
      <c r="K423" s="35"/>
      <c r="L423" s="19"/>
      <c r="M423" s="263">
        <f t="shared" ca="1" si="65"/>
        <v>37.70000000000001</v>
      </c>
      <c r="N423" s="20" t="s">
        <v>928</v>
      </c>
      <c r="O423" s="20"/>
      <c r="P423" s="20"/>
      <c r="Q423" s="134"/>
      <c r="R423" s="127"/>
      <c r="S423" s="157">
        <f t="shared" si="66"/>
        <v>1.5</v>
      </c>
      <c r="T423" s="158"/>
      <c r="U423" s="21">
        <v>0</v>
      </c>
      <c r="V423" s="21">
        <v>1</v>
      </c>
      <c r="W423" s="21">
        <v>0</v>
      </c>
      <c r="X423" s="156">
        <v>1.5</v>
      </c>
      <c r="Y423" s="157">
        <f t="shared" si="67"/>
        <v>1.5</v>
      </c>
      <c r="Z423" s="22"/>
      <c r="AA423" s="157">
        <f t="shared" si="68"/>
        <v>1.5</v>
      </c>
      <c r="AB423" s="20"/>
      <c r="AC423" s="34"/>
      <c r="AD423" s="23" t="str">
        <f t="shared" si="69"/>
        <v/>
      </c>
    </row>
    <row r="424" spans="1:30" s="9" customFormat="1" ht="7.5" hidden="1" customHeight="1" outlineLevel="2" x14ac:dyDescent="0.35">
      <c r="A424" s="86" t="s">
        <v>132</v>
      </c>
      <c r="B424" s="15"/>
      <c r="C424" s="72"/>
      <c r="D424" s="72"/>
      <c r="E424" s="72"/>
      <c r="F424" s="72"/>
      <c r="M424" s="252"/>
      <c r="T424" s="15"/>
      <c r="X424" s="15"/>
      <c r="AB424" s="10"/>
      <c r="AC424" s="10"/>
      <c r="AD424" s="10"/>
    </row>
    <row r="425" spans="1:30" s="14" customFormat="1" ht="15.5" outlineLevel="1" x14ac:dyDescent="0.35">
      <c r="A425" s="86" t="s">
        <v>107</v>
      </c>
      <c r="B425" s="18"/>
      <c r="C425" s="77"/>
      <c r="D425" s="77"/>
      <c r="E425" s="77"/>
      <c r="F425" s="76"/>
      <c r="G425" s="170"/>
      <c r="H425" s="170"/>
      <c r="I425" s="170"/>
      <c r="J425" s="170"/>
      <c r="K425" s="170"/>
      <c r="L425" s="85" t="s">
        <v>109</v>
      </c>
      <c r="M425" s="311" t="s">
        <v>459</v>
      </c>
      <c r="N425" s="311"/>
      <c r="O425" s="80"/>
      <c r="P425" s="81"/>
      <c r="Q425" s="81"/>
      <c r="R425" s="81"/>
      <c r="S425" s="307">
        <f>SUMGROUP(ROW(), "T")</f>
        <v>14</v>
      </c>
      <c r="T425" s="307"/>
      <c r="U425" s="308"/>
      <c r="V425" s="308"/>
      <c r="W425" s="308"/>
      <c r="X425" s="82"/>
      <c r="Y425" s="83"/>
      <c r="Z425" s="83"/>
      <c r="AA425" s="83"/>
      <c r="AB425" s="221"/>
      <c r="AC425" s="84"/>
      <c r="AD425" s="23" t="str">
        <f>IF(M425="", "Error: Module name cannot be empty.", "")</f>
        <v/>
      </c>
    </row>
    <row r="426" spans="1:30" s="14" customFormat="1" ht="15.5" outlineLevel="1" collapsed="1" x14ac:dyDescent="0.35">
      <c r="A426" s="86" t="s">
        <v>100</v>
      </c>
      <c r="B426" s="18"/>
      <c r="C426" s="77"/>
      <c r="D426" s="77"/>
      <c r="E426" s="77"/>
      <c r="F426" s="76"/>
      <c r="G426" s="29"/>
      <c r="H426" s="29"/>
      <c r="I426" s="29"/>
      <c r="J426" s="29"/>
      <c r="K426" s="29"/>
      <c r="L426" s="17">
        <f ca="1">LOOKUP(1000,INDIRECT("L1:"&amp;CELL("address",INDIRECT("R[-1]C",FALSE))))+1</f>
        <v>38</v>
      </c>
      <c r="M426" s="310" t="s">
        <v>1149</v>
      </c>
      <c r="N426" s="310"/>
      <c r="O426" s="5"/>
      <c r="P426" s="30"/>
      <c r="Q426" s="30"/>
      <c r="R426" s="30"/>
      <c r="S426" s="30"/>
      <c r="T426" s="155">
        <f>IF($S$6="Exclude", SUMIFS(S427:S431, J427:J431, "&lt;&gt;Yes", G427:G431, "&lt;&gt;Yes"), SUMIFS(S427:S431, J427:J431, "&lt;&gt;Yes"))</f>
        <v>14</v>
      </c>
      <c r="U426" s="30"/>
      <c r="V426" s="30"/>
      <c r="W426" s="30"/>
      <c r="X426" s="31"/>
      <c r="Y426" s="32"/>
      <c r="Z426" s="32"/>
      <c r="AA426" s="32"/>
      <c r="AB426" s="219" t="s">
        <v>980</v>
      </c>
      <c r="AC426" s="33"/>
      <c r="AD426" s="23" t="str">
        <f>IF(M426="", "Error: Task name cannot be empty.", "")</f>
        <v/>
      </c>
    </row>
    <row r="427" spans="1:30" s="12" customFormat="1" ht="1.5" hidden="1" customHeight="1" outlineLevel="2" x14ac:dyDescent="0.35">
      <c r="A427" s="86" t="s">
        <v>101</v>
      </c>
      <c r="B427" s="18"/>
      <c r="C427" s="77"/>
      <c r="D427" s="77"/>
      <c r="E427" s="77"/>
      <c r="F427" s="76"/>
      <c r="G427" s="29"/>
      <c r="H427" s="29"/>
      <c r="I427" s="29"/>
      <c r="J427" s="29"/>
      <c r="K427" s="29"/>
      <c r="L427" s="163">
        <f ca="1">L426</f>
        <v>38</v>
      </c>
      <c r="M427" s="164" t="s">
        <v>105</v>
      </c>
      <c r="N427" s="161"/>
      <c r="O427" s="162"/>
      <c r="P427" s="30"/>
      <c r="Q427" s="30"/>
      <c r="R427" s="30"/>
      <c r="S427" s="30"/>
      <c r="T427" s="155"/>
      <c r="U427" s="30"/>
      <c r="V427" s="30"/>
      <c r="W427" s="30"/>
      <c r="X427" s="31"/>
      <c r="Y427" s="32"/>
      <c r="Z427" s="32"/>
      <c r="AA427" s="32"/>
      <c r="AB427" s="33"/>
      <c r="AC427" s="33"/>
      <c r="AD427" s="23"/>
    </row>
    <row r="428" spans="1:30" ht="15.5" hidden="1" outlineLevel="2" x14ac:dyDescent="0.35">
      <c r="A428" s="86" t="s">
        <v>0</v>
      </c>
      <c r="B428" s="18"/>
      <c r="C428" s="78"/>
      <c r="D428" s="78"/>
      <c r="E428" s="78"/>
      <c r="F428" s="79"/>
      <c r="G428" s="19" t="s">
        <v>23</v>
      </c>
      <c r="H428" s="19" t="s">
        <v>23</v>
      </c>
      <c r="I428" s="20" t="s">
        <v>23</v>
      </c>
      <c r="J428" s="19" t="s">
        <v>23</v>
      </c>
      <c r="K428" s="35"/>
      <c r="L428" s="19"/>
      <c r="M428" s="263" t="str">
        <f ca="1">IFERROR(OFFSET(M428,-1,,1,1)+0.1,OFFSET(M428,-1,-1,1,1)&amp;".1")</f>
        <v>38.1</v>
      </c>
      <c r="N428" s="20" t="s">
        <v>1150</v>
      </c>
      <c r="O428" s="20"/>
      <c r="P428" s="20"/>
      <c r="Q428" s="134"/>
      <c r="R428" s="127"/>
      <c r="S428" s="157">
        <f>CEILING((IF(J428="Yes", 0, IF(H428="-",AA428,AA428+AA428*VLOOKUP(H428,BUFFERS_BY_TYPE,2,FALSE)))) +
   (IF(J428="Yes", 0, IF(H428="-",AA428,AA428+AA428*VLOOKUP(H428,BUFFERS_BY_TYPE,2,FALSE))))*VLOOKUP($S$5, SALES_CALL_SCALE_ARRAY, 2,FALSE),0.25)</f>
        <v>5</v>
      </c>
      <c r="T428" s="158"/>
      <c r="U428" s="21">
        <v>0</v>
      </c>
      <c r="V428" s="21">
        <v>1</v>
      </c>
      <c r="W428" s="21">
        <v>0</v>
      </c>
      <c r="X428" s="156">
        <v>5</v>
      </c>
      <c r="Y428" s="157">
        <f>CEILING((IF(P428=AS_DEV_EFFORT, DEV_EFFORT*Q428%,
                           IF(P428=AS_DURATION_EFFORT, (MANUAL_DURATION*5)*Q428%,
                                    (IF(Q428&lt;=1,X428,
                                          IF(SUM(U428:W428)=0,(Q428*X428),
                                               (((Q428*U428)*(X428+(X428*EXTRA_FOR_H)))+
                                               ((Q428*V428)*X428)+
                                               ((Q428*W428)*(X428-(X428*LESS_FOR_L)))
                                    )*IF(R428=0,1,R428))))))+Z428), 0.25)</f>
        <v>5</v>
      </c>
      <c r="Z428" s="22"/>
      <c r="AA428" s="157">
        <f>Y428+Y428*VLOOKUP(I428,EXTRAS_ARRAY,2,FALSE)</f>
        <v>5</v>
      </c>
      <c r="AB428" s="20"/>
      <c r="AC428" s="34"/>
      <c r="AD428" s="23" t="str">
        <f>IF(J428&lt;&gt;"Yes",
IF(S428&lt;=0,"Error: Effort value is not defined or is invalid.",
IF(AND(SUM(U428:W428)&gt;0,SUM(U428:W428)&lt;&gt;1),"Error: Complexity % distribution should sum to 100%.",
IF(AND(P428=AS_DEV_EFFORT,X428&lt;&gt;0),"Error: PDs should not be defined when defining as dev effort %.",
IF(AND(P428=AS_DURATION_EFFORT,X428&lt;&gt;0),"Error: PDs should not be defined when defining as duration effort %.","")))))</f>
        <v/>
      </c>
    </row>
    <row r="429" spans="1:30" ht="43.5" hidden="1" outlineLevel="2" x14ac:dyDescent="0.35">
      <c r="A429" s="86" t="s">
        <v>0</v>
      </c>
      <c r="B429" s="18"/>
      <c r="C429" s="78"/>
      <c r="D429" s="78"/>
      <c r="E429" s="78"/>
      <c r="F429" s="79"/>
      <c r="G429" s="19" t="s">
        <v>23</v>
      </c>
      <c r="H429" s="19" t="s">
        <v>23</v>
      </c>
      <c r="I429" s="20" t="s">
        <v>23</v>
      </c>
      <c r="J429" s="19" t="s">
        <v>23</v>
      </c>
      <c r="K429" s="35" t="s">
        <v>483</v>
      </c>
      <c r="L429" s="19"/>
      <c r="M429" s="263">
        <f ca="1">IFERROR(OFFSET(M429,-1,,1,1)+0.1,OFFSET(M429,-1,-1,1,1)&amp;".1")</f>
        <v>38.200000000000003</v>
      </c>
      <c r="N429" s="20" t="s">
        <v>1151</v>
      </c>
      <c r="O429" s="20"/>
      <c r="P429" s="20"/>
      <c r="Q429" s="134"/>
      <c r="R429" s="127"/>
      <c r="S429" s="157">
        <f>CEILING((IF(J429="Yes", 0, IF(H429="-",AA429,AA429+AA429*VLOOKUP(H429,BUFFERS_BY_TYPE,2,FALSE)))) +
   (IF(J429="Yes", 0, IF(H429="-",AA429,AA429+AA429*VLOOKUP(H429,BUFFERS_BY_TYPE,2,FALSE))))*VLOOKUP($S$5, SALES_CALL_SCALE_ARRAY, 2,FALSE),0.25)</f>
        <v>5</v>
      </c>
      <c r="T429" s="158"/>
      <c r="U429" s="21">
        <v>0</v>
      </c>
      <c r="V429" s="21">
        <v>1</v>
      </c>
      <c r="W429" s="21">
        <v>0</v>
      </c>
      <c r="X429" s="156">
        <v>5</v>
      </c>
      <c r="Y429" s="157">
        <f>CEILING((IF(P429=AS_DEV_EFFORT, DEV_EFFORT*Q429%,
                           IF(P429=AS_DURATION_EFFORT, (MANUAL_DURATION*5)*Q429%,
                                    (IF(Q429&lt;=1,X429,
                                          IF(SUM(U429:W429)=0,(Q429*X429),
                                               (((Q429*U429)*(X429+(X429*EXTRA_FOR_H)))+
                                               ((Q429*V429)*X429)+
                                               ((Q429*W429)*(X429-(X429*LESS_FOR_L)))
                                    )*IF(R429=0,1,R429))))))+Z429), 0.25)</f>
        <v>5</v>
      </c>
      <c r="Z429" s="22"/>
      <c r="AA429" s="157">
        <f>Y429+Y429*VLOOKUP(I429,EXTRAS_ARRAY,2,FALSE)</f>
        <v>5</v>
      </c>
      <c r="AB429" s="20"/>
      <c r="AC429" s="34"/>
      <c r="AD429" s="23" t="str">
        <f>IF(J429&lt;&gt;"Yes",
IF(S429&lt;=0,"Error: Effort value is not defined or is invalid.",
IF(AND(SUM(U429:W429)&gt;0,SUM(U429:W429)&lt;&gt;1),"Error: Complexity % distribution should sum to 100%.",
IF(AND(P429=AS_DEV_EFFORT,X429&lt;&gt;0),"Error: PDs should not be defined when defining as dev effort %.",
IF(AND(P429=AS_DURATION_EFFORT,X429&lt;&gt;0),"Error: PDs should not be defined when defining as duration effort %.","")))))</f>
        <v/>
      </c>
    </row>
    <row r="430" spans="1:30" ht="15.5" hidden="1" outlineLevel="2" x14ac:dyDescent="0.35">
      <c r="A430" s="86" t="s">
        <v>0</v>
      </c>
      <c r="B430" s="18"/>
      <c r="C430" s="78"/>
      <c r="D430" s="78"/>
      <c r="E430" s="78"/>
      <c r="F430" s="79"/>
      <c r="G430" s="19" t="s">
        <v>23</v>
      </c>
      <c r="H430" s="19" t="s">
        <v>23</v>
      </c>
      <c r="I430" s="20" t="s">
        <v>23</v>
      </c>
      <c r="J430" s="19" t="s">
        <v>23</v>
      </c>
      <c r="K430" s="35"/>
      <c r="L430" s="19"/>
      <c r="M430" s="263">
        <f ca="1">IFERROR(OFFSET(M430,-1,,1,1)+0.1,OFFSET(M430,-1,-1,1,1)&amp;".1")</f>
        <v>38.300000000000004</v>
      </c>
      <c r="N430" s="20" t="s">
        <v>1152</v>
      </c>
      <c r="O430" s="20"/>
      <c r="P430" s="20"/>
      <c r="Q430" s="134"/>
      <c r="R430" s="127"/>
      <c r="S430" s="157">
        <f>CEILING((IF(J430="Yes", 0, IF(H430="-",AA430,AA430+AA430*VLOOKUP(H430,BUFFERS_BY_TYPE,2,FALSE)))) +
   (IF(J430="Yes", 0, IF(H430="-",AA430,AA430+AA430*VLOOKUP(H430,BUFFERS_BY_TYPE,2,FALSE))))*VLOOKUP($S$5, SALES_CALL_SCALE_ARRAY, 2,FALSE),0.25)</f>
        <v>4</v>
      </c>
      <c r="T430" s="158"/>
      <c r="U430" s="21">
        <v>0</v>
      </c>
      <c r="V430" s="21">
        <v>1</v>
      </c>
      <c r="W430" s="21">
        <v>0</v>
      </c>
      <c r="X430" s="156">
        <v>4</v>
      </c>
      <c r="Y430" s="157">
        <f>CEILING((IF(P430=AS_DEV_EFFORT, DEV_EFFORT*Q430%,
                           IF(P430=AS_DURATION_EFFORT, (MANUAL_DURATION*5)*Q430%,
                                    (IF(Q430&lt;=1,X430,
                                          IF(SUM(U430:W430)=0,(Q430*X430),
                                               (((Q430*U430)*(X430+(X430*EXTRA_FOR_H)))+
                                               ((Q430*V430)*X430)+
                                               ((Q430*W430)*(X430-(X430*LESS_FOR_L)))
                                    )*IF(R430=0,1,R430))))))+Z430), 0.25)</f>
        <v>4</v>
      </c>
      <c r="Z430" s="22"/>
      <c r="AA430" s="157">
        <f>Y430+Y430*VLOOKUP(I430,EXTRAS_ARRAY,2,FALSE)</f>
        <v>4</v>
      </c>
      <c r="AB430" s="20"/>
      <c r="AC430" s="34"/>
      <c r="AD430" s="23" t="str">
        <f>IF(J430&lt;&gt;"Yes",
IF(S430&lt;=0,"Error: Effort value is not defined or is invalid.",
IF(AND(SUM(U430:W430)&gt;0,SUM(U430:W430)&lt;&gt;1),"Error: Complexity % distribution should sum to 100%.",
IF(AND(P430=AS_DEV_EFFORT,X430&lt;&gt;0),"Error: PDs should not be defined when defining as dev effort %.",
IF(AND(P430=AS_DURATION_EFFORT,X430&lt;&gt;0),"Error: PDs should not be defined when defining as duration effort %.","")))))</f>
        <v/>
      </c>
    </row>
    <row r="431" spans="1:30" s="9" customFormat="1" ht="7.5" hidden="1" customHeight="1" outlineLevel="2" x14ac:dyDescent="0.35">
      <c r="A431" s="86" t="s">
        <v>132</v>
      </c>
      <c r="B431" s="15"/>
      <c r="C431" s="72"/>
      <c r="D431" s="72"/>
      <c r="E431" s="72"/>
      <c r="F431" s="72"/>
      <c r="M431" s="252"/>
      <c r="T431" s="15"/>
      <c r="X431" s="15"/>
      <c r="AB431" s="10"/>
      <c r="AC431" s="10"/>
      <c r="AD431" s="10"/>
    </row>
    <row r="432" spans="1:30" s="9" customFormat="1" ht="3" customHeight="1" outlineLevel="1" x14ac:dyDescent="0.35">
      <c r="A432" s="86" t="s">
        <v>102</v>
      </c>
      <c r="C432" s="72"/>
      <c r="D432" s="72"/>
      <c r="E432" s="72"/>
      <c r="F432" s="72"/>
      <c r="G432" s="25"/>
      <c r="H432" s="25"/>
      <c r="I432" s="25"/>
      <c r="J432" s="25"/>
      <c r="K432" s="25"/>
      <c r="L432" s="56"/>
      <c r="M432" s="264"/>
      <c r="N432" s="57"/>
      <c r="O432" s="57"/>
      <c r="P432" s="56"/>
      <c r="Q432" s="56"/>
      <c r="R432" s="56"/>
      <c r="S432" s="56"/>
      <c r="T432" s="56"/>
      <c r="U432" s="56"/>
      <c r="V432" s="56"/>
      <c r="W432" s="56"/>
      <c r="X432" s="56"/>
      <c r="Y432" s="56"/>
      <c r="Z432" s="56"/>
      <c r="AA432" s="56"/>
      <c r="AB432" s="57"/>
      <c r="AC432" s="57"/>
      <c r="AD432" s="10"/>
    </row>
    <row r="433" spans="1:30" s="14" customFormat="1" ht="18.5" x14ac:dyDescent="0.35">
      <c r="A433" s="86" t="s">
        <v>98</v>
      </c>
      <c r="B433" s="12"/>
      <c r="C433" s="73"/>
      <c r="D433" s="73"/>
      <c r="E433" s="73"/>
      <c r="F433" s="72"/>
      <c r="G433" s="52"/>
      <c r="H433" s="52"/>
      <c r="I433" s="52"/>
      <c r="J433" s="52"/>
      <c r="K433" s="52"/>
      <c r="L433" s="52" t="s">
        <v>70</v>
      </c>
      <c r="M433" s="261" t="s">
        <v>74</v>
      </c>
      <c r="N433" s="53"/>
      <c r="O433" s="54"/>
      <c r="P433" s="55"/>
      <c r="Q433" s="55"/>
      <c r="R433" s="55"/>
      <c r="S433" s="330">
        <f>CEILING(SUMIF(J434:J470, "&lt;&gt;Yes", T434:T470),1)</f>
        <v>100</v>
      </c>
      <c r="T433" s="330"/>
      <c r="U433" s="55"/>
      <c r="V433" s="55"/>
      <c r="W433" s="55"/>
      <c r="X433" s="55"/>
      <c r="Y433" s="55"/>
      <c r="Z433" s="55"/>
      <c r="AA433" s="55"/>
      <c r="AB433" s="55"/>
      <c r="AC433" s="55"/>
      <c r="AD433" s="13"/>
    </row>
    <row r="434" spans="1:30" s="9" customFormat="1" ht="3" customHeight="1" outlineLevel="1" x14ac:dyDescent="0.35">
      <c r="A434" s="86" t="s">
        <v>99</v>
      </c>
      <c r="B434" s="15"/>
      <c r="C434" s="72"/>
      <c r="D434" s="72"/>
      <c r="E434" s="72"/>
      <c r="F434" s="72"/>
      <c r="G434" s="25"/>
      <c r="H434" s="25"/>
      <c r="I434" s="25"/>
      <c r="J434" s="25"/>
      <c r="K434" s="25"/>
      <c r="L434" s="26">
        <v>0</v>
      </c>
      <c r="M434" s="262"/>
      <c r="N434" s="25"/>
      <c r="O434" s="25"/>
      <c r="P434" s="25"/>
      <c r="Q434" s="25"/>
      <c r="R434" s="25"/>
      <c r="S434" s="25"/>
      <c r="T434" s="27"/>
      <c r="U434" s="25"/>
      <c r="V434" s="25"/>
      <c r="W434" s="25"/>
      <c r="X434" s="27"/>
      <c r="Y434" s="25"/>
      <c r="Z434" s="25"/>
      <c r="AA434" s="25"/>
      <c r="AB434" s="28"/>
      <c r="AC434" s="28"/>
      <c r="AD434" s="10"/>
    </row>
    <row r="435" spans="1:30" s="14" customFormat="1" ht="15.5" outlineLevel="1" x14ac:dyDescent="0.35">
      <c r="A435" s="86" t="s">
        <v>107</v>
      </c>
      <c r="B435" s="18"/>
      <c r="C435" s="77"/>
      <c r="D435" s="77"/>
      <c r="E435" s="77"/>
      <c r="F435" s="76"/>
      <c r="G435" s="170"/>
      <c r="H435" s="170"/>
      <c r="I435" s="170"/>
      <c r="J435" s="170"/>
      <c r="K435" s="170"/>
      <c r="L435" s="85" t="s">
        <v>109</v>
      </c>
      <c r="M435" s="311" t="s">
        <v>1153</v>
      </c>
      <c r="N435" s="311"/>
      <c r="O435" s="80"/>
      <c r="P435" s="81"/>
      <c r="Q435" s="81"/>
      <c r="R435" s="81"/>
      <c r="S435" s="307">
        <f>SUMGROUP(ROW(), "T")</f>
        <v>10</v>
      </c>
      <c r="T435" s="307"/>
      <c r="U435" s="308"/>
      <c r="V435" s="308"/>
      <c r="W435" s="308"/>
      <c r="X435" s="82"/>
      <c r="Y435" s="83"/>
      <c r="Z435" s="83"/>
      <c r="AA435" s="83"/>
      <c r="AB435" s="221"/>
      <c r="AC435" s="84"/>
      <c r="AD435" s="23" t="str">
        <f>IF(M435="", "Error: Module name cannot be empty.", "")</f>
        <v/>
      </c>
    </row>
    <row r="436" spans="1:30" s="14" customFormat="1" ht="15.5" outlineLevel="1" collapsed="1" x14ac:dyDescent="0.35">
      <c r="A436" s="86" t="s">
        <v>100</v>
      </c>
      <c r="B436" s="18"/>
      <c r="C436" s="77"/>
      <c r="D436" s="77"/>
      <c r="E436" s="77"/>
      <c r="F436" s="76"/>
      <c r="G436" s="29"/>
      <c r="H436" s="29"/>
      <c r="I436" s="29"/>
      <c r="J436" s="29"/>
      <c r="K436" s="29"/>
      <c r="L436" s="17">
        <f ca="1">LOOKUP(1000,INDIRECT("L1:"&amp;CELL("address",INDIRECT("R[-1]C",FALSE))))+1</f>
        <v>1</v>
      </c>
      <c r="M436" s="310" t="s">
        <v>484</v>
      </c>
      <c r="N436" s="310"/>
      <c r="O436" s="5"/>
      <c r="P436" s="30"/>
      <c r="Q436" s="30"/>
      <c r="R436" s="30"/>
      <c r="S436" s="30"/>
      <c r="T436" s="155">
        <f>IF($S$6="Exclude", SUMIFS(S437:S440, J437:J440, "&lt;&gt;Yes", G437:G440, "&lt;&gt;Yes"), SUMIFS(S437:S440, J437:J440, "&lt;&gt;Yes"))</f>
        <v>10</v>
      </c>
      <c r="U436" s="30"/>
      <c r="V436" s="30"/>
      <c r="W436" s="30"/>
      <c r="X436" s="31"/>
      <c r="Y436" s="32"/>
      <c r="Z436" s="32"/>
      <c r="AA436" s="32"/>
      <c r="AB436" s="219"/>
      <c r="AC436" s="33"/>
      <c r="AD436" s="23" t="str">
        <f>IF(M436="", "Error: Task name cannot be empty.", "")</f>
        <v/>
      </c>
    </row>
    <row r="437" spans="1:30" s="12" customFormat="1" ht="1.5" hidden="1" customHeight="1" outlineLevel="2" x14ac:dyDescent="0.35">
      <c r="A437" s="86" t="s">
        <v>101</v>
      </c>
      <c r="B437" s="18"/>
      <c r="C437" s="77"/>
      <c r="D437" s="77"/>
      <c r="E437" s="77"/>
      <c r="F437" s="76"/>
      <c r="G437" s="29"/>
      <c r="H437" s="29"/>
      <c r="I437" s="29"/>
      <c r="J437" s="29"/>
      <c r="K437" s="29"/>
      <c r="L437" s="163">
        <f ca="1">L436</f>
        <v>1</v>
      </c>
      <c r="M437" s="164" t="s">
        <v>105</v>
      </c>
      <c r="N437" s="161"/>
      <c r="O437" s="162"/>
      <c r="P437" s="30"/>
      <c r="Q437" s="30"/>
      <c r="R437" s="30"/>
      <c r="S437" s="30"/>
      <c r="T437" s="155"/>
      <c r="U437" s="30"/>
      <c r="V437" s="30"/>
      <c r="W437" s="30"/>
      <c r="X437" s="31"/>
      <c r="Y437" s="32"/>
      <c r="Z437" s="32"/>
      <c r="AA437" s="32"/>
      <c r="AB437" s="33"/>
      <c r="AC437" s="33"/>
      <c r="AD437" s="23"/>
    </row>
    <row r="438" spans="1:30" ht="87" hidden="1" outlineLevel="2" x14ac:dyDescent="0.35">
      <c r="A438" s="86" t="s">
        <v>0</v>
      </c>
      <c r="B438" s="18"/>
      <c r="C438" s="78"/>
      <c r="D438" s="78"/>
      <c r="E438" s="78"/>
      <c r="F438" s="79"/>
      <c r="G438" s="19" t="s">
        <v>23</v>
      </c>
      <c r="H438" s="19" t="s">
        <v>23</v>
      </c>
      <c r="I438" s="20" t="s">
        <v>23</v>
      </c>
      <c r="J438" s="19" t="s">
        <v>23</v>
      </c>
      <c r="K438" s="35"/>
      <c r="L438" s="19"/>
      <c r="M438" s="263" t="str">
        <f ca="1">IFERROR(OFFSET(M438,-1,,1,1)+0.1,OFFSET(M438,-1,-1,1,1)&amp;".1")</f>
        <v>1.1</v>
      </c>
      <c r="N438" s="20" t="s">
        <v>929</v>
      </c>
      <c r="O438" s="20"/>
      <c r="P438" s="20"/>
      <c r="Q438" s="134"/>
      <c r="R438" s="127"/>
      <c r="S438" s="157">
        <f>CEILING((IF(J438="Yes", 0, IF(H438="-",AA438,AA438+AA438*VLOOKUP(H438,BUFFERS_BY_TYPE,2,FALSE)))) +
   (IF(J438="Yes", 0, IF(H438="-",AA438,AA438+AA438*VLOOKUP(H438,BUFFERS_BY_TYPE,2,FALSE))))*VLOOKUP($S$5, SALES_CALL_SCALE_ARRAY, 2,FALSE),0.25)</f>
        <v>5</v>
      </c>
      <c r="T438" s="158"/>
      <c r="U438" s="21">
        <v>0.2</v>
      </c>
      <c r="V438" s="21">
        <v>0.5</v>
      </c>
      <c r="W438" s="21">
        <v>0.3</v>
      </c>
      <c r="X438" s="156">
        <v>5</v>
      </c>
      <c r="Y438" s="157">
        <f>CEILING((IF(P438=AS_DEV_EFFORT, DEV_EFFORT*Q438%,
                           IF(P438=AS_DURATION_EFFORT, (MANUAL_DURATION*5)*Q438%,
                                    (IF(Q438&lt;=1,X438,
                                          IF(SUM(U438:W438)=0,(Q438*X438),
                                               (((Q438*U438)*(X438+(X438*EXTRA_FOR_H)))+
                                               ((Q438*V438)*X438)+
                                               ((Q438*W438)*(X438-(X438*LESS_FOR_L)))
                                    )*IF(R438=0,1,R438))))))+Z438), 0.25)</f>
        <v>5</v>
      </c>
      <c r="Z438" s="22"/>
      <c r="AA438" s="157">
        <f>Y438+Y438*VLOOKUP(I438,EXTRAS_ARRAY,2,FALSE)</f>
        <v>5</v>
      </c>
      <c r="AB438" s="20"/>
      <c r="AC438" s="34"/>
      <c r="AD438" s="23" t="str">
        <f>IF(J438&lt;&gt;"Yes",
IF(S438&lt;=0,"Error: Effort value is not defined or is invalid.",
IF(AND(SUM(U438:W438)&gt;0,SUM(U438:W438)&lt;&gt;1),"Error: Complexity % distribution should sum to 100%.",
IF(AND(P438=AS_DEV_EFFORT,X438&lt;&gt;0),"Error: PDs should not be defined when defining as dev effort %.",
IF(AND(P438=AS_DURATION_EFFORT,X438&lt;&gt;0),"Error: PDs should not be defined when defining as duration effort %.","")))))</f>
        <v/>
      </c>
    </row>
    <row r="439" spans="1:30" ht="116" hidden="1" outlineLevel="2" x14ac:dyDescent="0.35">
      <c r="A439" s="86" t="s">
        <v>0</v>
      </c>
      <c r="B439" s="18"/>
      <c r="C439" s="78"/>
      <c r="D439" s="78"/>
      <c r="E439" s="78"/>
      <c r="F439" s="79"/>
      <c r="G439" s="19" t="s">
        <v>23</v>
      </c>
      <c r="H439" s="19" t="s">
        <v>23</v>
      </c>
      <c r="I439" s="20" t="s">
        <v>23</v>
      </c>
      <c r="J439" s="19" t="s">
        <v>23</v>
      </c>
      <c r="K439" s="35"/>
      <c r="L439" s="19"/>
      <c r="M439" s="263">
        <f ca="1">IFERROR(OFFSET(M439,-1,,1,1)+0.1,OFFSET(M439,-1,-1,1,1)&amp;".1")</f>
        <v>1.2000000000000002</v>
      </c>
      <c r="N439" s="20" t="s">
        <v>930</v>
      </c>
      <c r="O439" s="20"/>
      <c r="P439" s="20" t="s">
        <v>485</v>
      </c>
      <c r="Q439" s="134">
        <f>Total_Use_Cases</f>
        <v>24</v>
      </c>
      <c r="R439" s="127"/>
      <c r="S439" s="157">
        <f>CEILING((IF(J439="Yes", 0, IF(H439="-",AA439,AA439+AA439*VLOOKUP(H439,BUFFERS_BY_TYPE,2,FALSE)))) +
   (IF(J439="Yes", 0, IF(H439="-",AA439,AA439+AA439*VLOOKUP(H439,BUFFERS_BY_TYPE,2,FALSE))))*VLOOKUP($S$5, SALES_CALL_SCALE_ARRAY, 2,FALSE),0.25)</f>
        <v>5</v>
      </c>
      <c r="T439" s="158"/>
      <c r="U439" s="21">
        <v>0.2</v>
      </c>
      <c r="V439" s="21">
        <v>0.5</v>
      </c>
      <c r="W439" s="21">
        <v>0.3</v>
      </c>
      <c r="X439" s="156">
        <v>0.2</v>
      </c>
      <c r="Y439" s="157">
        <f>CEILING((IF(P439=AS_DEV_EFFORT, DEV_EFFORT*Q439%,
                           IF(P439=AS_DURATION_EFFORT, (MANUAL_DURATION*5)*Q439%,
                                    (IF(Q439&lt;=1,X439,
                                          IF(SUM(U439:W439)=0,(Q439*X439),
                                               (((Q439*U439)*(X439+(X439*EXTRA_FOR_H)))+
                                               ((Q439*V439)*X439)+
                                               ((Q439*W439)*(X439-(X439*LESS_FOR_L)))
                                    )*IF(R439=0,1,R439))))))+Z439), 0.25)</f>
        <v>5</v>
      </c>
      <c r="Z439" s="22">
        <v>7.9000000000000001E-2</v>
      </c>
      <c r="AA439" s="157">
        <f>Y439+Y439*VLOOKUP(I439,EXTRAS_ARRAY,2,FALSE)</f>
        <v>5</v>
      </c>
      <c r="AB439" s="20"/>
      <c r="AC439" s="34"/>
      <c r="AD439" s="23" t="str">
        <f>IF(J439&lt;&gt;"Yes",
IF(S439&lt;=0,"Error: Effort value is not defined or is invalid.",
IF(AND(SUM(U439:W439)&gt;0,SUM(U439:W439)&lt;&gt;1),"Error: Complexity % distribution should sum to 100%.",
IF(AND(P439=AS_DEV_EFFORT,X439&lt;&gt;0),"Error: PDs should not be defined when defining as dev effort %.",
IF(AND(P439=AS_DURATION_EFFORT,X439&lt;&gt;0),"Error: PDs should not be defined when defining as duration effort %.","")))))</f>
        <v/>
      </c>
    </row>
    <row r="440" spans="1:30" s="9" customFormat="1" ht="7.5" hidden="1" customHeight="1" outlineLevel="2" x14ac:dyDescent="0.35">
      <c r="A440" s="86" t="s">
        <v>132</v>
      </c>
      <c r="B440" s="15"/>
      <c r="C440" s="72"/>
      <c r="D440" s="72"/>
      <c r="E440" s="72"/>
      <c r="F440" s="72"/>
      <c r="M440" s="252"/>
      <c r="T440" s="15"/>
      <c r="X440" s="15"/>
      <c r="AB440" s="10"/>
      <c r="AC440" s="10"/>
      <c r="AD440" s="10"/>
    </row>
    <row r="441" spans="1:30" s="14" customFormat="1" ht="15.5" outlineLevel="1" x14ac:dyDescent="0.35">
      <c r="A441" s="86" t="s">
        <v>107</v>
      </c>
      <c r="B441" s="18"/>
      <c r="C441" s="77"/>
      <c r="D441" s="77"/>
      <c r="E441" s="77"/>
      <c r="F441" s="76"/>
      <c r="G441" s="170"/>
      <c r="H441" s="170"/>
      <c r="I441" s="170"/>
      <c r="J441" s="170"/>
      <c r="K441" s="170"/>
      <c r="L441" s="85" t="s">
        <v>109</v>
      </c>
      <c r="M441" s="311" t="s">
        <v>1154</v>
      </c>
      <c r="N441" s="311"/>
      <c r="O441" s="80"/>
      <c r="P441" s="81"/>
      <c r="Q441" s="81"/>
      <c r="R441" s="81"/>
      <c r="S441" s="307">
        <f>SUMGROUP(ROW(), "T")</f>
        <v>90</v>
      </c>
      <c r="T441" s="307"/>
      <c r="U441" s="308"/>
      <c r="V441" s="308"/>
      <c r="W441" s="308"/>
      <c r="X441" s="82"/>
      <c r="Y441" s="83"/>
      <c r="Z441" s="83"/>
      <c r="AA441" s="83"/>
      <c r="AB441" s="221"/>
      <c r="AC441" s="84"/>
      <c r="AD441" s="23" t="str">
        <f>IF(M441="", "Error: Module name cannot be empty.", "")</f>
        <v/>
      </c>
    </row>
    <row r="442" spans="1:30" s="14" customFormat="1" ht="15.5" outlineLevel="1" collapsed="1" x14ac:dyDescent="0.35">
      <c r="A442" s="86" t="s">
        <v>100</v>
      </c>
      <c r="B442" s="18"/>
      <c r="C442" s="77"/>
      <c r="D442" s="77"/>
      <c r="E442" s="77"/>
      <c r="F442" s="76"/>
      <c r="G442" s="29"/>
      <c r="H442" s="29"/>
      <c r="I442" s="29"/>
      <c r="J442" s="29"/>
      <c r="K442" s="29"/>
      <c r="L442" s="17">
        <f ca="1">LOOKUP(1000,INDIRECT("L1:"&amp;CELL("address",INDIRECT("R[-1]C",FALSE))))+1</f>
        <v>2</v>
      </c>
      <c r="M442" s="310" t="s">
        <v>452</v>
      </c>
      <c r="N442" s="310"/>
      <c r="O442" s="5"/>
      <c r="P442" s="30"/>
      <c r="Q442" s="30"/>
      <c r="R442" s="30"/>
      <c r="S442" s="30"/>
      <c r="T442" s="155">
        <f>IF($S$6="Exclude", SUMIFS(S443:S448, J443:J448, "&lt;&gt;Yes", G443:G448, "&lt;&gt;Yes"), SUMIFS(S443:S448, J443:J448, "&lt;&gt;Yes"))</f>
        <v>29</v>
      </c>
      <c r="U442" s="30"/>
      <c r="V442" s="30"/>
      <c r="W442" s="30"/>
      <c r="X442" s="31"/>
      <c r="Y442" s="32"/>
      <c r="Z442" s="32"/>
      <c r="AA442" s="32"/>
      <c r="AB442" s="219"/>
      <c r="AC442" s="33"/>
      <c r="AD442" s="23" t="str">
        <f>IF(M442="", "Error: Task name cannot be empty.", "")</f>
        <v/>
      </c>
    </row>
    <row r="443" spans="1:30" s="12" customFormat="1" ht="1.5" hidden="1" customHeight="1" outlineLevel="2" x14ac:dyDescent="0.35">
      <c r="A443" s="86" t="s">
        <v>101</v>
      </c>
      <c r="B443" s="18"/>
      <c r="C443" s="77"/>
      <c r="D443" s="77"/>
      <c r="E443" s="77"/>
      <c r="F443" s="76"/>
      <c r="G443" s="29"/>
      <c r="H443" s="29"/>
      <c r="I443" s="29"/>
      <c r="J443" s="29"/>
      <c r="K443" s="29"/>
      <c r="L443" s="163">
        <f ca="1">L442</f>
        <v>2</v>
      </c>
      <c r="M443" s="164" t="s">
        <v>105</v>
      </c>
      <c r="N443" s="161"/>
      <c r="O443" s="162"/>
      <c r="P443" s="30"/>
      <c r="Q443" s="30"/>
      <c r="R443" s="30"/>
      <c r="S443" s="30"/>
      <c r="T443" s="155"/>
      <c r="U443" s="30"/>
      <c r="V443" s="30"/>
      <c r="W443" s="30"/>
      <c r="X443" s="31"/>
      <c r="Y443" s="32"/>
      <c r="Z443" s="32"/>
      <c r="AA443" s="32"/>
      <c r="AB443" s="33"/>
      <c r="AC443" s="33"/>
      <c r="AD443" s="23"/>
    </row>
    <row r="444" spans="1:30" ht="72.5" hidden="1" outlineLevel="2" x14ac:dyDescent="0.35">
      <c r="A444" s="86" t="s">
        <v>0</v>
      </c>
      <c r="B444" s="18"/>
      <c r="C444" s="78"/>
      <c r="D444" s="78"/>
      <c r="E444" s="78"/>
      <c r="F444" s="79"/>
      <c r="G444" s="19" t="s">
        <v>23</v>
      </c>
      <c r="H444" s="19" t="s">
        <v>23</v>
      </c>
      <c r="I444" s="20" t="s">
        <v>23</v>
      </c>
      <c r="J444" s="19" t="s">
        <v>23</v>
      </c>
      <c r="K444" s="35"/>
      <c r="L444" s="19"/>
      <c r="M444" s="263" t="str">
        <f ca="1">IFERROR(OFFSET(M444,-1,,1,1)+0.1,OFFSET(M444,-1,-1,1,1)&amp;".1")</f>
        <v>2.1</v>
      </c>
      <c r="N444" s="20" t="s">
        <v>931</v>
      </c>
      <c r="O444" s="20"/>
      <c r="P444" s="20"/>
      <c r="Q444" s="134"/>
      <c r="R444" s="127"/>
      <c r="S444" s="157">
        <f>CEILING((IF(J444="Yes", 0, IF(H444="-",AA444,AA444+AA444*VLOOKUP(H444,BUFFERS_BY_TYPE,2,FALSE)))) +
   (IF(J444="Yes", 0, IF(H444="-",AA444,AA444+AA444*VLOOKUP(H444,BUFFERS_BY_TYPE,2,FALSE))))*VLOOKUP($S$5, SALES_CALL_SCALE_ARRAY, 2,FALSE),0.25)</f>
        <v>6</v>
      </c>
      <c r="T444" s="158"/>
      <c r="U444" s="21">
        <v>0</v>
      </c>
      <c r="V444" s="21">
        <v>1</v>
      </c>
      <c r="W444" s="21">
        <v>0</v>
      </c>
      <c r="X444" s="156">
        <v>6</v>
      </c>
      <c r="Y444" s="157">
        <f>CEILING((IF(P444=AS_DEV_EFFORT, DEV_EFFORT*Q444%,
                           IF(P444=AS_DURATION_EFFORT, (MANUAL_DURATION*5)*Q444%,
                                    (IF(Q444&lt;=1,X444,
                                          IF(SUM(U444:W444)=0,(Q444*X444),
                                               (((Q444*U444)*(X444+(X444*EXTRA_FOR_H)))+
                                               ((Q444*V444)*X444)+
                                               ((Q444*W444)*(X444-(X444*LESS_FOR_L)))
                                    )*IF(R444=0,1,R444))))))+Z444), 0.25)</f>
        <v>6</v>
      </c>
      <c r="Z444" s="22"/>
      <c r="AA444" s="157">
        <f>Y444+Y444*VLOOKUP(I444,EXTRAS_ARRAY,2,FALSE)</f>
        <v>6</v>
      </c>
      <c r="AB444" s="20"/>
      <c r="AC444" s="34"/>
      <c r="AD444" s="23" t="str">
        <f>IF(J444&lt;&gt;"Yes",
IF(S444&lt;=0,"Error: Effort value is not defined or is invalid.",
IF(AND(SUM(U444:W444)&gt;0,SUM(U444:W444)&lt;&gt;1),"Error: Complexity % distribution should sum to 100%.",
IF(AND(P444=AS_DEV_EFFORT,X444&lt;&gt;0),"Error: PDs should not be defined when defining as dev effort %.",
IF(AND(P444=AS_DURATION_EFFORT,X444&lt;&gt;0),"Error: PDs should not be defined when defining as duration effort %.","")))))</f>
        <v/>
      </c>
    </row>
    <row r="445" spans="1:30" ht="130.5" hidden="1" outlineLevel="2" x14ac:dyDescent="0.35">
      <c r="A445" s="86" t="s">
        <v>0</v>
      </c>
      <c r="B445" s="18"/>
      <c r="C445" s="78"/>
      <c r="D445" s="78"/>
      <c r="E445" s="78"/>
      <c r="F445" s="79"/>
      <c r="G445" s="19" t="s">
        <v>23</v>
      </c>
      <c r="H445" s="19" t="s">
        <v>23</v>
      </c>
      <c r="I445" s="20" t="s">
        <v>23</v>
      </c>
      <c r="J445" s="19" t="s">
        <v>23</v>
      </c>
      <c r="K445" s="35" t="s">
        <v>1155</v>
      </c>
      <c r="L445" s="19"/>
      <c r="M445" s="263">
        <f ca="1">IFERROR(OFFSET(M445,-1,,1,1)+0.1,OFFSET(M445,-1,-1,1,1)&amp;".1")</f>
        <v>2.2000000000000002</v>
      </c>
      <c r="N445" s="20" t="s">
        <v>932</v>
      </c>
      <c r="O445" s="20" t="s">
        <v>1156</v>
      </c>
      <c r="P445" s="20">
        <f>Total_Use_Cases * R445</f>
        <v>120</v>
      </c>
      <c r="Q445" s="134">
        <f>Total_Use_Cases</f>
        <v>24</v>
      </c>
      <c r="R445" s="127">
        <v>5</v>
      </c>
      <c r="S445" s="157">
        <f>CEILING((IF(J445="Yes", 0, IF(H445="-",AA445,AA445+AA445*VLOOKUP(H445,BUFFERS_BY_TYPE,2,FALSE)))) +
   (IF(J445="Yes", 0, IF(H445="-",AA445,AA445+AA445*VLOOKUP(H445,BUFFERS_BY_TYPE,2,FALSE))))*VLOOKUP($S$5, SALES_CALL_SCALE_ARRAY, 2,FALSE),0.25)</f>
        <v>18</v>
      </c>
      <c r="T445" s="158"/>
      <c r="U445" s="21">
        <v>0.15</v>
      </c>
      <c r="V445" s="21">
        <v>0.5</v>
      </c>
      <c r="W445" s="21">
        <v>0.35</v>
      </c>
      <c r="X445" s="156">
        <v>0.15</v>
      </c>
      <c r="Y445" s="157">
        <f>CEILING((IF(P445=AS_DEV_EFFORT, DEV_EFFORT*Q445%,
                           IF(P445=AS_DURATION_EFFORT, (MANUAL_DURATION*5)*Q445%,
                                    (IF(Q445&lt;=1,X445,
                                          IF(SUM(U445:W445)=0,(Q445*X445),
                                               (((Q445*U445)*(X445+(X445*EXTRA_FOR_H)))+
                                               ((Q445*V445)*X445)+
                                               ((Q445*W445)*(X445-(X445*LESS_FOR_L)))
                                    )*IF(R445=0,1,R445))))))+Z445), 0.25)</f>
        <v>18</v>
      </c>
      <c r="Z445" s="22">
        <v>0.224</v>
      </c>
      <c r="AA445" s="157">
        <f>Y445+Y445*VLOOKUP(I445,EXTRAS_ARRAY,2,FALSE)</f>
        <v>18</v>
      </c>
      <c r="AB445" s="20"/>
      <c r="AC445" s="34"/>
      <c r="AD445" s="23" t="str">
        <f>IF(J445&lt;&gt;"Yes",
IF(S445&lt;=0,"Error: Effort value is not defined or is invalid.",
IF(AND(SUM(U445:W445)&gt;0,SUM(U445:W445)&lt;&gt;1),"Error: Complexity % distribution should sum to 100%.",
IF(AND(P445=AS_DEV_EFFORT,X445&lt;&gt;0),"Error: PDs should not be defined when defining as dev effort %.",
IF(AND(P445=AS_DURATION_EFFORT,X445&lt;&gt;0),"Error: PDs should not be defined when defining as duration effort %.","")))))</f>
        <v/>
      </c>
    </row>
    <row r="446" spans="1:30" ht="101.5" hidden="1" outlineLevel="2" x14ac:dyDescent="0.35">
      <c r="A446" s="86" t="s">
        <v>0</v>
      </c>
      <c r="B446" s="18"/>
      <c r="C446" s="78"/>
      <c r="D446" s="78"/>
      <c r="E446" s="78"/>
      <c r="F446" s="79"/>
      <c r="G446" s="19" t="s">
        <v>23</v>
      </c>
      <c r="H446" s="19" t="s">
        <v>23</v>
      </c>
      <c r="I446" s="20" t="s">
        <v>23</v>
      </c>
      <c r="J446" s="19" t="s">
        <v>6</v>
      </c>
      <c r="K446" s="35" t="s">
        <v>1157</v>
      </c>
      <c r="L446" s="19"/>
      <c r="M446" s="263">
        <f ca="1">IFERROR(OFFSET(M446,-1,,1,1)+0.1,OFFSET(M446,-1,-1,1,1)&amp;".1")</f>
        <v>2.3000000000000003</v>
      </c>
      <c r="N446" s="20" t="s">
        <v>933</v>
      </c>
      <c r="O446" s="20" t="s">
        <v>1158</v>
      </c>
      <c r="P446" s="20">
        <f>Total_Use_Cases * R446 * 50%</f>
        <v>60</v>
      </c>
      <c r="Q446" s="134">
        <f>Total_Use_Cases</f>
        <v>24</v>
      </c>
      <c r="R446" s="127">
        <v>5</v>
      </c>
      <c r="S446" s="157">
        <f>CEILING((IF(J446="Yes", 0, IF(H446="-",AA446,AA446+AA446*VLOOKUP(H446,BUFFERS_BY_TYPE,2,FALSE)))) +
   (IF(J446="Yes", 0, IF(H446="-",AA446,AA446+AA446*VLOOKUP(H446,BUFFERS_BY_TYPE,2,FALSE))))*VLOOKUP($S$5, SALES_CALL_SCALE_ARRAY, 2,FALSE),0.25)</f>
        <v>0</v>
      </c>
      <c r="T446" s="158"/>
      <c r="U446" s="21">
        <v>0.15</v>
      </c>
      <c r="V446" s="21">
        <v>0.5</v>
      </c>
      <c r="W446" s="21">
        <v>0.35</v>
      </c>
      <c r="X446" s="156">
        <v>0.1</v>
      </c>
      <c r="Y446" s="157">
        <f>CEILING((IF(P446=AS_DEV_EFFORT, DEV_EFFORT*Q446%,
                           IF(P446=AS_DURATION_EFFORT, (MANUAL_DURATION*5)*Q446%,
                                    (IF(Q446&lt;=1,X446,
                                          IF(SUM(U446:W446)=0,(Q446*X446),
                                               (((Q446*U446)*(X446+(X446*EXTRA_FOR_H)))+
                                               ((Q446*V446)*X446)+
                                               ((Q446*W446)*(X446-(X446*LESS_FOR_L)))
                                    )*IF(R446=0,1,R446))))))+Z446), 0.25)</f>
        <v>9</v>
      </c>
      <c r="Z446" s="22">
        <v>-2.851</v>
      </c>
      <c r="AA446" s="157">
        <f>Y446+Y446*VLOOKUP(I446,EXTRAS_ARRAY,2,FALSE)</f>
        <v>9</v>
      </c>
      <c r="AB446" s="20"/>
      <c r="AC446" s="34"/>
      <c r="AD446" s="23" t="b">
        <f>IF(J446&lt;&gt;"Yes",
IF(S446&lt;=0,"Error: Effort value is not defined or is invalid.",
IF(AND(SUM(U446:W446)&gt;0,SUM(U446:W446)&lt;&gt;1),"Error: Complexity % distribution should sum to 100%.",
IF(AND(P446=AS_DEV_EFFORT,X446&lt;&gt;0),"Error: PDs should not be defined when defining as dev effort %.",
IF(AND(P446=AS_DURATION_EFFORT,X446&lt;&gt;0),"Error: PDs should not be defined when defining as duration effort %.","")))))</f>
        <v>0</v>
      </c>
    </row>
    <row r="447" spans="1:30" ht="72.5" hidden="1" outlineLevel="2" x14ac:dyDescent="0.35">
      <c r="A447" s="86" t="s">
        <v>0</v>
      </c>
      <c r="B447" s="18"/>
      <c r="C447" s="78"/>
      <c r="D447" s="78"/>
      <c r="E447" s="78"/>
      <c r="F447" s="79"/>
      <c r="G447" s="19" t="s">
        <v>23</v>
      </c>
      <c r="H447" s="19" t="s">
        <v>23</v>
      </c>
      <c r="I447" s="20" t="s">
        <v>23</v>
      </c>
      <c r="J447" s="19" t="s">
        <v>23</v>
      </c>
      <c r="K447" s="35"/>
      <c r="L447" s="19"/>
      <c r="M447" s="263">
        <f ca="1">IFERROR(OFFSET(M447,-1,,1,1)+0.1,OFFSET(M447,-1,-1,1,1)&amp;".1")</f>
        <v>2.4000000000000004</v>
      </c>
      <c r="N447" s="20" t="s">
        <v>934</v>
      </c>
      <c r="O447" s="20"/>
      <c r="P447" s="20"/>
      <c r="Q447" s="134"/>
      <c r="R447" s="127"/>
      <c r="S447" s="157">
        <f>CEILING((IF(J447="Yes", 0, IF(H447="-",AA447,AA447+AA447*VLOOKUP(H447,BUFFERS_BY_TYPE,2,FALSE)))) +
   (IF(J447="Yes", 0, IF(H447="-",AA447,AA447+AA447*VLOOKUP(H447,BUFFERS_BY_TYPE,2,FALSE))))*VLOOKUP($S$5, SALES_CALL_SCALE_ARRAY, 2,FALSE),0.25)</f>
        <v>5</v>
      </c>
      <c r="T447" s="158"/>
      <c r="U447" s="21">
        <v>0</v>
      </c>
      <c r="V447" s="21">
        <v>1</v>
      </c>
      <c r="W447" s="21">
        <v>0</v>
      </c>
      <c r="X447" s="156">
        <v>5</v>
      </c>
      <c r="Y447" s="157">
        <f>CEILING((IF(P447=AS_DEV_EFFORT, DEV_EFFORT*Q447%,
                           IF(P447=AS_DURATION_EFFORT, (MANUAL_DURATION*5)*Q447%,
                                    (IF(Q447&lt;=1,X447,
                                          IF(SUM(U447:W447)=0,(Q447*X447),
                                               (((Q447*U447)*(X447+(X447*EXTRA_FOR_H)))+
                                               ((Q447*V447)*X447)+
                                               ((Q447*W447)*(X447-(X447*LESS_FOR_L)))
                                    )*IF(R447=0,1,R447))))))+Z447), 0.25)</f>
        <v>5</v>
      </c>
      <c r="Z447" s="22"/>
      <c r="AA447" s="157">
        <f>Y447+Y447*VLOOKUP(I447,EXTRAS_ARRAY,2,FALSE)</f>
        <v>5</v>
      </c>
      <c r="AB447" s="20"/>
      <c r="AC447" s="34"/>
      <c r="AD447" s="23" t="str">
        <f>IF(J447&lt;&gt;"Yes",
IF(S447&lt;=0,"Error: Effort value is not defined or is invalid.",
IF(AND(SUM(U447:W447)&gt;0,SUM(U447:W447)&lt;&gt;1),"Error: Complexity % distribution should sum to 100%.",
IF(AND(P447=AS_DEV_EFFORT,X447&lt;&gt;0),"Error: PDs should not be defined when defining as dev effort %.",
IF(AND(P447=AS_DURATION_EFFORT,X447&lt;&gt;0),"Error: PDs should not be defined when defining as duration effort %.","")))))</f>
        <v/>
      </c>
    </row>
    <row r="448" spans="1:30" s="9" customFormat="1" ht="7.5" hidden="1" customHeight="1" outlineLevel="2" x14ac:dyDescent="0.35">
      <c r="A448" s="86" t="s">
        <v>132</v>
      </c>
      <c r="B448" s="15"/>
      <c r="C448" s="72"/>
      <c r="D448" s="72"/>
      <c r="E448" s="72"/>
      <c r="F448" s="72"/>
      <c r="M448" s="252"/>
      <c r="T448" s="15"/>
      <c r="X448" s="15"/>
      <c r="AB448" s="10"/>
      <c r="AC448" s="10"/>
      <c r="AD448" s="10"/>
    </row>
    <row r="449" spans="1:30" s="14" customFormat="1" ht="15.5" outlineLevel="1" collapsed="1" x14ac:dyDescent="0.35">
      <c r="A449" s="86" t="s">
        <v>100</v>
      </c>
      <c r="B449" s="18"/>
      <c r="C449" s="77"/>
      <c r="D449" s="77"/>
      <c r="E449" s="77"/>
      <c r="F449" s="76"/>
      <c r="G449" s="29"/>
      <c r="H449" s="29"/>
      <c r="I449" s="29"/>
      <c r="J449" s="29"/>
      <c r="K449" s="29"/>
      <c r="L449" s="17">
        <f ca="1">LOOKUP(1000,INDIRECT("L1:"&amp;CELL("address",INDIRECT("R[-1]C",FALSE))))+1</f>
        <v>3</v>
      </c>
      <c r="M449" s="310" t="s">
        <v>455</v>
      </c>
      <c r="N449" s="310"/>
      <c r="O449" s="5"/>
      <c r="P449" s="30"/>
      <c r="Q449" s="30"/>
      <c r="R449" s="30"/>
      <c r="S449" s="30"/>
      <c r="T449" s="155">
        <f>IF($S$6="Exclude", SUMIFS(S450:S453, J450:J453, "&lt;&gt;Yes", G450:G453, "&lt;&gt;Yes"), SUMIFS(S450:S453, J450:J453, "&lt;&gt;Yes"))</f>
        <v>30</v>
      </c>
      <c r="U449" s="30"/>
      <c r="V449" s="30"/>
      <c r="W449" s="30"/>
      <c r="X449" s="31"/>
      <c r="Y449" s="32"/>
      <c r="Z449" s="32"/>
      <c r="AA449" s="32"/>
      <c r="AB449" s="219"/>
      <c r="AC449" s="33"/>
      <c r="AD449" s="23" t="str">
        <f>IF(M449="", "Error: Task name cannot be empty.", "")</f>
        <v/>
      </c>
    </row>
    <row r="450" spans="1:30" s="12" customFormat="1" ht="1.5" hidden="1" customHeight="1" outlineLevel="2" x14ac:dyDescent="0.35">
      <c r="A450" s="86" t="s">
        <v>101</v>
      </c>
      <c r="B450" s="18"/>
      <c r="C450" s="77"/>
      <c r="D450" s="77"/>
      <c r="E450" s="77"/>
      <c r="F450" s="76"/>
      <c r="G450" s="29"/>
      <c r="H450" s="29"/>
      <c r="I450" s="29"/>
      <c r="J450" s="29"/>
      <c r="K450" s="29"/>
      <c r="L450" s="163">
        <f ca="1">L449</f>
        <v>3</v>
      </c>
      <c r="M450" s="164" t="s">
        <v>105</v>
      </c>
      <c r="N450" s="161"/>
      <c r="O450" s="162"/>
      <c r="P450" s="30"/>
      <c r="Q450" s="30"/>
      <c r="R450" s="30"/>
      <c r="S450" s="30"/>
      <c r="T450" s="155"/>
      <c r="U450" s="30"/>
      <c r="V450" s="30"/>
      <c r="W450" s="30"/>
      <c r="X450" s="31"/>
      <c r="Y450" s="32"/>
      <c r="Z450" s="32"/>
      <c r="AA450" s="32"/>
      <c r="AB450" s="33"/>
      <c r="AC450" s="33"/>
      <c r="AD450" s="23"/>
    </row>
    <row r="451" spans="1:30" ht="72.5" hidden="1" outlineLevel="2" x14ac:dyDescent="0.35">
      <c r="A451" s="86" t="s">
        <v>0</v>
      </c>
      <c r="B451" s="18"/>
      <c r="C451" s="78"/>
      <c r="D451" s="78"/>
      <c r="E451" s="78"/>
      <c r="F451" s="79"/>
      <c r="G451" s="19" t="s">
        <v>23</v>
      </c>
      <c r="H451" s="19" t="s">
        <v>23</v>
      </c>
      <c r="I451" s="20" t="s">
        <v>23</v>
      </c>
      <c r="J451" s="19" t="s">
        <v>23</v>
      </c>
      <c r="K451" s="35"/>
      <c r="L451" s="19"/>
      <c r="M451" s="263" t="str">
        <f ca="1">IFERROR(OFFSET(M451,-1,,1,1)+0.1,OFFSET(M451,-1,-1,1,1)&amp;".1")</f>
        <v>3.1</v>
      </c>
      <c r="N451" s="20" t="s">
        <v>935</v>
      </c>
      <c r="O451" s="20"/>
      <c r="P451" s="20"/>
      <c r="Q451" s="134"/>
      <c r="R451" s="127"/>
      <c r="S451" s="157">
        <f>CEILING((IF(J451="Yes", 0, IF(H451="-",AA451,AA451+AA451*VLOOKUP(H451,BUFFERS_BY_TYPE,2,FALSE)))) +
   (IF(J451="Yes", 0, IF(H451="-",AA451,AA451+AA451*VLOOKUP(H451,BUFFERS_BY_TYPE,2,FALSE))))*VLOOKUP($S$5, SALES_CALL_SCALE_ARRAY, 2,FALSE),0.25)</f>
        <v>8</v>
      </c>
      <c r="T451" s="158"/>
      <c r="U451" s="21">
        <v>0</v>
      </c>
      <c r="V451" s="21">
        <v>1</v>
      </c>
      <c r="W451" s="21">
        <v>0</v>
      </c>
      <c r="X451" s="156">
        <v>8</v>
      </c>
      <c r="Y451" s="157">
        <f>CEILING((IF(P451=AS_DEV_EFFORT, DEV_EFFORT*Q451%,
                           IF(P451=AS_DURATION_EFFORT, (MANUAL_DURATION*5)*Q451%,
                                    (IF(Q451&lt;=1,X451,
                                          IF(SUM(U451:W451)=0,(Q451*X451),
                                               (((Q451*U451)*(X451+(X451*EXTRA_FOR_H)))+
                                               ((Q451*V451)*X451)+
                                               ((Q451*W451)*(X451-(X451*LESS_FOR_L)))
                                    )*IF(R451=0,1,R451))))))+Z451), 0.25)</f>
        <v>8</v>
      </c>
      <c r="Z451" s="22"/>
      <c r="AA451" s="157">
        <f>Y451+Y451*VLOOKUP(I451,EXTRAS_ARRAY,2,FALSE)</f>
        <v>8</v>
      </c>
      <c r="AB451" s="20"/>
      <c r="AC451" s="34"/>
      <c r="AD451" s="23" t="str">
        <f>IF(J451&lt;&gt;"Yes",
IF(S451&lt;=0,"Error: Effort value is not defined or is invalid.",
IF(AND(SUM(U451:W451)&gt;0,SUM(U451:W451)&lt;&gt;1),"Error: Complexity % distribution should sum to 100%.",
IF(AND(P451=AS_DEV_EFFORT,X451&lt;&gt;0),"Error: PDs should not be defined when defining as dev effort %.",
IF(AND(P451=AS_DURATION_EFFORT,X451&lt;&gt;0),"Error: PDs should not be defined when defining as duration effort %.","")))))</f>
        <v/>
      </c>
    </row>
    <row r="452" spans="1:30" ht="116" hidden="1" outlineLevel="2" x14ac:dyDescent="0.35">
      <c r="A452" s="86" t="s">
        <v>0</v>
      </c>
      <c r="B452" s="18"/>
      <c r="C452" s="78"/>
      <c r="D452" s="78"/>
      <c r="E452" s="78"/>
      <c r="F452" s="79"/>
      <c r="G452" s="19" t="s">
        <v>23</v>
      </c>
      <c r="H452" s="19" t="s">
        <v>23</v>
      </c>
      <c r="I452" s="20" t="s">
        <v>23</v>
      </c>
      <c r="J452" s="19" t="s">
        <v>23</v>
      </c>
      <c r="K452" s="35" t="s">
        <v>487</v>
      </c>
      <c r="L452" s="19"/>
      <c r="M452" s="263">
        <f ca="1">IFERROR(OFFSET(M452,-1,,1,1)+0.1,OFFSET(M452,-1,-1,1,1)&amp;".1")</f>
        <v>3.2</v>
      </c>
      <c r="N452" s="20" t="s">
        <v>936</v>
      </c>
      <c r="O452" s="20" t="s">
        <v>486</v>
      </c>
      <c r="P452" s="251">
        <v>0.75</v>
      </c>
      <c r="Q452" s="134">
        <f>Total_Test_Cases * P452</f>
        <v>90</v>
      </c>
      <c r="R452" s="127"/>
      <c r="S452" s="157">
        <f>CEILING((IF(J452="Yes", 0, IF(H452="-",AA452,AA452+AA452*VLOOKUP(H452,BUFFERS_BY_TYPE,2,FALSE)))) +
   (IF(J452="Yes", 0, IF(H452="-",AA452,AA452+AA452*VLOOKUP(H452,BUFFERS_BY_TYPE,2,FALSE))))*VLOOKUP($S$5, SALES_CALL_SCALE_ARRAY, 2,FALSE),0.25)</f>
        <v>22</v>
      </c>
      <c r="T452" s="158"/>
      <c r="U452" s="21">
        <v>0.2</v>
      </c>
      <c r="V452" s="21">
        <v>0.6</v>
      </c>
      <c r="W452" s="21">
        <v>0.2</v>
      </c>
      <c r="X452" s="156">
        <v>0.25</v>
      </c>
      <c r="Y452" s="157">
        <f>CEILING((IF(P452=AS_DEV_EFFORT, DEV_EFFORT*Q452%,
                           IF(P452=AS_DURATION_EFFORT, (MANUAL_DURATION*5)*Q452%,
                                    (IF(Q452&lt;=1,X452,
                                          IF(SUM(U452:W452)=0,(Q452*X452),
                                               (((Q452*U452)*(X452+(X452*EXTRA_FOR_H)))+
                                               ((Q452*V452)*X452)+
                                               ((Q452*W452)*(X452-(X452*LESS_FOR_L)))
                                    )*IF(R452=0,1,R452))))))+Z452), 0.25)</f>
        <v>22</v>
      </c>
      <c r="Z452" s="22">
        <v>-1.6259999999999999</v>
      </c>
      <c r="AA452" s="157">
        <f>Y452+Y452*VLOOKUP(I452,EXTRAS_ARRAY,2,FALSE)</f>
        <v>22</v>
      </c>
      <c r="AB452" s="20"/>
      <c r="AC452" s="34"/>
      <c r="AD452" s="23" t="str">
        <f>IF(J452&lt;&gt;"Yes",
IF(S452&lt;=0,"Error: Effort value is not defined or is invalid.",
IF(AND(SUM(U452:W452)&gt;0,SUM(U452:W452)&lt;&gt;1),"Error: Complexity % distribution should sum to 100%.",
IF(AND(P452=AS_DEV_EFFORT,X452&lt;&gt;0),"Error: PDs should not be defined when defining as dev effort %.",
IF(AND(P452=AS_DURATION_EFFORT,X452&lt;&gt;0),"Error: PDs should not be defined when defining as duration effort %.","")))))</f>
        <v/>
      </c>
    </row>
    <row r="453" spans="1:30" s="9" customFormat="1" ht="7.5" hidden="1" customHeight="1" outlineLevel="2" x14ac:dyDescent="0.35">
      <c r="A453" s="86" t="s">
        <v>132</v>
      </c>
      <c r="B453" s="15"/>
      <c r="C453" s="72"/>
      <c r="D453" s="72"/>
      <c r="E453" s="72"/>
      <c r="F453" s="72"/>
      <c r="M453" s="252"/>
      <c r="T453" s="15"/>
      <c r="X453" s="15"/>
      <c r="AB453" s="10"/>
      <c r="AC453" s="10"/>
      <c r="AD453" s="10"/>
    </row>
    <row r="454" spans="1:30" s="14" customFormat="1" ht="15.5" outlineLevel="1" collapsed="1" x14ac:dyDescent="0.35">
      <c r="A454" s="86" t="s">
        <v>100</v>
      </c>
      <c r="B454" s="18"/>
      <c r="C454" s="77"/>
      <c r="D454" s="77"/>
      <c r="E454" s="77"/>
      <c r="F454" s="76"/>
      <c r="G454" s="29"/>
      <c r="H454" s="29"/>
      <c r="I454" s="29"/>
      <c r="J454" s="29"/>
      <c r="K454" s="29"/>
      <c r="L454" s="17">
        <f ca="1">LOOKUP(1000,INDIRECT("L1:"&amp;CELL("address",INDIRECT("R[-1]C",FALSE))))+1</f>
        <v>4</v>
      </c>
      <c r="M454" s="310" t="s">
        <v>456</v>
      </c>
      <c r="N454" s="310"/>
      <c r="O454" s="5"/>
      <c r="P454" s="30"/>
      <c r="Q454" s="30"/>
      <c r="R454" s="30"/>
      <c r="S454" s="30"/>
      <c r="T454" s="155">
        <f>IF($S$6="Exclude", SUMIFS(S455:S460, J455:J460, "&lt;&gt;Yes", G455:G460, "&lt;&gt;Yes"), SUMIFS(S455:S460, J455:J460, "&lt;&gt;Yes"))</f>
        <v>17</v>
      </c>
      <c r="U454" s="30"/>
      <c r="V454" s="30"/>
      <c r="W454" s="30"/>
      <c r="X454" s="31"/>
      <c r="Y454" s="32"/>
      <c r="Z454" s="32"/>
      <c r="AA454" s="32"/>
      <c r="AB454" s="219"/>
      <c r="AC454" s="33"/>
      <c r="AD454" s="23" t="str">
        <f>IF(M454="", "Error: Task name cannot be empty.", "")</f>
        <v/>
      </c>
    </row>
    <row r="455" spans="1:30" s="12" customFormat="1" ht="1.5" hidden="1" customHeight="1" outlineLevel="2" x14ac:dyDescent="0.35">
      <c r="A455" s="86" t="s">
        <v>101</v>
      </c>
      <c r="B455" s="18"/>
      <c r="C455" s="77"/>
      <c r="D455" s="77"/>
      <c r="E455" s="77"/>
      <c r="F455" s="76"/>
      <c r="G455" s="29"/>
      <c r="H455" s="29"/>
      <c r="I455" s="29"/>
      <c r="J455" s="29"/>
      <c r="K455" s="29"/>
      <c r="L455" s="163">
        <f ca="1">L454</f>
        <v>4</v>
      </c>
      <c r="M455" s="164" t="s">
        <v>105</v>
      </c>
      <c r="N455" s="161"/>
      <c r="O455" s="162"/>
      <c r="P455" s="30"/>
      <c r="Q455" s="30"/>
      <c r="R455" s="30"/>
      <c r="S455" s="30"/>
      <c r="T455" s="155"/>
      <c r="U455" s="30"/>
      <c r="V455" s="30"/>
      <c r="W455" s="30"/>
      <c r="X455" s="31"/>
      <c r="Y455" s="32"/>
      <c r="Z455" s="32"/>
      <c r="AA455" s="32"/>
      <c r="AB455" s="33"/>
      <c r="AC455" s="33"/>
      <c r="AD455" s="23"/>
    </row>
    <row r="456" spans="1:30" ht="58" hidden="1" outlineLevel="2" x14ac:dyDescent="0.35">
      <c r="A456" s="86" t="s">
        <v>0</v>
      </c>
      <c r="B456" s="18"/>
      <c r="C456" s="78"/>
      <c r="D456" s="78"/>
      <c r="E456" s="78"/>
      <c r="F456" s="79"/>
      <c r="G456" s="19" t="s">
        <v>23</v>
      </c>
      <c r="H456" s="19" t="s">
        <v>23</v>
      </c>
      <c r="I456" s="20" t="s">
        <v>23</v>
      </c>
      <c r="J456" s="19" t="s">
        <v>23</v>
      </c>
      <c r="K456" s="35"/>
      <c r="L456" s="19"/>
      <c r="M456" s="263" t="str">
        <f ca="1">IFERROR(OFFSET(M456,-1,,1,1)+0.1,OFFSET(M456,-1,-1,1,1)&amp;".1")</f>
        <v>4.1</v>
      </c>
      <c r="N456" s="20" t="s">
        <v>937</v>
      </c>
      <c r="O456" s="20"/>
      <c r="P456" s="20" t="s">
        <v>457</v>
      </c>
      <c r="Q456" s="134"/>
      <c r="R456" s="127"/>
      <c r="S456" s="157">
        <f>CEILING((IF(J456="Yes", 0, IF(H456="-",AA456,AA456+AA456*VLOOKUP(H456,BUFFERS_BY_TYPE,2,FALSE)))) +
   (IF(J456="Yes", 0, IF(H456="-",AA456,AA456+AA456*VLOOKUP(H456,BUFFERS_BY_TYPE,2,FALSE))))*VLOOKUP($S$5, SALES_CALL_SCALE_ARRAY, 2,FALSE),0.25)</f>
        <v>5</v>
      </c>
      <c r="T456" s="158"/>
      <c r="U456" s="21">
        <v>0</v>
      </c>
      <c r="V456" s="21">
        <v>1</v>
      </c>
      <c r="W456" s="21">
        <v>0</v>
      </c>
      <c r="X456" s="156">
        <v>5</v>
      </c>
      <c r="Y456" s="157">
        <f>CEILING((IF(P456=AS_DEV_EFFORT, DEV_EFFORT*Q456%,
                           IF(P456=AS_DURATION_EFFORT, (MANUAL_DURATION*5)*Q456%,
                                    (IF(Q456&lt;=1,X456,
                                          IF(SUM(U456:W456)=0,(Q456*X456),
                                               (((Q456*U456)*(X456+(X456*EXTRA_FOR_H)))+
                                               ((Q456*V456)*X456)+
                                               ((Q456*W456)*(X456-(X456*LESS_FOR_L)))
                                    )*IF(R456=0,1,R456))))))+Z456), 0.25)</f>
        <v>5</v>
      </c>
      <c r="Z456" s="22"/>
      <c r="AA456" s="157">
        <f>Y456+Y456*VLOOKUP(I456,EXTRAS_ARRAY,2,FALSE)</f>
        <v>5</v>
      </c>
      <c r="AB456" s="20"/>
      <c r="AC456" s="34"/>
      <c r="AD456" s="23" t="str">
        <f>IF(J456&lt;&gt;"Yes",
IF(S456&lt;=0,"Error: Effort value is not defined or is invalid.",
IF(AND(SUM(U456:W456)&gt;0,SUM(U456:W456)&lt;&gt;1),"Error: Complexity % distribution should sum to 100%.",
IF(AND(P456=AS_DEV_EFFORT,X456&lt;&gt;0),"Error: PDs should not be defined when defining as dev effort %.",
IF(AND(P456=AS_DURATION_EFFORT,X456&lt;&gt;0),"Error: PDs should not be defined when defining as duration effort %.","")))))</f>
        <v/>
      </c>
    </row>
    <row r="457" spans="1:30" ht="58" hidden="1" outlineLevel="2" x14ac:dyDescent="0.35">
      <c r="A457" s="86" t="s">
        <v>0</v>
      </c>
      <c r="B457" s="18"/>
      <c r="C457" s="78"/>
      <c r="D457" s="78"/>
      <c r="E457" s="78"/>
      <c r="F457" s="79"/>
      <c r="G457" s="19" t="s">
        <v>23</v>
      </c>
      <c r="H457" s="19" t="s">
        <v>23</v>
      </c>
      <c r="I457" s="20" t="s">
        <v>23</v>
      </c>
      <c r="J457" s="19" t="s">
        <v>23</v>
      </c>
      <c r="K457" s="35"/>
      <c r="L457" s="19"/>
      <c r="M457" s="263">
        <f ca="1">IFERROR(OFFSET(M457,-1,,1,1)+0.1,OFFSET(M457,-1,-1,1,1)&amp;".1")</f>
        <v>4.1999999999999993</v>
      </c>
      <c r="N457" s="20" t="s">
        <v>938</v>
      </c>
      <c r="O457" s="20"/>
      <c r="P457" s="20" t="s">
        <v>454</v>
      </c>
      <c r="Q457" s="134">
        <f>Total_Test_Cases * 15%</f>
        <v>18</v>
      </c>
      <c r="R457" s="127"/>
      <c r="S457" s="157">
        <f>CEILING((IF(J457="Yes", 0, IF(H457="-",AA457,AA457+AA457*VLOOKUP(H457,BUFFERS_BY_TYPE,2,FALSE)))) +
   (IF(J457="Yes", 0, IF(H457="-",AA457,AA457+AA457*VLOOKUP(H457,BUFFERS_BY_TYPE,2,FALSE))))*VLOOKUP($S$5, SALES_CALL_SCALE_ARRAY, 2,FALSE),0.25)</f>
        <v>4</v>
      </c>
      <c r="T457" s="158"/>
      <c r="U457" s="21">
        <v>0</v>
      </c>
      <c r="V457" s="21">
        <v>1</v>
      </c>
      <c r="W457" s="21">
        <v>0</v>
      </c>
      <c r="X457" s="156">
        <v>0.3</v>
      </c>
      <c r="Y457" s="157">
        <f>CEILING((IF(P457=AS_DEV_EFFORT, DEV_EFFORT*Q457%,
                           IF(P457=AS_DURATION_EFFORT, (MANUAL_DURATION*5)*Q457%,
                                    (IF(Q457&lt;=1,X457,
                                          IF(SUM(U457:W457)=0,(Q457*X457),
                                               (((Q457*U457)*(X457+(X457*EXTRA_FOR_H)))+
                                               ((Q457*V457)*X457)+
                                               ((Q457*W457)*(X457-(X457*LESS_FOR_L)))
                                    )*IF(R457=0,1,R457))))))+Z457), 0.25)</f>
        <v>4</v>
      </c>
      <c r="Z457" s="22">
        <v>-1.401</v>
      </c>
      <c r="AA457" s="157">
        <f>Y457+Y457*VLOOKUP(I457,EXTRAS_ARRAY,2,FALSE)</f>
        <v>4</v>
      </c>
      <c r="AB457" s="20" t="s">
        <v>488</v>
      </c>
      <c r="AC457" s="34"/>
      <c r="AD457" s="23" t="str">
        <f>IF(J457&lt;&gt;"Yes",
IF(S457&lt;=0,"Error: Effort value is not defined or is invalid.",
IF(AND(SUM(U457:W457)&gt;0,SUM(U457:W457)&lt;&gt;1),"Error: Complexity % distribution should sum to 100%.",
IF(AND(P457=AS_DEV_EFFORT,X457&lt;&gt;0),"Error: PDs should not be defined when defining as dev effort %.",
IF(AND(P457=AS_DURATION_EFFORT,X457&lt;&gt;0),"Error: PDs should not be defined when defining as duration effort %.","")))))</f>
        <v/>
      </c>
    </row>
    <row r="458" spans="1:30" ht="72.5" hidden="1" outlineLevel="2" x14ac:dyDescent="0.35">
      <c r="A458" s="86" t="s">
        <v>0</v>
      </c>
      <c r="B458" s="18"/>
      <c r="C458" s="78"/>
      <c r="D458" s="78"/>
      <c r="E458" s="78"/>
      <c r="F458" s="79"/>
      <c r="G458" s="19" t="s">
        <v>23</v>
      </c>
      <c r="H458" s="19" t="s">
        <v>23</v>
      </c>
      <c r="I458" s="20" t="s">
        <v>23</v>
      </c>
      <c r="J458" s="19" t="s">
        <v>23</v>
      </c>
      <c r="K458" s="35"/>
      <c r="L458" s="19"/>
      <c r="M458" s="263">
        <f ca="1">IFERROR(OFFSET(M458,-1,,1,1)+0.1,OFFSET(M458,-1,-1,1,1)&amp;".1")</f>
        <v>4.2999999999999989</v>
      </c>
      <c r="N458" s="20" t="s">
        <v>939</v>
      </c>
      <c r="O458" s="20"/>
      <c r="P458" s="20" t="s">
        <v>454</v>
      </c>
      <c r="Q458" s="134">
        <f>Total_Test_Cases * 15%</f>
        <v>18</v>
      </c>
      <c r="R458" s="127">
        <v>3</v>
      </c>
      <c r="S458" s="157">
        <f>CEILING((IF(J458="Yes", 0, IF(H458="-",AA458,AA458+AA458*VLOOKUP(H458,BUFFERS_BY_TYPE,2,FALSE)))) +
   (IF(J458="Yes", 0, IF(H458="-",AA458,AA458+AA458*VLOOKUP(H458,BUFFERS_BY_TYPE,2,FALSE))))*VLOOKUP($S$5, SALES_CALL_SCALE_ARRAY, 2,FALSE),0.25)</f>
        <v>4</v>
      </c>
      <c r="T458" s="158"/>
      <c r="U458" s="21">
        <v>0</v>
      </c>
      <c r="V458" s="21">
        <v>1</v>
      </c>
      <c r="W458" s="21">
        <v>0</v>
      </c>
      <c r="X458" s="156">
        <v>0.1</v>
      </c>
      <c r="Y458" s="157">
        <f>CEILING((IF(P458=AS_DEV_EFFORT, DEV_EFFORT*Q458%,
                           IF(P458=AS_DURATION_EFFORT, (MANUAL_DURATION*5)*Q458%,
                                    (IF(Q458&lt;=1,X458,
                                          IF(SUM(U458:W458)=0,(Q458*X458),
                                               (((Q458*U458)*(X458+(X458*EXTRA_FOR_H)))+
                                               ((Q458*V458)*X458)+
                                               ((Q458*W458)*(X458-(X458*LESS_FOR_L)))
                                    )*IF(R458=0,1,R458))))))+Z458), 0.25)</f>
        <v>4</v>
      </c>
      <c r="Z458" s="22">
        <v>-1.401</v>
      </c>
      <c r="AA458" s="157">
        <f>Y458+Y458*VLOOKUP(I458,EXTRAS_ARRAY,2,FALSE)</f>
        <v>4</v>
      </c>
      <c r="AB458" s="20"/>
      <c r="AC458" s="34"/>
      <c r="AD458" s="23" t="str">
        <f>IF(J458&lt;&gt;"Yes",
IF(S458&lt;=0,"Error: Effort value is not defined or is invalid.",
IF(AND(SUM(U458:W458)&gt;0,SUM(U458:W458)&lt;&gt;1),"Error: Complexity % distribution should sum to 100%.",
IF(AND(P458=AS_DEV_EFFORT,X458&lt;&gt;0),"Error: PDs should not be defined when defining as dev effort %.",
IF(AND(P458=AS_DURATION_EFFORT,X458&lt;&gt;0),"Error: PDs should not be defined when defining as duration effort %.","")))))</f>
        <v/>
      </c>
    </row>
    <row r="459" spans="1:30" ht="72.5" hidden="1" outlineLevel="2" x14ac:dyDescent="0.35">
      <c r="A459" s="86" t="s">
        <v>0</v>
      </c>
      <c r="B459" s="18"/>
      <c r="C459" s="78"/>
      <c r="D459" s="78"/>
      <c r="E459" s="78"/>
      <c r="F459" s="79"/>
      <c r="G459" s="19" t="s">
        <v>23</v>
      </c>
      <c r="H459" s="19" t="s">
        <v>23</v>
      </c>
      <c r="I459" s="20" t="s">
        <v>23</v>
      </c>
      <c r="J459" s="19" t="s">
        <v>23</v>
      </c>
      <c r="K459" s="35"/>
      <c r="L459" s="19"/>
      <c r="M459" s="263">
        <f ca="1">IFERROR(OFFSET(M459,-1,,1,1)+0.1,OFFSET(M459,-1,-1,1,1)&amp;".1")</f>
        <v>4.3999999999999986</v>
      </c>
      <c r="N459" s="20" t="s">
        <v>940</v>
      </c>
      <c r="O459" s="20"/>
      <c r="P459" s="20"/>
      <c r="Q459" s="134"/>
      <c r="R459" s="127"/>
      <c r="S459" s="157">
        <f>CEILING((IF(J459="Yes", 0, IF(H459="-",AA459,AA459+AA459*VLOOKUP(H459,BUFFERS_BY_TYPE,2,FALSE)))) +
   (IF(J459="Yes", 0, IF(H459="-",AA459,AA459+AA459*VLOOKUP(H459,BUFFERS_BY_TYPE,2,FALSE))))*VLOOKUP($S$5, SALES_CALL_SCALE_ARRAY, 2,FALSE),0.25)</f>
        <v>4</v>
      </c>
      <c r="T459" s="158"/>
      <c r="U459" s="21">
        <v>0</v>
      </c>
      <c r="V459" s="21">
        <v>1</v>
      </c>
      <c r="W459" s="21">
        <v>0</v>
      </c>
      <c r="X459" s="156">
        <v>4</v>
      </c>
      <c r="Y459" s="157">
        <f>CEILING((IF(P459=AS_DEV_EFFORT, DEV_EFFORT*Q459%,
                           IF(P459=AS_DURATION_EFFORT, (MANUAL_DURATION*5)*Q459%,
                                    (IF(Q459&lt;=1,X459,
                                          IF(SUM(U459:W459)=0,(Q459*X459),
                                               (((Q459*U459)*(X459+(X459*EXTRA_FOR_H)))+
                                               ((Q459*V459)*X459)+
                                               ((Q459*W459)*(X459-(X459*LESS_FOR_L)))
                                    )*IF(R459=0,1,R459))))))+Z459), 0.25)</f>
        <v>4</v>
      </c>
      <c r="Z459" s="22"/>
      <c r="AA459" s="157">
        <f>Y459+Y459*VLOOKUP(I459,EXTRAS_ARRAY,2,FALSE)</f>
        <v>4</v>
      </c>
      <c r="AB459" s="20"/>
      <c r="AC459" s="34"/>
      <c r="AD459" s="23" t="str">
        <f>IF(J459&lt;&gt;"Yes",
IF(S459&lt;=0,"Error: Effort value is not defined or is invalid.",
IF(AND(SUM(U459:W459)&gt;0,SUM(U459:W459)&lt;&gt;1),"Error: Complexity % distribution should sum to 100%.",
IF(AND(P459=AS_DEV_EFFORT,X459&lt;&gt;0),"Error: PDs should not be defined when defining as dev effort %.",
IF(AND(P459=AS_DURATION_EFFORT,X459&lt;&gt;0),"Error: PDs should not be defined when defining as duration effort %.","")))))</f>
        <v/>
      </c>
    </row>
    <row r="460" spans="1:30" s="9" customFormat="1" ht="7.5" hidden="1" customHeight="1" outlineLevel="2" x14ac:dyDescent="0.35">
      <c r="A460" s="86" t="s">
        <v>132</v>
      </c>
      <c r="B460" s="15"/>
      <c r="C460" s="72"/>
      <c r="D460" s="72"/>
      <c r="E460" s="72"/>
      <c r="F460" s="72"/>
      <c r="M460" s="252"/>
      <c r="T460" s="15"/>
      <c r="X460" s="15"/>
      <c r="AB460" s="10"/>
      <c r="AC460" s="10"/>
      <c r="AD460" s="10"/>
    </row>
    <row r="461" spans="1:30" s="14" customFormat="1" ht="15.5" outlineLevel="1" x14ac:dyDescent="0.35">
      <c r="A461" s="86" t="s">
        <v>100</v>
      </c>
      <c r="B461" s="18"/>
      <c r="C461" s="77"/>
      <c r="D461" s="77"/>
      <c r="E461" s="77"/>
      <c r="F461" s="76"/>
      <c r="G461" s="29"/>
      <c r="H461" s="29"/>
      <c r="I461" s="29"/>
      <c r="J461" s="29"/>
      <c r="K461" s="29"/>
      <c r="L461" s="17">
        <f ca="1">LOOKUP(1000,INDIRECT("L1:"&amp;CELL("address",INDIRECT("R[-1]C",FALSE))))+1</f>
        <v>5</v>
      </c>
      <c r="M461" s="310" t="s">
        <v>458</v>
      </c>
      <c r="N461" s="310"/>
      <c r="O461" s="5"/>
      <c r="P461" s="30"/>
      <c r="Q461" s="30"/>
      <c r="R461" s="30"/>
      <c r="S461" s="30"/>
      <c r="T461" s="155">
        <f>IF($S$6="Exclude", SUMIFS(S462:S469, J462:J469, "&lt;&gt;Yes", G462:G469, "&lt;&gt;Yes"), SUMIFS(S462:S469, J462:J469, "&lt;&gt;Yes"))</f>
        <v>14</v>
      </c>
      <c r="U461" s="30"/>
      <c r="V461" s="30"/>
      <c r="W461" s="30"/>
      <c r="X461" s="31"/>
      <c r="Y461" s="32"/>
      <c r="Z461" s="32"/>
      <c r="AA461" s="32"/>
      <c r="AB461" s="219"/>
      <c r="AC461" s="33"/>
      <c r="AD461" s="23" t="str">
        <f>IF(M461="", "Error: Task name cannot be empty.", "")</f>
        <v/>
      </c>
    </row>
    <row r="462" spans="1:30" s="12" customFormat="1" ht="1.5" customHeight="1" outlineLevel="2" x14ac:dyDescent="0.35">
      <c r="A462" s="86" t="s">
        <v>101</v>
      </c>
      <c r="B462" s="18"/>
      <c r="C462" s="77"/>
      <c r="D462" s="77"/>
      <c r="E462" s="77"/>
      <c r="F462" s="76"/>
      <c r="G462" s="29"/>
      <c r="H462" s="29"/>
      <c r="I462" s="29"/>
      <c r="J462" s="29"/>
      <c r="K462" s="29"/>
      <c r="L462" s="163">
        <f ca="1">L461</f>
        <v>5</v>
      </c>
      <c r="M462" s="164" t="s">
        <v>105</v>
      </c>
      <c r="N462" s="161"/>
      <c r="O462" s="162"/>
      <c r="P462" s="30"/>
      <c r="Q462" s="30"/>
      <c r="R462" s="30"/>
      <c r="S462" s="30"/>
      <c r="T462" s="155"/>
      <c r="U462" s="30"/>
      <c r="V462" s="30"/>
      <c r="W462" s="30"/>
      <c r="X462" s="31"/>
      <c r="Y462" s="32"/>
      <c r="Z462" s="32"/>
      <c r="AA462" s="32"/>
      <c r="AB462" s="33"/>
      <c r="AC462" s="33"/>
      <c r="AD462" s="23"/>
    </row>
    <row r="463" spans="1:30" ht="58" outlineLevel="2" x14ac:dyDescent="0.35">
      <c r="A463" s="86" t="s">
        <v>0</v>
      </c>
      <c r="B463" s="18"/>
      <c r="C463" s="78"/>
      <c r="D463" s="78"/>
      <c r="E463" s="78"/>
      <c r="F463" s="79"/>
      <c r="G463" s="19" t="s">
        <v>23</v>
      </c>
      <c r="H463" s="19" t="s">
        <v>23</v>
      </c>
      <c r="I463" s="20" t="s">
        <v>23</v>
      </c>
      <c r="J463" s="19" t="s">
        <v>23</v>
      </c>
      <c r="K463" s="35"/>
      <c r="L463" s="19"/>
      <c r="M463" s="263" t="str">
        <f t="shared" ref="M463:M466" ca="1" si="70">IFERROR(OFFSET(M463,-1,,1,1)+0.1,OFFSET(M463,-1,-1,1,1)&amp;".1")</f>
        <v>5.1</v>
      </c>
      <c r="N463" s="20" t="s">
        <v>941</v>
      </c>
      <c r="O463" s="20"/>
      <c r="P463" s="20" t="s">
        <v>489</v>
      </c>
      <c r="Q463" s="134">
        <f>Total_Screens</f>
        <v>18</v>
      </c>
      <c r="R463" s="127">
        <v>3</v>
      </c>
      <c r="S463" s="157">
        <f t="shared" ref="S463:S466" si="71">CEILING((IF(J463="Yes", 0, IF(H463="-",AA463,AA463+AA463*VLOOKUP(H463,BUFFERS_BY_TYPE,2,FALSE)))) +
   (IF(J463="Yes", 0, IF(H463="-",AA463,AA463+AA463*VLOOKUP(H463,BUFFERS_BY_TYPE,2,FALSE))))*VLOOKUP($S$5, SALES_CALL_SCALE_ARRAY, 2,FALSE),0.25)</f>
        <v>2.5</v>
      </c>
      <c r="T463" s="158"/>
      <c r="U463" s="21">
        <v>0</v>
      </c>
      <c r="V463" s="21">
        <v>1</v>
      </c>
      <c r="W463" s="21">
        <v>0</v>
      </c>
      <c r="X463" s="156">
        <v>0.05</v>
      </c>
      <c r="Y463" s="157">
        <f t="shared" ref="Y463:Y466" si="72">CEILING((IF(P463=AS_DEV_EFFORT, DEV_EFFORT*Q463%,
                           IF(P463=AS_DURATION_EFFORT, (MANUAL_DURATION*5)*Q463%,
                                    (IF(Q463&lt;=1,X463,
                                          IF(SUM(U463:W463)=0,(Q463*X463),
                                               (((Q463*U463)*(X463+(X463*EXTRA_FOR_H)))+
                                               ((Q463*V463)*X463)+
                                               ((Q463*W463)*(X463-(X463*LESS_FOR_L)))
                                    )*IF(R463=0,1,R463))))))+Z463), 0.25)</f>
        <v>2.5</v>
      </c>
      <c r="Z463" s="22">
        <v>-0.20100000000000001</v>
      </c>
      <c r="AA463" s="157">
        <f t="shared" ref="AA463:AA466" si="73">Y463+Y463*VLOOKUP(I463,EXTRAS_ARRAY,2,FALSE)</f>
        <v>2.5</v>
      </c>
      <c r="AB463" s="20"/>
      <c r="AC463" s="34"/>
      <c r="AD463" s="23" t="str">
        <f t="shared" ref="AD463:AD466" si="74">IF(J463&lt;&gt;"Yes",
IF(S463&lt;=0,"Error: Effort value is not defined or is invalid.",
IF(AND(SUM(U463:W463)&gt;0,SUM(U463:W463)&lt;&gt;1),"Error: Complexity % distribution should sum to 100%.",
IF(AND(P463=AS_DEV_EFFORT,X463&lt;&gt;0),"Error: PDs should not be defined when defining as dev effort %.",
IF(AND(P463=AS_DURATION_EFFORT,X463&lt;&gt;0),"Error: PDs should not be defined when defining as duration effort %.","")))))</f>
        <v/>
      </c>
    </row>
    <row r="464" spans="1:30" ht="58" outlineLevel="2" x14ac:dyDescent="0.35">
      <c r="A464" s="86" t="s">
        <v>0</v>
      </c>
      <c r="B464" s="18"/>
      <c r="C464" s="78"/>
      <c r="D464" s="78"/>
      <c r="E464" s="78"/>
      <c r="F464" s="79"/>
      <c r="G464" s="19" t="s">
        <v>23</v>
      </c>
      <c r="H464" s="19" t="s">
        <v>23</v>
      </c>
      <c r="I464" s="20" t="s">
        <v>23</v>
      </c>
      <c r="J464" s="19" t="s">
        <v>23</v>
      </c>
      <c r="K464" s="35"/>
      <c r="L464" s="19"/>
      <c r="M464" s="263">
        <f t="shared" ca="1" si="70"/>
        <v>5.1999999999999993</v>
      </c>
      <c r="N464" s="20" t="s">
        <v>942</v>
      </c>
      <c r="O464" s="20"/>
      <c r="P464" s="20" t="s">
        <v>490</v>
      </c>
      <c r="Q464" s="134">
        <f>Total_Screens</f>
        <v>18</v>
      </c>
      <c r="R464" s="127">
        <v>3</v>
      </c>
      <c r="S464" s="157">
        <f t="shared" si="71"/>
        <v>2.5</v>
      </c>
      <c r="T464" s="158"/>
      <c r="U464" s="21">
        <v>0</v>
      </c>
      <c r="V464" s="21">
        <v>1</v>
      </c>
      <c r="W464" s="21">
        <v>0</v>
      </c>
      <c r="X464" s="156">
        <v>0.05</v>
      </c>
      <c r="Y464" s="157">
        <f t="shared" si="72"/>
        <v>2.5</v>
      </c>
      <c r="Z464" s="22">
        <v>-0.20100000000000001</v>
      </c>
      <c r="AA464" s="157">
        <f t="shared" si="73"/>
        <v>2.5</v>
      </c>
      <c r="AB464" s="20"/>
      <c r="AC464" s="34"/>
      <c r="AD464" s="23" t="str">
        <f t="shared" si="74"/>
        <v/>
      </c>
    </row>
    <row r="465" spans="1:30" ht="58" outlineLevel="2" x14ac:dyDescent="0.35">
      <c r="A465" s="86" t="s">
        <v>0</v>
      </c>
      <c r="B465" s="18"/>
      <c r="C465" s="78"/>
      <c r="D465" s="78"/>
      <c r="E465" s="78"/>
      <c r="F465" s="79"/>
      <c r="G465" s="19" t="s">
        <v>6</v>
      </c>
      <c r="H465" s="19" t="s">
        <v>23</v>
      </c>
      <c r="I465" s="20" t="s">
        <v>23</v>
      </c>
      <c r="J465" s="19" t="s">
        <v>23</v>
      </c>
      <c r="K465" s="35"/>
      <c r="L465" s="19"/>
      <c r="M465" s="263">
        <f t="shared" ca="1" si="70"/>
        <v>5.2999999999999989</v>
      </c>
      <c r="N465" s="20" t="s">
        <v>943</v>
      </c>
      <c r="O465" s="20"/>
      <c r="P465" s="20" t="s">
        <v>493</v>
      </c>
      <c r="Q465" s="134"/>
      <c r="R465" s="127"/>
      <c r="S465" s="157">
        <f t="shared" si="71"/>
        <v>2.5</v>
      </c>
      <c r="T465" s="158"/>
      <c r="U465" s="21">
        <v>0</v>
      </c>
      <c r="V465" s="21">
        <v>1</v>
      </c>
      <c r="W465" s="21">
        <v>0</v>
      </c>
      <c r="X465" s="156">
        <v>2.5</v>
      </c>
      <c r="Y465" s="157">
        <f t="shared" si="72"/>
        <v>2.5</v>
      </c>
      <c r="Z465" s="22"/>
      <c r="AA465" s="157">
        <f t="shared" si="73"/>
        <v>2.5</v>
      </c>
      <c r="AB465" s="20"/>
      <c r="AC465" s="34"/>
      <c r="AD465" s="23" t="str">
        <f t="shared" si="74"/>
        <v/>
      </c>
    </row>
    <row r="466" spans="1:30" ht="72.5" outlineLevel="2" x14ac:dyDescent="0.35">
      <c r="A466" s="86" t="s">
        <v>0</v>
      </c>
      <c r="B466" s="18"/>
      <c r="C466" s="78"/>
      <c r="D466" s="78"/>
      <c r="E466" s="78"/>
      <c r="F466" s="79"/>
      <c r="G466" s="19" t="s">
        <v>6</v>
      </c>
      <c r="H466" s="19" t="s">
        <v>23</v>
      </c>
      <c r="I466" s="20" t="s">
        <v>23</v>
      </c>
      <c r="J466" s="19" t="s">
        <v>23</v>
      </c>
      <c r="K466" s="35"/>
      <c r="L466" s="19"/>
      <c r="M466" s="263">
        <f t="shared" ca="1" si="70"/>
        <v>5.3999999999999986</v>
      </c>
      <c r="N466" s="20" t="s">
        <v>944</v>
      </c>
      <c r="O466" s="20"/>
      <c r="P466" s="20" t="s">
        <v>493</v>
      </c>
      <c r="Q466" s="134"/>
      <c r="R466" s="127"/>
      <c r="S466" s="157">
        <f t="shared" si="71"/>
        <v>2.5</v>
      </c>
      <c r="T466" s="158"/>
      <c r="U466" s="21">
        <v>0</v>
      </c>
      <c r="V466" s="21">
        <v>1</v>
      </c>
      <c r="W466" s="21">
        <v>0</v>
      </c>
      <c r="X466" s="156">
        <v>2.5</v>
      </c>
      <c r="Y466" s="157">
        <f t="shared" si="72"/>
        <v>2.5</v>
      </c>
      <c r="Z466" s="22"/>
      <c r="AA466" s="157">
        <f t="shared" si="73"/>
        <v>2.5</v>
      </c>
      <c r="AB466" s="20"/>
      <c r="AC466" s="34"/>
      <c r="AD466" s="23" t="str">
        <f t="shared" si="74"/>
        <v/>
      </c>
    </row>
    <row r="467" spans="1:30" ht="101.5" outlineLevel="2" x14ac:dyDescent="0.35">
      <c r="A467" s="86" t="s">
        <v>0</v>
      </c>
      <c r="B467" s="18"/>
      <c r="C467" s="78"/>
      <c r="D467" s="78"/>
      <c r="E467" s="78"/>
      <c r="F467" s="79"/>
      <c r="G467" s="19" t="s">
        <v>23</v>
      </c>
      <c r="H467" s="19" t="s">
        <v>23</v>
      </c>
      <c r="I467" s="20" t="s">
        <v>23</v>
      </c>
      <c r="J467" s="19" t="s">
        <v>23</v>
      </c>
      <c r="K467" s="35"/>
      <c r="L467" s="19"/>
      <c r="M467" s="263">
        <f ca="1">IFERROR(OFFSET(M467,-1,,1,1)+0.1,OFFSET(M467,-1,-1,1,1)&amp;".1")</f>
        <v>5.4999999999999982</v>
      </c>
      <c r="N467" s="20" t="s">
        <v>1202</v>
      </c>
      <c r="O467" s="20"/>
      <c r="P467" s="20"/>
      <c r="Q467" s="134"/>
      <c r="R467" s="127"/>
      <c r="S467" s="157">
        <f>CEILING((IF(J467="Yes", 0, IF(H467="-",AA467,AA467+AA467*VLOOKUP(H467,BUFFERS_BY_TYPE,2,FALSE)))) +
   (IF(J467="Yes", 0, IF(H467="-",AA467,AA467+AA467*VLOOKUP(H467,BUFFERS_BY_TYPE,2,FALSE))))*VLOOKUP($S$5, SALES_CALL_SCALE_ARRAY, 2,FALSE),0.25)</f>
        <v>4</v>
      </c>
      <c r="T467" s="158"/>
      <c r="U467" s="21">
        <v>0</v>
      </c>
      <c r="V467" s="21">
        <v>1</v>
      </c>
      <c r="W467" s="21">
        <v>0</v>
      </c>
      <c r="X467" s="156">
        <v>4</v>
      </c>
      <c r="Y467" s="157">
        <f>CEILING((IF(P467=AS_DEV_EFFORT, DEV_EFFORT*Q467%,
                           IF(P467=AS_DURATION_EFFORT, (MANUAL_DURATION*5)*Q467%,
                                    (IF(Q467&lt;=1,X467,
                                          IF(SUM(U467:W467)=0,(Q467*X467),
                                               (((Q467*U467)*(X467+(X467*EXTRA_FOR_H)))+
                                               ((Q467*V467)*X467)+
                                               ((Q467*W467)*(X467-(X467*LESS_FOR_L)))
                                    )*IF(R467=0,1,R467))))))+Z467), 0.25)</f>
        <v>4</v>
      </c>
      <c r="Z467" s="22"/>
      <c r="AA467" s="157">
        <f>Y467+Y467*VLOOKUP(I467,EXTRAS_ARRAY,2,FALSE)</f>
        <v>4</v>
      </c>
      <c r="AB467" s="20" t="s">
        <v>1203</v>
      </c>
      <c r="AC467" s="34"/>
      <c r="AD467" s="23" t="str">
        <f>IF(J467&lt;&gt;"Yes",
IF(S467&lt;=0,"Error: Effort value is not defined or is invalid.",
IF(AND(SUM(U467:W467)&gt;0,SUM(U467:W467)&lt;&gt;1),"Error: Complexity % distribution should sum to 100%.",
IF(AND(P467=AS_DEV_EFFORT,X467&lt;&gt;0),"Error: PDs should not be defined when defining as dev effort %.",
IF(AND(P467=AS_DURATION_EFFORT,X467&lt;&gt;0),"Error: PDs should not be defined when defining as duration effort %.","")))))</f>
        <v/>
      </c>
    </row>
    <row r="468" spans="1:30" ht="58" outlineLevel="2" x14ac:dyDescent="0.35">
      <c r="A468" s="86" t="s">
        <v>0</v>
      </c>
      <c r="B468" s="18"/>
      <c r="C468" s="78"/>
      <c r="D468" s="78"/>
      <c r="E468" s="78"/>
      <c r="F468" s="79"/>
      <c r="G468" s="19" t="s">
        <v>23</v>
      </c>
      <c r="H468" s="19" t="s">
        <v>23</v>
      </c>
      <c r="I468" s="20" t="s">
        <v>23</v>
      </c>
      <c r="J468" s="19" t="s">
        <v>23</v>
      </c>
      <c r="K468" s="35"/>
      <c r="L468" s="19"/>
      <c r="M468" s="263">
        <f ca="1">IFERROR(OFFSET(M468,-1,,1,1)+0.1,OFFSET(M468,-1,-1,1,1)&amp;".1")</f>
        <v>5.5999999999999979</v>
      </c>
      <c r="N468" s="20" t="s">
        <v>438</v>
      </c>
      <c r="O468" s="20"/>
      <c r="P468" s="20"/>
      <c r="Q468" s="134"/>
      <c r="R468" s="127"/>
      <c r="S468" s="157">
        <f>CEILING((IF(J468="Yes", 0, IF(H468="-",AA468,AA468+AA468*VLOOKUP(H468,BUFFERS_BY_TYPE,2,FALSE)))) +
   (IF(J468="Yes", 0, IF(H468="-",AA468,AA468+AA468*VLOOKUP(H468,BUFFERS_BY_TYPE,2,FALSE))))*VLOOKUP($S$5, SALES_CALL_SCALE_ARRAY, 2,FALSE),0.25)</f>
        <v>0</v>
      </c>
      <c r="T468" s="158"/>
      <c r="U468" s="21">
        <v>0</v>
      </c>
      <c r="V468" s="21">
        <v>1</v>
      </c>
      <c r="W468" s="21">
        <v>0</v>
      </c>
      <c r="X468" s="156"/>
      <c r="Y468" s="157">
        <f>CEILING((IF(P468=AS_DEV_EFFORT, DEV_EFFORT*Q468%,
                           IF(P468=AS_DURATION_EFFORT, (MANUAL_DURATION*5)*Q468%,
                                    (IF(Q468&lt;=1,X468,
                                          IF(SUM(U468:W468)=0,(Q468*X468),
                                               (((Q468*U468)*(X468+(X468*EXTRA_FOR_H)))+
                                               ((Q468*V468)*X468)+
                                               ((Q468*W468)*(X468-(X468*LESS_FOR_L)))
                                    )*IF(R468=0,1,R468))))))+Z468), 0.25)</f>
        <v>0</v>
      </c>
      <c r="Z468" s="22"/>
      <c r="AA468" s="157">
        <f>Y468+Y468*VLOOKUP(I468,EXTRAS_ARRAY,2,FALSE)</f>
        <v>0</v>
      </c>
      <c r="AB468" s="20" t="s">
        <v>440</v>
      </c>
      <c r="AC468" s="34"/>
      <c r="AD468" s="23" t="str">
        <f>IF(J468&lt;&gt;"Yes",
IF(S468&lt;=0,"Error: Effort value is not defined or is invalid.",
IF(AND(SUM(U468:W468)&gt;0,SUM(U468:W468)&lt;&gt;1),"Error: Complexity % distribution should sum to 100%.",
IF(AND(P468=AS_DEV_EFFORT,X468&lt;&gt;0),"Error: PDs should not be defined when defining as dev effort %.",
IF(AND(P468=AS_DURATION_EFFORT,X468&lt;&gt;0),"Error: PDs should not be defined when defining as duration effort %.","")))))</f>
        <v>Error: Effort value is not defined or is invalid.</v>
      </c>
    </row>
    <row r="469" spans="1:30" s="9" customFormat="1" ht="7.5" customHeight="1" outlineLevel="2" x14ac:dyDescent="0.35">
      <c r="A469" s="86" t="s">
        <v>132</v>
      </c>
      <c r="B469" s="15"/>
      <c r="C469" s="72"/>
      <c r="D469" s="72"/>
      <c r="E469" s="72"/>
      <c r="F469" s="72"/>
      <c r="M469" s="252"/>
      <c r="T469" s="15"/>
      <c r="X469" s="15"/>
      <c r="AB469" s="10"/>
      <c r="AC469" s="10"/>
      <c r="AD469" s="10"/>
    </row>
    <row r="470" spans="1:30" s="9" customFormat="1" ht="3" customHeight="1" outlineLevel="1" x14ac:dyDescent="0.35">
      <c r="A470" s="86" t="s">
        <v>102</v>
      </c>
      <c r="C470" s="72"/>
      <c r="D470" s="72"/>
      <c r="E470" s="72"/>
      <c r="F470" s="72"/>
      <c r="G470" s="25"/>
      <c r="H470" s="25"/>
      <c r="I470" s="25"/>
      <c r="J470" s="25"/>
      <c r="K470" s="25"/>
      <c r="L470" s="56"/>
      <c r="M470" s="264"/>
      <c r="N470" s="57"/>
      <c r="O470" s="57"/>
      <c r="P470" s="56"/>
      <c r="Q470" s="56"/>
      <c r="R470" s="56"/>
      <c r="S470" s="56"/>
      <c r="T470" s="56"/>
      <c r="U470" s="56"/>
      <c r="V470" s="56"/>
      <c r="W470" s="56"/>
      <c r="X470" s="56"/>
      <c r="Y470" s="56"/>
      <c r="Z470" s="56"/>
      <c r="AA470" s="56"/>
      <c r="AB470" s="57"/>
      <c r="AC470" s="57"/>
      <c r="AD470" s="10"/>
    </row>
    <row r="471" spans="1:30" s="14" customFormat="1" ht="18.5" collapsed="1" x14ac:dyDescent="0.35">
      <c r="A471" s="86" t="s">
        <v>98</v>
      </c>
      <c r="B471" s="12"/>
      <c r="C471" s="73"/>
      <c r="D471" s="73"/>
      <c r="E471" s="73"/>
      <c r="F471" s="72"/>
      <c r="G471" s="52"/>
      <c r="H471" s="52"/>
      <c r="I471" s="52"/>
      <c r="J471" s="52"/>
      <c r="K471" s="52"/>
      <c r="L471" s="52" t="s">
        <v>71</v>
      </c>
      <c r="M471" s="261" t="s">
        <v>75</v>
      </c>
      <c r="N471" s="53"/>
      <c r="O471" s="54"/>
      <c r="P471" s="55"/>
      <c r="Q471" s="55"/>
      <c r="R471" s="55"/>
      <c r="S471" s="330">
        <f>CEILING(SUMIF(J472:J498, "&lt;&gt;Yes", T472:T498),1)</f>
        <v>122</v>
      </c>
      <c r="T471" s="330"/>
      <c r="U471" s="55"/>
      <c r="V471" s="55"/>
      <c r="W471" s="55"/>
      <c r="X471" s="55"/>
      <c r="Y471" s="55"/>
      <c r="Z471" s="55"/>
      <c r="AA471" s="55"/>
      <c r="AB471" s="55"/>
      <c r="AC471" s="55"/>
      <c r="AD471" s="13"/>
    </row>
    <row r="472" spans="1:30" s="9" customFormat="1" ht="3" hidden="1" customHeight="1" outlineLevel="1" x14ac:dyDescent="0.35">
      <c r="A472" s="86" t="s">
        <v>99</v>
      </c>
      <c r="B472" s="15"/>
      <c r="C472" s="72"/>
      <c r="D472" s="72"/>
      <c r="E472" s="72"/>
      <c r="F472" s="72"/>
      <c r="G472" s="25"/>
      <c r="H472" s="25"/>
      <c r="I472" s="25"/>
      <c r="J472" s="25"/>
      <c r="K472" s="25"/>
      <c r="L472" s="26">
        <v>0</v>
      </c>
      <c r="M472" s="262"/>
      <c r="N472" s="25"/>
      <c r="O472" s="25"/>
      <c r="P472" s="25"/>
      <c r="Q472" s="25"/>
      <c r="R472" s="25"/>
      <c r="S472" s="25"/>
      <c r="T472" s="27"/>
      <c r="U472" s="25"/>
      <c r="V472" s="25"/>
      <c r="W472" s="25"/>
      <c r="X472" s="27"/>
      <c r="Y472" s="25"/>
      <c r="Z472" s="25"/>
      <c r="AA472" s="25"/>
      <c r="AB472" s="28"/>
      <c r="AC472" s="28"/>
      <c r="AD472" s="10"/>
    </row>
    <row r="473" spans="1:30" s="14" customFormat="1" ht="15.5" hidden="1" outlineLevel="1" collapsed="1" x14ac:dyDescent="0.35">
      <c r="A473" s="86" t="s">
        <v>100</v>
      </c>
      <c r="B473" s="18"/>
      <c r="C473" s="77"/>
      <c r="D473" s="77"/>
      <c r="E473" s="77"/>
      <c r="F473" s="76"/>
      <c r="G473" s="29"/>
      <c r="H473" s="29"/>
      <c r="I473" s="29"/>
      <c r="J473" s="29"/>
      <c r="K473" s="29"/>
      <c r="L473" s="17">
        <f ca="1">LOOKUP(1000,INDIRECT("L1:"&amp;CELL("address",INDIRECT("R[-1]C",FALSE))))+1</f>
        <v>1</v>
      </c>
      <c r="M473" s="310" t="s">
        <v>460</v>
      </c>
      <c r="N473" s="310"/>
      <c r="O473" s="5"/>
      <c r="P473" s="30"/>
      <c r="Q473" s="30"/>
      <c r="R473" s="30"/>
      <c r="S473" s="30"/>
      <c r="T473" s="155">
        <f>IF($S$6="Exclude", SUMIFS(S474:S477, J474:J477, "&lt;&gt;Yes", G474:G477, "&lt;&gt;Yes"), SUMIFS(S474:S477, J474:J477, "&lt;&gt;Yes"))</f>
        <v>15</v>
      </c>
      <c r="U473" s="30"/>
      <c r="V473" s="30"/>
      <c r="W473" s="30"/>
      <c r="X473" s="31"/>
      <c r="Y473" s="32"/>
      <c r="Z473" s="32"/>
      <c r="AA473" s="32"/>
      <c r="AB473" s="219"/>
      <c r="AC473" s="33"/>
      <c r="AD473" s="23" t="str">
        <f>IF(M473="", "Error: Task name cannot be empty.", "")</f>
        <v/>
      </c>
    </row>
    <row r="474" spans="1:30" s="12" customFormat="1" ht="1.5" hidden="1" customHeight="1" outlineLevel="2" x14ac:dyDescent="0.35">
      <c r="A474" s="86" t="s">
        <v>101</v>
      </c>
      <c r="B474" s="18"/>
      <c r="C474" s="77"/>
      <c r="D474" s="77"/>
      <c r="E474" s="77"/>
      <c r="F474" s="76"/>
      <c r="G474" s="29"/>
      <c r="H474" s="29"/>
      <c r="I474" s="29"/>
      <c r="J474" s="29"/>
      <c r="K474" s="29"/>
      <c r="L474" s="163">
        <f ca="1">L473</f>
        <v>1</v>
      </c>
      <c r="M474" s="164" t="s">
        <v>105</v>
      </c>
      <c r="N474" s="161"/>
      <c r="O474" s="162"/>
      <c r="P474" s="30"/>
      <c r="Q474" s="30"/>
      <c r="R474" s="30"/>
      <c r="S474" s="30"/>
      <c r="T474" s="155"/>
      <c r="U474" s="30"/>
      <c r="V474" s="30"/>
      <c r="W474" s="30"/>
      <c r="X474" s="31"/>
      <c r="Y474" s="32"/>
      <c r="Z474" s="32"/>
      <c r="AA474" s="32"/>
      <c r="AB474" s="33"/>
      <c r="AC474" s="33"/>
      <c r="AD474" s="23"/>
    </row>
    <row r="475" spans="1:30" ht="116" hidden="1" outlineLevel="2" x14ac:dyDescent="0.35">
      <c r="A475" s="86" t="s">
        <v>0</v>
      </c>
      <c r="B475" s="18"/>
      <c r="C475" s="78"/>
      <c r="D475" s="78"/>
      <c r="E475" s="78"/>
      <c r="F475" s="79"/>
      <c r="G475" s="19" t="s">
        <v>23</v>
      </c>
      <c r="H475" s="19" t="s">
        <v>23</v>
      </c>
      <c r="I475" s="20" t="s">
        <v>23</v>
      </c>
      <c r="J475" s="19" t="s">
        <v>23</v>
      </c>
      <c r="K475" s="35"/>
      <c r="L475" s="19"/>
      <c r="M475" s="263" t="str">
        <f ca="1">IFERROR(OFFSET(M475,-1,,1,1)+0.1,OFFSET(M475,-1,-1,1,1)&amp;".1")</f>
        <v>1.1</v>
      </c>
      <c r="N475" s="20" t="s">
        <v>958</v>
      </c>
      <c r="O475" s="20"/>
      <c r="P475" s="20" t="s">
        <v>463</v>
      </c>
      <c r="Q475" s="134"/>
      <c r="R475" s="127"/>
      <c r="S475" s="157">
        <f>CEILING((IF(J475="Yes", 0, IF(H475="-",AA475,AA475+AA475*VLOOKUP(H475,BUFFERS_BY_TYPE,2,FALSE)))) +
   (IF(J475="Yes", 0, IF(H475="-",AA475,AA475+AA475*VLOOKUP(H475,BUFFERS_BY_TYPE,2,FALSE))))*VLOOKUP($S$5, SALES_CALL_SCALE_ARRAY, 2,FALSE),0.25)</f>
        <v>7.5</v>
      </c>
      <c r="T475" s="158"/>
      <c r="U475" s="21">
        <v>0</v>
      </c>
      <c r="V475" s="21">
        <v>1</v>
      </c>
      <c r="W475" s="21">
        <v>0</v>
      </c>
      <c r="X475" s="156">
        <v>7.5</v>
      </c>
      <c r="Y475" s="157">
        <f>CEILING((IF(P475=AS_DEV_EFFORT, DEV_EFFORT*Q475%,
                           IF(P475=AS_DURATION_EFFORT, (MANUAL_DURATION*5)*Q475%,
                                    (IF(Q475&lt;=1,X475,
                                          IF(SUM(U475:W475)=0,(Q475*X475),
                                               (((Q475*U475)*(X475+(X475*EXTRA_FOR_H)))+
                                               ((Q475*V475)*X475)+
                                               ((Q475*W475)*(X475-(X475*LESS_FOR_L)))
                                    )*IF(R475=0,1,R475))))))+Z475), 0.25)</f>
        <v>7.5</v>
      </c>
      <c r="Z475" s="22"/>
      <c r="AA475" s="157">
        <f>Y475+Y475*VLOOKUP(I475,EXTRAS_ARRAY,2,FALSE)</f>
        <v>7.5</v>
      </c>
      <c r="AB475" s="20"/>
      <c r="AC475" s="34"/>
      <c r="AD475" s="23" t="str">
        <f>IF(J475&lt;&gt;"Yes",
IF(S475&lt;=0,"Error: Effort value is not defined or is invalid.",
IF(AND(SUM(U475:W475)&gt;0,SUM(U475:W475)&lt;&gt;1),"Error: Complexity % distribution should sum to 100%.",
IF(AND(P475=AS_DEV_EFFORT,X475&lt;&gt;0),"Error: PDs should not be defined when defining as dev effort %.",
IF(AND(P475=AS_DURATION_EFFORT,X475&lt;&gt;0),"Error: PDs should not be defined when defining as duration effort %.","")))))</f>
        <v/>
      </c>
    </row>
    <row r="476" spans="1:30" ht="87" hidden="1" outlineLevel="2" x14ac:dyDescent="0.35">
      <c r="A476" s="86" t="s">
        <v>0</v>
      </c>
      <c r="B476" s="18"/>
      <c r="C476" s="78"/>
      <c r="D476" s="78"/>
      <c r="E476" s="78"/>
      <c r="F476" s="79"/>
      <c r="G476" s="19" t="s">
        <v>23</v>
      </c>
      <c r="H476" s="19" t="s">
        <v>23</v>
      </c>
      <c r="I476" s="20" t="s">
        <v>23</v>
      </c>
      <c r="J476" s="19" t="s">
        <v>23</v>
      </c>
      <c r="K476" s="35"/>
      <c r="L476" s="19"/>
      <c r="M476" s="263">
        <f ca="1">IFERROR(OFFSET(M476,-1,,1,1)+0.1,OFFSET(M476,-1,-1,1,1)&amp;".1")</f>
        <v>1.2000000000000002</v>
      </c>
      <c r="N476" s="20" t="s">
        <v>959</v>
      </c>
      <c r="O476" s="20"/>
      <c r="P476" s="20" t="s">
        <v>462</v>
      </c>
      <c r="Q476" s="134"/>
      <c r="R476" s="127"/>
      <c r="S476" s="157">
        <f>CEILING((IF(J476="Yes", 0, IF(H476="-",AA476,AA476+AA476*VLOOKUP(H476,BUFFERS_BY_TYPE,2,FALSE)))) +
   (IF(J476="Yes", 0, IF(H476="-",AA476,AA476+AA476*VLOOKUP(H476,BUFFERS_BY_TYPE,2,FALSE))))*VLOOKUP($S$5, SALES_CALL_SCALE_ARRAY, 2,FALSE),0.25)</f>
        <v>7.5</v>
      </c>
      <c r="T476" s="158"/>
      <c r="U476" s="21">
        <v>0</v>
      </c>
      <c r="V476" s="21">
        <v>1</v>
      </c>
      <c r="W476" s="21">
        <v>0</v>
      </c>
      <c r="X476" s="156">
        <v>7.5</v>
      </c>
      <c r="Y476" s="157">
        <f>CEILING((IF(P476=AS_DEV_EFFORT, DEV_EFFORT*Q476%,
                           IF(P476=AS_DURATION_EFFORT, (MANUAL_DURATION*5)*Q476%,
                                    (IF(Q476&lt;=1,X476,
                                          IF(SUM(U476:W476)=0,(Q476*X476),
                                               (((Q476*U476)*(X476+(X476*EXTRA_FOR_H)))+
                                               ((Q476*V476)*X476)+
                                               ((Q476*W476)*(X476-(X476*LESS_FOR_L)))
                                    )*IF(R476=0,1,R476))))))+Z476), 0.25)</f>
        <v>7.5</v>
      </c>
      <c r="Z476" s="22"/>
      <c r="AA476" s="157">
        <f>Y476+Y476*VLOOKUP(I476,EXTRAS_ARRAY,2,FALSE)</f>
        <v>7.5</v>
      </c>
      <c r="AB476" s="20"/>
      <c r="AC476" s="34"/>
      <c r="AD476" s="23" t="str">
        <f>IF(J476&lt;&gt;"Yes",
IF(S476&lt;=0,"Error: Effort value is not defined or is invalid.",
IF(AND(SUM(U476:W476)&gt;0,SUM(U476:W476)&lt;&gt;1),"Error: Complexity % distribution should sum to 100%.",
IF(AND(P476=AS_DEV_EFFORT,X476&lt;&gt;0),"Error: PDs should not be defined when defining as dev effort %.",
IF(AND(P476=AS_DURATION_EFFORT,X476&lt;&gt;0),"Error: PDs should not be defined when defining as duration effort %.","")))))</f>
        <v/>
      </c>
    </row>
    <row r="477" spans="1:30" s="9" customFormat="1" ht="7.5" hidden="1" customHeight="1" outlineLevel="2" x14ac:dyDescent="0.35">
      <c r="A477" s="86" t="s">
        <v>132</v>
      </c>
      <c r="B477" s="15"/>
      <c r="C477" s="72"/>
      <c r="D477" s="72"/>
      <c r="E477" s="72"/>
      <c r="F477" s="72"/>
      <c r="M477" s="252"/>
      <c r="T477" s="15"/>
      <c r="X477" s="15"/>
      <c r="AB477" s="10"/>
      <c r="AC477" s="10"/>
      <c r="AD477" s="10"/>
    </row>
    <row r="478" spans="1:30" s="14" customFormat="1" ht="15.5" hidden="1" outlineLevel="1" collapsed="1" x14ac:dyDescent="0.35">
      <c r="A478" s="86" t="s">
        <v>100</v>
      </c>
      <c r="B478" s="18"/>
      <c r="C478" s="77"/>
      <c r="D478" s="77"/>
      <c r="E478" s="77"/>
      <c r="F478" s="76"/>
      <c r="G478" s="29"/>
      <c r="H478" s="29"/>
      <c r="I478" s="29"/>
      <c r="J478" s="29"/>
      <c r="K478" s="29"/>
      <c r="L478" s="17">
        <f ca="1">LOOKUP(1000,INDIRECT("L1:"&amp;CELL("address",INDIRECT("R[-1]C",FALSE))))+1</f>
        <v>2</v>
      </c>
      <c r="M478" s="310" t="s">
        <v>461</v>
      </c>
      <c r="N478" s="310"/>
      <c r="O478" s="5"/>
      <c r="P478" s="30"/>
      <c r="Q478" s="30"/>
      <c r="R478" s="30"/>
      <c r="S478" s="30"/>
      <c r="T478" s="155">
        <f>IF($S$6="Exclude", SUMIFS(S479:S483, J479:J483, "&lt;&gt;Yes", G479:G483, "&lt;&gt;Yes"), SUMIFS(S479:S483, J479:J483, "&lt;&gt;Yes"))</f>
        <v>55</v>
      </c>
      <c r="U478" s="30"/>
      <c r="V478" s="30"/>
      <c r="W478" s="30"/>
      <c r="X478" s="31"/>
      <c r="Y478" s="32"/>
      <c r="Z478" s="32"/>
      <c r="AA478" s="32"/>
      <c r="AB478" s="219"/>
      <c r="AC478" s="33"/>
      <c r="AD478" s="23" t="str">
        <f>IF(M478="", "Error: Task name cannot be empty.", "")</f>
        <v/>
      </c>
    </row>
    <row r="479" spans="1:30" s="12" customFormat="1" ht="1.5" hidden="1" customHeight="1" outlineLevel="2" x14ac:dyDescent="0.35">
      <c r="A479" s="86" t="s">
        <v>101</v>
      </c>
      <c r="B479" s="18"/>
      <c r="C479" s="77"/>
      <c r="D479" s="77"/>
      <c r="E479" s="77"/>
      <c r="F479" s="76"/>
      <c r="G479" s="29"/>
      <c r="H479" s="29"/>
      <c r="I479" s="29"/>
      <c r="J479" s="29"/>
      <c r="K479" s="29"/>
      <c r="L479" s="163">
        <f ca="1">L478</f>
        <v>2</v>
      </c>
      <c r="M479" s="164" t="s">
        <v>105</v>
      </c>
      <c r="N479" s="161"/>
      <c r="O479" s="162"/>
      <c r="P479" s="30"/>
      <c r="Q479" s="30"/>
      <c r="R479" s="30"/>
      <c r="S479" s="30"/>
      <c r="T479" s="155"/>
      <c r="U479" s="30"/>
      <c r="V479" s="30"/>
      <c r="W479" s="30"/>
      <c r="X479" s="31"/>
      <c r="Y479" s="32"/>
      <c r="Z479" s="32"/>
      <c r="AA479" s="32"/>
      <c r="AB479" s="33"/>
      <c r="AC479" s="33"/>
      <c r="AD479" s="23"/>
    </row>
    <row r="480" spans="1:30" ht="87" hidden="1" outlineLevel="2" x14ac:dyDescent="0.35">
      <c r="A480" s="86" t="s">
        <v>0</v>
      </c>
      <c r="B480" s="18"/>
      <c r="C480" s="78"/>
      <c r="D480" s="78"/>
      <c r="E480" s="78"/>
      <c r="F480" s="79"/>
      <c r="G480" s="19" t="s">
        <v>23</v>
      </c>
      <c r="H480" s="19" t="s">
        <v>23</v>
      </c>
      <c r="I480" s="20" t="s">
        <v>23</v>
      </c>
      <c r="J480" s="19" t="s">
        <v>23</v>
      </c>
      <c r="K480" s="35"/>
      <c r="L480" s="19"/>
      <c r="M480" s="263" t="str">
        <f ca="1">IFERROR(OFFSET(M480,-1,,1,1)+0.1,OFFSET(M480,-1,-1,1,1)&amp;".1")</f>
        <v>2.1</v>
      </c>
      <c r="N480" s="20" t="s">
        <v>960</v>
      </c>
      <c r="O480" s="20"/>
      <c r="P480" s="20"/>
      <c r="Q480" s="134"/>
      <c r="R480" s="127"/>
      <c r="S480" s="157">
        <f>CEILING((IF(J480="Yes", 0, IF(H480="-",AA480,AA480+AA480*VLOOKUP(H480,BUFFERS_BY_TYPE,2,FALSE)))) +
   (IF(J480="Yes", 0, IF(H480="-",AA480,AA480+AA480*VLOOKUP(H480,BUFFERS_BY_TYPE,2,FALSE))))*VLOOKUP($S$5, SALES_CALL_SCALE_ARRAY, 2,FALSE),0.25)</f>
        <v>20</v>
      </c>
      <c r="T480" s="158"/>
      <c r="U480" s="21">
        <v>0</v>
      </c>
      <c r="V480" s="21">
        <v>1</v>
      </c>
      <c r="W480" s="21">
        <v>0</v>
      </c>
      <c r="X480" s="156">
        <v>20</v>
      </c>
      <c r="Y480" s="157">
        <f>CEILING((IF(P480=AS_DEV_EFFORT, DEV_EFFORT*Q480%,
                           IF(P480=AS_DURATION_EFFORT, (MANUAL_DURATION*5)*Q480%,
                                    (IF(Q480&lt;=1,X480,
                                          IF(SUM(U480:W480)=0,(Q480*X480),
                                               (((Q480*U480)*(X480+(X480*EXTRA_FOR_H)))+
                                               ((Q480*V480)*X480)+
                                               ((Q480*W480)*(X480-(X480*LESS_FOR_L)))
                                    )*IF(R480=0,1,R480))))))+Z480), 0.25)</f>
        <v>20</v>
      </c>
      <c r="Z480" s="22"/>
      <c r="AA480" s="157">
        <f>Y480+Y480*VLOOKUP(I480,EXTRAS_ARRAY,2,FALSE)</f>
        <v>20</v>
      </c>
      <c r="AB480" s="20"/>
      <c r="AC480" s="34"/>
      <c r="AD480" s="23" t="str">
        <f>IF(J480&lt;&gt;"Yes",
IF(S480&lt;=0,"Error: Effort value is not defined or is invalid.",
IF(AND(SUM(U480:W480)&gt;0,SUM(U480:W480)&lt;&gt;1),"Error: Complexity % distribution should sum to 100%.",
IF(AND(P480=AS_DEV_EFFORT,X480&lt;&gt;0),"Error: PDs should not be defined when defining as dev effort %.",
IF(AND(P480=AS_DURATION_EFFORT,X480&lt;&gt;0),"Error: PDs should not be defined when defining as duration effort %.","")))))</f>
        <v/>
      </c>
    </row>
    <row r="481" spans="1:30" ht="87" hidden="1" outlineLevel="2" x14ac:dyDescent="0.35">
      <c r="A481" s="86" t="s">
        <v>0</v>
      </c>
      <c r="B481" s="18"/>
      <c r="C481" s="78"/>
      <c r="D481" s="78"/>
      <c r="E481" s="78"/>
      <c r="F481" s="79"/>
      <c r="G481" s="19" t="s">
        <v>23</v>
      </c>
      <c r="H481" s="19" t="s">
        <v>23</v>
      </c>
      <c r="I481" s="20" t="s">
        <v>23</v>
      </c>
      <c r="J481" s="19" t="s">
        <v>23</v>
      </c>
      <c r="K481" s="35"/>
      <c r="L481" s="19"/>
      <c r="M481" s="263">
        <f ca="1">IFERROR(OFFSET(M481,-1,,1,1)+0.1,OFFSET(M481,-1,-1,1,1)&amp;".1")</f>
        <v>2.2000000000000002</v>
      </c>
      <c r="N481" s="20" t="s">
        <v>961</v>
      </c>
      <c r="O481" s="20"/>
      <c r="P481" s="20" t="s">
        <v>968</v>
      </c>
      <c r="Q481" s="134"/>
      <c r="R481" s="127"/>
      <c r="S481" s="157">
        <f>CEILING((IF(J481="Yes", 0, IF(H481="-",AA481,AA481+AA481*VLOOKUP(H481,BUFFERS_BY_TYPE,2,FALSE)))) +
   (IF(J481="Yes", 0, IF(H481="-",AA481,AA481+AA481*VLOOKUP(H481,BUFFERS_BY_TYPE,2,FALSE))))*VLOOKUP($S$5, SALES_CALL_SCALE_ARRAY, 2,FALSE),0.25)</f>
        <v>20</v>
      </c>
      <c r="T481" s="158"/>
      <c r="U481" s="21">
        <v>0</v>
      </c>
      <c r="V481" s="21">
        <v>1</v>
      </c>
      <c r="W481" s="21">
        <v>0</v>
      </c>
      <c r="X481" s="156">
        <v>20</v>
      </c>
      <c r="Y481" s="157">
        <f>CEILING((IF(P481=AS_DEV_EFFORT, DEV_EFFORT*Q481%,
                           IF(P481=AS_DURATION_EFFORT, (MANUAL_DURATION*5)*Q481%,
                                    (IF(Q481&lt;=1,X481,
                                          IF(SUM(U481:W481)=0,(Q481*X481),
                                               (((Q481*U481)*(X481+(X481*EXTRA_FOR_H)))+
                                               ((Q481*V481)*X481)+
                                               ((Q481*W481)*(X481-(X481*LESS_FOR_L)))
                                    )*IF(R481=0,1,R481))))))+Z481), 0.25)</f>
        <v>20</v>
      </c>
      <c r="Z481" s="22"/>
      <c r="AA481" s="157">
        <f>Y481+Y481*VLOOKUP(I481,EXTRAS_ARRAY,2,FALSE)</f>
        <v>20</v>
      </c>
      <c r="AB481" s="20"/>
      <c r="AC481" s="34"/>
      <c r="AD481" s="23" t="str">
        <f>IF(J481&lt;&gt;"Yes",
IF(S481&lt;=0,"Error: Effort value is not defined or is invalid.",
IF(AND(SUM(U481:W481)&gt;0,SUM(U481:W481)&lt;&gt;1),"Error: Complexity % distribution should sum to 100%.",
IF(AND(P481=AS_DEV_EFFORT,X481&lt;&gt;0),"Error: PDs should not be defined when defining as dev effort %.",
IF(AND(P481=AS_DURATION_EFFORT,X481&lt;&gt;0),"Error: PDs should not be defined when defining as duration effort %.","")))))</f>
        <v/>
      </c>
    </row>
    <row r="482" spans="1:30" ht="87" hidden="1" outlineLevel="2" x14ac:dyDescent="0.35">
      <c r="A482" s="86" t="s">
        <v>0</v>
      </c>
      <c r="B482" s="18"/>
      <c r="C482" s="78"/>
      <c r="D482" s="78"/>
      <c r="E482" s="78"/>
      <c r="F482" s="79"/>
      <c r="G482" s="19" t="s">
        <v>23</v>
      </c>
      <c r="H482" s="19" t="s">
        <v>23</v>
      </c>
      <c r="I482" s="20" t="s">
        <v>23</v>
      </c>
      <c r="J482" s="19" t="s">
        <v>23</v>
      </c>
      <c r="K482" s="35"/>
      <c r="L482" s="19"/>
      <c r="M482" s="263">
        <f ca="1">IFERROR(OFFSET(M482,-1,,1,1)+0.1,OFFSET(M482,-1,-1,1,1)&amp;".1")</f>
        <v>2.3000000000000003</v>
      </c>
      <c r="N482" s="20" t="s">
        <v>1159</v>
      </c>
      <c r="O482" s="20"/>
      <c r="P482" s="20"/>
      <c r="Q482" s="134"/>
      <c r="R482" s="127"/>
      <c r="S482" s="157">
        <f>CEILING((IF(J482="Yes", 0, IF(H482="-",AA482,AA482+AA482*VLOOKUP(H482,BUFFERS_BY_TYPE,2,FALSE)))) +
   (IF(J482="Yes", 0, IF(H482="-",AA482,AA482+AA482*VLOOKUP(H482,BUFFERS_BY_TYPE,2,FALSE))))*VLOOKUP($S$5, SALES_CALL_SCALE_ARRAY, 2,FALSE),0.25)</f>
        <v>15</v>
      </c>
      <c r="T482" s="158"/>
      <c r="U482" s="21">
        <v>0</v>
      </c>
      <c r="V482" s="21">
        <v>1</v>
      </c>
      <c r="W482" s="21">
        <v>0</v>
      </c>
      <c r="X482" s="156">
        <v>15</v>
      </c>
      <c r="Y482" s="157">
        <f>CEILING((IF(P482=AS_DEV_EFFORT, DEV_EFFORT*Q482%,
                           IF(P482=AS_DURATION_EFFORT, (MANUAL_DURATION*5)*Q482%,
                                    (IF(Q482&lt;=1,X482,
                                          IF(SUM(U482:W482)=0,(Q482*X482),
                                               (((Q482*U482)*(X482+(X482*EXTRA_FOR_H)))+
                                               ((Q482*V482)*X482)+
                                               ((Q482*W482)*(X482-(X482*LESS_FOR_L)))
                                    )*IF(R482=0,1,R482))))))+Z482), 0.25)</f>
        <v>15</v>
      </c>
      <c r="Z482" s="22"/>
      <c r="AA482" s="157">
        <f>Y482+Y482*VLOOKUP(I482,EXTRAS_ARRAY,2,FALSE)</f>
        <v>15</v>
      </c>
      <c r="AB482" s="20"/>
      <c r="AC482" s="34"/>
      <c r="AD482" s="23" t="str">
        <f>IF(J482&lt;&gt;"Yes",
IF(S482&lt;=0,"Error: Effort value is not defined or is invalid.",
IF(AND(SUM(U482:W482)&gt;0,SUM(U482:W482)&lt;&gt;1),"Error: Complexity % distribution should sum to 100%.",
IF(AND(P482=AS_DEV_EFFORT,X482&lt;&gt;0),"Error: PDs should not be defined when defining as dev effort %.",
IF(AND(P482=AS_DURATION_EFFORT,X482&lt;&gt;0),"Error: PDs should not be defined when defining as duration effort %.","")))))</f>
        <v/>
      </c>
    </row>
    <row r="483" spans="1:30" s="9" customFormat="1" ht="7.5" hidden="1" customHeight="1" outlineLevel="2" x14ac:dyDescent="0.35">
      <c r="A483" s="86" t="s">
        <v>132</v>
      </c>
      <c r="B483" s="15"/>
      <c r="C483" s="72"/>
      <c r="D483" s="72"/>
      <c r="E483" s="72"/>
      <c r="F483" s="72"/>
      <c r="M483" s="252"/>
      <c r="T483" s="15"/>
      <c r="X483" s="15"/>
      <c r="AB483" s="10"/>
      <c r="AC483" s="10"/>
      <c r="AD483" s="10"/>
    </row>
    <row r="484" spans="1:30" s="14" customFormat="1" ht="15.5" hidden="1" outlineLevel="1" collapsed="1" x14ac:dyDescent="0.35">
      <c r="A484" s="86" t="s">
        <v>100</v>
      </c>
      <c r="B484" s="18"/>
      <c r="C484" s="77"/>
      <c r="D484" s="77"/>
      <c r="E484" s="77"/>
      <c r="F484" s="76"/>
      <c r="G484" s="29"/>
      <c r="H484" s="29"/>
      <c r="I484" s="29"/>
      <c r="J484" s="29"/>
      <c r="K484" s="29"/>
      <c r="L484" s="17">
        <f ca="1">LOOKUP(1000,INDIRECT("L1:"&amp;CELL("address",INDIRECT("R[-1]C",FALSE))))+1</f>
        <v>3</v>
      </c>
      <c r="M484" s="310" t="s">
        <v>464</v>
      </c>
      <c r="N484" s="310"/>
      <c r="O484" s="5"/>
      <c r="P484" s="30"/>
      <c r="Q484" s="30"/>
      <c r="R484" s="30"/>
      <c r="S484" s="30"/>
      <c r="T484" s="155">
        <f>IF($S$6="Exclude", SUMIFS(S485:S490, J485:J490, "&lt;&gt;Yes", G485:G490, "&lt;&gt;Yes"), SUMIFS(S485:S490, J485:J490, "&lt;&gt;Yes"))</f>
        <v>27</v>
      </c>
      <c r="U484" s="30"/>
      <c r="V484" s="30"/>
      <c r="W484" s="30"/>
      <c r="X484" s="31"/>
      <c r="Y484" s="32"/>
      <c r="Z484" s="32"/>
      <c r="AA484" s="32"/>
      <c r="AB484" s="219"/>
      <c r="AC484" s="33"/>
      <c r="AD484" s="23" t="str">
        <f>IF(M484="", "Error: Task name cannot be empty.", "")</f>
        <v/>
      </c>
    </row>
    <row r="485" spans="1:30" s="12" customFormat="1" ht="1.5" hidden="1" customHeight="1" outlineLevel="2" x14ac:dyDescent="0.35">
      <c r="A485" s="86" t="s">
        <v>101</v>
      </c>
      <c r="B485" s="18"/>
      <c r="C485" s="77"/>
      <c r="D485" s="77"/>
      <c r="E485" s="77"/>
      <c r="F485" s="76"/>
      <c r="G485" s="29"/>
      <c r="H485" s="29"/>
      <c r="I485" s="29"/>
      <c r="J485" s="29"/>
      <c r="K485" s="29"/>
      <c r="L485" s="163">
        <f ca="1">L484</f>
        <v>3</v>
      </c>
      <c r="M485" s="164" t="s">
        <v>105</v>
      </c>
      <c r="N485" s="161"/>
      <c r="O485" s="162"/>
      <c r="P485" s="30"/>
      <c r="Q485" s="30"/>
      <c r="R485" s="30"/>
      <c r="S485" s="30"/>
      <c r="T485" s="155"/>
      <c r="U485" s="30"/>
      <c r="V485" s="30"/>
      <c r="W485" s="30"/>
      <c r="X485" s="31"/>
      <c r="Y485" s="32"/>
      <c r="Z485" s="32"/>
      <c r="AA485" s="32"/>
      <c r="AB485" s="33"/>
      <c r="AC485" s="33"/>
      <c r="AD485" s="23"/>
    </row>
    <row r="486" spans="1:30" ht="72.5" hidden="1" outlineLevel="2" x14ac:dyDescent="0.35">
      <c r="A486" s="86" t="s">
        <v>0</v>
      </c>
      <c r="B486" s="18"/>
      <c r="C486" s="78"/>
      <c r="D486" s="78"/>
      <c r="E486" s="78"/>
      <c r="F486" s="79"/>
      <c r="G486" s="19" t="s">
        <v>23</v>
      </c>
      <c r="H486" s="19" t="s">
        <v>23</v>
      </c>
      <c r="I486" s="20" t="s">
        <v>23</v>
      </c>
      <c r="J486" s="19" t="s">
        <v>23</v>
      </c>
      <c r="K486" s="35"/>
      <c r="L486" s="19"/>
      <c r="M486" s="263" t="str">
        <f ca="1">IFERROR(OFFSET(M486,-1,,1,1)+0.1,OFFSET(M486,-1,-1,1,1)&amp;".1")</f>
        <v>3.1</v>
      </c>
      <c r="N486" s="20" t="s">
        <v>962</v>
      </c>
      <c r="O486" s="20"/>
      <c r="P486" s="20"/>
      <c r="Q486" s="134"/>
      <c r="R486" s="127"/>
      <c r="S486" s="157">
        <f>CEILING((IF(J486="Yes", 0, IF(H486="-",AA486,AA486+AA486*VLOOKUP(H486,BUFFERS_BY_TYPE,2,FALSE)))) +
   (IF(J486="Yes", 0, IF(H486="-",AA486,AA486+AA486*VLOOKUP(H486,BUFFERS_BY_TYPE,2,FALSE))))*VLOOKUP($S$5, SALES_CALL_SCALE_ARRAY, 2,FALSE),0.25)</f>
        <v>8</v>
      </c>
      <c r="T486" s="158"/>
      <c r="U486" s="21">
        <v>0</v>
      </c>
      <c r="V486" s="21">
        <v>1</v>
      </c>
      <c r="W486" s="21">
        <v>0</v>
      </c>
      <c r="X486" s="156">
        <v>8</v>
      </c>
      <c r="Y486" s="157">
        <f>CEILING((IF(P486=AS_DEV_EFFORT, DEV_EFFORT*Q486%,
                           IF(P486=AS_DURATION_EFFORT, (MANUAL_DURATION*5)*Q486%,
                                    (IF(Q486&lt;=1,X486,
                                          IF(SUM(U486:W486)=0,(Q486*X486),
                                               (((Q486*U486)*(X486+(X486*EXTRA_FOR_H)))+
                                               ((Q486*V486)*X486)+
                                               ((Q486*W486)*(X486-(X486*LESS_FOR_L)))
                                    )*IF(R486=0,1,R486))))))+Z486), 0.25)</f>
        <v>8</v>
      </c>
      <c r="Z486" s="22"/>
      <c r="AA486" s="157">
        <f>Y486+Y486*VLOOKUP(I486,EXTRAS_ARRAY,2,FALSE)</f>
        <v>8</v>
      </c>
      <c r="AB486" s="20"/>
      <c r="AC486" s="34"/>
      <c r="AD486" s="23" t="str">
        <f>IF(J486&lt;&gt;"Yes",
IF(S486&lt;=0,"Error: Effort value is not defined or is invalid.",
IF(AND(SUM(U486:W486)&gt;0,SUM(U486:W486)&lt;&gt;1),"Error: Complexity % distribution should sum to 100%.",
IF(AND(P486=AS_DEV_EFFORT,X486&lt;&gt;0),"Error: PDs should not be defined when defining as dev effort %.",
IF(AND(P486=AS_DURATION_EFFORT,X486&lt;&gt;0),"Error: PDs should not be defined when defining as duration effort %.","")))))</f>
        <v/>
      </c>
    </row>
    <row r="487" spans="1:30" ht="58" hidden="1" outlineLevel="2" x14ac:dyDescent="0.35">
      <c r="A487" s="86" t="s">
        <v>0</v>
      </c>
      <c r="B487" s="18"/>
      <c r="C487" s="78"/>
      <c r="D487" s="78"/>
      <c r="E487" s="78"/>
      <c r="F487" s="79"/>
      <c r="G487" s="19" t="s">
        <v>23</v>
      </c>
      <c r="H487" s="19" t="s">
        <v>23</v>
      </c>
      <c r="I487" s="20" t="s">
        <v>23</v>
      </c>
      <c r="J487" s="19" t="s">
        <v>23</v>
      </c>
      <c r="K487" s="35"/>
      <c r="L487" s="19"/>
      <c r="M487" s="263">
        <f ca="1">IFERROR(OFFSET(M487,-1,,1,1)+0.1,OFFSET(M487,-1,-1,1,1)&amp;".1")</f>
        <v>3.2</v>
      </c>
      <c r="N487" s="20" t="s">
        <v>1204</v>
      </c>
      <c r="O487" s="20"/>
      <c r="P487" s="20"/>
      <c r="Q487" s="134"/>
      <c r="R487" s="127"/>
      <c r="S487" s="157">
        <f>CEILING((IF(J487="Yes", 0, IF(H487="-",AA487,AA487+AA487*VLOOKUP(H487,BUFFERS_BY_TYPE,2,FALSE)))) +
   (IF(J487="Yes", 0, IF(H487="-",AA487,AA487+AA487*VLOOKUP(H487,BUFFERS_BY_TYPE,2,FALSE))))*VLOOKUP($S$5, SALES_CALL_SCALE_ARRAY, 2,FALSE),0.25)</f>
        <v>2</v>
      </c>
      <c r="T487" s="158"/>
      <c r="U487" s="21">
        <v>0</v>
      </c>
      <c r="V487" s="21">
        <v>1</v>
      </c>
      <c r="W487" s="21">
        <v>0</v>
      </c>
      <c r="X487" s="156">
        <v>2</v>
      </c>
      <c r="Y487" s="157">
        <f>CEILING((IF(P487=AS_DEV_EFFORT, DEV_EFFORT*Q487%,
                           IF(P487=AS_DURATION_EFFORT, (MANUAL_DURATION*5)*Q487%,
                                    (IF(Q487&lt;=1,X487,
                                          IF(SUM(U487:W487)=0,(Q487*X487),
                                               (((Q487*U487)*(X487+(X487*EXTRA_FOR_H)))+
                                               ((Q487*V487)*X487)+
                                               ((Q487*W487)*(X487-(X487*LESS_FOR_L)))
                                    )*IF(R487=0,1,R487))))))+Z487), 0.25)</f>
        <v>2</v>
      </c>
      <c r="Z487" s="22"/>
      <c r="AA487" s="157">
        <f>Y487+Y487*VLOOKUP(I487,EXTRAS_ARRAY,2,FALSE)</f>
        <v>2</v>
      </c>
      <c r="AB487" s="20" t="s">
        <v>1205</v>
      </c>
      <c r="AC487" s="34"/>
      <c r="AD487" s="23" t="str">
        <f>IF(J487&lt;&gt;"Yes",
IF(S487&lt;=0,"Error: Effort value is not defined or is invalid.",
IF(AND(SUM(U487:W487)&gt;0,SUM(U487:W487)&lt;&gt;1),"Error: Complexity % distribution should sum to 100%.",
IF(AND(P487=AS_DEV_EFFORT,X487&lt;&gt;0),"Error: PDs should not be defined when defining as dev effort %.",
IF(AND(P487=AS_DURATION_EFFORT,X487&lt;&gt;0),"Error: PDs should not be defined when defining as duration effort %.","")))))</f>
        <v/>
      </c>
    </row>
    <row r="488" spans="1:30" ht="116" hidden="1" outlineLevel="2" x14ac:dyDescent="0.35">
      <c r="A488" s="86" t="s">
        <v>0</v>
      </c>
      <c r="B488" s="18"/>
      <c r="C488" s="78"/>
      <c r="D488" s="78"/>
      <c r="E488" s="78"/>
      <c r="F488" s="79"/>
      <c r="G488" s="19" t="s">
        <v>23</v>
      </c>
      <c r="H488" s="19" t="s">
        <v>23</v>
      </c>
      <c r="I488" s="20" t="s">
        <v>23</v>
      </c>
      <c r="J488" s="19" t="s">
        <v>23</v>
      </c>
      <c r="K488" s="35"/>
      <c r="L488" s="19"/>
      <c r="M488" s="263">
        <f ca="1">IFERROR(OFFSET(M488,-1,,1,1)+0.1,OFFSET(M488,-1,-1,1,1)&amp;".1")</f>
        <v>3.3000000000000003</v>
      </c>
      <c r="N488" s="20" t="s">
        <v>963</v>
      </c>
      <c r="O488" s="20"/>
      <c r="P488" s="20"/>
      <c r="Q488" s="134">
        <v>1</v>
      </c>
      <c r="R488" s="127"/>
      <c r="S488" s="157">
        <f>CEILING((IF(J488="Yes", 0, IF(H488="-",AA488,AA488+AA488*VLOOKUP(H488,BUFFERS_BY_TYPE,2,FALSE)))) +
   (IF(J488="Yes", 0, IF(H488="-",AA488,AA488+AA488*VLOOKUP(H488,BUFFERS_BY_TYPE,2,FALSE))))*VLOOKUP($S$5, SALES_CALL_SCALE_ARRAY, 2,FALSE),0.25)</f>
        <v>9</v>
      </c>
      <c r="T488" s="158"/>
      <c r="U488" s="21">
        <v>0</v>
      </c>
      <c r="V488" s="21">
        <v>1</v>
      </c>
      <c r="W488" s="21">
        <v>0</v>
      </c>
      <c r="X488" s="156">
        <v>9</v>
      </c>
      <c r="Y488" s="157">
        <f>CEILING((IF(P488=AS_DEV_EFFORT, DEV_EFFORT*Q488%,
                           IF(P488=AS_DURATION_EFFORT, (MANUAL_DURATION*5)*Q488%,
                                    (IF(Q488&lt;=1,X488,
                                          IF(SUM(U488:W488)=0,(Q488*X488),
                                               (((Q488*U488)*(X488+(X488*EXTRA_FOR_H)))+
                                               ((Q488*V488)*X488)+
                                               ((Q488*W488)*(X488-(X488*LESS_FOR_L)))
                                    )*IF(R488=0,1,R488))))))+Z488), 0.25)</f>
        <v>9</v>
      </c>
      <c r="Z488" s="22"/>
      <c r="AA488" s="157">
        <f>Y488+Y488*VLOOKUP(I488,EXTRAS_ARRAY,2,FALSE)</f>
        <v>9</v>
      </c>
      <c r="AB488" s="20"/>
      <c r="AC488" s="34"/>
      <c r="AD488" s="23" t="str">
        <f>IF(J488&lt;&gt;"Yes",
IF(S488&lt;=0,"Error: Effort value is not defined or is invalid.",
IF(AND(SUM(U488:W488)&gt;0,SUM(U488:W488)&lt;&gt;1),"Error: Complexity % distribution should sum to 100%.",
IF(AND(P488=AS_DEV_EFFORT,X488&lt;&gt;0),"Error: PDs should not be defined when defining as dev effort %.",
IF(AND(P488=AS_DURATION_EFFORT,X488&lt;&gt;0),"Error: PDs should not be defined when defining as duration effort %.","")))))</f>
        <v/>
      </c>
    </row>
    <row r="489" spans="1:30" ht="101.5" hidden="1" outlineLevel="2" x14ac:dyDescent="0.35">
      <c r="A489" s="86" t="s">
        <v>0</v>
      </c>
      <c r="B489" s="18"/>
      <c r="C489" s="78"/>
      <c r="D489" s="78"/>
      <c r="E489" s="78"/>
      <c r="F489" s="79"/>
      <c r="G489" s="19" t="s">
        <v>23</v>
      </c>
      <c r="H489" s="19" t="s">
        <v>23</v>
      </c>
      <c r="I489" s="20" t="s">
        <v>23</v>
      </c>
      <c r="J489" s="19" t="s">
        <v>23</v>
      </c>
      <c r="K489" s="35"/>
      <c r="L489" s="19"/>
      <c r="M489" s="263">
        <f ca="1">IFERROR(OFFSET(M489,-1,,1,1)+0.1,OFFSET(M489,-1,-1,1,1)&amp;".1")</f>
        <v>3.4000000000000004</v>
      </c>
      <c r="N489" s="20" t="s">
        <v>1160</v>
      </c>
      <c r="O489" s="20"/>
      <c r="P489" s="20"/>
      <c r="Q489" s="134"/>
      <c r="R489" s="127"/>
      <c r="S489" s="157">
        <f>CEILING((IF(J489="Yes", 0, IF(H489="-",AA489,AA489+AA489*VLOOKUP(H489,BUFFERS_BY_TYPE,2,FALSE)))) +
   (IF(J489="Yes", 0, IF(H489="-",AA489,AA489+AA489*VLOOKUP(H489,BUFFERS_BY_TYPE,2,FALSE))))*VLOOKUP($S$5, SALES_CALL_SCALE_ARRAY, 2,FALSE),0.25)</f>
        <v>8</v>
      </c>
      <c r="T489" s="158"/>
      <c r="U489" s="21">
        <v>0</v>
      </c>
      <c r="V489" s="21">
        <v>1</v>
      </c>
      <c r="W489" s="21">
        <v>0</v>
      </c>
      <c r="X489" s="156">
        <v>8</v>
      </c>
      <c r="Y489" s="157">
        <f>CEILING((IF(P489=AS_DEV_EFFORT, DEV_EFFORT*Q489%,
                           IF(P489=AS_DURATION_EFFORT, (MANUAL_DURATION*5)*Q489%,
                                    (IF(Q489&lt;=1,X489,
                                          IF(SUM(U489:W489)=0,(Q489*X489),
                                               (((Q489*U489)*(X489+(X489*EXTRA_FOR_H)))+
                                               ((Q489*V489)*X489)+
                                               ((Q489*W489)*(X489-(X489*LESS_FOR_L)))
                                    )*IF(R489=0,1,R489))))))+Z489), 0.25)</f>
        <v>8</v>
      </c>
      <c r="Z489" s="22"/>
      <c r="AA489" s="157">
        <f>Y489+Y489*VLOOKUP(I489,EXTRAS_ARRAY,2,FALSE)</f>
        <v>8</v>
      </c>
      <c r="AB489" s="20" t="s">
        <v>1161</v>
      </c>
      <c r="AC489" s="34"/>
      <c r="AD489" s="23" t="str">
        <f>IF(J489&lt;&gt;"Yes",
IF(S489&lt;=0,"Error: Effort value is not defined or is invalid.",
IF(AND(SUM(U489:W489)&gt;0,SUM(U489:W489)&lt;&gt;1),"Error: Complexity % distribution should sum to 100%.",
IF(AND(P489=AS_DEV_EFFORT,X489&lt;&gt;0),"Error: PDs should not be defined when defining as dev effort %.",
IF(AND(P489=AS_DURATION_EFFORT,X489&lt;&gt;0),"Error: PDs should not be defined when defining as duration effort %.","")))))</f>
        <v/>
      </c>
    </row>
    <row r="490" spans="1:30" s="9" customFormat="1" ht="7.5" hidden="1" customHeight="1" outlineLevel="2" x14ac:dyDescent="0.35">
      <c r="A490" s="86" t="s">
        <v>132</v>
      </c>
      <c r="B490" s="15"/>
      <c r="C490" s="72"/>
      <c r="D490" s="72"/>
      <c r="E490" s="72"/>
      <c r="F490" s="72"/>
      <c r="M490" s="252"/>
      <c r="T490" s="15"/>
      <c r="X490" s="15"/>
      <c r="AB490" s="10"/>
      <c r="AC490" s="10"/>
      <c r="AD490" s="10"/>
    </row>
    <row r="491" spans="1:30" s="14" customFormat="1" ht="15.5" hidden="1" outlineLevel="1" collapsed="1" x14ac:dyDescent="0.35">
      <c r="A491" s="86" t="s">
        <v>100</v>
      </c>
      <c r="B491" s="18"/>
      <c r="C491" s="77"/>
      <c r="D491" s="77"/>
      <c r="E491" s="77"/>
      <c r="F491" s="76"/>
      <c r="G491" s="29"/>
      <c r="H491" s="29"/>
      <c r="I491" s="29"/>
      <c r="J491" s="29"/>
      <c r="K491" s="29"/>
      <c r="L491" s="17">
        <f ca="1">LOOKUP(1000,INDIRECT("L1:"&amp;CELL("address",INDIRECT("R[-1]C",FALSE))))+1</f>
        <v>4</v>
      </c>
      <c r="M491" s="310" t="s">
        <v>465</v>
      </c>
      <c r="N491" s="310"/>
      <c r="O491" s="5"/>
      <c r="P491" s="30"/>
      <c r="Q491" s="30"/>
      <c r="R491" s="30"/>
      <c r="S491" s="30"/>
      <c r="T491" s="155">
        <f>IF($S$6="Exclude", SUMIFS(S492:S497, J492:J497, "&lt;&gt;Yes", G492:G497, "&lt;&gt;Yes"), SUMIFS(S492:S497, J492:J497, "&lt;&gt;Yes"))</f>
        <v>25</v>
      </c>
      <c r="U491" s="30"/>
      <c r="V491" s="30"/>
      <c r="W491" s="30"/>
      <c r="X491" s="31"/>
      <c r="Y491" s="32"/>
      <c r="Z491" s="32"/>
      <c r="AA491" s="32"/>
      <c r="AB491" s="219"/>
      <c r="AC491" s="33"/>
      <c r="AD491" s="23" t="str">
        <f>IF(M491="", "Error: Task name cannot be empty.", "")</f>
        <v/>
      </c>
    </row>
    <row r="492" spans="1:30" s="12" customFormat="1" ht="1.5" hidden="1" customHeight="1" outlineLevel="2" x14ac:dyDescent="0.35">
      <c r="A492" s="86" t="s">
        <v>101</v>
      </c>
      <c r="B492" s="18"/>
      <c r="C492" s="77"/>
      <c r="D492" s="77"/>
      <c r="E492" s="77"/>
      <c r="F492" s="76"/>
      <c r="G492" s="29"/>
      <c r="H492" s="29"/>
      <c r="I492" s="29"/>
      <c r="J492" s="29"/>
      <c r="K492" s="29"/>
      <c r="L492" s="163">
        <f ca="1">L491</f>
        <v>4</v>
      </c>
      <c r="M492" s="164" t="s">
        <v>105</v>
      </c>
      <c r="N492" s="161"/>
      <c r="O492" s="162"/>
      <c r="P492" s="30"/>
      <c r="Q492" s="30"/>
      <c r="R492" s="30"/>
      <c r="S492" s="30"/>
      <c r="T492" s="155"/>
      <c r="U492" s="30"/>
      <c r="V492" s="30"/>
      <c r="W492" s="30"/>
      <c r="X492" s="31"/>
      <c r="Y492" s="32"/>
      <c r="Z492" s="32"/>
      <c r="AA492" s="32"/>
      <c r="AB492" s="33"/>
      <c r="AC492" s="33"/>
      <c r="AD492" s="23"/>
    </row>
    <row r="493" spans="1:30" ht="72.5" hidden="1" outlineLevel="2" x14ac:dyDescent="0.35">
      <c r="A493" s="86" t="s">
        <v>0</v>
      </c>
      <c r="B493" s="18"/>
      <c r="C493" s="78"/>
      <c r="D493" s="78"/>
      <c r="E493" s="78"/>
      <c r="F493" s="79"/>
      <c r="G493" s="19" t="s">
        <v>23</v>
      </c>
      <c r="H493" s="19" t="s">
        <v>23</v>
      </c>
      <c r="I493" s="20" t="s">
        <v>23</v>
      </c>
      <c r="J493" s="19" t="s">
        <v>23</v>
      </c>
      <c r="K493" s="35"/>
      <c r="L493" s="19"/>
      <c r="M493" s="263" t="str">
        <f ca="1">IFERROR(OFFSET(M493,-1,,1,1)+0.1,OFFSET(M493,-1,-1,1,1)&amp;".1")</f>
        <v>4.1</v>
      </c>
      <c r="N493" s="20" t="s">
        <v>964</v>
      </c>
      <c r="O493" s="20"/>
      <c r="P493" s="20"/>
      <c r="Q493" s="134"/>
      <c r="R493" s="127"/>
      <c r="S493" s="157">
        <f>CEILING((IF(J493="Yes", 0, IF(H493="-",AA493,AA493+AA493*VLOOKUP(H493,BUFFERS_BY_TYPE,2,FALSE)))) +
   (IF(J493="Yes", 0, IF(H493="-",AA493,AA493+AA493*VLOOKUP(H493,BUFFERS_BY_TYPE,2,FALSE))))*VLOOKUP($S$5, SALES_CALL_SCALE_ARRAY, 2,FALSE),0.25)</f>
        <v>6</v>
      </c>
      <c r="T493" s="158"/>
      <c r="U493" s="21">
        <v>0</v>
      </c>
      <c r="V493" s="21">
        <v>1</v>
      </c>
      <c r="W493" s="21">
        <v>0</v>
      </c>
      <c r="X493" s="156">
        <v>6</v>
      </c>
      <c r="Y493" s="157">
        <f>CEILING((IF(P493=AS_DEV_EFFORT, DEV_EFFORT*Q493%,
                           IF(P493=AS_DURATION_EFFORT, (MANUAL_DURATION*5)*Q493%,
                                    (IF(Q493&lt;=1,X493,
                                          IF(SUM(U493:W493)=0,(Q493*X493),
                                               (((Q493*U493)*(X493+(X493*EXTRA_FOR_H)))+
                                               ((Q493*V493)*X493)+
                                               ((Q493*W493)*(X493-(X493*LESS_FOR_L)))
                                    )*IF(R493=0,1,R493))))))+Z493), 0.25)</f>
        <v>6</v>
      </c>
      <c r="Z493" s="22"/>
      <c r="AA493" s="157">
        <f>Y493+Y493*VLOOKUP(I493,EXTRAS_ARRAY,2,FALSE)</f>
        <v>6</v>
      </c>
      <c r="AB493" s="20"/>
      <c r="AC493" s="34"/>
      <c r="AD493" s="23" t="str">
        <f>IF(J493&lt;&gt;"Yes",
IF(S493&lt;=0,"Error: Effort value is not defined or is invalid.",
IF(AND(SUM(U493:W493)&gt;0,SUM(U493:W493)&lt;&gt;1),"Error: Complexity % distribution should sum to 100%.",
IF(AND(P493=AS_DEV_EFFORT,X493&lt;&gt;0),"Error: PDs should not be defined when defining as dev effort %.",
IF(AND(P493=AS_DURATION_EFFORT,X493&lt;&gt;0),"Error: PDs should not be defined when defining as duration effort %.","")))))</f>
        <v/>
      </c>
    </row>
    <row r="494" spans="1:30" ht="72.5" hidden="1" outlineLevel="2" x14ac:dyDescent="0.35">
      <c r="A494" s="86" t="s">
        <v>0</v>
      </c>
      <c r="B494" s="18"/>
      <c r="C494" s="78"/>
      <c r="D494" s="78"/>
      <c r="E494" s="78"/>
      <c r="F494" s="79"/>
      <c r="G494" s="19" t="s">
        <v>23</v>
      </c>
      <c r="H494" s="19" t="s">
        <v>23</v>
      </c>
      <c r="I494" s="20" t="s">
        <v>23</v>
      </c>
      <c r="J494" s="19" t="s">
        <v>23</v>
      </c>
      <c r="K494" s="35"/>
      <c r="L494" s="19"/>
      <c r="M494" s="263">
        <f ca="1">IFERROR(OFFSET(M494,-1,,1,1)+0.1,OFFSET(M494,-1,-1,1,1)&amp;".1")</f>
        <v>4.1999999999999993</v>
      </c>
      <c r="N494" s="20" t="s">
        <v>965</v>
      </c>
      <c r="O494" s="20"/>
      <c r="P494" s="20"/>
      <c r="Q494" s="134"/>
      <c r="R494" s="127"/>
      <c r="S494" s="157">
        <f>CEILING((IF(J494="Yes", 0, IF(H494="-",AA494,AA494+AA494*VLOOKUP(H494,BUFFERS_BY_TYPE,2,FALSE)))) +
   (IF(J494="Yes", 0, IF(H494="-",AA494,AA494+AA494*VLOOKUP(H494,BUFFERS_BY_TYPE,2,FALSE))))*VLOOKUP($S$5, SALES_CALL_SCALE_ARRAY, 2,FALSE),0.25)</f>
        <v>6</v>
      </c>
      <c r="T494" s="158"/>
      <c r="U494" s="21">
        <v>0</v>
      </c>
      <c r="V494" s="21">
        <v>1</v>
      </c>
      <c r="W494" s="21">
        <v>0</v>
      </c>
      <c r="X494" s="156">
        <v>6</v>
      </c>
      <c r="Y494" s="157">
        <f>CEILING((IF(P494=AS_DEV_EFFORT, DEV_EFFORT*Q494%,
                           IF(P494=AS_DURATION_EFFORT, (MANUAL_DURATION*5)*Q494%,
                                    (IF(Q494&lt;=1,X494,
                                          IF(SUM(U494:W494)=0,(Q494*X494),
                                               (((Q494*U494)*(X494+(X494*EXTRA_FOR_H)))+
                                               ((Q494*V494)*X494)+
                                               ((Q494*W494)*(X494-(X494*LESS_FOR_L)))
                                    )*IF(R494=0,1,R494))))))+Z494), 0.25)</f>
        <v>6</v>
      </c>
      <c r="Z494" s="22"/>
      <c r="AA494" s="157">
        <f>Y494+Y494*VLOOKUP(I494,EXTRAS_ARRAY,2,FALSE)</f>
        <v>6</v>
      </c>
      <c r="AB494" s="20"/>
      <c r="AC494" s="34"/>
      <c r="AD494" s="23" t="str">
        <f>IF(J494&lt;&gt;"Yes",
IF(S494&lt;=0,"Error: Effort value is not defined or is invalid.",
IF(AND(SUM(U494:W494)&gt;0,SUM(U494:W494)&lt;&gt;1),"Error: Complexity % distribution should sum to 100%.",
IF(AND(P494=AS_DEV_EFFORT,X494&lt;&gt;0),"Error: PDs should not be defined when defining as dev effort %.",
IF(AND(P494=AS_DURATION_EFFORT,X494&lt;&gt;0),"Error: PDs should not be defined when defining as duration effort %.","")))))</f>
        <v/>
      </c>
    </row>
    <row r="495" spans="1:30" ht="87" hidden="1" outlineLevel="2" x14ac:dyDescent="0.35">
      <c r="A495" s="86" t="s">
        <v>0</v>
      </c>
      <c r="B495" s="18"/>
      <c r="C495" s="78"/>
      <c r="D495" s="78"/>
      <c r="E495" s="78"/>
      <c r="F495" s="79"/>
      <c r="G495" s="19" t="s">
        <v>23</v>
      </c>
      <c r="H495" s="19" t="s">
        <v>23</v>
      </c>
      <c r="I495" s="20" t="s">
        <v>23</v>
      </c>
      <c r="J495" s="19" t="s">
        <v>23</v>
      </c>
      <c r="K495" s="35"/>
      <c r="L495" s="19"/>
      <c r="M495" s="263">
        <f ca="1">IFERROR(OFFSET(M495,-1,,1,1)+0.1,OFFSET(M495,-1,-1,1,1)&amp;".1")</f>
        <v>4.2999999999999989</v>
      </c>
      <c r="N495" s="20" t="s">
        <v>966</v>
      </c>
      <c r="O495" s="20"/>
      <c r="P495" s="20"/>
      <c r="Q495" s="134"/>
      <c r="R495" s="127"/>
      <c r="S495" s="157">
        <f>CEILING((IF(J495="Yes", 0, IF(H495="-",AA495,AA495+AA495*VLOOKUP(H495,BUFFERS_BY_TYPE,2,FALSE)))) +
   (IF(J495="Yes", 0, IF(H495="-",AA495,AA495+AA495*VLOOKUP(H495,BUFFERS_BY_TYPE,2,FALSE))))*VLOOKUP($S$5, SALES_CALL_SCALE_ARRAY, 2,FALSE),0.25)</f>
        <v>7</v>
      </c>
      <c r="T495" s="158"/>
      <c r="U495" s="21">
        <v>0</v>
      </c>
      <c r="V495" s="21">
        <v>1</v>
      </c>
      <c r="W495" s="21">
        <v>0</v>
      </c>
      <c r="X495" s="156">
        <v>7</v>
      </c>
      <c r="Y495" s="157">
        <f>CEILING((IF(P495=AS_DEV_EFFORT, DEV_EFFORT*Q495%,
                           IF(P495=AS_DURATION_EFFORT, (MANUAL_DURATION*5)*Q495%,
                                    (IF(Q495&lt;=1,X495,
                                          IF(SUM(U495:W495)=0,(Q495*X495),
                                               (((Q495*U495)*(X495+(X495*EXTRA_FOR_H)))+
                                               ((Q495*V495)*X495)+
                                               ((Q495*W495)*(X495-(X495*LESS_FOR_L)))
                                    )*IF(R495=0,1,R495))))))+Z495), 0.25)</f>
        <v>7</v>
      </c>
      <c r="Z495" s="22"/>
      <c r="AA495" s="157">
        <f>Y495+Y495*VLOOKUP(I495,EXTRAS_ARRAY,2,FALSE)</f>
        <v>7</v>
      </c>
      <c r="AB495" s="20"/>
      <c r="AC495" s="34"/>
      <c r="AD495" s="23" t="str">
        <f>IF(J495&lt;&gt;"Yes",
IF(S495&lt;=0,"Error: Effort value is not defined or is invalid.",
IF(AND(SUM(U495:W495)&gt;0,SUM(U495:W495)&lt;&gt;1),"Error: Complexity % distribution should sum to 100%.",
IF(AND(P495=AS_DEV_EFFORT,X495&lt;&gt;0),"Error: PDs should not be defined when defining as dev effort %.",
IF(AND(P495=AS_DURATION_EFFORT,X495&lt;&gt;0),"Error: PDs should not be defined when defining as duration effort %.","")))))</f>
        <v/>
      </c>
    </row>
    <row r="496" spans="1:30" ht="72.5" hidden="1" outlineLevel="2" x14ac:dyDescent="0.35">
      <c r="A496" s="86" t="s">
        <v>0</v>
      </c>
      <c r="B496" s="18"/>
      <c r="C496" s="78"/>
      <c r="D496" s="78"/>
      <c r="E496" s="78"/>
      <c r="F496" s="79"/>
      <c r="G496" s="19" t="s">
        <v>23</v>
      </c>
      <c r="H496" s="19" t="s">
        <v>23</v>
      </c>
      <c r="I496" s="20" t="s">
        <v>23</v>
      </c>
      <c r="J496" s="19" t="s">
        <v>23</v>
      </c>
      <c r="K496" s="35"/>
      <c r="L496" s="19"/>
      <c r="M496" s="263">
        <f ca="1">IFERROR(OFFSET(M496,-1,,1,1)+0.1,OFFSET(M496,-1,-1,1,1)&amp;".1")</f>
        <v>4.3999999999999986</v>
      </c>
      <c r="N496" s="20" t="s">
        <v>967</v>
      </c>
      <c r="O496" s="20"/>
      <c r="P496" s="20"/>
      <c r="Q496" s="134"/>
      <c r="R496" s="127"/>
      <c r="S496" s="157">
        <f>CEILING((IF(J496="Yes", 0, IF(H496="-",AA496,AA496+AA496*VLOOKUP(H496,BUFFERS_BY_TYPE,2,FALSE)))) +
   (IF(J496="Yes", 0, IF(H496="-",AA496,AA496+AA496*VLOOKUP(H496,BUFFERS_BY_TYPE,2,FALSE))))*VLOOKUP($S$5, SALES_CALL_SCALE_ARRAY, 2,FALSE),0.25)</f>
        <v>6</v>
      </c>
      <c r="T496" s="158"/>
      <c r="U496" s="21">
        <v>0</v>
      </c>
      <c r="V496" s="21">
        <v>1</v>
      </c>
      <c r="W496" s="21">
        <v>0</v>
      </c>
      <c r="X496" s="156">
        <v>6</v>
      </c>
      <c r="Y496" s="157">
        <f>CEILING((IF(P496=AS_DEV_EFFORT, DEV_EFFORT*Q496%,
                           IF(P496=AS_DURATION_EFFORT, (MANUAL_DURATION*5)*Q496%,
                                    (IF(Q496&lt;=1,X496,
                                          IF(SUM(U496:W496)=0,(Q496*X496),
                                               (((Q496*U496)*(X496+(X496*EXTRA_FOR_H)))+
                                               ((Q496*V496)*X496)+
                                               ((Q496*W496)*(X496-(X496*LESS_FOR_L)))
                                    )*IF(R496=0,1,R496))))))+Z496), 0.25)</f>
        <v>6</v>
      </c>
      <c r="Z496" s="22"/>
      <c r="AA496" s="157">
        <f>Y496+Y496*VLOOKUP(I496,EXTRAS_ARRAY,2,FALSE)</f>
        <v>6</v>
      </c>
      <c r="AB496" s="20"/>
      <c r="AC496" s="34"/>
      <c r="AD496" s="23" t="str">
        <f>IF(J496&lt;&gt;"Yes",
IF(S496&lt;=0,"Error: Effort value is not defined or is invalid.",
IF(AND(SUM(U496:W496)&gt;0,SUM(U496:W496)&lt;&gt;1),"Error: Complexity % distribution should sum to 100%.",
IF(AND(P496=AS_DEV_EFFORT,X496&lt;&gt;0),"Error: PDs should not be defined when defining as dev effort %.",
IF(AND(P496=AS_DURATION_EFFORT,X496&lt;&gt;0),"Error: PDs should not be defined when defining as duration effort %.","")))))</f>
        <v/>
      </c>
    </row>
    <row r="497" spans="1:30" s="9" customFormat="1" ht="7.5" hidden="1" customHeight="1" outlineLevel="2" x14ac:dyDescent="0.35">
      <c r="A497" s="86" t="s">
        <v>132</v>
      </c>
      <c r="B497" s="15"/>
      <c r="C497" s="72"/>
      <c r="D497" s="72"/>
      <c r="E497" s="72"/>
      <c r="F497" s="72"/>
      <c r="M497" s="252"/>
      <c r="T497" s="15"/>
      <c r="X497" s="15"/>
      <c r="AB497" s="10"/>
      <c r="AC497" s="10"/>
      <c r="AD497" s="10"/>
    </row>
    <row r="498" spans="1:30" s="9" customFormat="1" ht="3" hidden="1" customHeight="1" outlineLevel="1" x14ac:dyDescent="0.35">
      <c r="A498" s="86" t="s">
        <v>102</v>
      </c>
      <c r="C498" s="72"/>
      <c r="D498" s="72"/>
      <c r="E498" s="72"/>
      <c r="F498" s="72"/>
      <c r="G498" s="25"/>
      <c r="H498" s="25"/>
      <c r="I498" s="25"/>
      <c r="J498" s="25"/>
      <c r="K498" s="25"/>
      <c r="L498" s="56"/>
      <c r="M498" s="264"/>
      <c r="N498" s="57"/>
      <c r="O498" s="57"/>
      <c r="P498" s="56"/>
      <c r="Q498" s="56"/>
      <c r="R498" s="56"/>
      <c r="S498" s="56"/>
      <c r="T498" s="56"/>
      <c r="U498" s="56"/>
      <c r="V498" s="56"/>
      <c r="W498" s="56"/>
      <c r="X498" s="56"/>
      <c r="Y498" s="56"/>
      <c r="Z498" s="56"/>
      <c r="AA498" s="56"/>
      <c r="AB498" s="57"/>
      <c r="AC498" s="57"/>
      <c r="AD498" s="10"/>
    </row>
    <row r="499" spans="1:30" s="14" customFormat="1" ht="18.5" collapsed="1" x14ac:dyDescent="0.35">
      <c r="A499" s="86" t="s">
        <v>98</v>
      </c>
      <c r="B499" s="12"/>
      <c r="C499" s="73"/>
      <c r="D499" s="73"/>
      <c r="E499" s="73"/>
      <c r="F499" s="72"/>
      <c r="G499" s="52"/>
      <c r="H499" s="52"/>
      <c r="I499" s="52"/>
      <c r="J499" s="52"/>
      <c r="K499" s="52"/>
      <c r="L499" s="52" t="s">
        <v>83</v>
      </c>
      <c r="M499" s="261" t="s">
        <v>76</v>
      </c>
      <c r="N499" s="53"/>
      <c r="O499" s="54"/>
      <c r="P499" s="55"/>
      <c r="Q499" s="55"/>
      <c r="R499" s="55"/>
      <c r="S499" s="340">
        <f>CEILING(SUMIF(J500:J505, "&lt;&gt;Yes", T500:T505),1)</f>
        <v>72</v>
      </c>
      <c r="T499" s="340"/>
      <c r="U499" s="55"/>
      <c r="V499" s="55"/>
      <c r="W499" s="55"/>
      <c r="X499" s="55"/>
      <c r="Y499" s="55"/>
      <c r="Z499" s="55"/>
      <c r="AA499" s="55"/>
      <c r="AB499" s="55"/>
      <c r="AC499" s="55"/>
      <c r="AD499" s="13"/>
    </row>
    <row r="500" spans="1:30" s="9" customFormat="1" ht="3" hidden="1" customHeight="1" outlineLevel="1" x14ac:dyDescent="0.35">
      <c r="A500" s="86" t="s">
        <v>99</v>
      </c>
      <c r="B500" s="15"/>
      <c r="C500" s="72"/>
      <c r="D500" s="72"/>
      <c r="E500" s="72"/>
      <c r="F500" s="72"/>
      <c r="G500" s="25"/>
      <c r="H500" s="25"/>
      <c r="I500" s="25"/>
      <c r="J500" s="25"/>
      <c r="K500" s="25"/>
      <c r="L500" s="26">
        <v>0</v>
      </c>
      <c r="M500" s="262"/>
      <c r="N500" s="25"/>
      <c r="O500" s="25"/>
      <c r="P500" s="25"/>
      <c r="Q500" s="25"/>
      <c r="R500" s="25"/>
      <c r="S500" s="25"/>
      <c r="T500" s="27"/>
      <c r="U500" s="25"/>
      <c r="V500" s="25"/>
      <c r="W500" s="25"/>
      <c r="X500" s="27"/>
      <c r="Y500" s="25"/>
      <c r="Z500" s="25"/>
      <c r="AA500" s="25"/>
      <c r="AB500" s="28"/>
      <c r="AC500" s="28"/>
      <c r="AD500" s="10"/>
    </row>
    <row r="501" spans="1:30" s="14" customFormat="1" ht="15.5" hidden="1" outlineLevel="1" x14ac:dyDescent="0.35">
      <c r="A501" s="86" t="s">
        <v>100</v>
      </c>
      <c r="B501" s="18"/>
      <c r="C501" s="77"/>
      <c r="D501" s="77"/>
      <c r="E501" s="77"/>
      <c r="F501" s="76"/>
      <c r="G501" s="29"/>
      <c r="H501" s="29"/>
      <c r="I501" s="29"/>
      <c r="J501" s="29"/>
      <c r="K501" s="29"/>
      <c r="L501" s="17">
        <f ca="1">LOOKUP(1000,INDIRECT("L1:"&amp;CELL("address",INDIRECT("R[-1]C",FALSE))))+1</f>
        <v>1</v>
      </c>
      <c r="M501" s="310" t="s">
        <v>471</v>
      </c>
      <c r="N501" s="310"/>
      <c r="O501" s="5"/>
      <c r="P501" s="30"/>
      <c r="Q501" s="30"/>
      <c r="R501" s="30"/>
      <c r="S501" s="30"/>
      <c r="T501" s="155">
        <f>IF($S$6="Exclude", SUMIFS(S502:S504, J502:J504, "&lt;&gt;Yes", G502:G504, "&lt;&gt;Yes"), SUMIFS(S502:S504, J502:J504, "&lt;&gt;Yes"))</f>
        <v>71.25</v>
      </c>
      <c r="U501" s="30"/>
      <c r="V501" s="30"/>
      <c r="W501" s="30"/>
      <c r="X501" s="31"/>
      <c r="Y501" s="32"/>
      <c r="Z501" s="32"/>
      <c r="AA501" s="32"/>
      <c r="AB501" s="219"/>
      <c r="AC501" s="33"/>
      <c r="AD501" s="23" t="str">
        <f>IF(M501="", "Error: Task name cannot be empty.", "")</f>
        <v/>
      </c>
    </row>
    <row r="502" spans="1:30" s="12" customFormat="1" ht="1.5" hidden="1" customHeight="1" outlineLevel="2" x14ac:dyDescent="0.35">
      <c r="A502" s="86" t="s">
        <v>101</v>
      </c>
      <c r="B502" s="18"/>
      <c r="C502" s="77"/>
      <c r="D502" s="77"/>
      <c r="E502" s="77"/>
      <c r="F502" s="76"/>
      <c r="G502" s="29"/>
      <c r="H502" s="29"/>
      <c r="I502" s="29"/>
      <c r="J502" s="29"/>
      <c r="K502" s="29"/>
      <c r="L502" s="163">
        <f ca="1">L501</f>
        <v>1</v>
      </c>
      <c r="M502" s="164" t="s">
        <v>105</v>
      </c>
      <c r="N502" s="161"/>
      <c r="O502" s="162"/>
      <c r="P502" s="30"/>
      <c r="Q502" s="30"/>
      <c r="R502" s="30"/>
      <c r="S502" s="30"/>
      <c r="T502" s="155"/>
      <c r="U502" s="30"/>
      <c r="V502" s="30"/>
      <c r="W502" s="30"/>
      <c r="X502" s="31"/>
      <c r="Y502" s="32"/>
      <c r="Z502" s="32"/>
      <c r="AA502" s="32"/>
      <c r="AB502" s="33"/>
      <c r="AC502" s="33"/>
      <c r="AD502" s="23"/>
    </row>
    <row r="503" spans="1:30" ht="15.5" hidden="1" outlineLevel="2" x14ac:dyDescent="0.35">
      <c r="A503" s="86" t="s">
        <v>0</v>
      </c>
      <c r="B503" s="18"/>
      <c r="C503" s="78"/>
      <c r="D503" s="78"/>
      <c r="E503" s="78"/>
      <c r="F503" s="79"/>
      <c r="G503" s="19" t="s">
        <v>23</v>
      </c>
      <c r="H503" s="19" t="s">
        <v>23</v>
      </c>
      <c r="I503" s="20" t="s">
        <v>23</v>
      </c>
      <c r="J503" s="19" t="s">
        <v>23</v>
      </c>
      <c r="K503" s="35"/>
      <c r="L503" s="19"/>
      <c r="M503" s="263" t="str">
        <f ca="1">IFERROR(OFFSET(M503,-1,,1,1)+0.1,OFFSET(M503,-1,-1,1,1)&amp;".1")</f>
        <v>1.1</v>
      </c>
      <c r="N503" s="20" t="s">
        <v>472</v>
      </c>
      <c r="O503" s="20" t="s">
        <v>473</v>
      </c>
      <c r="P503" s="251">
        <v>7.8600000000000003E-2</v>
      </c>
      <c r="Q503" s="134"/>
      <c r="R503" s="127"/>
      <c r="S503" s="157">
        <f>CEILING((IF(J503="Yes", 0, IF(H503="-",AA503,AA503+AA503*VLOOKUP(H503,BUFFERS_BY_TYPE,2,FALSE)))) +
   (IF(J503="Yes", 0, IF(H503="-",AA503,AA503+AA503*VLOOKUP(H503,BUFFERS_BY_TYPE,2,FALSE))))*VLOOKUP($S$5, SALES_CALL_SCALE_ARRAY, 2,FALSE),0.25)</f>
        <v>71.25</v>
      </c>
      <c r="T503" s="158"/>
      <c r="U503" s="21">
        <v>0</v>
      </c>
      <c r="V503" s="21">
        <v>1</v>
      </c>
      <c r="W503" s="21">
        <v>0</v>
      </c>
      <c r="X503" s="156">
        <f>(REQ_EFFORT+DESIGN_EFFORT+DEV_EFFORT+QA_EFFORT+UAT_EFFORT) * P503</f>
        <v>71.13300000000001</v>
      </c>
      <c r="Y503" s="157">
        <f>CEILING((IF(P503=AS_DEV_EFFORT, DEV_EFFORT*Q503%,
                           IF(P503=AS_DURATION_EFFORT, (MANUAL_DURATION*5)*Q503%,
                                    (IF(Q503&lt;=1,X503,
                                          IF(SUM(U503:W503)=0,(Q503*X503),
                                               (((Q503*U503)*(X503+(X503*EXTRA_FOR_H)))+
                                               ((Q503*V503)*X503)+
                                               ((Q503*W503)*(X503-(X503*LESS_FOR_L)))
                                    )*IF(R503=0,1,R503))))))+Z503), 0.25)</f>
        <v>71.25</v>
      </c>
      <c r="Z503" s="22">
        <v>4.4999999999999998E-2</v>
      </c>
      <c r="AA503" s="157">
        <f>Y503+Y503*VLOOKUP(I503,EXTRAS_ARRAY,2,FALSE)</f>
        <v>71.25</v>
      </c>
      <c r="AB503" s="20"/>
      <c r="AC503" s="34"/>
      <c r="AD503" s="23" t="str">
        <f>IF(J503&lt;&gt;"Yes",
IF(S503&lt;=0,"Error: Effort value is not defined or is invalid.",
IF(AND(SUM(U503:W503)&gt;0,SUM(U503:W503)&lt;&gt;1),"Error: Complexity % distribution should sum to 100%.",
IF(AND(P503=AS_DEV_EFFORT,X503&lt;&gt;0),"Error: PDs should not be defined when defining as dev effort %.",
IF(AND(P503=AS_DURATION_EFFORT,X503&lt;&gt;0),"Error: PDs should not be defined when defining as duration effort %.","")))))</f>
        <v/>
      </c>
    </row>
    <row r="504" spans="1:30" s="9" customFormat="1" ht="7.5" hidden="1" customHeight="1" outlineLevel="2" x14ac:dyDescent="0.35">
      <c r="A504" s="86" t="s">
        <v>132</v>
      </c>
      <c r="B504" s="15"/>
      <c r="C504" s="72"/>
      <c r="D504" s="72"/>
      <c r="E504" s="72"/>
      <c r="F504" s="72"/>
      <c r="M504" s="252"/>
      <c r="T504" s="15"/>
      <c r="X504" s="15"/>
      <c r="AB504" s="10"/>
      <c r="AC504" s="10"/>
      <c r="AD504" s="10"/>
    </row>
    <row r="505" spans="1:30" s="9" customFormat="1" ht="3" hidden="1" customHeight="1" outlineLevel="1" x14ac:dyDescent="0.35">
      <c r="A505" s="86" t="s">
        <v>102</v>
      </c>
      <c r="C505" s="72"/>
      <c r="D505" s="72"/>
      <c r="E505" s="72"/>
      <c r="F505" s="72"/>
      <c r="G505" s="25"/>
      <c r="H505" s="25"/>
      <c r="I505" s="25"/>
      <c r="J505" s="25"/>
      <c r="K505" s="25"/>
      <c r="L505" s="56"/>
      <c r="M505" s="264"/>
      <c r="N505" s="57"/>
      <c r="O505" s="57"/>
      <c r="P505" s="56"/>
      <c r="Q505" s="56"/>
      <c r="R505" s="56"/>
      <c r="S505" s="56"/>
      <c r="T505" s="56"/>
      <c r="U505" s="56"/>
      <c r="V505" s="56"/>
      <c r="W505" s="56"/>
      <c r="X505" s="56"/>
      <c r="Y505" s="56"/>
      <c r="Z505" s="56"/>
      <c r="AA505" s="56"/>
      <c r="AB505" s="57"/>
      <c r="AC505" s="57"/>
      <c r="AD505" s="10"/>
    </row>
    <row r="506" spans="1:30" s="9" customFormat="1" ht="20.25" customHeight="1" x14ac:dyDescent="0.35">
      <c r="A506" s="86" t="s">
        <v>103</v>
      </c>
      <c r="C506" s="72"/>
      <c r="D506" s="72"/>
      <c r="E506" s="72"/>
      <c r="F506" s="72"/>
      <c r="G506" s="40"/>
      <c r="H506" s="40"/>
      <c r="I506" s="40"/>
      <c r="J506" s="40"/>
      <c r="K506" s="40"/>
      <c r="L506" s="136"/>
      <c r="M506" s="258"/>
      <c r="N506" s="40"/>
      <c r="O506" s="40"/>
      <c r="P506" s="40"/>
      <c r="Q506" s="40"/>
      <c r="R506" s="40"/>
      <c r="S506" s="341">
        <f>TOTAL_EFFORT</f>
        <v>977</v>
      </c>
      <c r="T506" s="341"/>
      <c r="U506" s="40"/>
      <c r="V506" s="40"/>
      <c r="W506" s="40"/>
      <c r="X506" s="40"/>
      <c r="Y506" s="40"/>
      <c r="Z506" s="40"/>
      <c r="AA506" s="40"/>
      <c r="AB506" s="135"/>
      <c r="AC506" s="40"/>
      <c r="AD506" s="10"/>
    </row>
    <row r="507" spans="1:30" s="9" customFormat="1" x14ac:dyDescent="0.35">
      <c r="A507" s="86"/>
      <c r="C507" s="74"/>
      <c r="D507" s="74"/>
      <c r="E507" s="74"/>
      <c r="F507" s="72"/>
      <c r="M507" s="252"/>
      <c r="N507" s="10"/>
      <c r="O507" s="10"/>
      <c r="AB507" s="10"/>
      <c r="AC507" s="10"/>
      <c r="AD507" s="10"/>
    </row>
    <row r="508" spans="1:30" s="9" customFormat="1" ht="20.25" customHeight="1" collapsed="1" x14ac:dyDescent="0.35">
      <c r="A508" s="86"/>
      <c r="C508" s="72"/>
      <c r="D508" s="72"/>
      <c r="E508" s="72"/>
      <c r="F508" s="72"/>
      <c r="G508" s="334" t="s">
        <v>48</v>
      </c>
      <c r="H508" s="334"/>
      <c r="I508" s="165"/>
      <c r="J508" s="40"/>
      <c r="K508" s="40"/>
      <c r="L508" s="36"/>
      <c r="M508" s="265" t="s">
        <v>154</v>
      </c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D508" s="10"/>
    </row>
    <row r="509" spans="1:30" s="9" customFormat="1" hidden="1" outlineLevel="1" x14ac:dyDescent="0.35">
      <c r="A509" s="86"/>
      <c r="C509" s="74"/>
      <c r="D509" s="74"/>
      <c r="E509" s="74"/>
      <c r="F509" s="72"/>
      <c r="G509" s="25"/>
      <c r="H509" s="25"/>
      <c r="I509" s="25"/>
      <c r="J509" s="25"/>
      <c r="K509" s="25"/>
      <c r="L509" s="25"/>
      <c r="M509" s="262"/>
      <c r="N509" s="28"/>
      <c r="O509" s="28"/>
      <c r="P509" s="25"/>
      <c r="Q509" s="25"/>
      <c r="R509" s="25"/>
      <c r="S509" s="25"/>
      <c r="T509" s="25"/>
      <c r="U509" s="25"/>
      <c r="V509" s="25"/>
      <c r="W509" s="25"/>
      <c r="X509" s="25"/>
      <c r="Y509" s="25"/>
      <c r="Z509" s="25"/>
      <c r="AA509" s="25"/>
      <c r="AB509" s="28"/>
      <c r="AC509" s="28"/>
      <c r="AD509" s="10"/>
    </row>
    <row r="510" spans="1:30" s="9" customFormat="1" ht="15" hidden="1" customHeight="1" outlineLevel="1" x14ac:dyDescent="0.35">
      <c r="A510" s="86"/>
      <c r="C510" s="74"/>
      <c r="D510" s="74"/>
      <c r="E510" s="74"/>
      <c r="F510" s="72"/>
      <c r="G510" s="25"/>
      <c r="H510" s="25"/>
      <c r="I510" s="25"/>
      <c r="J510" s="25"/>
      <c r="K510" s="25"/>
      <c r="L510" s="25"/>
      <c r="M510" s="316" t="s">
        <v>444</v>
      </c>
      <c r="N510" s="316"/>
      <c r="O510" s="316"/>
      <c r="P510" s="316"/>
      <c r="Q510" s="316"/>
      <c r="R510" s="316"/>
      <c r="S510" s="316"/>
      <c r="T510" s="316"/>
      <c r="U510" s="28"/>
      <c r="V510" s="28"/>
      <c r="W510" s="28"/>
      <c r="X510" s="25"/>
      <c r="Y510" s="25"/>
      <c r="Z510" s="25"/>
      <c r="AA510" s="25"/>
      <c r="AB510" s="28"/>
      <c r="AC510" s="28"/>
      <c r="AD510" s="10"/>
    </row>
    <row r="511" spans="1:30" s="9" customFormat="1" hidden="1" outlineLevel="1" x14ac:dyDescent="0.35">
      <c r="A511" s="86"/>
      <c r="C511" s="74"/>
      <c r="D511" s="74"/>
      <c r="E511" s="74"/>
      <c r="F511" s="72"/>
      <c r="G511" s="25"/>
      <c r="H511" s="25"/>
      <c r="I511" s="25"/>
      <c r="J511" s="25"/>
      <c r="K511" s="25"/>
      <c r="L511" s="25"/>
      <c r="M511" s="316"/>
      <c r="N511" s="316"/>
      <c r="O511" s="316"/>
      <c r="P511" s="316"/>
      <c r="Q511" s="316"/>
      <c r="R511" s="316"/>
      <c r="S511" s="316"/>
      <c r="T511" s="316"/>
      <c r="U511" s="28"/>
      <c r="V511" s="28"/>
      <c r="W511" s="28"/>
      <c r="X511" s="25"/>
      <c r="Y511" s="25"/>
      <c r="Z511" s="25"/>
      <c r="AA511" s="25"/>
      <c r="AB511" s="28"/>
      <c r="AC511" s="28"/>
      <c r="AD511" s="10"/>
    </row>
    <row r="512" spans="1:30" s="9" customFormat="1" ht="3.75" hidden="1" customHeight="1" outlineLevel="1" x14ac:dyDescent="0.35">
      <c r="A512" s="86"/>
      <c r="C512" s="74"/>
      <c r="D512" s="74"/>
      <c r="E512" s="74"/>
      <c r="F512" s="72"/>
      <c r="G512" s="25"/>
      <c r="H512" s="25"/>
      <c r="I512" s="25"/>
      <c r="J512" s="25"/>
      <c r="K512" s="25"/>
      <c r="L512" s="25"/>
      <c r="M512" s="262"/>
      <c r="N512" s="28"/>
      <c r="O512" s="28"/>
      <c r="P512" s="25"/>
      <c r="Q512" s="25"/>
      <c r="R512" s="25"/>
      <c r="S512" s="25"/>
      <c r="T512" s="25"/>
      <c r="U512" s="25"/>
      <c r="V512" s="25"/>
      <c r="W512" s="25"/>
      <c r="X512" s="25"/>
      <c r="Y512" s="25"/>
      <c r="Z512" s="25"/>
      <c r="AA512" s="25"/>
      <c r="AB512" s="28"/>
      <c r="AC512" s="28"/>
      <c r="AD512" s="10"/>
    </row>
    <row r="513" spans="1:30" s="9" customFormat="1" ht="15.5" hidden="1" outlineLevel="1" x14ac:dyDescent="0.35">
      <c r="A513" s="86"/>
      <c r="C513" s="74"/>
      <c r="D513" s="74"/>
      <c r="E513" s="74"/>
      <c r="F513" s="72"/>
      <c r="G513" s="25"/>
      <c r="H513" s="25"/>
      <c r="I513" s="25"/>
      <c r="J513" s="25"/>
      <c r="K513" s="25"/>
      <c r="L513" s="25"/>
      <c r="M513" s="266" t="s">
        <v>153</v>
      </c>
      <c r="N513" s="184" t="s">
        <v>3</v>
      </c>
      <c r="O513" s="188" t="s">
        <v>59</v>
      </c>
      <c r="P513" s="187" t="str">
        <f>"Cost ("&amp;CHOSEN_CURRENCY&amp;")"</f>
        <v>Cost (USD)</v>
      </c>
      <c r="Q513" s="25"/>
      <c r="R513" s="220" t="s">
        <v>437</v>
      </c>
      <c r="S513" s="58" t="s">
        <v>443</v>
      </c>
      <c r="T513" s="230" t="s">
        <v>445</v>
      </c>
      <c r="U513" s="25"/>
      <c r="V513" s="25"/>
      <c r="W513" s="25"/>
      <c r="X513" s="25"/>
      <c r="Y513" s="25"/>
      <c r="Z513" s="25"/>
      <c r="AA513" s="25"/>
      <c r="AB513" s="28"/>
      <c r="AC513" s="28"/>
      <c r="AD513" s="10"/>
    </row>
    <row r="514" spans="1:30" s="9" customFormat="1" ht="3" hidden="1" customHeight="1" outlineLevel="1" x14ac:dyDescent="0.35">
      <c r="A514" s="86"/>
      <c r="C514" s="74"/>
      <c r="D514" s="74"/>
      <c r="E514" s="74"/>
      <c r="F514" s="72"/>
      <c r="G514" s="25"/>
      <c r="H514" s="25"/>
      <c r="I514" s="25"/>
      <c r="J514" s="25"/>
      <c r="K514" s="25"/>
      <c r="L514" s="25"/>
      <c r="M514" s="267"/>
      <c r="N514" s="245"/>
      <c r="O514" s="245"/>
      <c r="P514" s="244"/>
      <c r="Q514" s="25"/>
      <c r="R514" s="25"/>
      <c r="S514" s="25"/>
      <c r="T514" s="25"/>
      <c r="U514" s="25"/>
      <c r="V514" s="25"/>
      <c r="W514" s="25"/>
      <c r="X514" s="25"/>
      <c r="Y514" s="25"/>
      <c r="Z514" s="25"/>
      <c r="AA514" s="25"/>
      <c r="AB514" s="28"/>
      <c r="AC514" s="28"/>
      <c r="AD514" s="10"/>
    </row>
    <row r="515" spans="1:30" s="9" customFormat="1" hidden="1" outlineLevel="1" x14ac:dyDescent="0.35">
      <c r="A515" s="86"/>
      <c r="C515" s="74"/>
      <c r="D515" s="74"/>
      <c r="E515" s="74"/>
      <c r="F515" s="72"/>
      <c r="G515" s="25"/>
      <c r="H515" s="25"/>
      <c r="I515" s="25"/>
      <c r="J515" s="25"/>
      <c r="K515" s="25"/>
      <c r="L515" s="25"/>
      <c r="M515" s="262"/>
      <c r="N515" s="28"/>
      <c r="O515" s="28"/>
      <c r="P515" s="25"/>
      <c r="Q515" s="25"/>
      <c r="R515" s="25"/>
      <c r="S515" s="25"/>
      <c r="T515" s="25"/>
      <c r="U515" s="25"/>
      <c r="V515" s="25"/>
      <c r="W515" s="25"/>
      <c r="X515" s="25"/>
      <c r="Y515" s="25"/>
      <c r="Z515" s="25"/>
      <c r="AA515" s="25"/>
      <c r="AB515" s="28"/>
      <c r="AC515" s="28"/>
      <c r="AD515" s="10"/>
    </row>
    <row r="516" spans="1:30" s="9" customFormat="1" ht="29" hidden="1" outlineLevel="1" x14ac:dyDescent="0.35">
      <c r="A516" s="86"/>
      <c r="C516" s="74"/>
      <c r="D516" s="74"/>
      <c r="E516" s="74"/>
      <c r="F516" s="72"/>
      <c r="G516" s="25"/>
      <c r="H516" s="25"/>
      <c r="I516" s="25"/>
      <c r="J516" s="25"/>
      <c r="K516" s="25"/>
      <c r="L516" s="25"/>
      <c r="M516" s="262">
        <v>1</v>
      </c>
      <c r="N516" s="28" t="s">
        <v>987</v>
      </c>
      <c r="O516" s="291">
        <v>14.5</v>
      </c>
      <c r="P516" s="292">
        <v>3242.2</v>
      </c>
      <c r="Q516" s="25"/>
      <c r="R516" s="25"/>
      <c r="S516" s="25"/>
      <c r="T516" s="25"/>
      <c r="U516" s="25"/>
      <c r="V516" s="25"/>
      <c r="W516" s="25"/>
      <c r="X516" s="25"/>
      <c r="Y516" s="25"/>
      <c r="Z516" s="25"/>
      <c r="AA516" s="25"/>
      <c r="AB516" s="28"/>
      <c r="AC516" s="28"/>
      <c r="AD516" s="10"/>
    </row>
    <row r="517" spans="1:30" s="282" customFormat="1" hidden="1" outlineLevel="1" x14ac:dyDescent="0.35">
      <c r="A517" s="281"/>
      <c r="C517" s="283"/>
      <c r="D517" s="283"/>
      <c r="E517" s="283"/>
      <c r="F517" s="284"/>
      <c r="G517" s="285"/>
      <c r="H517" s="285"/>
      <c r="I517" s="285"/>
      <c r="J517" s="285"/>
      <c r="K517" s="285"/>
      <c r="L517" s="285"/>
      <c r="M517" s="286" t="s">
        <v>109</v>
      </c>
      <c r="N517" s="287" t="s">
        <v>878</v>
      </c>
      <c r="O517" s="288">
        <v>168.3</v>
      </c>
      <c r="P517" s="289">
        <v>37690.5</v>
      </c>
      <c r="Q517" s="285"/>
      <c r="R517" s="285"/>
      <c r="S517" s="285"/>
      <c r="T517" s="285"/>
      <c r="U517" s="285"/>
      <c r="V517" s="285"/>
      <c r="W517" s="285"/>
      <c r="X517" s="285"/>
      <c r="Y517" s="285"/>
      <c r="Z517" s="285"/>
      <c r="AA517" s="285"/>
      <c r="AB517" s="287"/>
      <c r="AC517" s="287"/>
      <c r="AD517" s="290"/>
    </row>
    <row r="518" spans="1:30" s="9" customFormat="1" ht="29" hidden="1" outlineLevel="1" x14ac:dyDescent="0.35">
      <c r="A518" s="86"/>
      <c r="C518" s="74"/>
      <c r="D518" s="74"/>
      <c r="E518" s="74"/>
      <c r="F518" s="72"/>
      <c r="G518" s="25"/>
      <c r="H518" s="25"/>
      <c r="I518" s="25"/>
      <c r="J518" s="25"/>
      <c r="K518" s="25"/>
      <c r="L518" s="25"/>
      <c r="M518" s="262">
        <v>2</v>
      </c>
      <c r="N518" s="28" t="s">
        <v>991</v>
      </c>
      <c r="O518" s="291">
        <v>28.9</v>
      </c>
      <c r="P518" s="292">
        <v>6484.4</v>
      </c>
      <c r="Q518" s="25"/>
      <c r="R518" s="25"/>
      <c r="S518" s="25"/>
      <c r="T518" s="25"/>
      <c r="U518" s="25"/>
      <c r="V518" s="25"/>
      <c r="W518" s="25"/>
      <c r="X518" s="25"/>
      <c r="Y518" s="25"/>
      <c r="Z518" s="25"/>
      <c r="AA518" s="25"/>
      <c r="AB518" s="28"/>
      <c r="AC518" s="28"/>
      <c r="AD518" s="10"/>
    </row>
    <row r="519" spans="1:30" s="9" customFormat="1" hidden="1" outlineLevel="1" x14ac:dyDescent="0.35">
      <c r="A519" s="86"/>
      <c r="C519" s="74"/>
      <c r="D519" s="74"/>
      <c r="E519" s="74"/>
      <c r="F519" s="72"/>
      <c r="G519" s="25"/>
      <c r="H519" s="25"/>
      <c r="I519" s="25"/>
      <c r="J519" s="25"/>
      <c r="K519" s="25"/>
      <c r="L519" s="25"/>
      <c r="M519" s="262">
        <v>3</v>
      </c>
      <c r="N519" s="28" t="s">
        <v>998</v>
      </c>
      <c r="O519" s="291">
        <v>25.3</v>
      </c>
      <c r="P519" s="292">
        <v>5673.8</v>
      </c>
      <c r="Q519" s="25"/>
      <c r="R519" s="25"/>
      <c r="S519" s="25"/>
      <c r="T519" s="25"/>
      <c r="U519" s="25"/>
      <c r="V519" s="25"/>
      <c r="W519" s="25"/>
      <c r="X519" s="25"/>
      <c r="Y519" s="25"/>
      <c r="Z519" s="25"/>
      <c r="AA519" s="25"/>
      <c r="AB519" s="28"/>
      <c r="AC519" s="28"/>
      <c r="AD519" s="10"/>
    </row>
    <row r="520" spans="1:30" s="9" customFormat="1" ht="29" hidden="1" outlineLevel="1" x14ac:dyDescent="0.35">
      <c r="A520" s="86"/>
      <c r="C520" s="74"/>
      <c r="D520" s="74"/>
      <c r="E520" s="74"/>
      <c r="F520" s="72"/>
      <c r="G520" s="25"/>
      <c r="H520" s="25"/>
      <c r="I520" s="25"/>
      <c r="J520" s="25"/>
      <c r="K520" s="25"/>
      <c r="L520" s="25"/>
      <c r="M520" s="262">
        <v>4</v>
      </c>
      <c r="N520" s="28" t="s">
        <v>1006</v>
      </c>
      <c r="O520" s="291">
        <v>32.6</v>
      </c>
      <c r="P520" s="292">
        <v>7294.9</v>
      </c>
      <c r="Q520" s="25"/>
      <c r="R520" s="25"/>
      <c r="S520" s="25"/>
      <c r="T520" s="25"/>
      <c r="U520" s="25"/>
      <c r="V520" s="25"/>
      <c r="W520" s="25"/>
      <c r="X520" s="25"/>
      <c r="Y520" s="25"/>
      <c r="Z520" s="25"/>
      <c r="AA520" s="25"/>
      <c r="AB520" s="28"/>
      <c r="AC520" s="28"/>
      <c r="AD520" s="10"/>
    </row>
    <row r="521" spans="1:30" s="9" customFormat="1" hidden="1" outlineLevel="1" x14ac:dyDescent="0.35">
      <c r="A521" s="86"/>
      <c r="C521" s="74"/>
      <c r="D521" s="74"/>
      <c r="E521" s="74"/>
      <c r="F521" s="72"/>
      <c r="G521" s="25"/>
      <c r="H521" s="25"/>
      <c r="I521" s="25"/>
      <c r="J521" s="25"/>
      <c r="K521" s="25"/>
      <c r="L521" s="25"/>
      <c r="M521" s="262">
        <v>5</v>
      </c>
      <c r="N521" s="28" t="s">
        <v>1012</v>
      </c>
      <c r="O521" s="291">
        <v>21.7</v>
      </c>
      <c r="P521" s="292">
        <v>4863.3</v>
      </c>
      <c r="Q521" s="25"/>
      <c r="R521" s="25"/>
      <c r="S521" s="25"/>
      <c r="T521" s="25"/>
      <c r="U521" s="25"/>
      <c r="V521" s="25"/>
      <c r="W521" s="25"/>
      <c r="X521" s="25"/>
      <c r="Y521" s="25"/>
      <c r="Z521" s="25"/>
      <c r="AA521" s="25"/>
      <c r="AB521" s="28"/>
      <c r="AC521" s="28"/>
      <c r="AD521" s="10"/>
    </row>
    <row r="522" spans="1:30" s="9" customFormat="1" ht="29" hidden="1" outlineLevel="1" x14ac:dyDescent="0.35">
      <c r="A522" s="86"/>
      <c r="C522" s="74"/>
      <c r="D522" s="74"/>
      <c r="E522" s="74"/>
      <c r="F522" s="72"/>
      <c r="G522" s="25"/>
      <c r="H522" s="25"/>
      <c r="I522" s="25"/>
      <c r="J522" s="25"/>
      <c r="K522" s="25"/>
      <c r="L522" s="25"/>
      <c r="M522" s="262">
        <v>6</v>
      </c>
      <c r="N522" s="28" t="s">
        <v>1019</v>
      </c>
      <c r="O522" s="291">
        <v>23.5</v>
      </c>
      <c r="P522" s="292">
        <v>5268.6</v>
      </c>
      <c r="Q522" s="25"/>
      <c r="R522" s="25"/>
      <c r="S522" s="25"/>
      <c r="T522" s="25"/>
      <c r="U522" s="25"/>
      <c r="V522" s="25"/>
      <c r="W522" s="25"/>
      <c r="X522" s="25"/>
      <c r="Y522" s="25"/>
      <c r="Z522" s="25"/>
      <c r="AA522" s="25"/>
      <c r="AB522" s="28"/>
      <c r="AC522" s="28"/>
      <c r="AD522" s="10"/>
    </row>
    <row r="523" spans="1:30" s="9" customFormat="1" ht="29" hidden="1" outlineLevel="1" x14ac:dyDescent="0.35">
      <c r="A523" s="86"/>
      <c r="C523" s="74"/>
      <c r="D523" s="74"/>
      <c r="E523" s="74"/>
      <c r="F523" s="72"/>
      <c r="G523" s="25"/>
      <c r="H523" s="25"/>
      <c r="I523" s="25"/>
      <c r="J523" s="25"/>
      <c r="K523" s="25"/>
      <c r="L523" s="25"/>
      <c r="M523" s="262">
        <v>7</v>
      </c>
      <c r="N523" s="28" t="s">
        <v>1190</v>
      </c>
      <c r="O523" s="291">
        <v>36.200000000000003</v>
      </c>
      <c r="P523" s="292">
        <v>8105.5</v>
      </c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8"/>
      <c r="AC523" s="28"/>
      <c r="AD523" s="10"/>
    </row>
    <row r="524" spans="1:30" s="282" customFormat="1" hidden="1" outlineLevel="1" x14ac:dyDescent="0.35">
      <c r="A524" s="281"/>
      <c r="C524" s="283"/>
      <c r="D524" s="283"/>
      <c r="E524" s="283"/>
      <c r="F524" s="284"/>
      <c r="G524" s="285"/>
      <c r="H524" s="285"/>
      <c r="I524" s="285"/>
      <c r="J524" s="285"/>
      <c r="K524" s="285"/>
      <c r="L524" s="285"/>
      <c r="M524" s="286" t="s">
        <v>109</v>
      </c>
      <c r="N524" s="287" t="s">
        <v>1025</v>
      </c>
      <c r="O524" s="288">
        <v>141.1</v>
      </c>
      <c r="P524" s="289">
        <v>31611.4</v>
      </c>
      <c r="Q524" s="285"/>
      <c r="R524" s="285"/>
      <c r="S524" s="285"/>
      <c r="T524" s="285"/>
      <c r="U524" s="285"/>
      <c r="V524" s="285"/>
      <c r="W524" s="285"/>
      <c r="X524" s="285"/>
      <c r="Y524" s="285"/>
      <c r="Z524" s="285"/>
      <c r="AA524" s="285"/>
      <c r="AB524" s="287"/>
      <c r="AC524" s="287"/>
      <c r="AD524" s="290"/>
    </row>
    <row r="525" spans="1:30" s="9" customFormat="1" ht="29" hidden="1" outlineLevel="1" x14ac:dyDescent="0.35">
      <c r="A525" s="86"/>
      <c r="C525" s="74"/>
      <c r="D525" s="74"/>
      <c r="E525" s="74"/>
      <c r="F525" s="72"/>
      <c r="G525" s="25"/>
      <c r="H525" s="25"/>
      <c r="I525" s="25"/>
      <c r="J525" s="25"/>
      <c r="K525" s="25"/>
      <c r="L525" s="25"/>
      <c r="M525" s="262">
        <v>8</v>
      </c>
      <c r="N525" s="28" t="s">
        <v>1026</v>
      </c>
      <c r="O525" s="291">
        <v>32.6</v>
      </c>
      <c r="P525" s="292">
        <v>7294.9</v>
      </c>
      <c r="Q525" s="25"/>
      <c r="R525" s="25"/>
      <c r="S525" s="25"/>
      <c r="T525" s="25"/>
      <c r="U525" s="25"/>
      <c r="V525" s="25"/>
      <c r="W525" s="25"/>
      <c r="X525" s="25"/>
      <c r="Y525" s="25"/>
      <c r="Z525" s="25"/>
      <c r="AA525" s="25"/>
      <c r="AB525" s="28"/>
      <c r="AC525" s="28"/>
      <c r="AD525" s="10"/>
    </row>
    <row r="526" spans="1:30" s="9" customFormat="1" ht="29" hidden="1" outlineLevel="1" x14ac:dyDescent="0.35">
      <c r="A526" s="86"/>
      <c r="C526" s="74"/>
      <c r="D526" s="74"/>
      <c r="E526" s="74"/>
      <c r="F526" s="72"/>
      <c r="G526" s="25"/>
      <c r="H526" s="25"/>
      <c r="I526" s="25"/>
      <c r="J526" s="25"/>
      <c r="K526" s="25"/>
      <c r="L526" s="25"/>
      <c r="M526" s="262">
        <v>9</v>
      </c>
      <c r="N526" s="28" t="s">
        <v>1033</v>
      </c>
      <c r="O526" s="291">
        <v>27.1</v>
      </c>
      <c r="P526" s="292">
        <v>6079.1</v>
      </c>
      <c r="Q526" s="25"/>
      <c r="R526" s="25"/>
      <c r="S526" s="25"/>
      <c r="T526" s="25"/>
      <c r="U526" s="25"/>
      <c r="V526" s="25"/>
      <c r="W526" s="25"/>
      <c r="X526" s="25"/>
      <c r="Y526" s="25"/>
      <c r="Z526" s="25"/>
      <c r="AA526" s="25"/>
      <c r="AB526" s="28"/>
      <c r="AC526" s="28"/>
      <c r="AD526" s="10"/>
    </row>
    <row r="527" spans="1:30" s="9" customFormat="1" hidden="1" outlineLevel="1" x14ac:dyDescent="0.35">
      <c r="A527" s="86"/>
      <c r="C527" s="74"/>
      <c r="D527" s="74"/>
      <c r="E527" s="74"/>
      <c r="F527" s="72"/>
      <c r="G527" s="25"/>
      <c r="H527" s="25"/>
      <c r="I527" s="25"/>
      <c r="J527" s="25"/>
      <c r="K527" s="25"/>
      <c r="L527" s="25"/>
      <c r="M527" s="262">
        <v>10</v>
      </c>
      <c r="N527" s="28" t="s">
        <v>1040</v>
      </c>
      <c r="O527" s="291">
        <v>27.1</v>
      </c>
      <c r="P527" s="292">
        <v>6079.1</v>
      </c>
      <c r="Q527" s="25"/>
      <c r="R527" s="25"/>
      <c r="S527" s="25"/>
      <c r="T527" s="25"/>
      <c r="U527" s="25"/>
      <c r="V527" s="25"/>
      <c r="W527" s="25"/>
      <c r="X527" s="25"/>
      <c r="Y527" s="25"/>
      <c r="Z527" s="25"/>
      <c r="AA527" s="25"/>
      <c r="AB527" s="28"/>
      <c r="AC527" s="28"/>
      <c r="AD527" s="10"/>
    </row>
    <row r="528" spans="1:30" s="9" customFormat="1" ht="29" hidden="1" outlineLevel="1" x14ac:dyDescent="0.35">
      <c r="A528" s="86"/>
      <c r="C528" s="74"/>
      <c r="D528" s="74"/>
      <c r="E528" s="74"/>
      <c r="F528" s="72"/>
      <c r="G528" s="25"/>
      <c r="H528" s="25"/>
      <c r="I528" s="25"/>
      <c r="J528" s="25"/>
      <c r="K528" s="25"/>
      <c r="L528" s="25"/>
      <c r="M528" s="262">
        <v>11</v>
      </c>
      <c r="N528" s="28" t="s">
        <v>1046</v>
      </c>
      <c r="O528" s="291">
        <v>32.6</v>
      </c>
      <c r="P528" s="292">
        <v>7294.9</v>
      </c>
      <c r="Q528" s="25"/>
      <c r="R528" s="25"/>
      <c r="S528" s="25"/>
      <c r="T528" s="25"/>
      <c r="U528" s="25"/>
      <c r="V528" s="25"/>
      <c r="W528" s="25"/>
      <c r="X528" s="25"/>
      <c r="Y528" s="25"/>
      <c r="Z528" s="25"/>
      <c r="AA528" s="25"/>
      <c r="AB528" s="28"/>
      <c r="AC528" s="28"/>
      <c r="AD528" s="10"/>
    </row>
    <row r="529" spans="1:30" s="9" customFormat="1" ht="29" hidden="1" outlineLevel="1" x14ac:dyDescent="0.35">
      <c r="A529" s="86"/>
      <c r="C529" s="74"/>
      <c r="D529" s="74"/>
      <c r="E529" s="74"/>
      <c r="F529" s="72"/>
      <c r="G529" s="25"/>
      <c r="H529" s="25"/>
      <c r="I529" s="25"/>
      <c r="J529" s="25"/>
      <c r="K529" s="25"/>
      <c r="L529" s="25"/>
      <c r="M529" s="262">
        <v>12</v>
      </c>
      <c r="N529" s="28" t="s">
        <v>1051</v>
      </c>
      <c r="O529" s="291">
        <v>21.7</v>
      </c>
      <c r="P529" s="292">
        <v>4863.3</v>
      </c>
      <c r="Q529" s="25"/>
      <c r="R529" s="25"/>
      <c r="S529" s="25"/>
      <c r="T529" s="25"/>
      <c r="U529" s="25"/>
      <c r="V529" s="25"/>
      <c r="W529" s="25"/>
      <c r="X529" s="25"/>
      <c r="Y529" s="25"/>
      <c r="Z529" s="25"/>
      <c r="AA529" s="25"/>
      <c r="AB529" s="28"/>
      <c r="AC529" s="28"/>
      <c r="AD529" s="10"/>
    </row>
    <row r="530" spans="1:30" s="282" customFormat="1" hidden="1" outlineLevel="1" x14ac:dyDescent="0.35">
      <c r="A530" s="281"/>
      <c r="C530" s="283"/>
      <c r="D530" s="283"/>
      <c r="E530" s="283"/>
      <c r="F530" s="284"/>
      <c r="G530" s="285"/>
      <c r="H530" s="285"/>
      <c r="I530" s="285"/>
      <c r="J530" s="285"/>
      <c r="K530" s="285"/>
      <c r="L530" s="285"/>
      <c r="M530" s="286" t="s">
        <v>109</v>
      </c>
      <c r="N530" s="287" t="s">
        <v>881</v>
      </c>
      <c r="O530" s="288">
        <v>115.8</v>
      </c>
      <c r="P530" s="289">
        <v>25937.5</v>
      </c>
      <c r="Q530" s="285"/>
      <c r="R530" s="285"/>
      <c r="S530" s="285"/>
      <c r="T530" s="285"/>
      <c r="U530" s="285"/>
      <c r="V530" s="285"/>
      <c r="W530" s="285"/>
      <c r="X530" s="285"/>
      <c r="Y530" s="285"/>
      <c r="Z530" s="285"/>
      <c r="AA530" s="285"/>
      <c r="AB530" s="287"/>
      <c r="AC530" s="287"/>
      <c r="AD530" s="290"/>
    </row>
    <row r="531" spans="1:30" s="9" customFormat="1" hidden="1" outlineLevel="1" x14ac:dyDescent="0.35">
      <c r="A531" s="86"/>
      <c r="C531" s="74"/>
      <c r="D531" s="74"/>
      <c r="E531" s="74"/>
      <c r="F531" s="72"/>
      <c r="G531" s="25"/>
      <c r="H531" s="25"/>
      <c r="I531" s="25"/>
      <c r="J531" s="25"/>
      <c r="K531" s="25"/>
      <c r="L531" s="25"/>
      <c r="M531" s="262">
        <v>13</v>
      </c>
      <c r="N531" s="28" t="s">
        <v>1058</v>
      </c>
      <c r="O531" s="291">
        <v>50.7</v>
      </c>
      <c r="P531" s="292">
        <v>11347.7</v>
      </c>
      <c r="Q531" s="25"/>
      <c r="R531" s="25"/>
      <c r="S531" s="25"/>
      <c r="T531" s="25"/>
      <c r="U531" s="25"/>
      <c r="V531" s="25"/>
      <c r="W531" s="25"/>
      <c r="X531" s="25"/>
      <c r="Y531" s="25"/>
      <c r="Z531" s="25"/>
      <c r="AA531" s="25"/>
      <c r="AB531" s="28"/>
      <c r="AC531" s="28"/>
      <c r="AD531" s="10"/>
    </row>
    <row r="532" spans="1:30" s="9" customFormat="1" ht="29" hidden="1" outlineLevel="1" x14ac:dyDescent="0.35">
      <c r="A532" s="86"/>
      <c r="C532" s="74"/>
      <c r="D532" s="74"/>
      <c r="E532" s="74"/>
      <c r="F532" s="72"/>
      <c r="G532" s="25"/>
      <c r="H532" s="25"/>
      <c r="I532" s="25"/>
      <c r="J532" s="25"/>
      <c r="K532" s="25"/>
      <c r="L532" s="25"/>
      <c r="M532" s="262">
        <v>14</v>
      </c>
      <c r="N532" s="28" t="s">
        <v>1065</v>
      </c>
      <c r="O532" s="291">
        <v>39.799999999999997</v>
      </c>
      <c r="P532" s="292">
        <v>8916</v>
      </c>
      <c r="Q532" s="25"/>
      <c r="R532" s="25"/>
      <c r="S532" s="25"/>
      <c r="T532" s="25"/>
      <c r="U532" s="25"/>
      <c r="V532" s="25"/>
      <c r="W532" s="25"/>
      <c r="X532" s="25"/>
      <c r="Y532" s="25"/>
      <c r="Z532" s="25"/>
      <c r="AA532" s="25"/>
      <c r="AB532" s="28"/>
      <c r="AC532" s="28"/>
      <c r="AD532" s="10"/>
    </row>
    <row r="533" spans="1:30" s="9" customFormat="1" hidden="1" outlineLevel="1" x14ac:dyDescent="0.35">
      <c r="A533" s="86"/>
      <c r="C533" s="74"/>
      <c r="D533" s="74"/>
      <c r="E533" s="74"/>
      <c r="F533" s="72"/>
      <c r="G533" s="25"/>
      <c r="H533" s="25"/>
      <c r="I533" s="25"/>
      <c r="J533" s="25"/>
      <c r="K533" s="25"/>
      <c r="L533" s="25"/>
      <c r="M533" s="262">
        <v>15</v>
      </c>
      <c r="N533" s="28" t="s">
        <v>1073</v>
      </c>
      <c r="O533" s="291">
        <v>25.3</v>
      </c>
      <c r="P533" s="292">
        <v>5673.8</v>
      </c>
      <c r="Q533" s="25"/>
      <c r="R533" s="25"/>
      <c r="S533" s="25"/>
      <c r="T533" s="25"/>
      <c r="U533" s="25"/>
      <c r="V533" s="25"/>
      <c r="W533" s="25"/>
      <c r="X533" s="25"/>
      <c r="Y533" s="25"/>
      <c r="Z533" s="25"/>
      <c r="AA533" s="25"/>
      <c r="AB533" s="28"/>
      <c r="AC533" s="28"/>
      <c r="AD533" s="10"/>
    </row>
    <row r="534" spans="1:30" s="282" customFormat="1" hidden="1" outlineLevel="1" x14ac:dyDescent="0.35">
      <c r="A534" s="281"/>
      <c r="C534" s="283"/>
      <c r="D534" s="283"/>
      <c r="E534" s="283"/>
      <c r="F534" s="284"/>
      <c r="G534" s="285"/>
      <c r="H534" s="285"/>
      <c r="I534" s="285"/>
      <c r="J534" s="285"/>
      <c r="K534" s="285"/>
      <c r="L534" s="285"/>
      <c r="M534" s="286" t="s">
        <v>109</v>
      </c>
      <c r="N534" s="287" t="s">
        <v>882</v>
      </c>
      <c r="O534" s="288">
        <v>119.4</v>
      </c>
      <c r="P534" s="289">
        <v>26748.1</v>
      </c>
      <c r="Q534" s="285"/>
      <c r="R534" s="285"/>
      <c r="S534" s="285"/>
      <c r="T534" s="285"/>
      <c r="U534" s="285"/>
      <c r="V534" s="285"/>
      <c r="W534" s="285"/>
      <c r="X534" s="285"/>
      <c r="Y534" s="285"/>
      <c r="Z534" s="285"/>
      <c r="AA534" s="285"/>
      <c r="AB534" s="287"/>
      <c r="AC534" s="287"/>
      <c r="AD534" s="290"/>
    </row>
    <row r="535" spans="1:30" s="9" customFormat="1" ht="29" hidden="1" outlineLevel="1" x14ac:dyDescent="0.35">
      <c r="A535" s="86"/>
      <c r="C535" s="74"/>
      <c r="D535" s="74"/>
      <c r="E535" s="74"/>
      <c r="F535" s="72"/>
      <c r="G535" s="25"/>
      <c r="H535" s="25"/>
      <c r="I535" s="25"/>
      <c r="J535" s="25"/>
      <c r="K535" s="25"/>
      <c r="L535" s="25"/>
      <c r="M535" s="262">
        <v>16</v>
      </c>
      <c r="N535" s="28" t="s">
        <v>1080</v>
      </c>
      <c r="O535" s="291">
        <v>25.3</v>
      </c>
      <c r="P535" s="292">
        <v>5673.8</v>
      </c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8"/>
      <c r="AC535" s="28"/>
      <c r="AD535" s="10"/>
    </row>
    <row r="536" spans="1:30" s="9" customFormat="1" hidden="1" outlineLevel="1" x14ac:dyDescent="0.35">
      <c r="A536" s="86"/>
      <c r="C536" s="74"/>
      <c r="D536" s="74"/>
      <c r="E536" s="74"/>
      <c r="F536" s="72"/>
      <c r="G536" s="25"/>
      <c r="H536" s="25"/>
      <c r="I536" s="25"/>
      <c r="J536" s="25"/>
      <c r="K536" s="25"/>
      <c r="L536" s="25"/>
      <c r="M536" s="262">
        <v>17</v>
      </c>
      <c r="N536" s="28" t="s">
        <v>1085</v>
      </c>
      <c r="O536" s="291">
        <v>28.9</v>
      </c>
      <c r="P536" s="292">
        <v>6484.4</v>
      </c>
      <c r="Q536" s="25"/>
      <c r="R536" s="25"/>
      <c r="S536" s="25"/>
      <c r="T536" s="25"/>
      <c r="U536" s="25"/>
      <c r="V536" s="25"/>
      <c r="W536" s="25"/>
      <c r="X536" s="25"/>
      <c r="Y536" s="25"/>
      <c r="Z536" s="25"/>
      <c r="AA536" s="25"/>
      <c r="AB536" s="28"/>
      <c r="AC536" s="28"/>
      <c r="AD536" s="10"/>
    </row>
    <row r="537" spans="1:30" s="9" customFormat="1" hidden="1" outlineLevel="1" x14ac:dyDescent="0.35">
      <c r="A537" s="86"/>
      <c r="C537" s="74"/>
      <c r="D537" s="74"/>
      <c r="E537" s="74"/>
      <c r="F537" s="72"/>
      <c r="G537" s="25"/>
      <c r="H537" s="25"/>
      <c r="I537" s="25"/>
      <c r="J537" s="25"/>
      <c r="K537" s="25"/>
      <c r="L537" s="25"/>
      <c r="M537" s="262">
        <v>18</v>
      </c>
      <c r="N537" s="28" t="s">
        <v>1091</v>
      </c>
      <c r="O537" s="291">
        <v>32.6</v>
      </c>
      <c r="P537" s="292">
        <v>7294.9</v>
      </c>
      <c r="Q537" s="25"/>
      <c r="R537" s="25"/>
      <c r="S537" s="25"/>
      <c r="T537" s="25"/>
      <c r="U537" s="25"/>
      <c r="V537" s="25"/>
      <c r="W537" s="25"/>
      <c r="X537" s="25"/>
      <c r="Y537" s="25"/>
      <c r="Z537" s="25"/>
      <c r="AA537" s="25"/>
      <c r="AB537" s="28"/>
      <c r="AC537" s="28"/>
      <c r="AD537" s="10"/>
    </row>
    <row r="538" spans="1:30" s="9" customFormat="1" ht="29" hidden="1" outlineLevel="1" x14ac:dyDescent="0.35">
      <c r="A538" s="86"/>
      <c r="C538" s="74"/>
      <c r="D538" s="74"/>
      <c r="E538" s="74"/>
      <c r="F538" s="72"/>
      <c r="G538" s="25"/>
      <c r="H538" s="25"/>
      <c r="I538" s="25"/>
      <c r="J538" s="25"/>
      <c r="K538" s="25"/>
      <c r="L538" s="25"/>
      <c r="M538" s="262">
        <v>19</v>
      </c>
      <c r="N538" s="28" t="s">
        <v>1097</v>
      </c>
      <c r="O538" s="291">
        <v>32.6</v>
      </c>
      <c r="P538" s="292">
        <v>7294.9</v>
      </c>
      <c r="Q538" s="25"/>
      <c r="R538" s="25"/>
      <c r="S538" s="25"/>
      <c r="T538" s="25"/>
      <c r="U538" s="25"/>
      <c r="V538" s="25"/>
      <c r="W538" s="25"/>
      <c r="X538" s="25"/>
      <c r="Y538" s="25"/>
      <c r="Z538" s="25"/>
      <c r="AA538" s="25"/>
      <c r="AB538" s="28"/>
      <c r="AC538" s="28"/>
      <c r="AD538" s="10"/>
    </row>
    <row r="539" spans="1:30" s="282" customFormat="1" hidden="1" outlineLevel="1" x14ac:dyDescent="0.35">
      <c r="A539" s="281"/>
      <c r="C539" s="283"/>
      <c r="D539" s="283"/>
      <c r="E539" s="283"/>
      <c r="F539" s="284"/>
      <c r="G539" s="285"/>
      <c r="H539" s="285"/>
      <c r="I539" s="285"/>
      <c r="J539" s="285"/>
      <c r="K539" s="285"/>
      <c r="L539" s="285"/>
      <c r="M539" s="286" t="s">
        <v>109</v>
      </c>
      <c r="N539" s="287" t="s">
        <v>1103</v>
      </c>
      <c r="O539" s="288">
        <v>39.799999999999997</v>
      </c>
      <c r="P539" s="289">
        <v>8916</v>
      </c>
      <c r="Q539" s="285"/>
      <c r="R539" s="285"/>
      <c r="S539" s="285"/>
      <c r="T539" s="285"/>
      <c r="U539" s="285"/>
      <c r="V539" s="285"/>
      <c r="W539" s="285"/>
      <c r="X539" s="285"/>
      <c r="Y539" s="285"/>
      <c r="Z539" s="285"/>
      <c r="AA539" s="285"/>
      <c r="AB539" s="287"/>
      <c r="AC539" s="287"/>
      <c r="AD539" s="290"/>
    </row>
    <row r="540" spans="1:30" s="9" customFormat="1" ht="29" hidden="1" outlineLevel="1" x14ac:dyDescent="0.35">
      <c r="A540" s="86"/>
      <c r="C540" s="74"/>
      <c r="D540" s="74"/>
      <c r="E540" s="74"/>
      <c r="F540" s="72"/>
      <c r="G540" s="25"/>
      <c r="H540" s="25"/>
      <c r="I540" s="25"/>
      <c r="J540" s="25"/>
      <c r="K540" s="25"/>
      <c r="L540" s="25"/>
      <c r="M540" s="262">
        <v>20</v>
      </c>
      <c r="N540" s="28" t="s">
        <v>1104</v>
      </c>
      <c r="O540" s="291">
        <v>25.3</v>
      </c>
      <c r="P540" s="292">
        <v>5673.8</v>
      </c>
      <c r="Q540" s="25"/>
      <c r="R540" s="25"/>
      <c r="S540" s="25"/>
      <c r="T540" s="25"/>
      <c r="U540" s="25"/>
      <c r="V540" s="25"/>
      <c r="W540" s="25"/>
      <c r="X540" s="25"/>
      <c r="Y540" s="25"/>
      <c r="Z540" s="25"/>
      <c r="AA540" s="25"/>
      <c r="AB540" s="28"/>
      <c r="AC540" s="28"/>
      <c r="AD540" s="10"/>
    </row>
    <row r="541" spans="1:30" s="9" customFormat="1" hidden="1" outlineLevel="1" x14ac:dyDescent="0.35">
      <c r="A541" s="86"/>
      <c r="C541" s="74"/>
      <c r="D541" s="74"/>
      <c r="E541" s="74"/>
      <c r="F541" s="72"/>
      <c r="G541" s="25"/>
      <c r="H541" s="25"/>
      <c r="I541" s="25"/>
      <c r="J541" s="25"/>
      <c r="K541" s="25"/>
      <c r="L541" s="25"/>
      <c r="M541" s="262">
        <v>21</v>
      </c>
      <c r="N541" s="28" t="s">
        <v>1111</v>
      </c>
      <c r="O541" s="291">
        <v>14.5</v>
      </c>
      <c r="P541" s="292">
        <v>3242.2</v>
      </c>
      <c r="Q541" s="25"/>
      <c r="R541" s="25"/>
      <c r="S541" s="25"/>
      <c r="T541" s="25"/>
      <c r="U541" s="25"/>
      <c r="V541" s="25"/>
      <c r="W541" s="25"/>
      <c r="X541" s="25"/>
      <c r="Y541" s="25"/>
      <c r="Z541" s="25"/>
      <c r="AA541" s="25"/>
      <c r="AB541" s="28"/>
      <c r="AC541" s="28"/>
      <c r="AD541" s="10"/>
    </row>
    <row r="542" spans="1:30" s="282" customFormat="1" hidden="1" outlineLevel="1" x14ac:dyDescent="0.35">
      <c r="A542" s="281"/>
      <c r="C542" s="283"/>
      <c r="D542" s="283"/>
      <c r="E542" s="283"/>
      <c r="F542" s="284"/>
      <c r="G542" s="285"/>
      <c r="H542" s="285"/>
      <c r="I542" s="285"/>
      <c r="J542" s="285"/>
      <c r="K542" s="285"/>
      <c r="L542" s="285"/>
      <c r="M542" s="286" t="s">
        <v>109</v>
      </c>
      <c r="N542" s="287" t="s">
        <v>884</v>
      </c>
      <c r="O542" s="288">
        <v>115.8</v>
      </c>
      <c r="P542" s="289">
        <v>25937.5</v>
      </c>
      <c r="Q542" s="285"/>
      <c r="R542" s="285"/>
      <c r="S542" s="285"/>
      <c r="T542" s="285"/>
      <c r="U542" s="285"/>
      <c r="V542" s="285"/>
      <c r="W542" s="285"/>
      <c r="X542" s="285"/>
      <c r="Y542" s="285"/>
      <c r="Z542" s="285"/>
      <c r="AA542" s="285"/>
      <c r="AB542" s="287"/>
      <c r="AC542" s="287"/>
      <c r="AD542" s="290"/>
    </row>
    <row r="543" spans="1:30" s="9" customFormat="1" ht="29" hidden="1" outlineLevel="1" x14ac:dyDescent="0.35">
      <c r="A543" s="86"/>
      <c r="C543" s="74"/>
      <c r="D543" s="74"/>
      <c r="E543" s="74"/>
      <c r="F543" s="72"/>
      <c r="G543" s="25"/>
      <c r="H543" s="25"/>
      <c r="I543" s="25"/>
      <c r="J543" s="25"/>
      <c r="K543" s="25"/>
      <c r="L543" s="25"/>
      <c r="M543" s="262">
        <v>22</v>
      </c>
      <c r="N543" s="28" t="s">
        <v>1115</v>
      </c>
      <c r="O543" s="291">
        <v>25.3</v>
      </c>
      <c r="P543" s="292">
        <v>5673.8</v>
      </c>
      <c r="Q543" s="25"/>
      <c r="R543" s="25"/>
      <c r="S543" s="25"/>
      <c r="T543" s="25"/>
      <c r="U543" s="25"/>
      <c r="V543" s="25"/>
      <c r="W543" s="25"/>
      <c r="X543" s="25"/>
      <c r="Y543" s="25"/>
      <c r="Z543" s="25"/>
      <c r="AA543" s="25"/>
      <c r="AB543" s="28"/>
      <c r="AC543" s="28"/>
      <c r="AD543" s="10"/>
    </row>
    <row r="544" spans="1:30" s="9" customFormat="1" hidden="1" outlineLevel="1" x14ac:dyDescent="0.35">
      <c r="A544" s="86"/>
      <c r="C544" s="74"/>
      <c r="D544" s="74"/>
      <c r="E544" s="74"/>
      <c r="F544" s="72"/>
      <c r="G544" s="25"/>
      <c r="H544" s="25"/>
      <c r="I544" s="25"/>
      <c r="J544" s="25"/>
      <c r="K544" s="25"/>
      <c r="L544" s="25"/>
      <c r="M544" s="262">
        <v>23</v>
      </c>
      <c r="N544" s="28" t="s">
        <v>1121</v>
      </c>
      <c r="O544" s="291">
        <v>28.9</v>
      </c>
      <c r="P544" s="292">
        <v>6484.4</v>
      </c>
      <c r="Q544" s="25"/>
      <c r="R544" s="25"/>
      <c r="S544" s="25"/>
      <c r="T544" s="25"/>
      <c r="U544" s="25"/>
      <c r="V544" s="25"/>
      <c r="W544" s="25"/>
      <c r="X544" s="25"/>
      <c r="Y544" s="25"/>
      <c r="Z544" s="25"/>
      <c r="AA544" s="25"/>
      <c r="AB544" s="28"/>
      <c r="AC544" s="28"/>
      <c r="AD544" s="10"/>
    </row>
    <row r="545" spans="1:30" s="9" customFormat="1" hidden="1" outlineLevel="1" x14ac:dyDescent="0.35">
      <c r="A545" s="86"/>
      <c r="C545" s="74"/>
      <c r="D545" s="74"/>
      <c r="E545" s="74"/>
      <c r="F545" s="72"/>
      <c r="G545" s="25"/>
      <c r="H545" s="25"/>
      <c r="I545" s="25"/>
      <c r="J545" s="25"/>
      <c r="K545" s="25"/>
      <c r="L545" s="25"/>
      <c r="M545" s="262">
        <v>24</v>
      </c>
      <c r="N545" s="28" t="s">
        <v>1126</v>
      </c>
      <c r="O545" s="291">
        <v>18.100000000000001</v>
      </c>
      <c r="P545" s="292">
        <v>4052.7</v>
      </c>
      <c r="Q545" s="25"/>
      <c r="R545" s="25"/>
      <c r="S545" s="25"/>
      <c r="T545" s="25"/>
      <c r="U545" s="25"/>
      <c r="V545" s="25"/>
      <c r="W545" s="25"/>
      <c r="X545" s="25"/>
      <c r="Y545" s="25"/>
      <c r="Z545" s="25"/>
      <c r="AA545" s="25"/>
      <c r="AB545" s="28"/>
      <c r="AC545" s="28"/>
      <c r="AD545" s="10"/>
    </row>
    <row r="546" spans="1:30" s="9" customFormat="1" hidden="1" outlineLevel="1" x14ac:dyDescent="0.35">
      <c r="A546" s="86"/>
      <c r="C546" s="74"/>
      <c r="D546" s="74"/>
      <c r="E546" s="74"/>
      <c r="F546" s="72"/>
      <c r="G546" s="25"/>
      <c r="H546" s="25"/>
      <c r="I546" s="25"/>
      <c r="J546" s="25"/>
      <c r="K546" s="25"/>
      <c r="L546" s="25"/>
      <c r="M546" s="262">
        <v>25</v>
      </c>
      <c r="N546" s="28" t="s">
        <v>1129</v>
      </c>
      <c r="O546" s="291">
        <v>18.100000000000001</v>
      </c>
      <c r="P546" s="292">
        <v>4052.7</v>
      </c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8"/>
      <c r="AC546" s="28"/>
      <c r="AD546" s="10"/>
    </row>
    <row r="547" spans="1:30" s="9" customFormat="1" ht="29" hidden="1" outlineLevel="1" x14ac:dyDescent="0.35">
      <c r="A547" s="86"/>
      <c r="C547" s="74"/>
      <c r="D547" s="74"/>
      <c r="E547" s="74"/>
      <c r="F547" s="72"/>
      <c r="G547" s="25"/>
      <c r="H547" s="25"/>
      <c r="I547" s="25"/>
      <c r="J547" s="25"/>
      <c r="K547" s="25"/>
      <c r="L547" s="25"/>
      <c r="M547" s="262">
        <v>26</v>
      </c>
      <c r="N547" s="28" t="s">
        <v>1132</v>
      </c>
      <c r="O547" s="291">
        <v>25.3</v>
      </c>
      <c r="P547" s="292">
        <v>5673.8</v>
      </c>
      <c r="Q547" s="25"/>
      <c r="R547" s="25"/>
      <c r="S547" s="25"/>
      <c r="T547" s="25"/>
      <c r="U547" s="25"/>
      <c r="V547" s="25"/>
      <c r="W547" s="25"/>
      <c r="X547" s="25"/>
      <c r="Y547" s="25"/>
      <c r="Z547" s="25"/>
      <c r="AA547" s="25"/>
      <c r="AB547" s="28"/>
      <c r="AC547" s="28"/>
      <c r="AD547" s="10"/>
    </row>
    <row r="548" spans="1:30" s="282" customFormat="1" hidden="1" outlineLevel="1" x14ac:dyDescent="0.35">
      <c r="A548" s="281"/>
      <c r="C548" s="283"/>
      <c r="D548" s="283"/>
      <c r="E548" s="283"/>
      <c r="F548" s="284"/>
      <c r="G548" s="285"/>
      <c r="H548" s="285"/>
      <c r="I548" s="285"/>
      <c r="J548" s="285"/>
      <c r="K548" s="285"/>
      <c r="L548" s="285"/>
      <c r="M548" s="286" t="s">
        <v>109</v>
      </c>
      <c r="N548" s="287" t="s">
        <v>885</v>
      </c>
      <c r="O548" s="288">
        <v>237</v>
      </c>
      <c r="P548" s="289">
        <v>53090.9</v>
      </c>
      <c r="Q548" s="285"/>
      <c r="R548" s="285"/>
      <c r="S548" s="285"/>
      <c r="T548" s="285"/>
      <c r="U548" s="285"/>
      <c r="V548" s="285"/>
      <c r="W548" s="285"/>
      <c r="X548" s="285"/>
      <c r="Y548" s="285"/>
      <c r="Z548" s="285"/>
      <c r="AA548" s="285"/>
      <c r="AB548" s="287"/>
      <c r="AC548" s="287"/>
      <c r="AD548" s="290"/>
    </row>
    <row r="549" spans="1:30" s="9" customFormat="1" ht="29" hidden="1" outlineLevel="1" x14ac:dyDescent="0.35">
      <c r="A549" s="86"/>
      <c r="C549" s="74"/>
      <c r="D549" s="74"/>
      <c r="E549" s="74"/>
      <c r="F549" s="72"/>
      <c r="G549" s="25"/>
      <c r="H549" s="25"/>
      <c r="I549" s="25"/>
      <c r="J549" s="25"/>
      <c r="K549" s="25"/>
      <c r="L549" s="25"/>
      <c r="M549" s="262">
        <v>27</v>
      </c>
      <c r="N549" s="28" t="s">
        <v>1135</v>
      </c>
      <c r="O549" s="291">
        <v>21.7</v>
      </c>
      <c r="P549" s="292">
        <v>4863.3</v>
      </c>
      <c r="Q549" s="25"/>
      <c r="R549" s="25"/>
      <c r="S549" s="25"/>
      <c r="T549" s="25"/>
      <c r="U549" s="25"/>
      <c r="V549" s="25"/>
      <c r="W549" s="25"/>
      <c r="X549" s="25"/>
      <c r="Y549" s="25"/>
      <c r="Z549" s="25"/>
      <c r="AA549" s="25"/>
      <c r="AB549" s="28"/>
      <c r="AC549" s="28"/>
      <c r="AD549" s="10"/>
    </row>
    <row r="550" spans="1:30" s="9" customFormat="1" ht="29" hidden="1" outlineLevel="1" x14ac:dyDescent="0.35">
      <c r="A550" s="86"/>
      <c r="C550" s="74"/>
      <c r="D550" s="74"/>
      <c r="E550" s="74"/>
      <c r="F550" s="72"/>
      <c r="G550" s="25"/>
      <c r="H550" s="25"/>
      <c r="I550" s="25"/>
      <c r="J550" s="25"/>
      <c r="K550" s="25"/>
      <c r="L550" s="25"/>
      <c r="M550" s="262">
        <v>28</v>
      </c>
      <c r="N550" s="28" t="s">
        <v>1137</v>
      </c>
      <c r="O550" s="291">
        <v>28.9</v>
      </c>
      <c r="P550" s="292">
        <v>6484.4</v>
      </c>
      <c r="Q550" s="25"/>
      <c r="R550" s="25"/>
      <c r="S550" s="25"/>
      <c r="T550" s="25"/>
      <c r="U550" s="25"/>
      <c r="V550" s="25"/>
      <c r="W550" s="25"/>
      <c r="X550" s="25"/>
      <c r="Y550" s="25"/>
      <c r="Z550" s="25"/>
      <c r="AA550" s="25"/>
      <c r="AB550" s="28"/>
      <c r="AC550" s="28"/>
      <c r="AD550" s="10"/>
    </row>
    <row r="551" spans="1:30" s="9" customFormat="1" hidden="1" outlineLevel="1" x14ac:dyDescent="0.35">
      <c r="A551" s="86"/>
      <c r="C551" s="74"/>
      <c r="D551" s="74"/>
      <c r="E551" s="74"/>
      <c r="F551" s="72"/>
      <c r="G551" s="25"/>
      <c r="H551" s="25"/>
      <c r="I551" s="25"/>
      <c r="J551" s="25"/>
      <c r="K551" s="25"/>
      <c r="L551" s="25"/>
      <c r="M551" s="262">
        <v>29</v>
      </c>
      <c r="N551" s="28" t="s">
        <v>1143</v>
      </c>
      <c r="O551" s="291">
        <v>54.3</v>
      </c>
      <c r="P551" s="292">
        <v>12158.2</v>
      </c>
      <c r="Q551" s="25"/>
      <c r="R551" s="25"/>
      <c r="S551" s="25"/>
      <c r="T551" s="25"/>
      <c r="U551" s="25"/>
      <c r="V551" s="25"/>
      <c r="W551" s="25"/>
      <c r="X551" s="25"/>
      <c r="Y551" s="25"/>
      <c r="Z551" s="25"/>
      <c r="AA551" s="25"/>
      <c r="AB551" s="28"/>
      <c r="AC551" s="28"/>
      <c r="AD551" s="10"/>
    </row>
    <row r="552" spans="1:30" s="9" customFormat="1" hidden="1" outlineLevel="1" x14ac:dyDescent="0.35">
      <c r="A552" s="86"/>
      <c r="C552" s="74"/>
      <c r="D552" s="74"/>
      <c r="E552" s="74"/>
      <c r="F552" s="72"/>
      <c r="G552" s="25"/>
      <c r="H552" s="25"/>
      <c r="I552" s="25"/>
      <c r="J552" s="25"/>
      <c r="K552" s="25"/>
      <c r="L552" s="25"/>
      <c r="M552" s="262">
        <v>30</v>
      </c>
      <c r="N552" s="28" t="s">
        <v>1145</v>
      </c>
      <c r="O552" s="291">
        <v>50.7</v>
      </c>
      <c r="P552" s="292">
        <v>11347.7</v>
      </c>
      <c r="Q552" s="25"/>
      <c r="R552" s="25"/>
      <c r="S552" s="25"/>
      <c r="T552" s="25"/>
      <c r="U552" s="25"/>
      <c r="V552" s="25"/>
      <c r="W552" s="25"/>
      <c r="X552" s="25"/>
      <c r="Y552" s="25"/>
      <c r="Z552" s="25"/>
      <c r="AA552" s="25"/>
      <c r="AB552" s="28"/>
      <c r="AC552" s="28"/>
      <c r="AD552" s="10"/>
    </row>
    <row r="553" spans="1:30" s="9" customFormat="1" hidden="1" outlineLevel="1" x14ac:dyDescent="0.35">
      <c r="A553" s="86"/>
      <c r="C553" s="74"/>
      <c r="D553" s="74"/>
      <c r="E553" s="74"/>
      <c r="F553" s="72"/>
      <c r="G553" s="25"/>
      <c r="H553" s="25"/>
      <c r="I553" s="25"/>
      <c r="J553" s="25"/>
      <c r="K553" s="25"/>
      <c r="L553" s="25"/>
      <c r="M553" s="262">
        <v>31</v>
      </c>
      <c r="N553" s="28" t="s">
        <v>1146</v>
      </c>
      <c r="O553" s="291">
        <v>32.6</v>
      </c>
      <c r="P553" s="292">
        <v>7294.9</v>
      </c>
      <c r="Q553" s="25"/>
      <c r="R553" s="25"/>
      <c r="S553" s="25"/>
      <c r="T553" s="25"/>
      <c r="U553" s="25"/>
      <c r="V553" s="25"/>
      <c r="W553" s="25"/>
      <c r="X553" s="25"/>
      <c r="Y553" s="25"/>
      <c r="Z553" s="25"/>
      <c r="AA553" s="25"/>
      <c r="AB553" s="28"/>
      <c r="AC553" s="28"/>
      <c r="AD553" s="10"/>
    </row>
    <row r="554" spans="1:30" s="9" customFormat="1" hidden="1" outlineLevel="1" x14ac:dyDescent="0.35">
      <c r="A554" s="86"/>
      <c r="C554" s="74"/>
      <c r="D554" s="74"/>
      <c r="E554" s="74"/>
      <c r="F554" s="72"/>
      <c r="G554" s="25"/>
      <c r="H554" s="25"/>
      <c r="I554" s="25"/>
      <c r="J554" s="25"/>
      <c r="K554" s="25"/>
      <c r="L554" s="25"/>
      <c r="M554" s="262">
        <v>32</v>
      </c>
      <c r="N554" s="28" t="s">
        <v>1147</v>
      </c>
      <c r="O554" s="291">
        <v>27.1</v>
      </c>
      <c r="P554" s="292">
        <v>6079.1</v>
      </c>
      <c r="Q554" s="25"/>
      <c r="R554" s="25"/>
      <c r="S554" s="25"/>
      <c r="T554" s="25"/>
      <c r="U554" s="25"/>
      <c r="V554" s="25"/>
      <c r="W554" s="25"/>
      <c r="X554" s="25"/>
      <c r="Y554" s="25"/>
      <c r="Z554" s="25"/>
      <c r="AA554" s="25"/>
      <c r="AB554" s="28"/>
      <c r="AC554" s="28"/>
      <c r="AD554" s="10"/>
    </row>
    <row r="555" spans="1:30" s="9" customFormat="1" hidden="1" outlineLevel="1" x14ac:dyDescent="0.35">
      <c r="A555" s="86"/>
      <c r="C555" s="74"/>
      <c r="D555" s="74"/>
      <c r="E555" s="74"/>
      <c r="F555" s="72"/>
      <c r="G555" s="25"/>
      <c r="H555" s="25"/>
      <c r="I555" s="25"/>
      <c r="J555" s="25"/>
      <c r="K555" s="25"/>
      <c r="L555" s="25"/>
      <c r="M555" s="262">
        <v>33</v>
      </c>
      <c r="N555" s="28" t="s">
        <v>1148</v>
      </c>
      <c r="O555" s="291">
        <v>21.7</v>
      </c>
      <c r="P555" s="292">
        <v>4863.3</v>
      </c>
      <c r="Q555" s="25"/>
      <c r="R555" s="25"/>
      <c r="S555" s="25"/>
      <c r="T555" s="25"/>
      <c r="U555" s="25"/>
      <c r="V555" s="25"/>
      <c r="W555" s="25"/>
      <c r="X555" s="25"/>
      <c r="Y555" s="25"/>
      <c r="Z555" s="25"/>
      <c r="AA555" s="25"/>
      <c r="AB555" s="28"/>
      <c r="AC555" s="28"/>
      <c r="AD555" s="10"/>
    </row>
    <row r="556" spans="1:30" s="282" customFormat="1" hidden="1" outlineLevel="1" x14ac:dyDescent="0.35">
      <c r="A556" s="281"/>
      <c r="C556" s="283"/>
      <c r="D556" s="283"/>
      <c r="E556" s="283"/>
      <c r="F556" s="284"/>
      <c r="G556" s="285"/>
      <c r="H556" s="285"/>
      <c r="I556" s="285"/>
      <c r="J556" s="285"/>
      <c r="K556" s="285"/>
      <c r="L556" s="285"/>
      <c r="M556" s="286" t="s">
        <v>109</v>
      </c>
      <c r="N556" s="287" t="s">
        <v>459</v>
      </c>
      <c r="O556" s="288">
        <v>25.3</v>
      </c>
      <c r="P556" s="289">
        <v>5673.8</v>
      </c>
      <c r="Q556" s="285"/>
      <c r="R556" s="285"/>
      <c r="S556" s="285"/>
      <c r="T556" s="285"/>
      <c r="U556" s="285"/>
      <c r="V556" s="285"/>
      <c r="W556" s="285"/>
      <c r="X556" s="285"/>
      <c r="Y556" s="285"/>
      <c r="Z556" s="285"/>
      <c r="AA556" s="285"/>
      <c r="AB556" s="287"/>
      <c r="AC556" s="287"/>
      <c r="AD556" s="290"/>
    </row>
    <row r="557" spans="1:30" s="9" customFormat="1" hidden="1" outlineLevel="1" x14ac:dyDescent="0.35">
      <c r="A557" s="86"/>
      <c r="C557" s="74"/>
      <c r="D557" s="74"/>
      <c r="E557" s="74"/>
      <c r="F557" s="72"/>
      <c r="G557" s="25"/>
      <c r="H557" s="25"/>
      <c r="I557" s="25"/>
      <c r="J557" s="25"/>
      <c r="K557" s="25"/>
      <c r="L557" s="25"/>
      <c r="M557" s="262">
        <v>34</v>
      </c>
      <c r="N557" s="28" t="s">
        <v>1149</v>
      </c>
      <c r="O557" s="291">
        <v>25.3</v>
      </c>
      <c r="P557" s="292">
        <v>5673.8</v>
      </c>
      <c r="Q557" s="25"/>
      <c r="R557" s="25"/>
      <c r="S557" s="25"/>
      <c r="T557" s="25"/>
      <c r="U557" s="25"/>
      <c r="V557" s="25"/>
      <c r="W557" s="25"/>
      <c r="X557" s="25"/>
      <c r="Y557" s="25"/>
      <c r="Z557" s="25"/>
      <c r="AA557" s="25"/>
      <c r="AB557" s="28"/>
      <c r="AC557" s="28"/>
      <c r="AD557" s="10"/>
    </row>
    <row r="558" spans="1:30" s="9" customFormat="1" hidden="1" outlineLevel="1" x14ac:dyDescent="0.35">
      <c r="A558" s="86"/>
      <c r="C558" s="74"/>
      <c r="D558" s="74"/>
      <c r="E558" s="74"/>
      <c r="F558" s="72"/>
      <c r="G558" s="25"/>
      <c r="H558" s="25"/>
      <c r="I558" s="25"/>
      <c r="J558" s="25"/>
      <c r="K558" s="25"/>
      <c r="L558" s="25"/>
      <c r="M558" s="262"/>
      <c r="N558" s="28"/>
      <c r="O558" s="28"/>
      <c r="P558" s="25"/>
      <c r="Q558" s="25"/>
      <c r="R558" s="25"/>
      <c r="S558" s="25"/>
      <c r="T558" s="25"/>
      <c r="U558" s="25"/>
      <c r="V558" s="25"/>
      <c r="W558" s="25"/>
      <c r="X558" s="25"/>
      <c r="Y558" s="25"/>
      <c r="Z558" s="25"/>
      <c r="AA558" s="25"/>
      <c r="AB558" s="28"/>
      <c r="AC558" s="28"/>
      <c r="AD558" s="10"/>
    </row>
    <row r="559" spans="1:30" s="9" customFormat="1" ht="3" hidden="1" customHeight="1" outlineLevel="1" x14ac:dyDescent="0.35">
      <c r="A559" s="86"/>
      <c r="C559" s="74"/>
      <c r="D559" s="74"/>
      <c r="E559" s="74"/>
      <c r="F559" s="72"/>
      <c r="G559" s="25"/>
      <c r="H559" s="25"/>
      <c r="I559" s="25"/>
      <c r="J559" s="25"/>
      <c r="K559" s="25"/>
      <c r="L559" s="25"/>
      <c r="M559" s="267"/>
      <c r="N559" s="245"/>
      <c r="O559" s="245"/>
      <c r="P559" s="244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8"/>
      <c r="AC559" s="28"/>
      <c r="AD559" s="10"/>
    </row>
    <row r="560" spans="1:30" s="9" customFormat="1" hidden="1" outlineLevel="1" x14ac:dyDescent="0.35">
      <c r="A560" s="86"/>
      <c r="C560" s="74"/>
      <c r="D560" s="74"/>
      <c r="E560" s="74"/>
      <c r="F560" s="72"/>
      <c r="G560" s="25"/>
      <c r="H560" s="25"/>
      <c r="I560" s="25"/>
      <c r="J560" s="25"/>
      <c r="K560" s="25"/>
      <c r="L560" s="25"/>
      <c r="M560" s="268"/>
      <c r="N560" s="185"/>
      <c r="O560" s="186">
        <f>TOTAL_EFFORT</f>
        <v>977</v>
      </c>
      <c r="P560" s="186">
        <f>TOTAL_COST</f>
        <v>218848</v>
      </c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8"/>
      <c r="AC560" s="28"/>
      <c r="AD560" s="10"/>
    </row>
    <row r="561" spans="1:30" s="9" customFormat="1" hidden="1" outlineLevel="1" x14ac:dyDescent="0.35">
      <c r="A561" s="86"/>
      <c r="C561" s="74"/>
      <c r="D561" s="74"/>
      <c r="E561" s="74"/>
      <c r="F561" s="72"/>
      <c r="G561" s="25"/>
      <c r="H561" s="25"/>
      <c r="I561" s="25"/>
      <c r="J561" s="25"/>
      <c r="K561" s="25"/>
      <c r="L561" s="25"/>
      <c r="M561" s="262"/>
      <c r="N561" s="28"/>
      <c r="O561" s="28"/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8"/>
      <c r="AC561" s="28"/>
      <c r="AD561" s="10"/>
    </row>
    <row r="562" spans="1:30" s="9" customFormat="1" ht="20.25" hidden="1" customHeight="1" outlineLevel="1" x14ac:dyDescent="0.35">
      <c r="A562" s="86"/>
      <c r="C562" s="72"/>
      <c r="D562" s="72"/>
      <c r="E562" s="72"/>
      <c r="F562" s="72"/>
      <c r="G562" s="40"/>
      <c r="H562" s="40"/>
      <c r="I562" s="40"/>
      <c r="J562" s="40"/>
      <c r="K562" s="40"/>
      <c r="L562" s="40"/>
      <c r="M562" s="258"/>
      <c r="N562" s="40"/>
      <c r="O562" s="40"/>
      <c r="P562" s="40"/>
      <c r="Q562" s="40"/>
      <c r="R562" s="40"/>
      <c r="S562" s="40"/>
      <c r="T562" s="40"/>
      <c r="U562" s="40"/>
      <c r="V562" s="40"/>
      <c r="W562" s="40"/>
      <c r="X562" s="40"/>
      <c r="Y562" s="40"/>
      <c r="Z562" s="40"/>
      <c r="AA562" s="40"/>
      <c r="AB562" s="40"/>
      <c r="AC562" s="40"/>
      <c r="AD562" s="10"/>
    </row>
    <row r="563" spans="1:30" ht="15" customHeight="1" x14ac:dyDescent="0.35">
      <c r="F563" s="72"/>
    </row>
    <row r="564" spans="1:30" s="9" customFormat="1" ht="20.25" customHeight="1" collapsed="1" x14ac:dyDescent="0.35">
      <c r="A564" s="86"/>
      <c r="C564" s="72"/>
      <c r="D564" s="72"/>
      <c r="E564" s="72"/>
      <c r="F564" s="72"/>
      <c r="G564" s="334" t="s">
        <v>48</v>
      </c>
      <c r="H564" s="334"/>
      <c r="I564" s="165"/>
      <c r="J564" s="40"/>
      <c r="K564" s="40"/>
      <c r="L564" s="36"/>
      <c r="M564" s="265" t="s">
        <v>111</v>
      </c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D564" s="10"/>
    </row>
    <row r="565" spans="1:30" hidden="1" outlineLevel="1" x14ac:dyDescent="0.35">
      <c r="F565" s="72"/>
      <c r="G565" s="58"/>
      <c r="H565" s="58"/>
      <c r="I565" s="58"/>
      <c r="J565" s="58"/>
      <c r="K565" s="58"/>
      <c r="L565" s="58"/>
      <c r="M565" s="270"/>
      <c r="N565" s="59"/>
      <c r="O565" s="59"/>
      <c r="P565" s="58"/>
      <c r="Q565" s="58"/>
      <c r="R565" s="58"/>
      <c r="S565" s="58"/>
      <c r="T565" s="58"/>
      <c r="U565" s="58"/>
      <c r="V565" s="58"/>
      <c r="W565" s="58"/>
      <c r="X565" s="58"/>
      <c r="Y565" s="58"/>
      <c r="Z565" s="58"/>
      <c r="AA565" s="58"/>
      <c r="AB565" s="59"/>
      <c r="AC565" s="28"/>
    </row>
    <row r="566" spans="1:30" hidden="1" outlineLevel="1" x14ac:dyDescent="0.35">
      <c r="F566" s="72"/>
      <c r="G566" s="58">
        <v>1</v>
      </c>
      <c r="H566" s="58"/>
      <c r="I566" s="58"/>
      <c r="J566" s="58"/>
      <c r="K566" s="58"/>
      <c r="L566" s="58"/>
      <c r="M566" s="270"/>
      <c r="N566" s="59"/>
      <c r="O566" s="59"/>
      <c r="P566" s="58"/>
      <c r="Q566" s="343" t="s">
        <v>79</v>
      </c>
      <c r="R566" s="343"/>
      <c r="S566" s="343"/>
      <c r="T566" s="343"/>
      <c r="U566" s="343"/>
      <c r="V566" s="343"/>
      <c r="W566" s="232"/>
      <c r="X566" s="58"/>
      <c r="Y566" s="58"/>
      <c r="Z566" s="58"/>
      <c r="AA566" s="58"/>
      <c r="AB566" s="59"/>
      <c r="AC566" s="28"/>
    </row>
    <row r="567" spans="1:30" ht="15" hidden="1" customHeight="1" outlineLevel="1" x14ac:dyDescent="0.35">
      <c r="B567" s="9" t="str">
        <f>IF(OR(COUNTBLANK(Q567:W567)&lt;&gt;0,SUM(Q567:W567)=0), ".", "")</f>
        <v/>
      </c>
      <c r="F567" s="72"/>
      <c r="G567" s="58">
        <v>2</v>
      </c>
      <c r="H567" s="58"/>
      <c r="I567" s="58"/>
      <c r="J567" s="58"/>
      <c r="K567" s="58"/>
      <c r="L567" s="58"/>
      <c r="M567" s="270"/>
      <c r="N567" s="59"/>
      <c r="O567" s="318" t="s">
        <v>29</v>
      </c>
      <c r="P567" s="318" t="s">
        <v>94</v>
      </c>
      <c r="Q567" s="50">
        <f t="shared" ref="Q567:V567" si="75">28 * 8</f>
        <v>224</v>
      </c>
      <c r="R567" s="50">
        <f t="shared" si="75"/>
        <v>224</v>
      </c>
      <c r="S567" s="50">
        <f t="shared" si="75"/>
        <v>224</v>
      </c>
      <c r="T567" s="50">
        <f t="shared" si="75"/>
        <v>224</v>
      </c>
      <c r="U567" s="50">
        <f t="shared" si="75"/>
        <v>224</v>
      </c>
      <c r="V567" s="50">
        <f t="shared" si="75"/>
        <v>224</v>
      </c>
      <c r="W567" s="317" t="str">
        <f>CHOSEN_CURRENCY</f>
        <v>USD</v>
      </c>
      <c r="X567" s="318"/>
      <c r="Y567" s="58"/>
      <c r="Z567" s="58"/>
      <c r="AA567" s="58"/>
      <c r="AB567" s="59" t="s">
        <v>1162</v>
      </c>
      <c r="AC567" s="28"/>
    </row>
    <row r="568" spans="1:30" ht="15" hidden="1" customHeight="1" outlineLevel="1" x14ac:dyDescent="0.35">
      <c r="F568" s="72"/>
      <c r="G568" s="58">
        <v>3</v>
      </c>
      <c r="H568" s="58"/>
      <c r="I568" s="58"/>
      <c r="J568" s="58"/>
      <c r="K568" s="58"/>
      <c r="L568" s="58"/>
      <c r="M568" s="270"/>
      <c r="N568" s="59"/>
      <c r="O568" s="320"/>
      <c r="P568" s="320"/>
      <c r="Q568" s="271" t="s">
        <v>8</v>
      </c>
      <c r="R568" s="271" t="s">
        <v>9</v>
      </c>
      <c r="S568" s="271" t="s">
        <v>10</v>
      </c>
      <c r="T568" s="271" t="s">
        <v>12</v>
      </c>
      <c r="U568" s="271" t="s">
        <v>11</v>
      </c>
      <c r="V568" s="272" t="s">
        <v>13</v>
      </c>
      <c r="W568" s="319"/>
      <c r="X568" s="320"/>
      <c r="Y568" s="58"/>
      <c r="Z568" s="58"/>
      <c r="AA568" s="58"/>
      <c r="AB568" s="59" t="s">
        <v>1163</v>
      </c>
      <c r="AC568" s="28"/>
    </row>
    <row r="569" spans="1:30" ht="15" hidden="1" customHeight="1" outlineLevel="1" x14ac:dyDescent="0.35">
      <c r="B569" s="9" t="str">
        <f t="shared" ref="B569:B574" si="76">IF(SUM(Q569:V569)&lt;&gt;1,".","")</f>
        <v/>
      </c>
      <c r="F569" s="72"/>
      <c r="G569" s="58">
        <v>4</v>
      </c>
      <c r="H569" s="58"/>
      <c r="I569" s="58"/>
      <c r="J569" s="58"/>
      <c r="K569" s="58"/>
      <c r="L569" s="62" t="s">
        <v>84</v>
      </c>
      <c r="M569" s="262" t="str">
        <f>$L$12</f>
        <v>A</v>
      </c>
      <c r="N569" s="28" t="str">
        <f>$M$12</f>
        <v>Discovery / Requirement Analysis</v>
      </c>
      <c r="O569" s="60">
        <f>S12</f>
        <v>70</v>
      </c>
      <c r="P569" s="94">
        <f>ROUND(REQ_EFFORT/5,0)</f>
        <v>14</v>
      </c>
      <c r="Q569" s="95">
        <v>0.3</v>
      </c>
      <c r="R569" s="246">
        <v>0.05</v>
      </c>
      <c r="S569" s="42">
        <v>0.1</v>
      </c>
      <c r="T569" s="42">
        <v>0.4</v>
      </c>
      <c r="U569" s="42">
        <v>0.15</v>
      </c>
      <c r="V569" s="43"/>
      <c r="W569" s="321">
        <f t="shared" ref="W569:W574" si="77">(($O569*Q569)*Q$567)+(($O569*R569)*R$567)+(($O569*S569)*S$567)+(($O569*T569)*T$567)+(($O569*U569)*U$567)+(($O569*V569)*V$567)</f>
        <v>15680</v>
      </c>
      <c r="X569" s="322"/>
      <c r="Y569" s="58"/>
      <c r="Z569" s="58"/>
      <c r="AA569" s="58"/>
      <c r="AB569" s="59" t="s">
        <v>1164</v>
      </c>
      <c r="AC569" s="28"/>
    </row>
    <row r="570" spans="1:30" hidden="1" outlineLevel="1" x14ac:dyDescent="0.35">
      <c r="B570" s="9" t="str">
        <f t="shared" si="76"/>
        <v/>
      </c>
      <c r="F570" s="72"/>
      <c r="G570" s="58">
        <v>5</v>
      </c>
      <c r="H570" s="58"/>
      <c r="I570" s="58"/>
      <c r="J570" s="58"/>
      <c r="K570" s="58"/>
      <c r="L570" s="62" t="s">
        <v>85</v>
      </c>
      <c r="M570" s="262" t="str">
        <f>$L$64</f>
        <v>B</v>
      </c>
      <c r="N570" s="28" t="str">
        <f>$M$64</f>
        <v>System Design, Framework and Test Cases</v>
      </c>
      <c r="O570" s="60">
        <f>S64</f>
        <v>73</v>
      </c>
      <c r="P570" s="94">
        <f>ROUND(DESIGN_EFFORT/5,0)</f>
        <v>15</v>
      </c>
      <c r="Q570" s="42"/>
      <c r="R570" s="247">
        <v>0.2</v>
      </c>
      <c r="S570" s="41">
        <v>0.1</v>
      </c>
      <c r="T570" s="42">
        <v>0.7</v>
      </c>
      <c r="U570" s="41"/>
      <c r="V570" s="44"/>
      <c r="W570" s="321">
        <f t="shared" si="77"/>
        <v>16351.999999999998</v>
      </c>
      <c r="X570" s="322"/>
      <c r="Y570" s="58"/>
      <c r="Z570" s="58"/>
      <c r="AA570" s="58"/>
      <c r="AB570" s="59"/>
      <c r="AC570" s="28"/>
    </row>
    <row r="571" spans="1:30" hidden="1" outlineLevel="1" x14ac:dyDescent="0.35">
      <c r="B571" s="9" t="str">
        <f t="shared" si="76"/>
        <v/>
      </c>
      <c r="F571" s="72"/>
      <c r="G571" s="58">
        <v>6</v>
      </c>
      <c r="H571" s="58"/>
      <c r="I571" s="58"/>
      <c r="J571" s="58"/>
      <c r="K571" s="58"/>
      <c r="L571" s="62" t="s">
        <v>87</v>
      </c>
      <c r="M571" s="262" t="str">
        <f>$L$94</f>
        <v>C</v>
      </c>
      <c r="N571" s="28" t="str">
        <f>$M$94</f>
        <v>Development and Unit Testing</v>
      </c>
      <c r="O571" s="60">
        <f>S94</f>
        <v>540</v>
      </c>
      <c r="P571" s="94">
        <f>ROUND(DEV_EFFORT/5,0)</f>
        <v>108</v>
      </c>
      <c r="Q571" s="42">
        <v>0.05</v>
      </c>
      <c r="R571" s="246">
        <v>0.1</v>
      </c>
      <c r="S571" s="41">
        <v>0.05</v>
      </c>
      <c r="T571" s="95">
        <v>0.75</v>
      </c>
      <c r="U571" s="42">
        <v>0.05</v>
      </c>
      <c r="V571" s="44"/>
      <c r="W571" s="321">
        <f t="shared" si="77"/>
        <v>120960</v>
      </c>
      <c r="X571" s="322"/>
      <c r="Y571" s="58"/>
      <c r="Z571" s="58"/>
      <c r="AA571" s="58"/>
      <c r="AB571" s="59"/>
      <c r="AC571" s="28"/>
    </row>
    <row r="572" spans="1:30" hidden="1" outlineLevel="1" x14ac:dyDescent="0.35">
      <c r="B572" s="9" t="str">
        <f t="shared" si="76"/>
        <v/>
      </c>
      <c r="F572" s="72"/>
      <c r="G572" s="58">
        <v>7</v>
      </c>
      <c r="H572" s="58"/>
      <c r="I572" s="58"/>
      <c r="J572" s="58"/>
      <c r="K572" s="58"/>
      <c r="L572" s="62" t="s">
        <v>11</v>
      </c>
      <c r="M572" s="262" t="str">
        <f>$L$433</f>
        <v>D</v>
      </c>
      <c r="N572" s="28" t="str">
        <f>$M$433</f>
        <v>System Testing and Stabilization</v>
      </c>
      <c r="O572" s="60">
        <f>S433</f>
        <v>100</v>
      </c>
      <c r="P572" s="94">
        <f>ROUND(QA_EFFORT/5,0)</f>
        <v>20</v>
      </c>
      <c r="Q572" s="42">
        <v>0.05</v>
      </c>
      <c r="R572" s="246">
        <v>0.05</v>
      </c>
      <c r="S572" s="41">
        <v>0.05</v>
      </c>
      <c r="T572" s="41">
        <v>0.55000000000000004</v>
      </c>
      <c r="U572" s="95">
        <v>0.3</v>
      </c>
      <c r="V572" s="44"/>
      <c r="W572" s="321">
        <f t="shared" si="77"/>
        <v>22400</v>
      </c>
      <c r="X572" s="322"/>
      <c r="Y572" s="58"/>
      <c r="Z572" s="58"/>
      <c r="AA572" s="58"/>
      <c r="AB572" s="59"/>
      <c r="AC572" s="28"/>
    </row>
    <row r="573" spans="1:30" hidden="1" outlineLevel="1" x14ac:dyDescent="0.35">
      <c r="B573" s="9" t="str">
        <f t="shared" si="76"/>
        <v/>
      </c>
      <c r="F573" s="72"/>
      <c r="G573" s="58">
        <v>8</v>
      </c>
      <c r="H573" s="58"/>
      <c r="I573" s="58"/>
      <c r="J573" s="58"/>
      <c r="K573" s="58"/>
      <c r="L573" s="62" t="s">
        <v>86</v>
      </c>
      <c r="M573" s="262" t="str">
        <f>$L$471</f>
        <v>E</v>
      </c>
      <c r="N573" s="28" t="str">
        <f>$M$471</f>
        <v>Deployment, UAT and Documentation</v>
      </c>
      <c r="O573" s="60">
        <f>S471</f>
        <v>122</v>
      </c>
      <c r="P573" s="94">
        <f>ROUND(UAT_EFFORT/5,0)</f>
        <v>24</v>
      </c>
      <c r="Q573" s="42">
        <v>0.25</v>
      </c>
      <c r="R573" s="246">
        <v>0.05</v>
      </c>
      <c r="S573" s="41">
        <v>0.1</v>
      </c>
      <c r="T573" s="95">
        <v>0.45</v>
      </c>
      <c r="U573" s="41">
        <v>0.15</v>
      </c>
      <c r="V573" s="44"/>
      <c r="W573" s="321">
        <f t="shared" si="77"/>
        <v>27328.000000000004</v>
      </c>
      <c r="X573" s="322"/>
      <c r="Y573" s="58"/>
      <c r="Z573" s="58"/>
      <c r="AA573" s="58"/>
      <c r="AB573" s="59"/>
      <c r="AC573" s="28"/>
    </row>
    <row r="574" spans="1:30" hidden="1" outlineLevel="1" x14ac:dyDescent="0.35">
      <c r="B574" s="9" t="str">
        <f t="shared" si="76"/>
        <v/>
      </c>
      <c r="F574" s="72"/>
      <c r="G574" s="58">
        <v>9</v>
      </c>
      <c r="H574" s="58"/>
      <c r="I574" s="58"/>
      <c r="J574" s="58"/>
      <c r="K574" s="58"/>
      <c r="L574" s="62" t="s">
        <v>76</v>
      </c>
      <c r="M574" s="262" t="str">
        <f>$L$499</f>
        <v>F</v>
      </c>
      <c r="N574" s="28" t="str">
        <f>$M$499</f>
        <v>Others</v>
      </c>
      <c r="O574" s="60">
        <f>S499</f>
        <v>72</v>
      </c>
      <c r="P574" s="94">
        <f>ROUND(OTHER_EFFORT/5,0)</f>
        <v>14</v>
      </c>
      <c r="Q574" s="42"/>
      <c r="R574" s="246">
        <v>0.2</v>
      </c>
      <c r="S574" s="95">
        <v>0.8</v>
      </c>
      <c r="T574" s="42"/>
      <c r="U574" s="42"/>
      <c r="V574" s="44"/>
      <c r="W574" s="323">
        <f t="shared" si="77"/>
        <v>16128</v>
      </c>
      <c r="X574" s="324"/>
      <c r="Y574" s="58"/>
      <c r="Z574" s="58"/>
      <c r="AA574" s="58"/>
      <c r="AB574" s="59"/>
      <c r="AC574" s="28"/>
    </row>
    <row r="575" spans="1:30" ht="21" hidden="1" outlineLevel="1" x14ac:dyDescent="0.35">
      <c r="F575" s="72"/>
      <c r="G575" s="58">
        <v>10</v>
      </c>
      <c r="H575" s="58"/>
      <c r="I575" s="58"/>
      <c r="J575" s="58"/>
      <c r="K575" s="58"/>
      <c r="L575" s="58"/>
      <c r="M575" s="270"/>
      <c r="N575" s="59"/>
      <c r="O575" s="238">
        <f>SUM(O569:O574)</f>
        <v>977</v>
      </c>
      <c r="P575" s="239">
        <f>SUM(P569:P574)</f>
        <v>195</v>
      </c>
      <c r="Q575" s="326" t="s">
        <v>116</v>
      </c>
      <c r="R575" s="326"/>
      <c r="S575" s="326"/>
      <c r="T575" s="326"/>
      <c r="U575" s="326"/>
      <c r="V575" s="326"/>
      <c r="W575" s="325">
        <f>SUM(W569:W574)</f>
        <v>218848</v>
      </c>
      <c r="X575" s="325"/>
      <c r="Y575" s="58"/>
      <c r="Z575" s="58"/>
      <c r="AA575" s="58"/>
      <c r="AB575" s="59"/>
      <c r="AC575" s="28"/>
    </row>
    <row r="576" spans="1:30" hidden="1" outlineLevel="1" x14ac:dyDescent="0.35">
      <c r="F576" s="72"/>
      <c r="G576" s="58"/>
      <c r="H576" s="58"/>
      <c r="I576" s="58"/>
      <c r="J576" s="58"/>
      <c r="K576" s="58"/>
      <c r="L576" s="58"/>
      <c r="M576" s="270"/>
      <c r="N576" s="59"/>
      <c r="O576" s="59"/>
      <c r="P576" s="58"/>
      <c r="Q576" s="58"/>
      <c r="R576" s="58"/>
      <c r="S576" s="58"/>
      <c r="T576" s="58"/>
      <c r="U576" s="58"/>
      <c r="V576" s="58"/>
      <c r="W576" s="58"/>
      <c r="X576" s="58"/>
      <c r="Y576" s="58"/>
      <c r="Z576" s="58"/>
      <c r="AA576" s="58"/>
      <c r="AB576" s="59"/>
      <c r="AC576" s="28"/>
    </row>
    <row r="577" spans="1:30" ht="15" hidden="1" customHeight="1" outlineLevel="1" x14ac:dyDescent="0.35">
      <c r="F577" s="72"/>
      <c r="G577" s="58"/>
      <c r="H577" s="58"/>
      <c r="I577" s="58"/>
      <c r="J577" s="58"/>
      <c r="K577" s="58"/>
      <c r="L577" s="58"/>
      <c r="M577" s="270"/>
      <c r="N577" s="59"/>
      <c r="O577" s="59"/>
      <c r="P577" s="58"/>
      <c r="Q577" s="342" t="s">
        <v>114</v>
      </c>
      <c r="R577" s="342"/>
      <c r="S577" s="342"/>
      <c r="T577" s="342"/>
      <c r="U577" s="342"/>
      <c r="V577" s="342"/>
      <c r="W577" s="327" t="s">
        <v>446</v>
      </c>
      <c r="X577" s="327"/>
      <c r="Y577" s="58"/>
      <c r="Z577" s="58"/>
      <c r="AA577" s="58"/>
      <c r="AB577" s="59"/>
      <c r="AC577" s="28"/>
    </row>
    <row r="578" spans="1:30" ht="15" hidden="1" customHeight="1" outlineLevel="1" x14ac:dyDescent="0.35">
      <c r="F578" s="72"/>
      <c r="G578" s="58"/>
      <c r="H578" s="58"/>
      <c r="I578" s="58"/>
      <c r="J578" s="58"/>
      <c r="K578" s="58"/>
      <c r="L578" s="58"/>
      <c r="M578" s="262"/>
      <c r="N578" s="28"/>
      <c r="O578" s="97" t="s">
        <v>112</v>
      </c>
      <c r="P578" s="98" t="s">
        <v>113</v>
      </c>
      <c r="Q578" s="271" t="s">
        <v>8</v>
      </c>
      <c r="R578" s="271" t="s">
        <v>9</v>
      </c>
      <c r="S578" s="271" t="s">
        <v>10</v>
      </c>
      <c r="T578" s="271" t="s">
        <v>12</v>
      </c>
      <c r="U578" s="271" t="s">
        <v>11</v>
      </c>
      <c r="V578" s="272" t="s">
        <v>13</v>
      </c>
      <c r="W578" s="327"/>
      <c r="X578" s="327"/>
      <c r="Y578" s="58"/>
      <c r="Z578" s="93"/>
      <c r="AA578" s="93"/>
      <c r="AB578" s="93"/>
      <c r="AC578" s="93"/>
    </row>
    <row r="579" spans="1:30" ht="15" hidden="1" customHeight="1" outlineLevel="1" x14ac:dyDescent="0.35">
      <c r="F579" s="72"/>
      <c r="G579" s="58"/>
      <c r="H579" s="58"/>
      <c r="I579" s="58"/>
      <c r="J579" s="58"/>
      <c r="K579" s="58"/>
      <c r="L579" s="58"/>
      <c r="M579" s="262" t="str">
        <f>$L$12</f>
        <v>A</v>
      </c>
      <c r="N579" s="28" t="str">
        <f>$M$12</f>
        <v>Discovery / Requirement Analysis</v>
      </c>
      <c r="O579" s="102">
        <v>46328</v>
      </c>
      <c r="P579" s="99">
        <f>O579+(((P569*REQ_BA_PERCENT)/REQ_BA_COUNT)*7)</f>
        <v>46357.4</v>
      </c>
      <c r="Q579" s="96">
        <v>1</v>
      </c>
      <c r="R579" s="203">
        <v>0.2</v>
      </c>
      <c r="S579" s="92">
        <v>0.3</v>
      </c>
      <c r="T579" s="92">
        <v>1.5</v>
      </c>
      <c r="U579" s="92">
        <v>0.5</v>
      </c>
      <c r="V579" s="51"/>
      <c r="W579" s="236">
        <v>0</v>
      </c>
      <c r="X579" s="58"/>
      <c r="Y579" s="312" t="s">
        <v>1165</v>
      </c>
      <c r="Z579" s="312"/>
      <c r="AA579" s="312"/>
      <c r="AB579" s="59"/>
      <c r="AC579" s="28"/>
    </row>
    <row r="580" spans="1:30" hidden="1" outlineLevel="1" x14ac:dyDescent="0.35">
      <c r="F580" s="72"/>
      <c r="G580" s="58"/>
      <c r="H580" s="58"/>
      <c r="I580" s="58"/>
      <c r="J580" s="58"/>
      <c r="K580" s="58"/>
      <c r="L580" s="58"/>
      <c r="M580" s="262" t="str">
        <f>$L$64</f>
        <v>B</v>
      </c>
      <c r="N580" s="28" t="str">
        <f>$M$64</f>
        <v>System Design, Framework and Test Cases</v>
      </c>
      <c r="O580" s="100">
        <f>O579+((P579-O579)*W579)+1</f>
        <v>46329</v>
      </c>
      <c r="P580" s="99">
        <f>O580+(((P570*DESIGN_TA_PERCENT)/DESIGN_TA_COUNT)*7)</f>
        <v>46359</v>
      </c>
      <c r="Q580" s="92"/>
      <c r="R580" s="204">
        <v>0.7</v>
      </c>
      <c r="S580" s="92">
        <v>0.4</v>
      </c>
      <c r="T580" s="92">
        <v>2.5</v>
      </c>
      <c r="U580" s="92"/>
      <c r="V580" s="51"/>
      <c r="W580" s="237">
        <v>0.85</v>
      </c>
      <c r="X580" s="58"/>
      <c r="Y580" s="312"/>
      <c r="Z580" s="312"/>
      <c r="AA580" s="312"/>
      <c r="AB580" s="59"/>
      <c r="AC580" s="28"/>
    </row>
    <row r="581" spans="1:30" hidden="1" outlineLevel="1" x14ac:dyDescent="0.35">
      <c r="F581" s="72"/>
      <c r="G581" s="58"/>
      <c r="H581" s="58"/>
      <c r="I581" s="58"/>
      <c r="J581" s="58"/>
      <c r="K581" s="58"/>
      <c r="L581" s="58"/>
      <c r="M581" s="262" t="str">
        <f>$L$94</f>
        <v>C</v>
      </c>
      <c r="N581" s="28" t="str">
        <f>$M$94</f>
        <v>Development and Unit Testing</v>
      </c>
      <c r="O581" s="100">
        <f>O580+((P580-O580)*W580)+1</f>
        <v>46355.5</v>
      </c>
      <c r="P581" s="99">
        <f>O581+(((P571*DEV_DEV_PERCENT)/DEV_DEV_COUNT)*7)</f>
        <v>46504.710526315786</v>
      </c>
      <c r="Q581" s="92">
        <v>0.3</v>
      </c>
      <c r="R581" s="203">
        <v>0.5</v>
      </c>
      <c r="S581" s="92">
        <v>0.3</v>
      </c>
      <c r="T581" s="96">
        <v>3.8</v>
      </c>
      <c r="U581" s="92">
        <v>0.3</v>
      </c>
      <c r="V581" s="51"/>
      <c r="W581" s="236">
        <v>0.75</v>
      </c>
      <c r="X581" s="58"/>
      <c r="Y581" s="312"/>
      <c r="Z581" s="312"/>
      <c r="AA581" s="312"/>
      <c r="AB581" s="59"/>
      <c r="AC581" s="28"/>
    </row>
    <row r="582" spans="1:30" hidden="1" outlineLevel="1" x14ac:dyDescent="0.35">
      <c r="F582" s="72"/>
      <c r="G582" s="58"/>
      <c r="H582" s="58"/>
      <c r="I582" s="58"/>
      <c r="J582" s="58"/>
      <c r="K582" s="58"/>
      <c r="L582" s="58"/>
      <c r="M582" s="262" t="str">
        <f>$L$433</f>
        <v>D</v>
      </c>
      <c r="N582" s="28" t="str">
        <f>$M$433</f>
        <v>System Testing and Stabilization</v>
      </c>
      <c r="O582" s="100">
        <f>O581+((P581-O581)*W581)+1</f>
        <v>46468.40789473684</v>
      </c>
      <c r="P582" s="99">
        <f>O582+(((P572*TESTING_QA_PERCENT)/TESTING_QA_COUNT)*7)</f>
        <v>46510.40789473684</v>
      </c>
      <c r="Q582" s="92">
        <v>0.1</v>
      </c>
      <c r="R582" s="203">
        <v>0.2</v>
      </c>
      <c r="S582" s="92">
        <v>0.2</v>
      </c>
      <c r="T582" s="92">
        <v>1.7</v>
      </c>
      <c r="U582" s="96">
        <v>1</v>
      </c>
      <c r="V582" s="233"/>
      <c r="W582" s="236">
        <v>0.3</v>
      </c>
      <c r="X582" s="58"/>
      <c r="Y582" s="312"/>
      <c r="Z582" s="312"/>
      <c r="AA582" s="312"/>
      <c r="AB582" s="59"/>
      <c r="AC582" s="28"/>
    </row>
    <row r="583" spans="1:30" hidden="1" outlineLevel="1" x14ac:dyDescent="0.35">
      <c r="F583" s="72"/>
      <c r="G583" s="58"/>
      <c r="H583" s="58"/>
      <c r="I583" s="58"/>
      <c r="J583" s="58"/>
      <c r="K583" s="58"/>
      <c r="L583" s="58"/>
      <c r="M583" s="262" t="str">
        <f>$L$471</f>
        <v>E</v>
      </c>
      <c r="N583" s="28" t="str">
        <f>$M$471</f>
        <v>Deployment, UAT and Documentation</v>
      </c>
      <c r="O583" s="100">
        <f>O582+((P582-O582)*W582)+1</f>
        <v>46482.007894736838</v>
      </c>
      <c r="P583" s="99">
        <f>O583+(((P573*UAT_DEV_PERCENT)/UAT_DEV_COUNT)*7)</f>
        <v>46576.507894736838</v>
      </c>
      <c r="Q583" s="92">
        <v>0.4</v>
      </c>
      <c r="R583" s="203">
        <v>0.1</v>
      </c>
      <c r="S583" s="92">
        <v>0.2</v>
      </c>
      <c r="T583" s="96">
        <v>0.8</v>
      </c>
      <c r="U583" s="92">
        <v>0.3</v>
      </c>
      <c r="V583" s="51"/>
      <c r="W583" s="236">
        <v>0.15</v>
      </c>
      <c r="X583" s="58"/>
      <c r="Y583" s="312"/>
      <c r="Z583" s="312"/>
      <c r="AA583" s="312"/>
      <c r="AB583" s="59"/>
      <c r="AC583" s="28"/>
    </row>
    <row r="584" spans="1:30" hidden="1" outlineLevel="1" x14ac:dyDescent="0.35">
      <c r="F584" s="72"/>
      <c r="G584" s="58"/>
      <c r="H584" s="58"/>
      <c r="I584" s="58"/>
      <c r="J584" s="58"/>
      <c r="K584" s="58"/>
      <c r="L584" s="58"/>
      <c r="M584" s="262" t="str">
        <f>$L$499</f>
        <v>F</v>
      </c>
      <c r="N584" s="28" t="str">
        <f>$M$499</f>
        <v>Others</v>
      </c>
      <c r="O584" s="101">
        <f>O583+((P583-O583)*W583)+1</f>
        <v>46497.182894736841</v>
      </c>
      <c r="P584" s="108">
        <f>O584+(((P574*OTHER_TL_PERCENT)/OTHER_TL_COUNT)*7)</f>
        <v>46575.582894736843</v>
      </c>
      <c r="Q584" s="109"/>
      <c r="R584" s="205">
        <v>0.3</v>
      </c>
      <c r="S584" s="110">
        <v>1</v>
      </c>
      <c r="T584" s="109"/>
      <c r="U584" s="109"/>
      <c r="V584" s="111"/>
      <c r="W584" s="234"/>
      <c r="X584" s="58"/>
      <c r="Y584" s="58"/>
      <c r="Z584" s="58"/>
      <c r="AA584" s="58"/>
      <c r="AB584" s="59"/>
      <c r="AC584" s="28"/>
    </row>
    <row r="585" spans="1:30" ht="15.5" hidden="1" outlineLevel="1" x14ac:dyDescent="0.35">
      <c r="F585" s="72"/>
      <c r="G585" s="58">
        <v>1</v>
      </c>
      <c r="H585" s="58"/>
      <c r="I585" s="58"/>
      <c r="J585" s="58"/>
      <c r="K585" s="58"/>
      <c r="L585" s="25"/>
      <c r="M585" s="262"/>
      <c r="N585" s="25"/>
      <c r="O585" s="105" t="s">
        <v>118</v>
      </c>
      <c r="P585" s="114">
        <f>NETWORKDAYS(START_DATE,AUTOMATED_END_DATE)/5</f>
        <v>35.6</v>
      </c>
      <c r="Q585" s="113" t="s">
        <v>94</v>
      </c>
      <c r="R585" s="112"/>
      <c r="S585" s="107" t="s">
        <v>117</v>
      </c>
      <c r="T585" s="346">
        <f>AUTOMATED_END_DATE</f>
        <v>46575.582894736843</v>
      </c>
      <c r="U585" s="346"/>
      <c r="V585" s="235"/>
      <c r="W585" s="235"/>
      <c r="X585" s="235"/>
      <c r="Y585" s="25"/>
      <c r="Z585" s="25"/>
      <c r="AA585" s="25"/>
      <c r="AB585" s="28"/>
      <c r="AC585" s="28"/>
    </row>
    <row r="586" spans="1:30" ht="15.5" hidden="1" outlineLevel="1" x14ac:dyDescent="0.35">
      <c r="F586" s="72"/>
      <c r="G586" s="58">
        <v>2</v>
      </c>
      <c r="H586" s="58"/>
      <c r="I586" s="58"/>
      <c r="J586" s="58"/>
      <c r="K586" s="58"/>
      <c r="L586" s="25"/>
      <c r="M586" s="262"/>
      <c r="N586" s="25"/>
      <c r="O586" s="105" t="s">
        <v>119</v>
      </c>
      <c r="P586" s="114">
        <f>NETWORKDAYS(START_DATE,MANUAL_END_DATE)/5</f>
        <v>35</v>
      </c>
      <c r="Q586" s="113" t="s">
        <v>94</v>
      </c>
      <c r="R586" s="106"/>
      <c r="S586" s="107" t="s">
        <v>117</v>
      </c>
      <c r="T586" s="346">
        <f>MANUAL_END_DATE</f>
        <v>46570</v>
      </c>
      <c r="U586" s="346"/>
      <c r="V586" s="235"/>
      <c r="W586" s="235"/>
      <c r="X586" s="235"/>
      <c r="Y586" s="25"/>
      <c r="Z586" s="25"/>
      <c r="AA586" s="25"/>
      <c r="AB586" s="28"/>
      <c r="AC586" s="28"/>
    </row>
    <row r="587" spans="1:30" ht="15" hidden="1" customHeight="1" outlineLevel="1" x14ac:dyDescent="0.35">
      <c r="F587" s="72"/>
      <c r="G587" s="58"/>
      <c r="H587" s="58"/>
      <c r="I587" s="58"/>
      <c r="J587" s="58"/>
      <c r="K587" s="58"/>
      <c r="L587" s="25"/>
      <c r="M587" s="262"/>
      <c r="N587" s="25"/>
      <c r="O587" s="103"/>
      <c r="P587" s="61"/>
      <c r="Q587" s="104"/>
      <c r="R587" s="25"/>
      <c r="S587" s="25"/>
      <c r="T587" s="25"/>
      <c r="U587" s="25"/>
      <c r="V587" s="25"/>
      <c r="W587" s="25"/>
      <c r="X587" s="25"/>
      <c r="Y587" s="25"/>
      <c r="Z587" s="25"/>
      <c r="AA587" s="25"/>
      <c r="AB587" s="28"/>
      <c r="AC587" s="28"/>
    </row>
    <row r="588" spans="1:30" hidden="1" outlineLevel="1" x14ac:dyDescent="0.35">
      <c r="F588" s="72"/>
      <c r="G588" s="58">
        <v>3</v>
      </c>
      <c r="H588" s="58"/>
      <c r="I588" s="58"/>
      <c r="J588" s="58"/>
      <c r="K588" s="58"/>
      <c r="L588" s="25"/>
      <c r="M588" s="262"/>
      <c r="N588" s="28"/>
      <c r="O588" s="28"/>
      <c r="P588" s="25"/>
      <c r="Q588" s="25"/>
      <c r="R588" s="25"/>
      <c r="S588" s="69" t="s">
        <v>115</v>
      </c>
      <c r="T588" s="70" t="s">
        <v>92</v>
      </c>
      <c r="U588" s="25"/>
      <c r="V588" s="25"/>
      <c r="W588" s="25"/>
      <c r="X588" s="25"/>
      <c r="Y588" s="25"/>
      <c r="Z588" s="25"/>
      <c r="AA588" s="25"/>
      <c r="AB588" s="28"/>
      <c r="AC588" s="28"/>
    </row>
    <row r="589" spans="1:30" hidden="1" outlineLevel="1" x14ac:dyDescent="0.35">
      <c r="F589" s="72"/>
      <c r="G589" s="58"/>
      <c r="H589" s="58"/>
      <c r="I589" s="58"/>
      <c r="J589" s="58"/>
      <c r="K589" s="58"/>
      <c r="L589" s="25"/>
      <c r="M589" s="262"/>
      <c r="N589" s="28"/>
      <c r="O589" s="28"/>
      <c r="P589" s="25"/>
      <c r="Q589" s="25"/>
      <c r="R589" s="25"/>
      <c r="S589" s="25"/>
      <c r="T589" s="25"/>
      <c r="U589" s="25"/>
      <c r="V589" s="25"/>
      <c r="W589" s="25"/>
      <c r="X589" s="25"/>
      <c r="Y589" s="25"/>
      <c r="Z589" s="25"/>
      <c r="AA589" s="25"/>
      <c r="AB589" s="28"/>
      <c r="AC589" s="28"/>
    </row>
    <row r="590" spans="1:30" s="9" customFormat="1" ht="20.25" hidden="1" customHeight="1" outlineLevel="1" x14ac:dyDescent="0.35">
      <c r="A590" s="86"/>
      <c r="C590" s="72"/>
      <c r="D590" s="72"/>
      <c r="E590" s="72"/>
      <c r="F590" s="72"/>
      <c r="G590" s="40"/>
      <c r="H590" s="40"/>
      <c r="I590" s="40"/>
      <c r="J590" s="40"/>
      <c r="K590" s="40"/>
      <c r="L590" s="40"/>
      <c r="M590" s="258"/>
      <c r="N590" s="40"/>
      <c r="O590" s="40"/>
      <c r="P590" s="40"/>
      <c r="Q590" s="40"/>
      <c r="R590" s="40"/>
      <c r="S590" s="40"/>
      <c r="T590" s="40"/>
      <c r="U590" s="40"/>
      <c r="V590" s="40"/>
      <c r="W590" s="40"/>
      <c r="X590" s="40"/>
      <c r="Y590" s="40"/>
      <c r="Z590" s="40"/>
      <c r="AA590" s="40"/>
      <c r="AB590" s="40"/>
      <c r="AC590" s="40"/>
      <c r="AD590" s="10"/>
    </row>
    <row r="591" spans="1:30" s="9" customFormat="1" x14ac:dyDescent="0.35">
      <c r="A591" s="86"/>
      <c r="C591" s="74"/>
      <c r="D591" s="74"/>
      <c r="E591" s="74"/>
      <c r="F591" s="72"/>
      <c r="M591" s="252"/>
      <c r="N591" s="10"/>
      <c r="O591" s="10"/>
      <c r="AB591" s="10"/>
      <c r="AC591" s="10"/>
      <c r="AD591" s="10"/>
    </row>
    <row r="592" spans="1:30" s="9" customFormat="1" ht="20.25" customHeight="1" collapsed="1" x14ac:dyDescent="0.35">
      <c r="A592" s="86"/>
      <c r="C592" s="72"/>
      <c r="D592" s="72"/>
      <c r="E592" s="72"/>
      <c r="F592" s="72"/>
      <c r="G592" s="334" t="s">
        <v>48</v>
      </c>
      <c r="H592" s="334"/>
      <c r="I592" s="165"/>
      <c r="J592" s="40"/>
      <c r="K592" s="40"/>
      <c r="L592" s="36"/>
      <c r="M592" s="265" t="s">
        <v>185</v>
      </c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  <c r="AA592" s="36"/>
      <c r="AB592" s="200" t="str">
        <f>TEMPLATE_NAME&amp;" "&amp;TEMPLATE_VER</f>
        <v>AG Estimation Template -  Version 2.0.4</v>
      </c>
      <c r="AC592" s="36"/>
      <c r="AD592" s="10"/>
    </row>
    <row r="593" spans="1:30" s="9" customFormat="1" hidden="1" outlineLevel="1" x14ac:dyDescent="0.35">
      <c r="A593" s="86"/>
      <c r="C593" s="74"/>
      <c r="D593" s="74"/>
      <c r="E593" s="74"/>
      <c r="F593" s="72"/>
      <c r="G593" s="25"/>
      <c r="H593" s="25"/>
      <c r="I593" s="25"/>
      <c r="J593" s="25"/>
      <c r="K593" s="25"/>
      <c r="L593" s="25"/>
      <c r="M593" s="262"/>
      <c r="N593" s="28"/>
      <c r="O593" s="28"/>
      <c r="P593" s="25"/>
      <c r="Q593" s="25"/>
      <c r="R593" s="25"/>
      <c r="S593" s="25"/>
      <c r="T593" s="25"/>
      <c r="U593" s="25"/>
      <c r="V593" s="25"/>
      <c r="W593" s="25"/>
      <c r="X593" s="25"/>
      <c r="Y593" s="25"/>
      <c r="Z593" s="25"/>
      <c r="AA593" s="25"/>
      <c r="AB593" s="28"/>
      <c r="AC593" s="28"/>
      <c r="AD593" s="10"/>
    </row>
    <row r="594" spans="1:30" s="9" customFormat="1" ht="15" hidden="1" customHeight="1" outlineLevel="1" x14ac:dyDescent="0.35">
      <c r="A594" s="86"/>
      <c r="C594" s="74"/>
      <c r="D594" s="74"/>
      <c r="E594" s="74"/>
      <c r="F594" s="72"/>
      <c r="G594" s="25"/>
      <c r="H594" s="25"/>
      <c r="I594" s="25"/>
      <c r="J594" s="25"/>
      <c r="K594" s="25"/>
      <c r="L594" s="25"/>
      <c r="M594" s="262"/>
      <c r="N594" s="132" t="s">
        <v>130</v>
      </c>
      <c r="O594" s="28"/>
      <c r="P594" s="25"/>
      <c r="Q594" s="25"/>
      <c r="R594" s="25"/>
      <c r="S594" s="25"/>
      <c r="T594" s="25"/>
      <c r="U594" s="25"/>
      <c r="V594" s="25"/>
      <c r="W594" s="25"/>
      <c r="X594" s="25"/>
      <c r="Y594" s="25"/>
      <c r="Z594" s="25"/>
      <c r="AA594" s="25"/>
      <c r="AB594" s="28"/>
      <c r="AC594" s="28"/>
      <c r="AD594" s="10"/>
    </row>
    <row r="595" spans="1:30" s="9" customFormat="1" ht="14.25" hidden="1" customHeight="1" outlineLevel="1" x14ac:dyDescent="0.35">
      <c r="A595" s="86"/>
      <c r="C595" s="72"/>
      <c r="D595" s="72"/>
      <c r="E595" s="72"/>
      <c r="F595" s="72"/>
      <c r="G595" s="25"/>
      <c r="H595" s="25"/>
      <c r="I595" s="25"/>
      <c r="J595" s="25"/>
      <c r="K595" s="25"/>
      <c r="L595" s="25"/>
      <c r="M595" s="262"/>
      <c r="N595" s="146" t="s">
        <v>5</v>
      </c>
      <c r="O595" s="145" t="s">
        <v>1166</v>
      </c>
      <c r="P595" s="172"/>
      <c r="Q595" s="172"/>
      <c r="R595" s="145"/>
      <c r="S595" s="172"/>
      <c r="T595" s="172"/>
      <c r="U595" s="172"/>
      <c r="V595" s="172"/>
      <c r="W595" s="172"/>
      <c r="X595" s="25"/>
      <c r="Y595" s="25"/>
      <c r="Z595" s="25"/>
      <c r="AA595" s="25"/>
      <c r="AB595" s="25"/>
      <c r="AC595" s="28"/>
      <c r="AD595" s="10"/>
    </row>
    <row r="596" spans="1:30" s="9" customFormat="1" ht="14.25" hidden="1" customHeight="1" outlineLevel="1" x14ac:dyDescent="0.35">
      <c r="A596" s="86"/>
      <c r="C596" s="72"/>
      <c r="D596" s="72"/>
      <c r="E596" s="72"/>
      <c r="F596" s="72"/>
      <c r="G596" s="25"/>
      <c r="H596" s="25"/>
      <c r="I596" s="25"/>
      <c r="J596" s="25"/>
      <c r="K596" s="25"/>
      <c r="L596" s="25"/>
      <c r="M596" s="262"/>
      <c r="N596" s="146" t="s">
        <v>30</v>
      </c>
      <c r="O596" s="145" t="s">
        <v>762</v>
      </c>
      <c r="P596" s="172"/>
      <c r="Q596" s="172"/>
      <c r="R596" s="172"/>
      <c r="S596" s="172"/>
      <c r="T596" s="172"/>
      <c r="U596" s="172"/>
      <c r="V596" s="172"/>
      <c r="W596" s="172"/>
      <c r="X596" s="25"/>
      <c r="Y596" s="25"/>
      <c r="Z596" s="25"/>
      <c r="AA596" s="25"/>
      <c r="AB596" s="25"/>
      <c r="AC596" s="28"/>
      <c r="AD596" s="10"/>
    </row>
    <row r="597" spans="1:30" s="9" customFormat="1" ht="14.25" hidden="1" customHeight="1" outlineLevel="1" x14ac:dyDescent="0.35">
      <c r="A597" s="86"/>
      <c r="C597" s="72"/>
      <c r="D597" s="72"/>
      <c r="E597" s="72"/>
      <c r="F597" s="72"/>
      <c r="G597" s="25"/>
      <c r="H597" s="25"/>
      <c r="I597" s="25"/>
      <c r="J597" s="25"/>
      <c r="K597" s="25"/>
      <c r="L597" s="25"/>
      <c r="M597" s="262"/>
      <c r="N597" s="146" t="s">
        <v>36</v>
      </c>
      <c r="O597" s="145" t="s">
        <v>41</v>
      </c>
      <c r="P597" s="172"/>
      <c r="Q597" s="172"/>
      <c r="R597" s="172"/>
      <c r="S597" s="130"/>
      <c r="T597" s="130"/>
      <c r="U597" s="130"/>
      <c r="V597" s="172"/>
      <c r="W597" s="172"/>
      <c r="X597" s="25"/>
      <c r="Y597" s="25"/>
      <c r="Z597" s="25"/>
      <c r="AA597" s="25"/>
      <c r="AB597" s="25"/>
      <c r="AC597" s="28"/>
      <c r="AD597" s="10"/>
    </row>
    <row r="598" spans="1:30" s="9" customFormat="1" ht="14.25" hidden="1" customHeight="1" outlineLevel="1" x14ac:dyDescent="0.35">
      <c r="A598" s="86"/>
      <c r="C598" s="72"/>
      <c r="D598" s="72"/>
      <c r="E598" s="72"/>
      <c r="F598" s="72"/>
      <c r="G598" s="25"/>
      <c r="H598" s="25"/>
      <c r="I598" s="25"/>
      <c r="J598" s="25"/>
      <c r="K598" s="25"/>
      <c r="L598" s="25"/>
      <c r="M598" s="262"/>
      <c r="N598" s="146" t="s">
        <v>31</v>
      </c>
      <c r="O598" s="145" t="s">
        <v>32</v>
      </c>
      <c r="P598" s="172"/>
      <c r="Q598" s="172"/>
      <c r="R598" s="172"/>
      <c r="S598" s="130"/>
      <c r="T598" s="130"/>
      <c r="U598" s="130"/>
      <c r="V598" s="172"/>
      <c r="W598" s="172"/>
      <c r="X598" s="25"/>
      <c r="Y598" s="25"/>
      <c r="Z598" s="25"/>
      <c r="AA598" s="25"/>
      <c r="AB598" s="25"/>
      <c r="AC598" s="28"/>
      <c r="AD598" s="10"/>
    </row>
    <row r="599" spans="1:30" s="9" customFormat="1" ht="14.25" hidden="1" customHeight="1" outlineLevel="1" x14ac:dyDescent="0.35">
      <c r="A599" s="86"/>
      <c r="C599" s="72"/>
      <c r="D599" s="72"/>
      <c r="E599" s="72"/>
      <c r="F599" s="72"/>
      <c r="G599" s="25"/>
      <c r="H599" s="25"/>
      <c r="I599" s="25"/>
      <c r="J599" s="25"/>
      <c r="K599" s="25"/>
      <c r="L599" s="25"/>
      <c r="M599" s="262"/>
      <c r="N599" s="146" t="s">
        <v>56</v>
      </c>
      <c r="O599" s="145" t="s">
        <v>969</v>
      </c>
      <c r="P599" s="172"/>
      <c r="Q599" s="172"/>
      <c r="R599" s="172"/>
      <c r="S599" s="130"/>
      <c r="T599" s="130"/>
      <c r="U599" s="130"/>
      <c r="V599" s="172"/>
      <c r="W599" s="172"/>
      <c r="X599" s="25"/>
      <c r="Y599" s="25"/>
      <c r="Z599" s="25"/>
      <c r="AA599" s="25"/>
      <c r="AB599" s="25"/>
      <c r="AC599" s="28"/>
      <c r="AD599" s="10"/>
    </row>
    <row r="600" spans="1:30" s="9" customFormat="1" ht="14.25" hidden="1" customHeight="1" outlineLevel="1" x14ac:dyDescent="0.35">
      <c r="A600" s="86"/>
      <c r="C600" s="72"/>
      <c r="D600" s="72"/>
      <c r="E600" s="72"/>
      <c r="F600" s="72"/>
      <c r="G600" s="25"/>
      <c r="H600" s="25"/>
      <c r="I600" s="25"/>
      <c r="J600" s="25"/>
      <c r="K600" s="25"/>
      <c r="L600" s="25"/>
      <c r="M600" s="262"/>
      <c r="N600" s="146" t="s">
        <v>67</v>
      </c>
      <c r="O600" s="145" t="s">
        <v>23</v>
      </c>
      <c r="P600" s="172"/>
      <c r="Q600" s="172"/>
      <c r="R600" s="145"/>
      <c r="S600" s="130"/>
      <c r="T600" s="130"/>
      <c r="U600" s="130"/>
      <c r="V600" s="172"/>
      <c r="W600" s="172"/>
      <c r="X600" s="25"/>
      <c r="Y600" s="25"/>
      <c r="Z600" s="25"/>
      <c r="AA600" s="25"/>
      <c r="AB600" s="25"/>
      <c r="AC600" s="28"/>
      <c r="AD600" s="10"/>
    </row>
    <row r="601" spans="1:30" s="9" customFormat="1" ht="14.25" hidden="1" customHeight="1" outlineLevel="1" x14ac:dyDescent="0.35">
      <c r="A601" s="86"/>
      <c r="C601" s="72"/>
      <c r="D601" s="72"/>
      <c r="E601" s="72"/>
      <c r="F601" s="72"/>
      <c r="G601" s="25"/>
      <c r="H601" s="25"/>
      <c r="I601" s="25"/>
      <c r="J601" s="25"/>
      <c r="K601" s="25"/>
      <c r="L601" s="25"/>
      <c r="M601" s="262"/>
      <c r="N601" s="146" t="s">
        <v>4</v>
      </c>
      <c r="O601" s="145" t="s">
        <v>18</v>
      </c>
      <c r="P601" s="172"/>
      <c r="Q601" s="172"/>
      <c r="R601" s="172"/>
      <c r="S601" s="130"/>
      <c r="T601" s="130"/>
      <c r="U601" s="130"/>
      <c r="V601" s="172"/>
      <c r="W601" s="172"/>
      <c r="X601" s="25"/>
      <c r="Y601" s="25"/>
      <c r="Z601" s="25"/>
      <c r="AA601" s="25"/>
      <c r="AB601" s="25"/>
      <c r="AC601" s="28"/>
      <c r="AD601" s="10"/>
    </row>
    <row r="602" spans="1:30" s="9" customFormat="1" ht="14.25" hidden="1" customHeight="1" outlineLevel="1" x14ac:dyDescent="0.35">
      <c r="A602" s="86"/>
      <c r="C602" s="72"/>
      <c r="D602" s="72"/>
      <c r="E602" s="72"/>
      <c r="F602" s="72"/>
      <c r="G602" s="25"/>
      <c r="H602" s="25"/>
      <c r="I602" s="25"/>
      <c r="J602" s="25"/>
      <c r="K602" s="25"/>
      <c r="L602" s="25"/>
      <c r="M602" s="262"/>
      <c r="N602" s="146" t="s">
        <v>26</v>
      </c>
      <c r="O602" s="145" t="s">
        <v>25</v>
      </c>
      <c r="P602" s="172"/>
      <c r="Q602" s="172"/>
      <c r="R602" s="172"/>
      <c r="S602" s="130"/>
      <c r="T602" s="130"/>
      <c r="U602" s="130"/>
      <c r="V602" s="172"/>
      <c r="W602" s="172"/>
      <c r="X602" s="25"/>
      <c r="Y602" s="25"/>
      <c r="Z602" s="25"/>
      <c r="AA602" s="25"/>
      <c r="AB602" s="25"/>
      <c r="AC602" s="28"/>
      <c r="AD602" s="10"/>
    </row>
    <row r="603" spans="1:30" s="9" customFormat="1" ht="14.25" hidden="1" customHeight="1" outlineLevel="1" x14ac:dyDescent="0.35">
      <c r="A603" s="86"/>
      <c r="C603" s="72"/>
      <c r="D603" s="72"/>
      <c r="E603" s="72"/>
      <c r="F603" s="72"/>
      <c r="G603" s="25"/>
      <c r="H603" s="25"/>
      <c r="I603" s="25"/>
      <c r="J603" s="25"/>
      <c r="K603" s="25"/>
      <c r="L603" s="25"/>
      <c r="M603" s="262"/>
      <c r="N603" s="146"/>
      <c r="O603" s="25"/>
      <c r="P603" s="25"/>
      <c r="Q603" s="25"/>
      <c r="R603" s="25"/>
      <c r="S603" s="129"/>
      <c r="T603" s="129"/>
      <c r="U603" s="129"/>
      <c r="V603" s="129"/>
      <c r="W603" s="129"/>
      <c r="X603" s="25"/>
      <c r="Y603" s="25"/>
      <c r="Z603" s="25"/>
      <c r="AA603" s="25"/>
      <c r="AB603" s="129"/>
      <c r="AC603" s="28"/>
      <c r="AD603" s="10"/>
    </row>
    <row r="604" spans="1:30" s="9" customFormat="1" ht="15" hidden="1" customHeight="1" outlineLevel="1" x14ac:dyDescent="0.35">
      <c r="A604" s="86"/>
      <c r="C604" s="74"/>
      <c r="D604" s="74"/>
      <c r="E604" s="74"/>
      <c r="F604" s="72"/>
      <c r="G604" s="25"/>
      <c r="H604" s="25"/>
      <c r="I604" s="25"/>
      <c r="J604" s="25"/>
      <c r="K604" s="25"/>
      <c r="L604" s="25"/>
      <c r="M604" s="262"/>
      <c r="N604" s="344" t="str">
        <f>"Total effort is "&amp;TEXT(TOTAL_EFFORT,"##,##,###")&amp;" PDs. How much up or down it can safely be without being way off?"</f>
        <v>Total effort is 977 PDs. How much up or down it can safely be without being way off?</v>
      </c>
      <c r="O604" s="132" t="s">
        <v>128</v>
      </c>
      <c r="P604" s="132" t="s">
        <v>129</v>
      </c>
      <c r="Q604" s="25"/>
      <c r="R604" s="25"/>
      <c r="S604" s="129"/>
      <c r="T604" s="129"/>
      <c r="U604" s="129"/>
      <c r="V604" s="129"/>
      <c r="W604" s="129"/>
      <c r="X604" s="25"/>
      <c r="Y604" s="25"/>
      <c r="Z604" s="25"/>
      <c r="AA604" s="25"/>
      <c r="AB604" s="28"/>
      <c r="AC604" s="28"/>
      <c r="AD604" s="10"/>
    </row>
    <row r="605" spans="1:30" s="9" customFormat="1" ht="15" hidden="1" customHeight="1" outlineLevel="1" x14ac:dyDescent="0.35">
      <c r="A605" s="86"/>
      <c r="C605" s="74"/>
      <c r="D605" s="74"/>
      <c r="E605" s="74"/>
      <c r="F605" s="72"/>
      <c r="G605" s="25"/>
      <c r="H605" s="25"/>
      <c r="I605" s="25"/>
      <c r="J605" s="25"/>
      <c r="K605" s="25"/>
      <c r="L605" s="25"/>
      <c r="M605" s="262"/>
      <c r="N605" s="344"/>
      <c r="O605" s="141">
        <v>-0.2</v>
      </c>
      <c r="P605" s="142">
        <v>0.2</v>
      </c>
      <c r="Q605" s="25"/>
      <c r="R605" s="25"/>
      <c r="S605" s="129"/>
      <c r="T605" s="129"/>
      <c r="U605" s="129"/>
      <c r="V605" s="129"/>
      <c r="W605" s="129"/>
      <c r="X605" s="25"/>
      <c r="Y605" s="25"/>
      <c r="Z605" s="25"/>
      <c r="AA605" s="25"/>
      <c r="AB605" s="28"/>
      <c r="AC605" s="28"/>
      <c r="AD605" s="10"/>
    </row>
    <row r="606" spans="1:30" s="9" customFormat="1" hidden="1" outlineLevel="1" x14ac:dyDescent="0.35">
      <c r="A606" s="86"/>
      <c r="C606" s="74"/>
      <c r="D606" s="74"/>
      <c r="E606" s="74"/>
      <c r="F606" s="72"/>
      <c r="G606" s="25"/>
      <c r="H606" s="25"/>
      <c r="I606" s="25"/>
      <c r="J606" s="25"/>
      <c r="K606" s="25"/>
      <c r="L606" s="25"/>
      <c r="M606" s="262"/>
      <c r="N606" s="344"/>
      <c r="O606" s="28"/>
      <c r="P606" s="25"/>
      <c r="Q606" s="25"/>
      <c r="R606" s="25"/>
      <c r="S606" s="25"/>
      <c r="T606" s="25"/>
      <c r="U606" s="25"/>
      <c r="V606" s="25"/>
      <c r="W606" s="25"/>
      <c r="X606" s="25"/>
      <c r="Y606" s="25"/>
      <c r="Z606" s="25"/>
      <c r="AA606" s="25"/>
      <c r="AB606" s="28"/>
      <c r="AC606" s="28"/>
      <c r="AD606" s="10"/>
    </row>
    <row r="607" spans="1:30" s="9" customFormat="1" hidden="1" outlineLevel="1" x14ac:dyDescent="0.35">
      <c r="A607" s="86"/>
      <c r="C607" s="74"/>
      <c r="D607" s="74"/>
      <c r="E607" s="74"/>
      <c r="F607" s="72"/>
      <c r="G607" s="25"/>
      <c r="H607" s="25"/>
      <c r="I607" s="25"/>
      <c r="J607" s="25"/>
      <c r="K607" s="25"/>
      <c r="L607" s="25"/>
      <c r="M607" s="262"/>
      <c r="N607" s="149" t="s">
        <v>447</v>
      </c>
      <c r="O607" s="129"/>
      <c r="P607" s="150" t="s">
        <v>96</v>
      </c>
      <c r="Q607" s="25"/>
      <c r="R607" s="25"/>
      <c r="S607" s="25"/>
      <c r="T607" s="25"/>
      <c r="U607" s="25"/>
      <c r="V607" s="25"/>
      <c r="W607" s="25"/>
      <c r="X607" s="25"/>
      <c r="Y607" s="25"/>
      <c r="Z607" s="25"/>
      <c r="AA607" s="25"/>
      <c r="AB607" s="28"/>
      <c r="AC607" s="28"/>
      <c r="AD607" s="10"/>
    </row>
    <row r="608" spans="1:30" s="9" customFormat="1" hidden="1" outlineLevel="1" x14ac:dyDescent="0.35">
      <c r="A608" s="86"/>
      <c r="C608" s="74"/>
      <c r="D608" s="74"/>
      <c r="E608" s="74"/>
      <c r="F608" s="72"/>
      <c r="G608" s="25"/>
      <c r="H608" s="25"/>
      <c r="I608" s="25"/>
      <c r="J608" s="25"/>
      <c r="K608" s="25"/>
      <c r="L608" s="25"/>
      <c r="M608" s="262"/>
      <c r="N608" s="240" t="s">
        <v>156</v>
      </c>
      <c r="O608" s="25"/>
      <c r="P608" s="148" t="s">
        <v>78</v>
      </c>
      <c r="Q608" s="131" t="s">
        <v>190</v>
      </c>
      <c r="R608" s="25"/>
      <c r="S608" s="25"/>
      <c r="T608" s="25"/>
      <c r="U608" s="25"/>
      <c r="V608" s="25"/>
      <c r="W608" s="25"/>
      <c r="X608" s="25"/>
      <c r="Y608" s="25"/>
      <c r="Z608" s="25"/>
      <c r="AA608" s="25"/>
      <c r="AB608" s="25"/>
      <c r="AC608" s="28"/>
      <c r="AD608" s="10"/>
    </row>
    <row r="609" spans="1:30" s="9" customFormat="1" hidden="1" outlineLevel="1" x14ac:dyDescent="0.35">
      <c r="A609" s="86"/>
      <c r="C609" s="74"/>
      <c r="D609" s="74"/>
      <c r="E609" s="74"/>
      <c r="F609" s="72"/>
      <c r="G609" s="25"/>
      <c r="H609" s="25"/>
      <c r="I609" s="25"/>
      <c r="J609" s="25"/>
      <c r="K609" s="25"/>
      <c r="L609" s="25"/>
      <c r="M609" s="262"/>
      <c r="N609" s="240" t="s">
        <v>169</v>
      </c>
      <c r="O609" s="25"/>
      <c r="P609" s="148" t="s">
        <v>97</v>
      </c>
      <c r="Q609" s="131" t="s">
        <v>189</v>
      </c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8"/>
      <c r="AD609" s="10"/>
    </row>
    <row r="610" spans="1:30" s="9" customFormat="1" hidden="1" outlineLevel="1" x14ac:dyDescent="0.35">
      <c r="A610" s="86"/>
      <c r="C610" s="74"/>
      <c r="D610" s="74"/>
      <c r="E610" s="74"/>
      <c r="F610" s="72"/>
      <c r="G610" s="25"/>
      <c r="H610" s="25"/>
      <c r="I610" s="25"/>
      <c r="J610" s="25"/>
      <c r="K610" s="25"/>
      <c r="L610" s="25"/>
      <c r="M610" s="262"/>
      <c r="N610" s="240" t="s">
        <v>170</v>
      </c>
      <c r="O610" s="25"/>
      <c r="P610" s="25"/>
      <c r="Q610" s="25"/>
      <c r="R610" s="25"/>
      <c r="S610" s="25"/>
      <c r="T610" s="25"/>
      <c r="U610" s="148"/>
      <c r="V610" s="25"/>
      <c r="W610" s="25"/>
      <c r="X610" s="25"/>
      <c r="Y610" s="25"/>
      <c r="Z610" s="25"/>
      <c r="AA610" s="25"/>
      <c r="AB610" s="25"/>
      <c r="AC610" s="28"/>
      <c r="AD610" s="10"/>
    </row>
    <row r="611" spans="1:30" s="9" customFormat="1" ht="15" hidden="1" customHeight="1" outlineLevel="1" x14ac:dyDescent="0.35">
      <c r="A611" s="86"/>
      <c r="C611" s="74"/>
      <c r="D611" s="74"/>
      <c r="E611" s="74"/>
      <c r="F611" s="72"/>
      <c r="G611" s="25"/>
      <c r="H611" s="25"/>
      <c r="I611" s="25"/>
      <c r="J611" s="25"/>
      <c r="K611" s="25"/>
      <c r="L611" s="25"/>
      <c r="M611" s="262"/>
      <c r="N611" s="240" t="s">
        <v>171</v>
      </c>
      <c r="O611" s="25"/>
      <c r="P611" s="25"/>
      <c r="Q611" s="25"/>
      <c r="R611" s="25"/>
      <c r="S611" s="25"/>
      <c r="T611" s="25"/>
      <c r="U611" s="25"/>
      <c r="V611" s="25"/>
      <c r="W611" s="25"/>
      <c r="X611" s="25"/>
      <c r="Y611" s="25"/>
      <c r="Z611" s="25"/>
      <c r="AA611" s="25"/>
      <c r="AB611" s="25"/>
      <c r="AC611" s="28"/>
      <c r="AD611" s="10"/>
    </row>
    <row r="612" spans="1:30" s="9" customFormat="1" hidden="1" outlineLevel="1" x14ac:dyDescent="0.35">
      <c r="A612" s="86"/>
      <c r="C612" s="74"/>
      <c r="D612" s="74"/>
      <c r="E612" s="74"/>
      <c r="F612" s="72"/>
      <c r="G612" s="25"/>
      <c r="H612" s="25"/>
      <c r="I612" s="25"/>
      <c r="J612" s="25"/>
      <c r="K612" s="25"/>
      <c r="L612" s="25"/>
      <c r="M612" s="262"/>
      <c r="N612" s="240" t="s">
        <v>172</v>
      </c>
      <c r="O612" s="25"/>
      <c r="P612" s="25"/>
      <c r="Q612" s="25"/>
      <c r="R612" s="25"/>
      <c r="S612" s="25"/>
      <c r="T612" s="25"/>
      <c r="U612" s="25"/>
      <c r="V612" s="25"/>
      <c r="W612" s="25"/>
      <c r="X612" s="25"/>
      <c r="Y612" s="25"/>
      <c r="Z612" s="25"/>
      <c r="AA612" s="25"/>
      <c r="AB612" s="25"/>
      <c r="AC612" s="28"/>
      <c r="AD612" s="10"/>
    </row>
    <row r="613" spans="1:30" s="9" customFormat="1" hidden="1" outlineLevel="1" x14ac:dyDescent="0.35">
      <c r="A613" s="86"/>
      <c r="C613" s="74"/>
      <c r="D613" s="74"/>
      <c r="E613" s="74"/>
      <c r="F613" s="72"/>
      <c r="G613" s="25"/>
      <c r="H613" s="25"/>
      <c r="I613" s="25"/>
      <c r="J613" s="25"/>
      <c r="K613" s="25"/>
      <c r="L613" s="25"/>
      <c r="M613" s="262"/>
      <c r="N613" s="240" t="s">
        <v>173</v>
      </c>
      <c r="O613" s="25"/>
      <c r="P613" s="25"/>
      <c r="Q613" s="25"/>
      <c r="R613" s="25"/>
      <c r="S613" s="25"/>
      <c r="T613" s="25"/>
      <c r="U613" s="25"/>
      <c r="V613" s="25"/>
      <c r="W613" s="25"/>
      <c r="X613" s="25"/>
      <c r="Y613" s="25"/>
      <c r="Z613" s="25"/>
      <c r="AA613" s="25"/>
      <c r="AB613" s="25"/>
      <c r="AC613" s="28"/>
      <c r="AD613" s="10"/>
    </row>
    <row r="614" spans="1:30" s="9" customFormat="1" hidden="1" outlineLevel="1" x14ac:dyDescent="0.35">
      <c r="A614" s="86"/>
      <c r="C614" s="74"/>
      <c r="D614" s="74"/>
      <c r="E614" s="74"/>
      <c r="F614" s="72"/>
      <c r="G614" s="25"/>
      <c r="H614" s="25"/>
      <c r="I614" s="25"/>
      <c r="J614" s="25"/>
      <c r="K614" s="25"/>
      <c r="L614" s="25"/>
      <c r="M614" s="262"/>
      <c r="N614" s="240" t="s">
        <v>174</v>
      </c>
      <c r="O614" s="25"/>
      <c r="P614" s="25"/>
      <c r="Q614" s="25"/>
      <c r="R614" s="25"/>
      <c r="S614" s="25"/>
      <c r="T614" s="25"/>
      <c r="U614" s="25"/>
      <c r="V614" s="25"/>
      <c r="W614" s="25"/>
      <c r="X614" s="25"/>
      <c r="Y614" s="25"/>
      <c r="Z614" s="25"/>
      <c r="AA614" s="25"/>
      <c r="AB614" s="25"/>
      <c r="AC614" s="28"/>
      <c r="AD614" s="10"/>
    </row>
    <row r="615" spans="1:30" s="9" customFormat="1" hidden="1" outlineLevel="1" x14ac:dyDescent="0.35">
      <c r="A615" s="86"/>
      <c r="C615" s="74"/>
      <c r="D615" s="74"/>
      <c r="E615" s="74"/>
      <c r="F615" s="72"/>
      <c r="G615" s="25"/>
      <c r="H615" s="25"/>
      <c r="I615" s="25"/>
      <c r="J615" s="25"/>
      <c r="K615" s="25"/>
      <c r="L615" s="25"/>
      <c r="M615" s="262"/>
      <c r="N615" s="240" t="s">
        <v>155</v>
      </c>
      <c r="O615" s="28"/>
      <c r="P615" s="131"/>
      <c r="Q615" s="25"/>
      <c r="R615" s="25"/>
      <c r="S615" s="25"/>
      <c r="T615" s="25"/>
      <c r="U615" s="25"/>
      <c r="V615" s="25"/>
      <c r="W615" s="25"/>
      <c r="X615" s="25"/>
      <c r="Y615" s="25"/>
      <c r="Z615" s="25"/>
      <c r="AA615" s="25"/>
      <c r="AB615" s="25"/>
      <c r="AC615" s="28"/>
      <c r="AD615" s="10"/>
    </row>
    <row r="616" spans="1:30" s="9" customFormat="1" hidden="1" outlineLevel="1" x14ac:dyDescent="0.35">
      <c r="A616" s="86"/>
      <c r="C616" s="74"/>
      <c r="D616" s="74"/>
      <c r="E616" s="74"/>
      <c r="F616" s="72"/>
      <c r="G616" s="25"/>
      <c r="H616" s="25"/>
      <c r="I616" s="25"/>
      <c r="J616" s="25"/>
      <c r="K616" s="25"/>
      <c r="L616" s="25"/>
      <c r="M616" s="262"/>
      <c r="N616" s="240" t="s">
        <v>158</v>
      </c>
      <c r="O616" s="28"/>
      <c r="P616" s="25"/>
      <c r="Q616" s="25"/>
      <c r="R616" s="25"/>
      <c r="S616" s="25"/>
      <c r="T616" s="25"/>
      <c r="U616" s="25"/>
      <c r="V616" s="25"/>
      <c r="W616" s="25"/>
      <c r="X616" s="25"/>
      <c r="Y616" s="25"/>
      <c r="Z616" s="25"/>
      <c r="AA616" s="25"/>
      <c r="AB616" s="25"/>
      <c r="AC616" s="28"/>
      <c r="AD616" s="10"/>
    </row>
    <row r="617" spans="1:30" s="9" customFormat="1" hidden="1" outlineLevel="1" x14ac:dyDescent="0.35">
      <c r="A617" s="86"/>
      <c r="C617" s="74"/>
      <c r="D617" s="74"/>
      <c r="E617" s="74"/>
      <c r="F617" s="72"/>
      <c r="G617" s="25"/>
      <c r="H617" s="25"/>
      <c r="I617" s="25"/>
      <c r="J617" s="25"/>
      <c r="K617" s="25"/>
      <c r="L617" s="25"/>
      <c r="M617" s="262"/>
      <c r="N617" s="240" t="s">
        <v>160</v>
      </c>
      <c r="O617" s="28"/>
      <c r="P617" s="25"/>
      <c r="Q617" s="25"/>
      <c r="R617" s="25"/>
      <c r="S617" s="25"/>
      <c r="T617" s="25"/>
      <c r="U617" s="25"/>
      <c r="V617" s="25"/>
      <c r="W617" s="25"/>
      <c r="X617" s="25"/>
      <c r="Y617" s="25"/>
      <c r="Z617" s="25"/>
      <c r="AA617" s="25"/>
      <c r="AB617" s="25"/>
      <c r="AC617" s="28"/>
      <c r="AD617" s="10"/>
    </row>
    <row r="618" spans="1:30" s="9" customFormat="1" hidden="1" outlineLevel="1" x14ac:dyDescent="0.35">
      <c r="A618" s="86"/>
      <c r="C618" s="74"/>
      <c r="D618" s="74"/>
      <c r="E618" s="74"/>
      <c r="F618" s="72"/>
      <c r="G618" s="25"/>
      <c r="H618" s="25"/>
      <c r="I618" s="25"/>
      <c r="J618" s="25"/>
      <c r="K618" s="25"/>
      <c r="L618" s="25"/>
      <c r="M618" s="262"/>
      <c r="N618" s="240" t="s">
        <v>159</v>
      </c>
      <c r="O618" s="28"/>
      <c r="P618" s="25"/>
      <c r="Q618" s="25"/>
      <c r="R618" s="25"/>
      <c r="S618" s="25"/>
      <c r="T618" s="25"/>
      <c r="U618" s="25"/>
      <c r="V618" s="25"/>
      <c r="W618" s="25"/>
      <c r="X618" s="25"/>
      <c r="Y618" s="25"/>
      <c r="Z618" s="25"/>
      <c r="AA618" s="25"/>
      <c r="AB618" s="25"/>
      <c r="AC618" s="28"/>
      <c r="AD618" s="10"/>
    </row>
    <row r="619" spans="1:30" s="9" customFormat="1" hidden="1" outlineLevel="1" x14ac:dyDescent="0.35">
      <c r="A619" s="86"/>
      <c r="C619" s="74"/>
      <c r="D619" s="74"/>
      <c r="E619" s="74"/>
      <c r="F619" s="72"/>
      <c r="G619" s="25"/>
      <c r="H619" s="25"/>
      <c r="I619" s="25"/>
      <c r="J619" s="25"/>
      <c r="K619" s="25"/>
      <c r="L619" s="25"/>
      <c r="M619" s="262"/>
      <c r="N619" s="240" t="s">
        <v>161</v>
      </c>
      <c r="O619" s="28"/>
      <c r="P619" s="25"/>
      <c r="Q619" s="25"/>
      <c r="R619" s="25"/>
      <c r="S619" s="25"/>
      <c r="T619" s="25"/>
      <c r="U619" s="25"/>
      <c r="V619" s="25"/>
      <c r="W619" s="25"/>
      <c r="X619" s="25"/>
      <c r="Y619" s="25"/>
      <c r="Z619" s="25"/>
      <c r="AA619" s="25"/>
      <c r="AB619" s="25"/>
      <c r="AC619" s="28"/>
      <c r="AD619" s="10"/>
    </row>
    <row r="620" spans="1:30" s="9" customFormat="1" hidden="1" outlineLevel="1" x14ac:dyDescent="0.35">
      <c r="A620" s="86"/>
      <c r="C620" s="74"/>
      <c r="D620" s="74"/>
      <c r="E620" s="74"/>
      <c r="F620" s="72"/>
      <c r="G620" s="25"/>
      <c r="H620" s="25"/>
      <c r="I620" s="25"/>
      <c r="J620" s="25"/>
      <c r="K620" s="25"/>
      <c r="L620" s="25"/>
      <c r="M620" s="262"/>
      <c r="N620" s="240" t="s">
        <v>162</v>
      </c>
      <c r="O620" s="28"/>
      <c r="P620" s="25"/>
      <c r="Q620" s="25"/>
      <c r="R620" s="25"/>
      <c r="S620" s="25"/>
      <c r="T620" s="25"/>
      <c r="U620" s="25"/>
      <c r="V620" s="25"/>
      <c r="W620" s="25"/>
      <c r="X620" s="25"/>
      <c r="Y620" s="25"/>
      <c r="Z620" s="25"/>
      <c r="AA620" s="25"/>
      <c r="AB620" s="25"/>
      <c r="AC620" s="28"/>
      <c r="AD620" s="10"/>
    </row>
    <row r="621" spans="1:30" s="9" customFormat="1" hidden="1" outlineLevel="1" x14ac:dyDescent="0.35">
      <c r="A621" s="86"/>
      <c r="C621" s="74"/>
      <c r="D621" s="74"/>
      <c r="E621" s="74"/>
      <c r="F621" s="72"/>
      <c r="G621" s="25"/>
      <c r="H621" s="25"/>
      <c r="I621" s="25"/>
      <c r="J621" s="25"/>
      <c r="K621" s="25"/>
      <c r="L621" s="25"/>
      <c r="M621" s="262"/>
      <c r="N621" s="240" t="s">
        <v>163</v>
      </c>
      <c r="O621" s="28"/>
      <c r="P621" s="25"/>
      <c r="Q621" s="25"/>
      <c r="R621" s="25"/>
      <c r="S621" s="25"/>
      <c r="T621" s="25"/>
      <c r="U621" s="25"/>
      <c r="V621" s="25"/>
      <c r="W621" s="25"/>
      <c r="X621" s="25"/>
      <c r="Y621" s="25"/>
      <c r="Z621" s="25"/>
      <c r="AA621" s="25"/>
      <c r="AB621" s="25"/>
      <c r="AC621" s="28"/>
      <c r="AD621" s="10"/>
    </row>
    <row r="622" spans="1:30" s="9" customFormat="1" hidden="1" outlineLevel="1" x14ac:dyDescent="0.35">
      <c r="A622" s="86"/>
      <c r="C622" s="74"/>
      <c r="D622" s="74"/>
      <c r="E622" s="74"/>
      <c r="F622" s="72"/>
      <c r="G622" s="25"/>
      <c r="H622" s="25"/>
      <c r="I622" s="25"/>
      <c r="J622" s="25"/>
      <c r="K622" s="25"/>
      <c r="L622" s="25"/>
      <c r="M622" s="262"/>
      <c r="N622" s="240" t="s">
        <v>157</v>
      </c>
      <c r="O622" s="28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8"/>
      <c r="AD622" s="10"/>
    </row>
    <row r="623" spans="1:30" s="9" customFormat="1" hidden="1" outlineLevel="1" x14ac:dyDescent="0.35">
      <c r="A623" s="86"/>
      <c r="C623" s="74"/>
      <c r="D623" s="74"/>
      <c r="E623" s="74"/>
      <c r="F623" s="72"/>
      <c r="G623" s="25"/>
      <c r="H623" s="25"/>
      <c r="I623" s="25"/>
      <c r="J623" s="25"/>
      <c r="K623" s="25"/>
      <c r="L623" s="25"/>
      <c r="M623" s="262"/>
      <c r="N623" s="240" t="s">
        <v>164</v>
      </c>
      <c r="O623" s="28"/>
      <c r="P623" s="25"/>
      <c r="Q623" s="25"/>
      <c r="R623" s="25"/>
      <c r="S623" s="25"/>
      <c r="T623" s="25"/>
      <c r="U623" s="25"/>
      <c r="V623" s="25"/>
      <c r="W623" s="25"/>
      <c r="X623" s="25"/>
      <c r="Y623" s="25"/>
      <c r="Z623" s="25"/>
      <c r="AA623" s="25"/>
      <c r="AB623" s="25"/>
      <c r="AC623" s="28"/>
      <c r="AD623" s="10"/>
    </row>
    <row r="624" spans="1:30" s="9" customFormat="1" hidden="1" outlineLevel="1" x14ac:dyDescent="0.35">
      <c r="A624" s="86"/>
      <c r="C624" s="74"/>
      <c r="D624" s="74"/>
      <c r="E624" s="74"/>
      <c r="F624" s="72"/>
      <c r="G624" s="25"/>
      <c r="H624" s="25"/>
      <c r="I624" s="25"/>
      <c r="J624" s="25"/>
      <c r="K624" s="25"/>
      <c r="L624" s="25"/>
      <c r="M624" s="262"/>
      <c r="N624" s="240" t="s">
        <v>165</v>
      </c>
      <c r="O624" s="28"/>
      <c r="P624" s="25"/>
      <c r="Q624" s="25"/>
      <c r="R624" s="25"/>
      <c r="S624" s="25"/>
      <c r="T624" s="25"/>
      <c r="U624" s="25"/>
      <c r="V624" s="25"/>
      <c r="W624" s="25"/>
      <c r="X624" s="25"/>
      <c r="Y624" s="25"/>
      <c r="Z624" s="25"/>
      <c r="AA624" s="25"/>
      <c r="AB624" s="25"/>
      <c r="AC624" s="28"/>
      <c r="AD624" s="10"/>
    </row>
    <row r="625" spans="1:30" s="9" customFormat="1" hidden="1" outlineLevel="1" x14ac:dyDescent="0.35">
      <c r="A625" s="86"/>
      <c r="C625" s="74"/>
      <c r="D625" s="74"/>
      <c r="E625" s="74"/>
      <c r="F625" s="72"/>
      <c r="G625" s="25"/>
      <c r="H625" s="25"/>
      <c r="I625" s="25"/>
      <c r="J625" s="25"/>
      <c r="K625" s="25"/>
      <c r="L625" s="25"/>
      <c r="M625" s="262"/>
      <c r="N625" s="240" t="s">
        <v>166</v>
      </c>
      <c r="O625" s="28"/>
      <c r="P625" s="25"/>
      <c r="Q625" s="25"/>
      <c r="R625" s="25"/>
      <c r="S625" s="25"/>
      <c r="T625" s="25"/>
      <c r="U625" s="25"/>
      <c r="V625" s="25"/>
      <c r="W625" s="25"/>
      <c r="X625" s="25"/>
      <c r="Y625" s="25"/>
      <c r="Z625" s="25"/>
      <c r="AA625" s="25"/>
      <c r="AB625" s="25"/>
      <c r="AC625" s="28"/>
      <c r="AD625" s="10"/>
    </row>
    <row r="626" spans="1:30" s="9" customFormat="1" hidden="1" outlineLevel="1" x14ac:dyDescent="0.35">
      <c r="A626" s="86"/>
      <c r="C626" s="74"/>
      <c r="D626" s="74"/>
      <c r="E626" s="74"/>
      <c r="F626" s="72"/>
      <c r="G626" s="25"/>
      <c r="H626" s="25"/>
      <c r="I626" s="25"/>
      <c r="J626" s="25"/>
      <c r="K626" s="25"/>
      <c r="L626" s="25"/>
      <c r="M626" s="262"/>
      <c r="N626" s="240" t="s">
        <v>167</v>
      </c>
      <c r="O626" s="28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8"/>
      <c r="AD626" s="10"/>
    </row>
    <row r="627" spans="1:30" s="9" customFormat="1" hidden="1" outlineLevel="1" x14ac:dyDescent="0.35">
      <c r="A627" s="86"/>
      <c r="C627" s="74"/>
      <c r="D627" s="74"/>
      <c r="E627" s="74"/>
      <c r="F627" s="72"/>
      <c r="G627" s="25"/>
      <c r="H627" s="25"/>
      <c r="I627" s="25"/>
      <c r="J627" s="25"/>
      <c r="K627" s="25"/>
      <c r="L627" s="25"/>
      <c r="M627" s="262"/>
      <c r="N627" s="240" t="s">
        <v>168</v>
      </c>
      <c r="O627" s="28"/>
      <c r="P627" s="25"/>
      <c r="Q627" s="25"/>
      <c r="R627" s="25"/>
      <c r="S627" s="25"/>
      <c r="T627" s="25"/>
      <c r="U627" s="25"/>
      <c r="V627" s="25"/>
      <c r="W627" s="25"/>
      <c r="X627" s="25"/>
      <c r="Y627" s="25"/>
      <c r="Z627" s="25"/>
      <c r="AA627" s="25"/>
      <c r="AB627" s="25"/>
      <c r="AC627" s="28"/>
      <c r="AD627" s="10"/>
    </row>
    <row r="628" spans="1:30" s="9" customFormat="1" hidden="1" outlineLevel="1" x14ac:dyDescent="0.35">
      <c r="A628" s="86"/>
      <c r="C628" s="74"/>
      <c r="D628" s="74"/>
      <c r="E628" s="74"/>
      <c r="F628" s="72"/>
      <c r="G628" s="25"/>
      <c r="H628" s="25"/>
      <c r="I628" s="25"/>
      <c r="J628" s="25"/>
      <c r="K628" s="25"/>
      <c r="L628" s="25"/>
      <c r="M628" s="262"/>
      <c r="N628" s="129"/>
      <c r="O628" s="28"/>
      <c r="P628" s="25"/>
      <c r="Q628" s="25"/>
      <c r="R628" s="25"/>
      <c r="S628" s="25"/>
      <c r="T628" s="25"/>
      <c r="U628" s="25"/>
      <c r="V628" s="25"/>
      <c r="W628" s="25"/>
      <c r="X628" s="25"/>
      <c r="Y628" s="25"/>
      <c r="Z628" s="25"/>
      <c r="AA628" s="25"/>
      <c r="AB628" s="25"/>
      <c r="AC628" s="28"/>
      <c r="AD628" s="10"/>
    </row>
    <row r="629" spans="1:30" s="9" customFormat="1" ht="15" hidden="1" customHeight="1" outlineLevel="1" x14ac:dyDescent="0.3">
      <c r="A629" s="86"/>
      <c r="C629" s="74"/>
      <c r="D629" s="74"/>
      <c r="E629" s="74"/>
      <c r="F629" s="72"/>
      <c r="G629" s="25"/>
      <c r="H629" s="25"/>
      <c r="I629" s="25"/>
      <c r="J629" s="25"/>
      <c r="K629" s="25"/>
      <c r="L629" s="25"/>
      <c r="M629" s="262"/>
      <c r="N629" s="153" t="s">
        <v>77</v>
      </c>
      <c r="O629" s="153" t="s">
        <v>144</v>
      </c>
      <c r="P629" s="25"/>
      <c r="Q629" s="171"/>
      <c r="R629" s="171"/>
      <c r="S629" s="25"/>
      <c r="T629" s="25"/>
      <c r="U629" s="25"/>
      <c r="V629" s="25"/>
      <c r="W629" s="25"/>
      <c r="X629" s="25"/>
      <c r="Y629" s="25"/>
      <c r="Z629" s="25"/>
      <c r="AA629" s="25"/>
      <c r="AB629" s="28"/>
      <c r="AC629" s="28"/>
      <c r="AD629" s="10"/>
    </row>
    <row r="630" spans="1:30" s="9" customFormat="1" ht="15" hidden="1" customHeight="1" outlineLevel="1" x14ac:dyDescent="0.35">
      <c r="A630" s="86"/>
      <c r="C630" s="74"/>
      <c r="D630" s="74"/>
      <c r="E630" s="74"/>
      <c r="F630" s="72"/>
      <c r="G630" s="25"/>
      <c r="H630" s="25"/>
      <c r="I630" s="25"/>
      <c r="J630" s="25"/>
      <c r="K630" s="25"/>
      <c r="L630" s="25"/>
      <c r="M630" s="262"/>
      <c r="N630" s="147" t="s">
        <v>65</v>
      </c>
      <c r="O630" s="152">
        <v>0.5</v>
      </c>
      <c r="P630" s="345" t="s">
        <v>140</v>
      </c>
      <c r="Q630" s="345"/>
      <c r="R630" s="345"/>
      <c r="S630" s="25"/>
      <c r="T630" s="25"/>
      <c r="U630" s="25"/>
      <c r="V630" s="25"/>
      <c r="W630" s="25"/>
      <c r="X630" s="25"/>
      <c r="Y630" s="25"/>
      <c r="Z630" s="25"/>
      <c r="AA630" s="25"/>
      <c r="AB630" s="28"/>
      <c r="AC630" s="28"/>
      <c r="AD630" s="10"/>
    </row>
    <row r="631" spans="1:30" s="9" customFormat="1" hidden="1" outlineLevel="1" x14ac:dyDescent="0.35">
      <c r="A631" s="86"/>
      <c r="C631" s="74"/>
      <c r="D631" s="74"/>
      <c r="E631" s="74"/>
      <c r="F631" s="72"/>
      <c r="G631" s="25"/>
      <c r="H631" s="25"/>
      <c r="I631" s="25"/>
      <c r="J631" s="25"/>
      <c r="K631" s="25"/>
      <c r="L631" s="25"/>
      <c r="M631" s="262"/>
      <c r="N631" s="147" t="s">
        <v>66</v>
      </c>
      <c r="O631" s="152">
        <v>0.25</v>
      </c>
      <c r="P631" s="345"/>
      <c r="Q631" s="345"/>
      <c r="R631" s="345"/>
      <c r="S631" s="25"/>
      <c r="T631" s="25"/>
      <c r="U631" s="25"/>
      <c r="V631" s="25"/>
      <c r="W631" s="25"/>
      <c r="X631" s="25"/>
      <c r="Y631" s="25"/>
      <c r="Z631" s="25"/>
      <c r="AA631" s="25"/>
      <c r="AB631" s="28"/>
      <c r="AC631" s="28"/>
      <c r="AD631" s="10"/>
    </row>
    <row r="632" spans="1:30" s="9" customFormat="1" hidden="1" outlineLevel="1" x14ac:dyDescent="0.35">
      <c r="A632" s="86"/>
      <c r="C632" s="74"/>
      <c r="D632" s="74"/>
      <c r="E632" s="74"/>
      <c r="F632" s="72"/>
      <c r="G632" s="25"/>
      <c r="H632" s="25"/>
      <c r="I632" s="25"/>
      <c r="J632" s="25"/>
      <c r="K632" s="25"/>
      <c r="L632" s="25"/>
      <c r="M632" s="262"/>
      <c r="N632" s="28"/>
      <c r="O632" s="28"/>
      <c r="P632" s="345"/>
      <c r="Q632" s="345"/>
      <c r="R632" s="345"/>
      <c r="S632" s="25"/>
      <c r="T632" s="25"/>
      <c r="U632" s="25"/>
      <c r="V632" s="25"/>
      <c r="W632" s="25"/>
      <c r="X632" s="25"/>
      <c r="Y632" s="25"/>
      <c r="Z632" s="25"/>
      <c r="AA632" s="25"/>
      <c r="AB632" s="28"/>
      <c r="AC632" s="28"/>
      <c r="AD632" s="10"/>
    </row>
    <row r="633" spans="1:30" s="9" customFormat="1" hidden="1" outlineLevel="1" x14ac:dyDescent="0.35">
      <c r="A633" s="86"/>
      <c r="C633" s="74"/>
      <c r="D633" s="74"/>
      <c r="E633" s="74"/>
      <c r="F633" s="72"/>
      <c r="G633" s="25"/>
      <c r="H633" s="25"/>
      <c r="I633" s="25"/>
      <c r="J633" s="25"/>
      <c r="K633" s="25"/>
      <c r="L633" s="25"/>
      <c r="M633" s="262"/>
      <c r="N633" s="28"/>
      <c r="O633" s="28"/>
      <c r="P633" s="345"/>
      <c r="Q633" s="345"/>
      <c r="R633" s="345"/>
      <c r="S633" s="25"/>
      <c r="T633" s="25"/>
      <c r="U633" s="25"/>
      <c r="V633" s="25"/>
      <c r="W633" s="25"/>
      <c r="X633" s="25"/>
      <c r="Y633" s="25"/>
      <c r="Z633" s="25"/>
      <c r="AA633" s="25"/>
      <c r="AB633" s="28"/>
      <c r="AC633" s="28"/>
      <c r="AD633" s="10"/>
    </row>
    <row r="634" spans="1:30" s="9" customFormat="1" hidden="1" outlineLevel="1" x14ac:dyDescent="0.3">
      <c r="A634" s="86"/>
      <c r="C634" s="74"/>
      <c r="D634" s="74"/>
      <c r="E634" s="74"/>
      <c r="F634" s="72"/>
      <c r="G634" s="25"/>
      <c r="H634" s="25"/>
      <c r="I634" s="25"/>
      <c r="J634" s="25"/>
      <c r="K634" s="25"/>
      <c r="L634" s="25"/>
      <c r="M634" s="262"/>
      <c r="N634" s="149" t="s">
        <v>133</v>
      </c>
      <c r="O634" s="153" t="s">
        <v>144</v>
      </c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8"/>
      <c r="AC634" s="28"/>
      <c r="AD634" s="10"/>
    </row>
    <row r="635" spans="1:30" s="9" customFormat="1" hidden="1" outlineLevel="1" x14ac:dyDescent="0.35">
      <c r="A635" s="86"/>
      <c r="C635" s="74"/>
      <c r="D635" s="74"/>
      <c r="E635" s="74"/>
      <c r="F635" s="72"/>
      <c r="G635" s="25"/>
      <c r="H635" s="25"/>
      <c r="I635" s="25"/>
      <c r="J635" s="25"/>
      <c r="K635" s="25"/>
      <c r="L635" s="25"/>
      <c r="M635" s="262"/>
      <c r="N635" s="248" t="s">
        <v>23</v>
      </c>
      <c r="O635" s="249">
        <v>0</v>
      </c>
      <c r="P635" s="345" t="s">
        <v>141</v>
      </c>
      <c r="Q635" s="34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8"/>
      <c r="AC635" s="28"/>
      <c r="AD635" s="10"/>
    </row>
    <row r="636" spans="1:30" s="9" customFormat="1" ht="15" hidden="1" customHeight="1" outlineLevel="1" x14ac:dyDescent="0.35">
      <c r="A636" s="86"/>
      <c r="C636" s="74"/>
      <c r="D636" s="74"/>
      <c r="E636" s="74"/>
      <c r="F636" s="72"/>
      <c r="G636" s="25"/>
      <c r="H636" s="25"/>
      <c r="I636" s="25"/>
      <c r="J636" s="25"/>
      <c r="K636" s="25"/>
      <c r="L636" s="25"/>
      <c r="M636" s="262"/>
      <c r="N636" s="248" t="s">
        <v>134</v>
      </c>
      <c r="O636" s="249">
        <v>0.25</v>
      </c>
      <c r="P636" s="345"/>
      <c r="Q636" s="345"/>
      <c r="R636" s="25"/>
      <c r="S636" s="25"/>
      <c r="T636" s="25"/>
      <c r="U636" s="25"/>
      <c r="V636" s="25"/>
      <c r="W636" s="25"/>
      <c r="X636" s="25"/>
      <c r="Y636" s="25"/>
      <c r="Z636" s="25"/>
      <c r="AA636" s="25"/>
      <c r="AB636" s="28"/>
      <c r="AC636" s="28"/>
      <c r="AD636" s="10"/>
    </row>
    <row r="637" spans="1:30" s="9" customFormat="1" hidden="1" outlineLevel="1" x14ac:dyDescent="0.35">
      <c r="A637" s="86"/>
      <c r="C637" s="74"/>
      <c r="D637" s="74"/>
      <c r="E637" s="74"/>
      <c r="F637" s="72"/>
      <c r="G637" s="25"/>
      <c r="H637" s="25"/>
      <c r="I637" s="25"/>
      <c r="J637" s="25"/>
      <c r="K637" s="25"/>
      <c r="L637" s="25"/>
      <c r="M637" s="262"/>
      <c r="N637" s="248" t="s">
        <v>135</v>
      </c>
      <c r="O637" s="250">
        <v>0.1</v>
      </c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8"/>
      <c r="AC637" s="28"/>
      <c r="AD637" s="10"/>
    </row>
    <row r="638" spans="1:30" s="9" customFormat="1" hidden="1" outlineLevel="1" x14ac:dyDescent="0.35">
      <c r="A638" s="86"/>
      <c r="C638" s="74"/>
      <c r="D638" s="74"/>
      <c r="E638" s="74"/>
      <c r="F638" s="72"/>
      <c r="G638" s="25"/>
      <c r="H638" s="25"/>
      <c r="I638" s="25"/>
      <c r="J638" s="25"/>
      <c r="K638" s="25"/>
      <c r="L638" s="25"/>
      <c r="M638" s="262"/>
      <c r="N638" s="248" t="s">
        <v>136</v>
      </c>
      <c r="O638" s="250">
        <v>0</v>
      </c>
      <c r="P638" s="25"/>
      <c r="Q638" s="25"/>
      <c r="R638" s="25"/>
      <c r="S638" s="25"/>
      <c r="T638" s="25"/>
      <c r="U638" s="25"/>
      <c r="V638" s="25"/>
      <c r="W638" s="25"/>
      <c r="X638" s="25"/>
      <c r="Y638" s="25"/>
      <c r="Z638" s="25"/>
      <c r="AA638" s="25"/>
      <c r="AB638" s="28"/>
      <c r="AC638" s="28"/>
      <c r="AD638" s="10"/>
    </row>
    <row r="639" spans="1:30" s="9" customFormat="1" hidden="1" outlineLevel="1" x14ac:dyDescent="0.35">
      <c r="A639" s="86"/>
      <c r="C639" s="74"/>
      <c r="D639" s="74"/>
      <c r="E639" s="74"/>
      <c r="F639" s="72"/>
      <c r="G639" s="25"/>
      <c r="H639" s="25"/>
      <c r="I639" s="25"/>
      <c r="J639" s="25"/>
      <c r="K639" s="25"/>
      <c r="L639" s="25"/>
      <c r="M639" s="262"/>
      <c r="N639" s="248" t="s">
        <v>137</v>
      </c>
      <c r="O639" s="250">
        <v>0</v>
      </c>
      <c r="P639" s="25"/>
      <c r="Q639" s="25"/>
      <c r="R639" s="25"/>
      <c r="S639" s="25"/>
      <c r="T639" s="25"/>
      <c r="U639" s="25"/>
      <c r="V639" s="25"/>
      <c r="W639" s="25"/>
      <c r="X639" s="25"/>
      <c r="Y639" s="25"/>
      <c r="Z639" s="25"/>
      <c r="AA639" s="25"/>
      <c r="AB639" s="28"/>
      <c r="AC639" s="28"/>
      <c r="AD639" s="10"/>
    </row>
    <row r="640" spans="1:30" s="9" customFormat="1" hidden="1" outlineLevel="1" x14ac:dyDescent="0.35">
      <c r="A640" s="86"/>
      <c r="C640" s="74"/>
      <c r="D640" s="74"/>
      <c r="E640" s="74"/>
      <c r="F640" s="72"/>
      <c r="G640" s="25"/>
      <c r="H640" s="25"/>
      <c r="I640" s="25"/>
      <c r="J640" s="25"/>
      <c r="K640" s="25"/>
      <c r="L640" s="25"/>
      <c r="M640" s="262"/>
      <c r="N640" s="248" t="s">
        <v>138</v>
      </c>
      <c r="O640" s="250">
        <v>0</v>
      </c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8"/>
      <c r="AC640" s="28"/>
      <c r="AD640" s="10"/>
    </row>
    <row r="641" spans="1:30" s="9" customFormat="1" hidden="1" outlineLevel="1" x14ac:dyDescent="0.35">
      <c r="A641" s="86"/>
      <c r="C641" s="74"/>
      <c r="D641" s="74"/>
      <c r="E641" s="74"/>
      <c r="F641" s="72"/>
      <c r="G641" s="25"/>
      <c r="H641" s="25"/>
      <c r="I641" s="25"/>
      <c r="J641" s="25"/>
      <c r="K641" s="25"/>
      <c r="L641" s="25"/>
      <c r="M641" s="262"/>
      <c r="N641" s="28"/>
      <c r="O641" s="28"/>
      <c r="P641" s="25"/>
      <c r="Q641" s="25"/>
      <c r="R641" s="25"/>
      <c r="S641" s="25"/>
      <c r="T641" s="25"/>
      <c r="U641" s="25"/>
      <c r="V641" s="25"/>
      <c r="W641" s="25"/>
      <c r="X641" s="25"/>
      <c r="Y641" s="25"/>
      <c r="Z641" s="25"/>
      <c r="AA641" s="25"/>
      <c r="AB641" s="28"/>
      <c r="AC641" s="28"/>
      <c r="AD641" s="10"/>
    </row>
    <row r="642" spans="1:30" s="9" customFormat="1" hidden="1" outlineLevel="1" x14ac:dyDescent="0.3">
      <c r="A642" s="86"/>
      <c r="C642" s="74"/>
      <c r="D642" s="74"/>
      <c r="E642" s="74"/>
      <c r="F642" s="72"/>
      <c r="G642" s="25"/>
      <c r="H642" s="25"/>
      <c r="I642" s="25"/>
      <c r="J642" s="25"/>
      <c r="K642" s="25"/>
      <c r="L642" s="25"/>
      <c r="M642" s="262"/>
      <c r="N642" s="149" t="s">
        <v>142</v>
      </c>
      <c r="O642" s="153" t="s">
        <v>144</v>
      </c>
      <c r="P642" s="25"/>
      <c r="Q642" s="25"/>
      <c r="R642" s="25"/>
      <c r="S642" s="25"/>
      <c r="T642" s="25"/>
      <c r="U642" s="25"/>
      <c r="V642" s="25"/>
      <c r="W642" s="25"/>
      <c r="X642" s="25"/>
      <c r="Y642" s="25"/>
      <c r="Z642" s="25"/>
      <c r="AA642" s="25"/>
      <c r="AB642" s="28"/>
      <c r="AC642" s="28"/>
      <c r="AD642" s="10"/>
    </row>
    <row r="643" spans="1:30" s="9" customFormat="1" ht="15" hidden="1" customHeight="1" outlineLevel="1" x14ac:dyDescent="0.35">
      <c r="A643" s="86"/>
      <c r="C643" s="74"/>
      <c r="D643" s="74"/>
      <c r="E643" s="74"/>
      <c r="F643" s="72"/>
      <c r="G643" s="25"/>
      <c r="H643" s="25"/>
      <c r="I643" s="25"/>
      <c r="J643" s="25"/>
      <c r="K643" s="25"/>
      <c r="L643" s="25"/>
      <c r="M643" s="262"/>
      <c r="N643" s="147" t="str">
        <f>Lists!B46</f>
        <v>Low</v>
      </c>
      <c r="O643" s="152">
        <v>0.1</v>
      </c>
      <c r="P643" s="345" t="s">
        <v>143</v>
      </c>
      <c r="Q643" s="345"/>
      <c r="R643" s="25"/>
      <c r="S643" s="25"/>
      <c r="T643" s="25"/>
      <c r="U643" s="25"/>
      <c r="V643" s="25"/>
      <c r="W643" s="25"/>
      <c r="X643" s="25"/>
      <c r="Y643" s="25"/>
      <c r="Z643" s="25"/>
      <c r="AA643" s="25"/>
      <c r="AB643" s="28"/>
      <c r="AC643" s="28"/>
      <c r="AD643" s="10"/>
    </row>
    <row r="644" spans="1:30" s="9" customFormat="1" hidden="1" outlineLevel="1" x14ac:dyDescent="0.35">
      <c r="A644" s="86"/>
      <c r="C644" s="74"/>
      <c r="D644" s="74"/>
      <c r="E644" s="74"/>
      <c r="F644" s="72"/>
      <c r="G644" s="25"/>
      <c r="H644" s="25"/>
      <c r="I644" s="25"/>
      <c r="J644" s="25"/>
      <c r="K644" s="25"/>
      <c r="L644" s="25"/>
      <c r="M644" s="262"/>
      <c r="N644" s="147" t="str">
        <f>Lists!B47</f>
        <v>Medium</v>
      </c>
      <c r="O644" s="152">
        <v>0.15</v>
      </c>
      <c r="P644" s="345"/>
      <c r="Q644" s="34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8"/>
      <c r="AC644" s="28"/>
      <c r="AD644" s="10"/>
    </row>
    <row r="645" spans="1:30" s="9" customFormat="1" hidden="1" outlineLevel="1" x14ac:dyDescent="0.35">
      <c r="A645" s="86"/>
      <c r="C645" s="74"/>
      <c r="D645" s="74"/>
      <c r="E645" s="74"/>
      <c r="F645" s="72"/>
      <c r="G645" s="25"/>
      <c r="H645" s="25"/>
      <c r="I645" s="25"/>
      <c r="J645" s="25"/>
      <c r="K645" s="25"/>
      <c r="L645" s="25"/>
      <c r="M645" s="262"/>
      <c r="N645" s="147" t="str">
        <f>Lists!B48</f>
        <v>High</v>
      </c>
      <c r="O645" s="152">
        <v>0.2</v>
      </c>
      <c r="P645" s="345"/>
      <c r="Q645" s="345"/>
      <c r="R645" s="25"/>
      <c r="S645" s="25"/>
      <c r="T645" s="25"/>
      <c r="U645" s="25"/>
      <c r="V645" s="25"/>
      <c r="W645" s="25"/>
      <c r="X645" s="25"/>
      <c r="Y645" s="25"/>
      <c r="Z645" s="25"/>
      <c r="AA645" s="25"/>
      <c r="AB645" s="28"/>
      <c r="AC645" s="28"/>
      <c r="AD645" s="10"/>
    </row>
    <row r="646" spans="1:30" s="9" customFormat="1" hidden="1" outlineLevel="1" x14ac:dyDescent="0.35">
      <c r="A646" s="86"/>
      <c r="C646" s="74"/>
      <c r="D646" s="74"/>
      <c r="E646" s="74"/>
      <c r="F646" s="72"/>
      <c r="G646" s="25"/>
      <c r="H646" s="25"/>
      <c r="I646" s="25"/>
      <c r="J646" s="25"/>
      <c r="K646" s="25"/>
      <c r="L646" s="25"/>
      <c r="M646" s="262"/>
      <c r="N646" s="28"/>
      <c r="O646" s="28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8"/>
      <c r="AC646" s="28"/>
      <c r="AD646" s="10"/>
    </row>
    <row r="647" spans="1:30" s="9" customFormat="1" ht="20.25" hidden="1" customHeight="1" outlineLevel="1" x14ac:dyDescent="0.35">
      <c r="A647" s="86"/>
      <c r="C647" s="72"/>
      <c r="D647" s="72"/>
      <c r="E647" s="72"/>
      <c r="F647" s="72"/>
      <c r="G647" s="40"/>
      <c r="H647" s="40"/>
      <c r="I647" s="40"/>
      <c r="J647" s="40"/>
      <c r="K647" s="40"/>
      <c r="L647" s="40"/>
      <c r="M647" s="258"/>
      <c r="N647" s="40"/>
      <c r="O647" s="40"/>
      <c r="P647" s="40"/>
      <c r="Q647" s="40"/>
      <c r="R647" s="40"/>
      <c r="S647" s="40"/>
      <c r="T647" s="40"/>
      <c r="U647" s="40"/>
      <c r="V647" s="40"/>
      <c r="W647" s="40"/>
      <c r="X647" s="40"/>
      <c r="Y647" s="40"/>
      <c r="Z647" s="40"/>
      <c r="AA647" s="40"/>
      <c r="AB647" s="40"/>
      <c r="AC647" s="40"/>
      <c r="AD647" s="10"/>
    </row>
    <row r="648" spans="1:30" x14ac:dyDescent="0.35">
      <c r="F648" s="72"/>
    </row>
    <row r="712" spans="1:30" s="9" customFormat="1" ht="20.25" customHeight="1" x14ac:dyDescent="0.35">
      <c r="A712" s="86"/>
      <c r="C712" s="72"/>
      <c r="D712" s="72"/>
      <c r="E712" s="72"/>
      <c r="F712" s="72"/>
      <c r="G712" s="334" t="s">
        <v>48</v>
      </c>
      <c r="H712" s="334"/>
      <c r="I712" s="165"/>
      <c r="J712" s="40"/>
      <c r="K712" s="40"/>
      <c r="L712" s="36"/>
      <c r="M712" s="265" t="s">
        <v>125</v>
      </c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D712" s="10"/>
    </row>
    <row r="713" spans="1:30" hidden="1" x14ac:dyDescent="0.35"/>
    <row r="714" spans="1:30" s="14" customFormat="1" ht="18.5" hidden="1" collapsed="1" x14ac:dyDescent="0.35">
      <c r="A714" s="86" t="s">
        <v>98</v>
      </c>
      <c r="B714" s="18"/>
      <c r="C714" s="75"/>
      <c r="D714" s="75"/>
      <c r="E714" s="75"/>
      <c r="F714" s="75"/>
      <c r="G714" s="52"/>
      <c r="H714" s="52"/>
      <c r="I714" s="52"/>
      <c r="J714" s="52"/>
      <c r="K714" s="52"/>
      <c r="L714" s="52" t="s">
        <v>105</v>
      </c>
      <c r="M714" s="261" t="s">
        <v>106</v>
      </c>
      <c r="N714" s="53"/>
      <c r="O714" s="54"/>
      <c r="P714" s="55"/>
      <c r="Q714" s="55"/>
      <c r="R714" s="55"/>
      <c r="S714" s="330">
        <f>CEILING(SUMIFS(T715:T720, J715:J720, "&lt;&gt;Yes", A715:A720,"T1"),1)</f>
        <v>0</v>
      </c>
      <c r="T714" s="330"/>
      <c r="U714" s="55"/>
      <c r="V714" s="55"/>
      <c r="W714" s="55"/>
      <c r="X714" s="55"/>
      <c r="Y714" s="55"/>
      <c r="Z714" s="55"/>
      <c r="AA714" s="55"/>
      <c r="AB714" s="55"/>
      <c r="AC714" s="55"/>
      <c r="AD714" s="23" t="str">
        <f>IF(M714="", "Section name cannot be empty.", "")</f>
        <v/>
      </c>
    </row>
    <row r="715" spans="1:30" s="9" customFormat="1" ht="1.5" hidden="1" customHeight="1" outlineLevel="1" x14ac:dyDescent="0.35">
      <c r="A715" s="86" t="s">
        <v>99</v>
      </c>
      <c r="B715" s="15"/>
      <c r="C715" s="72"/>
      <c r="D715" s="72"/>
      <c r="E715" s="72"/>
      <c r="F715" s="72"/>
      <c r="G715" s="25"/>
      <c r="H715" s="25"/>
      <c r="I715" s="25"/>
      <c r="J715" s="25"/>
      <c r="K715" s="25"/>
      <c r="L715" s="26">
        <v>0</v>
      </c>
      <c r="M715" s="262"/>
      <c r="N715" s="25"/>
      <c r="O715" s="25"/>
      <c r="P715" s="25"/>
      <c r="Q715" s="25"/>
      <c r="R715" s="25"/>
      <c r="S715" s="25"/>
      <c r="T715" s="27"/>
      <c r="U715" s="25"/>
      <c r="V715" s="25"/>
      <c r="W715" s="25"/>
      <c r="X715" s="27"/>
      <c r="Y715" s="25"/>
      <c r="Z715" s="25"/>
      <c r="AA715" s="25"/>
      <c r="AB715" s="28"/>
      <c r="AC715" s="28"/>
      <c r="AD715" s="10"/>
    </row>
    <row r="716" spans="1:30" s="14" customFormat="1" ht="15.5" hidden="1" outlineLevel="1" x14ac:dyDescent="0.35">
      <c r="A716" s="86" t="s">
        <v>100</v>
      </c>
      <c r="B716" s="18"/>
      <c r="C716" s="77"/>
      <c r="D716" s="77"/>
      <c r="E716" s="77"/>
      <c r="F716" s="76"/>
      <c r="G716" s="29"/>
      <c r="H716" s="29"/>
      <c r="I716" s="29"/>
      <c r="J716" s="29"/>
      <c r="K716" s="29"/>
      <c r="L716" s="17">
        <f ca="1">LOOKUP(1000,INDIRECT("L1:"&amp;CELL("address",INDIRECT("R[-1]C",FALSE))))+1</f>
        <v>1</v>
      </c>
      <c r="M716" s="310" t="s">
        <v>108</v>
      </c>
      <c r="N716" s="310"/>
      <c r="O716" s="5"/>
      <c r="P716" s="30"/>
      <c r="Q716" s="30"/>
      <c r="R716" s="30"/>
      <c r="S716" s="30"/>
      <c r="T716" s="155">
        <f>IF($S$6="Exclude", SUMIFS(S717:S719, J717:J719, "&lt;&gt;Yes", G717:G719, "&lt;&gt;Yes"), SUMIFS(S717:S719, J717:J719, "&lt;&gt;Yes"))</f>
        <v>0</v>
      </c>
      <c r="U716" s="30"/>
      <c r="V716" s="30"/>
      <c r="W716" s="30"/>
      <c r="X716" s="31"/>
      <c r="Y716" s="32"/>
      <c r="Z716" s="32"/>
      <c r="AA716" s="32"/>
      <c r="AB716" s="219" t="s">
        <v>439</v>
      </c>
      <c r="AC716" s="33"/>
      <c r="AD716" s="23" t="str">
        <f>IF(M716="", "Error: Task name cannot be empty.", "")</f>
        <v/>
      </c>
    </row>
    <row r="717" spans="1:30" s="12" customFormat="1" ht="1.5" hidden="1" customHeight="1" outlineLevel="2" x14ac:dyDescent="0.35">
      <c r="A717" s="86" t="s">
        <v>101</v>
      </c>
      <c r="B717" s="18"/>
      <c r="C717" s="77"/>
      <c r="D717" s="77"/>
      <c r="E717" s="77"/>
      <c r="F717" s="76"/>
      <c r="G717" s="29"/>
      <c r="H717" s="29"/>
      <c r="I717" s="29"/>
      <c r="J717" s="29"/>
      <c r="K717" s="29"/>
      <c r="L717" s="163">
        <f ca="1">L716</f>
        <v>1</v>
      </c>
      <c r="M717" s="164" t="s">
        <v>105</v>
      </c>
      <c r="N717" s="161"/>
      <c r="O717" s="162"/>
      <c r="P717" s="30"/>
      <c r="Q717" s="30"/>
      <c r="R717" s="30"/>
      <c r="S717" s="30"/>
      <c r="T717" s="155"/>
      <c r="U717" s="30"/>
      <c r="V717" s="30"/>
      <c r="W717" s="30"/>
      <c r="X717" s="31"/>
      <c r="Y717" s="32"/>
      <c r="Z717" s="32"/>
      <c r="AA717" s="32"/>
      <c r="AB717" s="33"/>
      <c r="AC717" s="33"/>
      <c r="AD717" s="23"/>
    </row>
    <row r="718" spans="1:30" ht="58" hidden="1" outlineLevel="2" x14ac:dyDescent="0.35">
      <c r="A718" s="86" t="s">
        <v>0</v>
      </c>
      <c r="B718" s="18"/>
      <c r="C718" s="78"/>
      <c r="D718" s="78"/>
      <c r="E718" s="78"/>
      <c r="F718" s="79"/>
      <c r="G718" s="19" t="s">
        <v>23</v>
      </c>
      <c r="H718" s="19" t="s">
        <v>23</v>
      </c>
      <c r="I718" s="20" t="s">
        <v>23</v>
      </c>
      <c r="J718" s="19" t="s">
        <v>23</v>
      </c>
      <c r="K718" s="35"/>
      <c r="L718" s="19"/>
      <c r="M718" s="263" t="str">
        <f ca="1">IFERROR(OFFSET(M718,-1,,1,1)+0.1,OFFSET(M718,-1,-1,1,1)&amp;".1")</f>
        <v>1.1</v>
      </c>
      <c r="N718" s="20" t="s">
        <v>438</v>
      </c>
      <c r="O718" s="20"/>
      <c r="P718" s="20"/>
      <c r="Q718" s="134"/>
      <c r="R718" s="127"/>
      <c r="S718" s="157">
        <f>CEILING((IF(J718="Yes", 0, IF(H718="-",AA718,AA718+AA718*VLOOKUP(H718,BUFFERS_BY_TYPE,2,FALSE)))) +
   (IF(J718="Yes", 0, IF(H718="-",AA718,AA718+AA718*VLOOKUP(H718,BUFFERS_BY_TYPE,2,FALSE))))*VLOOKUP($S$5, SALES_CALL_SCALE_ARRAY, 2,FALSE),0.25)</f>
        <v>0</v>
      </c>
      <c r="T718" s="158"/>
      <c r="U718" s="21">
        <v>0</v>
      </c>
      <c r="V718" s="21">
        <v>1</v>
      </c>
      <c r="W718" s="21">
        <v>0</v>
      </c>
      <c r="X718" s="156"/>
      <c r="Y718" s="157">
        <f>CEILING((IF(P718=AS_DEV_EFFORT, DEV_EFFORT*Q718%,
                           IF(P718=AS_DURATION_EFFORT, (MANUAL_DURATION*5)*Q718%,
                                    (IF(Q718&lt;=1,X718,
                                          IF(SUM(U718:W718)=0,(Q718*X718),
                                               (((Q718*U718)*(X718+(X718*EXTRA_FOR_H)))+
                                               ((Q718*V718)*X718)+
                                               ((Q718*W718)*(X718-(X718*LESS_FOR_L)))
                                    )*IF(R718=0,1,R718))))))+Z718), 0.25)</f>
        <v>0</v>
      </c>
      <c r="Z718" s="22"/>
      <c r="AA718" s="157">
        <f>Y718+Y718*VLOOKUP(I718,EXTRAS_ARRAY,2,FALSE)</f>
        <v>0</v>
      </c>
      <c r="AB718" s="20" t="s">
        <v>440</v>
      </c>
      <c r="AC718" s="34"/>
      <c r="AD718" s="23" t="str">
        <f>IF(J718&lt;&gt;"Yes",
IF(S718&lt;=0,"Error: Effort value is not defined or is invalid.",
IF(AND(SUM(U718:W718)&gt;0,SUM(U718:W718)&lt;&gt;1),"Error: Complexity % distribution should sum to 100%.",
IF(AND(P718=AS_DEV_EFFORT,X718&lt;&gt;0),"Error: PDs should not be defined when defining as dev effort %.",
IF(AND(P718=AS_DURATION_EFFORT,X718&lt;&gt;0),"Error: PDs should not be defined when defining as duration effort %.","")))))</f>
        <v>Error: Effort value is not defined or is invalid.</v>
      </c>
    </row>
    <row r="719" spans="1:30" s="9" customFormat="1" ht="7.5" hidden="1" customHeight="1" outlineLevel="2" x14ac:dyDescent="0.35">
      <c r="A719" s="86" t="s">
        <v>132</v>
      </c>
      <c r="B719" s="15"/>
      <c r="C719" s="72"/>
      <c r="D719" s="72"/>
      <c r="E719" s="72"/>
      <c r="F719" s="72"/>
      <c r="M719" s="252"/>
      <c r="T719" s="15"/>
      <c r="X719" s="15"/>
      <c r="AB719" s="10"/>
      <c r="AC719" s="10"/>
      <c r="AD719" s="10"/>
    </row>
    <row r="720" spans="1:30" s="9" customFormat="1" ht="1.5" hidden="1" customHeight="1" outlineLevel="1" x14ac:dyDescent="0.35">
      <c r="A720" s="86" t="s">
        <v>102</v>
      </c>
      <c r="C720" s="72"/>
      <c r="D720" s="72"/>
      <c r="E720" s="72"/>
      <c r="F720" s="72"/>
      <c r="G720" s="25"/>
      <c r="H720" s="25"/>
      <c r="I720" s="25"/>
      <c r="J720" s="25"/>
      <c r="K720" s="25"/>
      <c r="L720" s="56"/>
      <c r="M720" s="264"/>
      <c r="N720" s="57"/>
      <c r="O720" s="57"/>
      <c r="P720" s="56"/>
      <c r="Q720" s="56"/>
      <c r="R720" s="56"/>
      <c r="S720" s="56"/>
      <c r="T720" s="56"/>
      <c r="U720" s="56"/>
      <c r="V720" s="56"/>
      <c r="W720" s="56"/>
      <c r="X720" s="56"/>
      <c r="Y720" s="56"/>
      <c r="Z720" s="56"/>
      <c r="AA720" s="56"/>
      <c r="AB720" s="57"/>
      <c r="AC720" s="57"/>
      <c r="AD720" s="10"/>
    </row>
    <row r="721" spans="1:30" hidden="1" collapsed="1" x14ac:dyDescent="0.35"/>
    <row r="722" spans="1:30" s="14" customFormat="1" ht="15.5" hidden="1" outlineLevel="1" x14ac:dyDescent="0.35">
      <c r="A722" s="86" t="s">
        <v>107</v>
      </c>
      <c r="B722" s="18"/>
      <c r="C722" s="77"/>
      <c r="D722" s="77"/>
      <c r="E722" s="77"/>
      <c r="F722" s="76"/>
      <c r="G722" s="170"/>
      <c r="H722" s="170"/>
      <c r="I722" s="170"/>
      <c r="J722" s="170"/>
      <c r="K722" s="170"/>
      <c r="L722" s="85" t="s">
        <v>109</v>
      </c>
      <c r="M722" s="311" t="s">
        <v>124</v>
      </c>
      <c r="N722" s="311"/>
      <c r="O722" s="80"/>
      <c r="P722" s="81"/>
      <c r="Q722" s="81"/>
      <c r="R722" s="81"/>
      <c r="S722" s="307">
        <f>SUMGROUP(ROW(), "T")</f>
        <v>0</v>
      </c>
      <c r="T722" s="307"/>
      <c r="U722" s="308"/>
      <c r="V722" s="308"/>
      <c r="W722" s="308"/>
      <c r="X722" s="82"/>
      <c r="Y722" s="83"/>
      <c r="Z722" s="83"/>
      <c r="AA722" s="83"/>
      <c r="AB722" s="221"/>
      <c r="AC722" s="84"/>
      <c r="AD722" s="23" t="str">
        <f>IF(M722="", "Error: Module name cannot be empty.", "")</f>
        <v/>
      </c>
    </row>
    <row r="723" spans="1:30" hidden="1" x14ac:dyDescent="0.35"/>
    <row r="724" spans="1:30" s="9" customFormat="1" ht="20.25" customHeight="1" x14ac:dyDescent="0.35">
      <c r="A724" s="86"/>
      <c r="C724" s="72"/>
      <c r="D724" s="72"/>
      <c r="E724" s="72"/>
      <c r="F724" s="72"/>
      <c r="G724" s="40"/>
      <c r="H724" s="40"/>
      <c r="I724" s="40"/>
      <c r="J724" s="40"/>
      <c r="K724" s="40"/>
      <c r="L724" s="40"/>
      <c r="M724" s="258"/>
      <c r="N724" s="40"/>
      <c r="O724" s="40"/>
      <c r="P724" s="40"/>
      <c r="Q724" s="40"/>
      <c r="R724" s="40"/>
      <c r="S724" s="40"/>
      <c r="T724" s="40"/>
      <c r="U724" s="40"/>
      <c r="V724" s="40"/>
      <c r="W724" s="40"/>
      <c r="X724" s="40"/>
      <c r="Y724" s="40"/>
      <c r="Z724" s="40"/>
      <c r="AA724" s="40"/>
      <c r="AB724" s="40"/>
      <c r="AC724" s="40"/>
      <c r="AD724" s="10"/>
    </row>
  </sheetData>
  <sheetProtection algorithmName="SHA-512" hashValue="1jq8s0AE/iIfv+TRgVtP1bD19G158LUo2jqjnfEEab4AXoYEc+L/bxAdBQnqFwTCQFiWfrUsO5SlIzBinxUr8Q==" saltValue="uUKmWuqh+i57CLb0Wh1Eag==" spinCount="100000" sheet="1" objects="1" scenarios="1"/>
  <dataConsolidate/>
  <mergeCells count="138">
    <mergeCell ref="S441:T441"/>
    <mergeCell ref="U441:W441"/>
    <mergeCell ref="G564:H564"/>
    <mergeCell ref="U722:W722"/>
    <mergeCell ref="Q577:V577"/>
    <mergeCell ref="P567:P568"/>
    <mergeCell ref="G592:H592"/>
    <mergeCell ref="G712:H712"/>
    <mergeCell ref="Q566:V566"/>
    <mergeCell ref="O567:O568"/>
    <mergeCell ref="N604:N606"/>
    <mergeCell ref="P630:R633"/>
    <mergeCell ref="P635:Q636"/>
    <mergeCell ref="P643:Q645"/>
    <mergeCell ref="M722:N722"/>
    <mergeCell ref="M716:N716"/>
    <mergeCell ref="S714:T714"/>
    <mergeCell ref="S722:T722"/>
    <mergeCell ref="T586:U586"/>
    <mergeCell ref="T585:U585"/>
    <mergeCell ref="C2:F9"/>
    <mergeCell ref="C10:F10"/>
    <mergeCell ref="G9:J9"/>
    <mergeCell ref="G508:H508"/>
    <mergeCell ref="C11:F11"/>
    <mergeCell ref="C12:E12"/>
    <mergeCell ref="G3:J3"/>
    <mergeCell ref="J5:K5"/>
    <mergeCell ref="AB5:AB6"/>
    <mergeCell ref="P10:R10"/>
    <mergeCell ref="S12:T12"/>
    <mergeCell ref="S94:T94"/>
    <mergeCell ref="S433:T433"/>
    <mergeCell ref="S471:T471"/>
    <mergeCell ref="S349:T349"/>
    <mergeCell ref="S217:T217"/>
    <mergeCell ref="S302:T302"/>
    <mergeCell ref="M501:N501"/>
    <mergeCell ref="S499:T499"/>
    <mergeCell ref="S506:T506"/>
    <mergeCell ref="M370:N370"/>
    <mergeCell ref="M384:N384"/>
    <mergeCell ref="M395:N395"/>
    <mergeCell ref="M407:N407"/>
    <mergeCell ref="Y579:AA583"/>
    <mergeCell ref="U10:W10"/>
    <mergeCell ref="M510:T511"/>
    <mergeCell ref="W567:X568"/>
    <mergeCell ref="W569:X569"/>
    <mergeCell ref="W570:X570"/>
    <mergeCell ref="W571:X571"/>
    <mergeCell ref="W572:X572"/>
    <mergeCell ref="W573:X573"/>
    <mergeCell ref="W574:X574"/>
    <mergeCell ref="W575:X575"/>
    <mergeCell ref="Q575:V575"/>
    <mergeCell ref="M14:N14"/>
    <mergeCell ref="M66:N66"/>
    <mergeCell ref="W577:X578"/>
    <mergeCell ref="S11:T11"/>
    <mergeCell ref="M415:N415"/>
    <mergeCell ref="M339:N339"/>
    <mergeCell ref="M344:N344"/>
    <mergeCell ref="M20:N20"/>
    <mergeCell ref="M71:N71"/>
    <mergeCell ref="M75:N75"/>
    <mergeCell ref="M82:N82"/>
    <mergeCell ref="S64:T64"/>
    <mergeCell ref="M26:N26"/>
    <mergeCell ref="M33:N33"/>
    <mergeCell ref="M41:N41"/>
    <mergeCell ref="M47:N47"/>
    <mergeCell ref="M56:N56"/>
    <mergeCell ref="M478:N478"/>
    <mergeCell ref="M484:N484"/>
    <mergeCell ref="M491:N491"/>
    <mergeCell ref="M454:N454"/>
    <mergeCell ref="M461:N461"/>
    <mergeCell ref="M473:N473"/>
    <mergeCell ref="M449:N449"/>
    <mergeCell ref="M442:N442"/>
    <mergeCell ref="M426:N426"/>
    <mergeCell ref="M425:N425"/>
    <mergeCell ref="M142:N142"/>
    <mergeCell ref="M168:N168"/>
    <mergeCell ref="M193:N193"/>
    <mergeCell ref="M200:N200"/>
    <mergeCell ref="M218:N218"/>
    <mergeCell ref="M217:N217"/>
    <mergeCell ref="M327:N327"/>
    <mergeCell ref="M333:N333"/>
    <mergeCell ref="M441:N441"/>
    <mergeCell ref="S425:T425"/>
    <mergeCell ref="M436:N436"/>
    <mergeCell ref="M435:N435"/>
    <mergeCell ref="S435:T435"/>
    <mergeCell ref="M360:N360"/>
    <mergeCell ref="U435:W435"/>
    <mergeCell ref="U425:W425"/>
    <mergeCell ref="U349:W349"/>
    <mergeCell ref="M96:N96"/>
    <mergeCell ref="M349:N349"/>
    <mergeCell ref="M350:N350"/>
    <mergeCell ref="M169:N169"/>
    <mergeCell ref="S168:T168"/>
    <mergeCell ref="U168:W168"/>
    <mergeCell ref="M177:N177"/>
    <mergeCell ref="M103:N103"/>
    <mergeCell ref="M102:N102"/>
    <mergeCell ref="S102:T102"/>
    <mergeCell ref="U102:W102"/>
    <mergeCell ref="M113:N113"/>
    <mergeCell ref="M126:N126"/>
    <mergeCell ref="M236:N236"/>
    <mergeCell ref="M260:N260"/>
    <mergeCell ref="M259:N259"/>
    <mergeCell ref="S259:T259"/>
    <mergeCell ref="U259:W259"/>
    <mergeCell ref="U217:W217"/>
    <mergeCell ref="M227:N227"/>
    <mergeCell ref="M134:N134"/>
    <mergeCell ref="M185:N185"/>
    <mergeCell ref="U302:W302"/>
    <mergeCell ref="M311:N311"/>
    <mergeCell ref="M319:N319"/>
    <mergeCell ref="M318:N318"/>
    <mergeCell ref="S318:T318"/>
    <mergeCell ref="U318:W318"/>
    <mergeCell ref="M271:N271"/>
    <mergeCell ref="M279:N279"/>
    <mergeCell ref="M290:N290"/>
    <mergeCell ref="M303:N303"/>
    <mergeCell ref="M302:N302"/>
    <mergeCell ref="M151:N151"/>
    <mergeCell ref="M252:N252"/>
    <mergeCell ref="M244:N244"/>
    <mergeCell ref="M208:N208"/>
    <mergeCell ref="M160:N160"/>
  </mergeCells>
  <conditionalFormatting sqref="B569">
    <cfRule type="cellIs" dxfId="3248" priority="13090" operator="equal">
      <formula>"."</formula>
    </cfRule>
  </conditionalFormatting>
  <conditionalFormatting sqref="C566:E566 C585:E588">
    <cfRule type="expression" dxfId="3247" priority="12970">
      <formula>$H566&lt;&gt;""</formula>
    </cfRule>
  </conditionalFormatting>
  <conditionalFormatting sqref="C567:E575">
    <cfRule type="expression" dxfId="3246" priority="12968">
      <formula>$H567&lt;&gt;""</formula>
    </cfRule>
  </conditionalFormatting>
  <conditionalFormatting sqref="B567">
    <cfRule type="cellIs" dxfId="3245" priority="12964" operator="equal">
      <formula>"."</formula>
    </cfRule>
  </conditionalFormatting>
  <conditionalFormatting sqref="B718">
    <cfRule type="expression" dxfId="3244" priority="12859">
      <formula>AD718&lt;&gt;""</formula>
    </cfRule>
  </conditionalFormatting>
  <conditionalFormatting sqref="Z718">
    <cfRule type="cellIs" dxfId="3243" priority="12857" operator="greaterThan">
      <formula>0</formula>
    </cfRule>
    <cfRule type="cellIs" dxfId="3242" priority="12858" operator="lessThan">
      <formula>0</formula>
    </cfRule>
  </conditionalFormatting>
  <conditionalFormatting sqref="S718">
    <cfRule type="cellIs" dxfId="3241" priority="12856" operator="lessThan">
      <formula>0</formula>
    </cfRule>
  </conditionalFormatting>
  <conditionalFormatting sqref="T716:T717">
    <cfRule type="expression" dxfId="3240" priority="12860">
      <formula>#REF!="Yes"</formula>
    </cfRule>
  </conditionalFormatting>
  <conditionalFormatting sqref="P718">
    <cfRule type="cellIs" dxfId="3239" priority="12853" operator="equal">
      <formula>AS_DURATION_EFFORT</formula>
    </cfRule>
    <cfRule type="cellIs" dxfId="3238" priority="12854" operator="equal">
      <formula>AS_DEV_EFFORT</formula>
    </cfRule>
  </conditionalFormatting>
  <conditionalFormatting sqref="S722">
    <cfRule type="expression" dxfId="3237" priority="12669">
      <formula>#REF!="Yes"</formula>
    </cfRule>
  </conditionalFormatting>
  <conditionalFormatting sqref="B714">
    <cfRule type="expression" dxfId="3236" priority="12661">
      <formula>AD714&lt;&gt;""</formula>
    </cfRule>
  </conditionalFormatting>
  <conditionalFormatting sqref="B716:B717">
    <cfRule type="expression" dxfId="3235" priority="12660">
      <formula>AD716&lt;&gt;""</formula>
    </cfRule>
  </conditionalFormatting>
  <conditionalFormatting sqref="B722">
    <cfRule type="expression" dxfId="3234" priority="12659">
      <formula>AD722&lt;&gt;""</formula>
    </cfRule>
  </conditionalFormatting>
  <conditionalFormatting sqref="L16:AC17 L23:AC24 L28:M28 L35:M35 L43:M43 L49:M49 L58:M58 O28:AC28 O35:AC35 P43:AC43 O49:AC49 P58:AC58 L73:AC73 L68:AC69 L77:AC80 L84:AC91 L60:M61 P60:AC61 N58:O61 L98:AC100 L171:AC175 L179:AC183 L195:AC198 L187:AC191 L202:AC206 L220:AC225 L229:AC234 L238:AC242 L273:AC277 L305:AC309 L329:AC331 L321:AC325 L341:AC342 L346:AC347 L352:AC358 L362:AC368 L386:AC393 L409:AC413 L417:AC423 L428:AC430 L438:AC439 L444:AC447 L451:AC452 L456:AC459 L493:AC496 L503:AC503 L475:AC476 L480:AC482 L488:AC489 L718:AC718 L463:AC468 L397:AC405 L372:AC382 L335:AC337 L313:AC316 L292:AC300 L281:AC288 L262:AC269">
    <cfRule type="expression" dxfId="3233" priority="14948">
      <formula>AND($G16="Yes", $S$6="Exclude")</formula>
    </cfRule>
    <cfRule type="expression" dxfId="3232" priority="14949">
      <formula>$J16="Yes"</formula>
    </cfRule>
  </conditionalFormatting>
  <conditionalFormatting sqref="T5">
    <cfRule type="expression" dxfId="3231" priority="12242">
      <formula>OR($S$5="Reduce by:", $S$5="Increase by:")</formula>
    </cfRule>
  </conditionalFormatting>
  <conditionalFormatting sqref="F718">
    <cfRule type="expression" dxfId="3230" priority="9492">
      <formula>$K718&lt;&gt;""</formula>
    </cfRule>
  </conditionalFormatting>
  <conditionalFormatting sqref="C718">
    <cfRule type="expression" dxfId="3229" priority="9448">
      <formula>$G718&lt;&gt;"-"</formula>
    </cfRule>
  </conditionalFormatting>
  <conditionalFormatting sqref="D718">
    <cfRule type="expression" dxfId="3228" priority="9446">
      <formula>$H718&lt;&gt;"-"</formula>
    </cfRule>
  </conditionalFormatting>
  <conditionalFormatting sqref="E718">
    <cfRule type="expression" dxfId="3227" priority="9445">
      <formula>$I718&lt;&gt;"-"</formula>
    </cfRule>
  </conditionalFormatting>
  <conditionalFormatting sqref="B570">
    <cfRule type="cellIs" dxfId="3226" priority="5889" operator="equal">
      <formula>"."</formula>
    </cfRule>
  </conditionalFormatting>
  <conditionalFormatting sqref="B571">
    <cfRule type="cellIs" dxfId="3225" priority="5888" operator="equal">
      <formula>"."</formula>
    </cfRule>
  </conditionalFormatting>
  <conditionalFormatting sqref="B572">
    <cfRule type="cellIs" dxfId="3224" priority="5887" operator="equal">
      <formula>"."</formula>
    </cfRule>
  </conditionalFormatting>
  <conditionalFormatting sqref="B573">
    <cfRule type="cellIs" dxfId="3223" priority="5886" operator="equal">
      <formula>"."</formula>
    </cfRule>
  </conditionalFormatting>
  <conditionalFormatting sqref="B574">
    <cfRule type="cellIs" dxfId="3222" priority="5885" operator="equal">
      <formula>"."</formula>
    </cfRule>
  </conditionalFormatting>
  <conditionalFormatting sqref="B16">
    <cfRule type="expression" dxfId="3221" priority="5881">
      <formula>AD16&lt;&gt;""</formula>
    </cfRule>
  </conditionalFormatting>
  <conditionalFormatting sqref="Z16">
    <cfRule type="cellIs" dxfId="3220" priority="5879" operator="greaterThan">
      <formula>0</formula>
    </cfRule>
    <cfRule type="cellIs" dxfId="3219" priority="5880" operator="lessThan">
      <formula>0</formula>
    </cfRule>
  </conditionalFormatting>
  <conditionalFormatting sqref="S16">
    <cfRule type="cellIs" dxfId="3218" priority="5878" operator="lessThan">
      <formula>0</formula>
    </cfRule>
  </conditionalFormatting>
  <conditionalFormatting sqref="T14:T15">
    <cfRule type="expression" dxfId="3217" priority="5882">
      <formula>#REF!="Yes"</formula>
    </cfRule>
  </conditionalFormatting>
  <conditionalFormatting sqref="P16">
    <cfRule type="cellIs" dxfId="3216" priority="5876" operator="equal">
      <formula>AS_DURATION_EFFORT</formula>
    </cfRule>
    <cfRule type="cellIs" dxfId="3215" priority="5877" operator="equal">
      <formula>AS_DEV_EFFORT</formula>
    </cfRule>
  </conditionalFormatting>
  <conditionalFormatting sqref="B14:B15">
    <cfRule type="expression" dxfId="3214" priority="5875">
      <formula>AD14&lt;&gt;""</formula>
    </cfRule>
  </conditionalFormatting>
  <conditionalFormatting sqref="F16">
    <cfRule type="expression" dxfId="3213" priority="5874">
      <formula>$K16&lt;&gt;""</formula>
    </cfRule>
  </conditionalFormatting>
  <conditionalFormatting sqref="C16">
    <cfRule type="expression" dxfId="3212" priority="5873">
      <formula>$G16&lt;&gt;"-"</formula>
    </cfRule>
  </conditionalFormatting>
  <conditionalFormatting sqref="D16">
    <cfRule type="expression" dxfId="3211" priority="5872">
      <formula>$H16&lt;&gt;"-"</formula>
    </cfRule>
  </conditionalFormatting>
  <conditionalFormatting sqref="E16">
    <cfRule type="expression" dxfId="3210" priority="5871">
      <formula>$I16&lt;&gt;"-"</formula>
    </cfRule>
  </conditionalFormatting>
  <conditionalFormatting sqref="B17">
    <cfRule type="expression" dxfId="3209" priority="5868">
      <formula>AD17&lt;&gt;""</formula>
    </cfRule>
  </conditionalFormatting>
  <conditionalFormatting sqref="Z17">
    <cfRule type="cellIs" dxfId="3208" priority="5866" operator="greaterThan">
      <formula>0</formula>
    </cfRule>
    <cfRule type="cellIs" dxfId="3207" priority="5867" operator="lessThan">
      <formula>0</formula>
    </cfRule>
  </conditionalFormatting>
  <conditionalFormatting sqref="S17">
    <cfRule type="cellIs" dxfId="3206" priority="5865" operator="lessThan">
      <formula>0</formula>
    </cfRule>
  </conditionalFormatting>
  <conditionalFormatting sqref="P17">
    <cfRule type="cellIs" dxfId="3205" priority="5863" operator="equal">
      <formula>AS_DURATION_EFFORT</formula>
    </cfRule>
    <cfRule type="cellIs" dxfId="3204" priority="5864" operator="equal">
      <formula>AS_DEV_EFFORT</formula>
    </cfRule>
  </conditionalFormatting>
  <conditionalFormatting sqref="F17">
    <cfRule type="expression" dxfId="3203" priority="5862">
      <formula>$K17&lt;&gt;""</formula>
    </cfRule>
  </conditionalFormatting>
  <conditionalFormatting sqref="C17">
    <cfRule type="expression" dxfId="3202" priority="5861">
      <formula>$G17&lt;&gt;"-"</formula>
    </cfRule>
  </conditionalFormatting>
  <conditionalFormatting sqref="D17">
    <cfRule type="expression" dxfId="3201" priority="5860">
      <formula>$H17&lt;&gt;"-"</formula>
    </cfRule>
  </conditionalFormatting>
  <conditionalFormatting sqref="E17">
    <cfRule type="expression" dxfId="3200" priority="5859">
      <formula>$I17&lt;&gt;"-"</formula>
    </cfRule>
  </conditionalFormatting>
  <conditionalFormatting sqref="B68">
    <cfRule type="expression" dxfId="3199" priority="5855">
      <formula>AD68&lt;&gt;""</formula>
    </cfRule>
  </conditionalFormatting>
  <conditionalFormatting sqref="Z68">
    <cfRule type="cellIs" dxfId="3198" priority="5853" operator="greaterThan">
      <formula>0</formula>
    </cfRule>
    <cfRule type="cellIs" dxfId="3197" priority="5854" operator="lessThan">
      <formula>0</formula>
    </cfRule>
  </conditionalFormatting>
  <conditionalFormatting sqref="S68">
    <cfRule type="cellIs" dxfId="3196" priority="5852" operator="lessThan">
      <formula>0</formula>
    </cfRule>
  </conditionalFormatting>
  <conditionalFormatting sqref="T66:T67">
    <cfRule type="expression" dxfId="3195" priority="5856">
      <formula>#REF!="Yes"</formula>
    </cfRule>
  </conditionalFormatting>
  <conditionalFormatting sqref="P68">
    <cfRule type="cellIs" dxfId="3194" priority="5850" operator="equal">
      <formula>AS_DURATION_EFFORT</formula>
    </cfRule>
    <cfRule type="cellIs" dxfId="3193" priority="5851" operator="equal">
      <formula>AS_DEV_EFFORT</formula>
    </cfRule>
  </conditionalFormatting>
  <conditionalFormatting sqref="B66:B67">
    <cfRule type="expression" dxfId="3192" priority="5849">
      <formula>AD66&lt;&gt;""</formula>
    </cfRule>
  </conditionalFormatting>
  <conditionalFormatting sqref="F68">
    <cfRule type="expression" dxfId="3191" priority="5848">
      <formula>$K68&lt;&gt;""</formula>
    </cfRule>
  </conditionalFormatting>
  <conditionalFormatting sqref="C68">
    <cfRule type="expression" dxfId="3190" priority="5847">
      <formula>$G68&lt;&gt;"-"</formula>
    </cfRule>
  </conditionalFormatting>
  <conditionalFormatting sqref="D68">
    <cfRule type="expression" dxfId="3189" priority="5846">
      <formula>$H68&lt;&gt;"-"</formula>
    </cfRule>
  </conditionalFormatting>
  <conditionalFormatting sqref="E68">
    <cfRule type="expression" dxfId="3188" priority="5845">
      <formula>$I68&lt;&gt;"-"</formula>
    </cfRule>
  </conditionalFormatting>
  <conditionalFormatting sqref="B98">
    <cfRule type="expression" dxfId="3187" priority="5785">
      <formula>AD98&lt;&gt;""</formula>
    </cfRule>
  </conditionalFormatting>
  <conditionalFormatting sqref="Z98">
    <cfRule type="cellIs" dxfId="3186" priority="5783" operator="greaterThan">
      <formula>0</formula>
    </cfRule>
    <cfRule type="cellIs" dxfId="3185" priority="5784" operator="lessThan">
      <formula>0</formula>
    </cfRule>
  </conditionalFormatting>
  <conditionalFormatting sqref="S98">
    <cfRule type="cellIs" dxfId="3184" priority="5782" operator="lessThan">
      <formula>0</formula>
    </cfRule>
  </conditionalFormatting>
  <conditionalFormatting sqref="T96:T97">
    <cfRule type="expression" dxfId="3183" priority="5786">
      <formula>#REF!="Yes"</formula>
    </cfRule>
  </conditionalFormatting>
  <conditionalFormatting sqref="P98">
    <cfRule type="cellIs" dxfId="3182" priority="5780" operator="equal">
      <formula>AS_DURATION_EFFORT</formula>
    </cfRule>
    <cfRule type="cellIs" dxfId="3181" priority="5781" operator="equal">
      <formula>AS_DEV_EFFORT</formula>
    </cfRule>
  </conditionalFormatting>
  <conditionalFormatting sqref="B96:B97">
    <cfRule type="expression" dxfId="3180" priority="5779">
      <formula>AD96&lt;&gt;""</formula>
    </cfRule>
  </conditionalFormatting>
  <conditionalFormatting sqref="F98">
    <cfRule type="expression" dxfId="3179" priority="5778">
      <formula>$K98&lt;&gt;""</formula>
    </cfRule>
  </conditionalFormatting>
  <conditionalFormatting sqref="C98">
    <cfRule type="expression" dxfId="3178" priority="5777">
      <formula>$G98&lt;&gt;"-"</formula>
    </cfRule>
  </conditionalFormatting>
  <conditionalFormatting sqref="D98">
    <cfRule type="expression" dxfId="3177" priority="5776">
      <formula>$H98&lt;&gt;"-"</formula>
    </cfRule>
  </conditionalFormatting>
  <conditionalFormatting sqref="E98">
    <cfRule type="expression" dxfId="3176" priority="5775">
      <formula>$I98&lt;&gt;"-"</formula>
    </cfRule>
  </conditionalFormatting>
  <conditionalFormatting sqref="B23">
    <cfRule type="expression" dxfId="3175" priority="5723">
      <formula>AD23&lt;&gt;""</formula>
    </cfRule>
  </conditionalFormatting>
  <conditionalFormatting sqref="Z23">
    <cfRule type="cellIs" dxfId="3174" priority="5721" operator="greaterThan">
      <formula>0</formula>
    </cfRule>
    <cfRule type="cellIs" dxfId="3173" priority="5722" operator="lessThan">
      <formula>0</formula>
    </cfRule>
  </conditionalFormatting>
  <conditionalFormatting sqref="S23">
    <cfRule type="cellIs" dxfId="3172" priority="5720" operator="lessThan">
      <formula>0</formula>
    </cfRule>
  </conditionalFormatting>
  <conditionalFormatting sqref="T20:T21">
    <cfRule type="expression" dxfId="3171" priority="5724">
      <formula>#REF!="Yes"</formula>
    </cfRule>
  </conditionalFormatting>
  <conditionalFormatting sqref="P23">
    <cfRule type="cellIs" dxfId="3170" priority="5718" operator="equal">
      <formula>AS_DURATION_EFFORT</formula>
    </cfRule>
    <cfRule type="cellIs" dxfId="3169" priority="5719" operator="equal">
      <formula>AS_DEV_EFFORT</formula>
    </cfRule>
  </conditionalFormatting>
  <conditionalFormatting sqref="B20:B21">
    <cfRule type="expression" dxfId="3168" priority="5717">
      <formula>AD20&lt;&gt;""</formula>
    </cfRule>
  </conditionalFormatting>
  <conditionalFormatting sqref="F23">
    <cfRule type="expression" dxfId="3167" priority="5716">
      <formula>$K23&lt;&gt;""</formula>
    </cfRule>
  </conditionalFormatting>
  <conditionalFormatting sqref="C23">
    <cfRule type="expression" dxfId="3166" priority="5715">
      <formula>$G23&lt;&gt;"-"</formula>
    </cfRule>
  </conditionalFormatting>
  <conditionalFormatting sqref="D23">
    <cfRule type="expression" dxfId="3165" priority="5714">
      <formula>$H23&lt;&gt;"-"</formula>
    </cfRule>
  </conditionalFormatting>
  <conditionalFormatting sqref="E23">
    <cfRule type="expression" dxfId="3164" priority="5713">
      <formula>$I23&lt;&gt;"-"</formula>
    </cfRule>
  </conditionalFormatting>
  <conditionalFormatting sqref="B24">
    <cfRule type="expression" dxfId="3163" priority="5710">
      <formula>AD24&lt;&gt;""</formula>
    </cfRule>
  </conditionalFormatting>
  <conditionalFormatting sqref="Z24">
    <cfRule type="cellIs" dxfId="3162" priority="5708" operator="greaterThan">
      <formula>0</formula>
    </cfRule>
    <cfRule type="cellIs" dxfId="3161" priority="5709" operator="lessThan">
      <formula>0</formula>
    </cfRule>
  </conditionalFormatting>
  <conditionalFormatting sqref="S24">
    <cfRule type="cellIs" dxfId="3160" priority="5707" operator="lessThan">
      <formula>0</formula>
    </cfRule>
  </conditionalFormatting>
  <conditionalFormatting sqref="P24">
    <cfRule type="cellIs" dxfId="3159" priority="5705" operator="equal">
      <formula>AS_DURATION_EFFORT</formula>
    </cfRule>
    <cfRule type="cellIs" dxfId="3158" priority="5706" operator="equal">
      <formula>AS_DEV_EFFORT</formula>
    </cfRule>
  </conditionalFormatting>
  <conditionalFormatting sqref="F24">
    <cfRule type="expression" dxfId="3157" priority="5704">
      <formula>$K24&lt;&gt;""</formula>
    </cfRule>
  </conditionalFormatting>
  <conditionalFormatting sqref="C24">
    <cfRule type="expression" dxfId="3156" priority="5703">
      <formula>$G24&lt;&gt;"-"</formula>
    </cfRule>
  </conditionalFormatting>
  <conditionalFormatting sqref="D24">
    <cfRule type="expression" dxfId="3155" priority="5702">
      <formula>$H24&lt;&gt;"-"</formula>
    </cfRule>
  </conditionalFormatting>
  <conditionalFormatting sqref="E24">
    <cfRule type="expression" dxfId="3154" priority="5701">
      <formula>$I24&lt;&gt;"-"</formula>
    </cfRule>
  </conditionalFormatting>
  <conditionalFormatting sqref="B73">
    <cfRule type="expression" dxfId="3153" priority="5647">
      <formula>AD73&lt;&gt;""</formula>
    </cfRule>
  </conditionalFormatting>
  <conditionalFormatting sqref="Z73">
    <cfRule type="cellIs" dxfId="3152" priority="5645" operator="greaterThan">
      <formula>0</formula>
    </cfRule>
    <cfRule type="cellIs" dxfId="3151" priority="5646" operator="lessThan">
      <formula>0</formula>
    </cfRule>
  </conditionalFormatting>
  <conditionalFormatting sqref="S73">
    <cfRule type="cellIs" dxfId="3150" priority="5644" operator="lessThan">
      <formula>0</formula>
    </cfRule>
  </conditionalFormatting>
  <conditionalFormatting sqref="T71:T72">
    <cfRule type="expression" dxfId="3149" priority="5648">
      <formula>#REF!="Yes"</formula>
    </cfRule>
  </conditionalFormatting>
  <conditionalFormatting sqref="P73">
    <cfRule type="cellIs" dxfId="3148" priority="5642" operator="equal">
      <formula>AS_DURATION_EFFORT</formula>
    </cfRule>
    <cfRule type="cellIs" dxfId="3147" priority="5643" operator="equal">
      <formula>AS_DEV_EFFORT</formula>
    </cfRule>
  </conditionalFormatting>
  <conditionalFormatting sqref="B71:B72">
    <cfRule type="expression" dxfId="3146" priority="5641">
      <formula>AD71&lt;&gt;""</formula>
    </cfRule>
  </conditionalFormatting>
  <conditionalFormatting sqref="F73">
    <cfRule type="expression" dxfId="3145" priority="5640">
      <formula>$K73&lt;&gt;""</formula>
    </cfRule>
  </conditionalFormatting>
  <conditionalFormatting sqref="C73">
    <cfRule type="expression" dxfId="3144" priority="5639">
      <formula>$G73&lt;&gt;"-"</formula>
    </cfRule>
  </conditionalFormatting>
  <conditionalFormatting sqref="D73">
    <cfRule type="expression" dxfId="3143" priority="5638">
      <formula>$H73&lt;&gt;"-"</formula>
    </cfRule>
  </conditionalFormatting>
  <conditionalFormatting sqref="E73">
    <cfRule type="expression" dxfId="3142" priority="5637">
      <formula>$I73&lt;&gt;"-"</formula>
    </cfRule>
  </conditionalFormatting>
  <conditionalFormatting sqref="B77">
    <cfRule type="expression" dxfId="3141" priority="5633">
      <formula>AD77&lt;&gt;""</formula>
    </cfRule>
  </conditionalFormatting>
  <conditionalFormatting sqref="Z77">
    <cfRule type="cellIs" dxfId="3140" priority="5631" operator="greaterThan">
      <formula>0</formula>
    </cfRule>
    <cfRule type="cellIs" dxfId="3139" priority="5632" operator="lessThan">
      <formula>0</formula>
    </cfRule>
  </conditionalFormatting>
  <conditionalFormatting sqref="S77">
    <cfRule type="cellIs" dxfId="3138" priority="5630" operator="lessThan">
      <formula>0</formula>
    </cfRule>
  </conditionalFormatting>
  <conditionalFormatting sqref="T75:T76">
    <cfRule type="expression" dxfId="3137" priority="5634">
      <formula>#REF!="Yes"</formula>
    </cfRule>
  </conditionalFormatting>
  <conditionalFormatting sqref="P77">
    <cfRule type="cellIs" dxfId="3136" priority="5628" operator="equal">
      <formula>AS_DURATION_EFFORT</formula>
    </cfRule>
    <cfRule type="cellIs" dxfId="3135" priority="5629" operator="equal">
      <formula>AS_DEV_EFFORT</formula>
    </cfRule>
  </conditionalFormatting>
  <conditionalFormatting sqref="B75:B76">
    <cfRule type="expression" dxfId="3134" priority="5627">
      <formula>AD75&lt;&gt;""</formula>
    </cfRule>
  </conditionalFormatting>
  <conditionalFormatting sqref="F77">
    <cfRule type="expression" dxfId="3133" priority="5626">
      <formula>$K77&lt;&gt;""</formula>
    </cfRule>
  </conditionalFormatting>
  <conditionalFormatting sqref="C77">
    <cfRule type="expression" dxfId="3132" priority="5625">
      <formula>$G77&lt;&gt;"-"</formula>
    </cfRule>
  </conditionalFormatting>
  <conditionalFormatting sqref="D77">
    <cfRule type="expression" dxfId="3131" priority="5624">
      <formula>$H77&lt;&gt;"-"</formula>
    </cfRule>
  </conditionalFormatting>
  <conditionalFormatting sqref="E77">
    <cfRule type="expression" dxfId="3130" priority="5623">
      <formula>$I77&lt;&gt;"-"</formula>
    </cfRule>
  </conditionalFormatting>
  <conditionalFormatting sqref="B84">
    <cfRule type="expression" dxfId="3129" priority="5619">
      <formula>AD84&lt;&gt;""</formula>
    </cfRule>
  </conditionalFormatting>
  <conditionalFormatting sqref="Z84">
    <cfRule type="cellIs" dxfId="3128" priority="5617" operator="greaterThan">
      <formula>0</formula>
    </cfRule>
    <cfRule type="cellIs" dxfId="3127" priority="5618" operator="lessThan">
      <formula>0</formula>
    </cfRule>
  </conditionalFormatting>
  <conditionalFormatting sqref="S84">
    <cfRule type="cellIs" dxfId="3126" priority="5616" operator="lessThan">
      <formula>0</formula>
    </cfRule>
  </conditionalFormatting>
  <conditionalFormatting sqref="T82:T83">
    <cfRule type="expression" dxfId="3125" priority="5620">
      <formula>#REF!="Yes"</formula>
    </cfRule>
  </conditionalFormatting>
  <conditionalFormatting sqref="P84">
    <cfRule type="cellIs" dxfId="3124" priority="5614" operator="equal">
      <formula>AS_DURATION_EFFORT</formula>
    </cfRule>
    <cfRule type="cellIs" dxfId="3123" priority="5615" operator="equal">
      <formula>AS_DEV_EFFORT</formula>
    </cfRule>
  </conditionalFormatting>
  <conditionalFormatting sqref="B82:B83">
    <cfRule type="expression" dxfId="3122" priority="5613">
      <formula>AD82&lt;&gt;""</formula>
    </cfRule>
  </conditionalFormatting>
  <conditionalFormatting sqref="F84">
    <cfRule type="expression" dxfId="3121" priority="5612">
      <formula>$K84&lt;&gt;""</formula>
    </cfRule>
  </conditionalFormatting>
  <conditionalFormatting sqref="C84">
    <cfRule type="expression" dxfId="3120" priority="5611">
      <formula>$G84&lt;&gt;"-"</formula>
    </cfRule>
  </conditionalFormatting>
  <conditionalFormatting sqref="D84">
    <cfRule type="expression" dxfId="3119" priority="5610">
      <formula>$H84&lt;&gt;"-"</formula>
    </cfRule>
  </conditionalFormatting>
  <conditionalFormatting sqref="E84">
    <cfRule type="expression" dxfId="3118" priority="5609">
      <formula>$I84&lt;&gt;"-"</formula>
    </cfRule>
  </conditionalFormatting>
  <conditionalFormatting sqref="B69">
    <cfRule type="expression" dxfId="3117" priority="5578">
      <formula>AD69&lt;&gt;""</formula>
    </cfRule>
  </conditionalFormatting>
  <conditionalFormatting sqref="Z69">
    <cfRule type="cellIs" dxfId="3116" priority="5576" operator="greaterThan">
      <formula>0</formula>
    </cfRule>
    <cfRule type="cellIs" dxfId="3115" priority="5577" operator="lessThan">
      <formula>0</formula>
    </cfRule>
  </conditionalFormatting>
  <conditionalFormatting sqref="S69">
    <cfRule type="cellIs" dxfId="3114" priority="5575" operator="lessThan">
      <formula>0</formula>
    </cfRule>
  </conditionalFormatting>
  <conditionalFormatting sqref="P69">
    <cfRule type="cellIs" dxfId="3113" priority="5573" operator="equal">
      <formula>AS_DURATION_EFFORT</formula>
    </cfRule>
    <cfRule type="cellIs" dxfId="3112" priority="5574" operator="equal">
      <formula>AS_DEV_EFFORT</formula>
    </cfRule>
  </conditionalFormatting>
  <conditionalFormatting sqref="F69">
    <cfRule type="expression" dxfId="3111" priority="5572">
      <formula>$K69&lt;&gt;""</formula>
    </cfRule>
  </conditionalFormatting>
  <conditionalFormatting sqref="C69">
    <cfRule type="expression" dxfId="3110" priority="5571">
      <formula>$G69&lt;&gt;"-"</formula>
    </cfRule>
  </conditionalFormatting>
  <conditionalFormatting sqref="D69">
    <cfRule type="expression" dxfId="3109" priority="5570">
      <formula>$H69&lt;&gt;"-"</formula>
    </cfRule>
  </conditionalFormatting>
  <conditionalFormatting sqref="E69">
    <cfRule type="expression" dxfId="3108" priority="5569">
      <formula>$I69&lt;&gt;"-"</formula>
    </cfRule>
  </conditionalFormatting>
  <conditionalFormatting sqref="B78">
    <cfRule type="expression" dxfId="3107" priority="5566">
      <formula>AD78&lt;&gt;""</formula>
    </cfRule>
  </conditionalFormatting>
  <conditionalFormatting sqref="Z78">
    <cfRule type="cellIs" dxfId="3106" priority="5564" operator="greaterThan">
      <formula>0</formula>
    </cfRule>
    <cfRule type="cellIs" dxfId="3105" priority="5565" operator="lessThan">
      <formula>0</formula>
    </cfRule>
  </conditionalFormatting>
  <conditionalFormatting sqref="S78">
    <cfRule type="cellIs" dxfId="3104" priority="5563" operator="lessThan">
      <formula>0</formula>
    </cfRule>
  </conditionalFormatting>
  <conditionalFormatting sqref="P78">
    <cfRule type="cellIs" dxfId="3103" priority="5561" operator="equal">
      <formula>AS_DURATION_EFFORT</formula>
    </cfRule>
    <cfRule type="cellIs" dxfId="3102" priority="5562" operator="equal">
      <formula>AS_DEV_EFFORT</formula>
    </cfRule>
  </conditionalFormatting>
  <conditionalFormatting sqref="F78">
    <cfRule type="expression" dxfId="3101" priority="5560">
      <formula>$K78&lt;&gt;""</formula>
    </cfRule>
  </conditionalFormatting>
  <conditionalFormatting sqref="C78">
    <cfRule type="expression" dxfId="3100" priority="5559">
      <formula>$G78&lt;&gt;"-"</formula>
    </cfRule>
  </conditionalFormatting>
  <conditionalFormatting sqref="D78">
    <cfRule type="expression" dxfId="3099" priority="5558">
      <formula>$H78&lt;&gt;"-"</formula>
    </cfRule>
  </conditionalFormatting>
  <conditionalFormatting sqref="E78">
    <cfRule type="expression" dxfId="3098" priority="5557">
      <formula>$I78&lt;&gt;"-"</formula>
    </cfRule>
  </conditionalFormatting>
  <conditionalFormatting sqref="B79">
    <cfRule type="expression" dxfId="3097" priority="5554">
      <formula>AD79&lt;&gt;""</formula>
    </cfRule>
  </conditionalFormatting>
  <conditionalFormatting sqref="Z79">
    <cfRule type="cellIs" dxfId="3096" priority="5552" operator="greaterThan">
      <formula>0</formula>
    </cfRule>
    <cfRule type="cellIs" dxfId="3095" priority="5553" operator="lessThan">
      <formula>0</formula>
    </cfRule>
  </conditionalFormatting>
  <conditionalFormatting sqref="S79">
    <cfRule type="cellIs" dxfId="3094" priority="5551" operator="lessThan">
      <formula>0</formula>
    </cfRule>
  </conditionalFormatting>
  <conditionalFormatting sqref="P79">
    <cfRule type="cellIs" dxfId="3093" priority="5549" operator="equal">
      <formula>AS_DURATION_EFFORT</formula>
    </cfRule>
    <cfRule type="cellIs" dxfId="3092" priority="5550" operator="equal">
      <formula>AS_DEV_EFFORT</formula>
    </cfRule>
  </conditionalFormatting>
  <conditionalFormatting sqref="F79">
    <cfRule type="expression" dxfId="3091" priority="5548">
      <formula>$K79&lt;&gt;""</formula>
    </cfRule>
  </conditionalFormatting>
  <conditionalFormatting sqref="C79">
    <cfRule type="expression" dxfId="3090" priority="5547">
      <formula>$G79&lt;&gt;"-"</formula>
    </cfRule>
  </conditionalFormatting>
  <conditionalFormatting sqref="D79">
    <cfRule type="expression" dxfId="3089" priority="5546">
      <formula>$H79&lt;&gt;"-"</formula>
    </cfRule>
  </conditionalFormatting>
  <conditionalFormatting sqref="E79">
    <cfRule type="expression" dxfId="3088" priority="5545">
      <formula>$I79&lt;&gt;"-"</formula>
    </cfRule>
  </conditionalFormatting>
  <conditionalFormatting sqref="B80">
    <cfRule type="expression" dxfId="3087" priority="5542">
      <formula>AD80&lt;&gt;""</formula>
    </cfRule>
  </conditionalFormatting>
  <conditionalFormatting sqref="Z80">
    <cfRule type="cellIs" dxfId="3086" priority="5540" operator="greaterThan">
      <formula>0</formula>
    </cfRule>
    <cfRule type="cellIs" dxfId="3085" priority="5541" operator="lessThan">
      <formula>0</formula>
    </cfRule>
  </conditionalFormatting>
  <conditionalFormatting sqref="S80">
    <cfRule type="cellIs" dxfId="3084" priority="5539" operator="lessThan">
      <formula>0</formula>
    </cfRule>
  </conditionalFormatting>
  <conditionalFormatting sqref="P80">
    <cfRule type="cellIs" dxfId="3083" priority="5537" operator="equal">
      <formula>AS_DURATION_EFFORT</formula>
    </cfRule>
    <cfRule type="cellIs" dxfId="3082" priority="5538" operator="equal">
      <formula>AS_DEV_EFFORT</formula>
    </cfRule>
  </conditionalFormatting>
  <conditionalFormatting sqref="F80">
    <cfRule type="expression" dxfId="3081" priority="5536">
      <formula>$K80&lt;&gt;""</formula>
    </cfRule>
  </conditionalFormatting>
  <conditionalFormatting sqref="C80">
    <cfRule type="expression" dxfId="3080" priority="5535">
      <formula>$G80&lt;&gt;"-"</formula>
    </cfRule>
  </conditionalFormatting>
  <conditionalFormatting sqref="D80">
    <cfRule type="expression" dxfId="3079" priority="5534">
      <formula>$H80&lt;&gt;"-"</formula>
    </cfRule>
  </conditionalFormatting>
  <conditionalFormatting sqref="E80">
    <cfRule type="expression" dxfId="3078" priority="5533">
      <formula>$I80&lt;&gt;"-"</formula>
    </cfRule>
  </conditionalFormatting>
  <conditionalFormatting sqref="B91">
    <cfRule type="expression" dxfId="3077" priority="5494">
      <formula>AD91&lt;&gt;""</formula>
    </cfRule>
  </conditionalFormatting>
  <conditionalFormatting sqref="Z91">
    <cfRule type="cellIs" dxfId="3076" priority="5492" operator="greaterThan">
      <formula>0</formula>
    </cfRule>
    <cfRule type="cellIs" dxfId="3075" priority="5493" operator="lessThan">
      <formula>0</formula>
    </cfRule>
  </conditionalFormatting>
  <conditionalFormatting sqref="S91">
    <cfRule type="cellIs" dxfId="3074" priority="5491" operator="lessThan">
      <formula>0</formula>
    </cfRule>
  </conditionalFormatting>
  <conditionalFormatting sqref="P91">
    <cfRule type="cellIs" dxfId="3073" priority="5489" operator="equal">
      <formula>AS_DURATION_EFFORT</formula>
    </cfRule>
    <cfRule type="cellIs" dxfId="3072" priority="5490" operator="equal">
      <formula>AS_DEV_EFFORT</formula>
    </cfRule>
  </conditionalFormatting>
  <conditionalFormatting sqref="F91">
    <cfRule type="expression" dxfId="3071" priority="5488">
      <formula>$K91&lt;&gt;""</formula>
    </cfRule>
  </conditionalFormatting>
  <conditionalFormatting sqref="C91">
    <cfRule type="expression" dxfId="3070" priority="5487">
      <formula>$G91&lt;&gt;"-"</formula>
    </cfRule>
  </conditionalFormatting>
  <conditionalFormatting sqref="D91">
    <cfRule type="expression" dxfId="3069" priority="5486">
      <formula>$H91&lt;&gt;"-"</formula>
    </cfRule>
  </conditionalFormatting>
  <conditionalFormatting sqref="E91">
    <cfRule type="expression" dxfId="3068" priority="5485">
      <formula>$I91&lt;&gt;"-"</formula>
    </cfRule>
  </conditionalFormatting>
  <conditionalFormatting sqref="B90">
    <cfRule type="expression" dxfId="3067" priority="5482">
      <formula>AD90&lt;&gt;""</formula>
    </cfRule>
  </conditionalFormatting>
  <conditionalFormatting sqref="Z90">
    <cfRule type="cellIs" dxfId="3066" priority="5480" operator="greaterThan">
      <formula>0</formula>
    </cfRule>
    <cfRule type="cellIs" dxfId="3065" priority="5481" operator="lessThan">
      <formula>0</formula>
    </cfRule>
  </conditionalFormatting>
  <conditionalFormatting sqref="S90">
    <cfRule type="cellIs" dxfId="3064" priority="5479" operator="lessThan">
      <formula>0</formula>
    </cfRule>
  </conditionalFormatting>
  <conditionalFormatting sqref="P90">
    <cfRule type="cellIs" dxfId="3063" priority="5477" operator="equal">
      <formula>AS_DURATION_EFFORT</formula>
    </cfRule>
    <cfRule type="cellIs" dxfId="3062" priority="5478" operator="equal">
      <formula>AS_DEV_EFFORT</formula>
    </cfRule>
  </conditionalFormatting>
  <conditionalFormatting sqref="F90">
    <cfRule type="expression" dxfId="3061" priority="5476">
      <formula>$K90&lt;&gt;""</formula>
    </cfRule>
  </conditionalFormatting>
  <conditionalFormatting sqref="C90">
    <cfRule type="expression" dxfId="3060" priority="5475">
      <formula>$G90&lt;&gt;"-"</formula>
    </cfRule>
  </conditionalFormatting>
  <conditionalFormatting sqref="D90">
    <cfRule type="expression" dxfId="3059" priority="5474">
      <formula>$H90&lt;&gt;"-"</formula>
    </cfRule>
  </conditionalFormatting>
  <conditionalFormatting sqref="E90">
    <cfRule type="expression" dxfId="3058" priority="5473">
      <formula>$I90&lt;&gt;"-"</formula>
    </cfRule>
  </conditionalFormatting>
  <conditionalFormatting sqref="B89">
    <cfRule type="expression" dxfId="3057" priority="5470">
      <formula>AD89&lt;&gt;""</formula>
    </cfRule>
  </conditionalFormatting>
  <conditionalFormatting sqref="Z89">
    <cfRule type="cellIs" dxfId="3056" priority="5468" operator="greaterThan">
      <formula>0</formula>
    </cfRule>
    <cfRule type="cellIs" dxfId="3055" priority="5469" operator="lessThan">
      <formula>0</formula>
    </cfRule>
  </conditionalFormatting>
  <conditionalFormatting sqref="S89">
    <cfRule type="cellIs" dxfId="3054" priority="5467" operator="lessThan">
      <formula>0</formula>
    </cfRule>
  </conditionalFormatting>
  <conditionalFormatting sqref="P89">
    <cfRule type="cellIs" dxfId="3053" priority="5465" operator="equal">
      <formula>AS_DURATION_EFFORT</formula>
    </cfRule>
    <cfRule type="cellIs" dxfId="3052" priority="5466" operator="equal">
      <formula>AS_DEV_EFFORT</formula>
    </cfRule>
  </conditionalFormatting>
  <conditionalFormatting sqref="F89">
    <cfRule type="expression" dxfId="3051" priority="5464">
      <formula>$K89&lt;&gt;""</formula>
    </cfRule>
  </conditionalFormatting>
  <conditionalFormatting sqref="C89">
    <cfRule type="expression" dxfId="3050" priority="5463">
      <formula>$G89&lt;&gt;"-"</formula>
    </cfRule>
  </conditionalFormatting>
  <conditionalFormatting sqref="D89">
    <cfRule type="expression" dxfId="3049" priority="5462">
      <formula>$H89&lt;&gt;"-"</formula>
    </cfRule>
  </conditionalFormatting>
  <conditionalFormatting sqref="E89">
    <cfRule type="expression" dxfId="3048" priority="5461">
      <formula>$I89&lt;&gt;"-"</formula>
    </cfRule>
  </conditionalFormatting>
  <conditionalFormatting sqref="B88">
    <cfRule type="expression" dxfId="3047" priority="5458">
      <formula>AD88&lt;&gt;""</formula>
    </cfRule>
  </conditionalFormatting>
  <conditionalFormatting sqref="Z88">
    <cfRule type="cellIs" dxfId="3046" priority="5456" operator="greaterThan">
      <formula>0</formula>
    </cfRule>
    <cfRule type="cellIs" dxfId="3045" priority="5457" operator="lessThan">
      <formula>0</formula>
    </cfRule>
  </conditionalFormatting>
  <conditionalFormatting sqref="S88">
    <cfRule type="cellIs" dxfId="3044" priority="5455" operator="lessThan">
      <formula>0</formula>
    </cfRule>
  </conditionalFormatting>
  <conditionalFormatting sqref="P88">
    <cfRule type="cellIs" dxfId="3043" priority="5453" operator="equal">
      <formula>AS_DURATION_EFFORT</formula>
    </cfRule>
    <cfRule type="cellIs" dxfId="3042" priority="5454" operator="equal">
      <formula>AS_DEV_EFFORT</formula>
    </cfRule>
  </conditionalFormatting>
  <conditionalFormatting sqref="F88">
    <cfRule type="expression" dxfId="3041" priority="5452">
      <formula>$K88&lt;&gt;""</formula>
    </cfRule>
  </conditionalFormatting>
  <conditionalFormatting sqref="C88">
    <cfRule type="expression" dxfId="3040" priority="5451">
      <formula>$G88&lt;&gt;"-"</formula>
    </cfRule>
  </conditionalFormatting>
  <conditionalFormatting sqref="D88">
    <cfRule type="expression" dxfId="3039" priority="5450">
      <formula>$H88&lt;&gt;"-"</formula>
    </cfRule>
  </conditionalFormatting>
  <conditionalFormatting sqref="E88">
    <cfRule type="expression" dxfId="3038" priority="5449">
      <formula>$I88&lt;&gt;"-"</formula>
    </cfRule>
  </conditionalFormatting>
  <conditionalFormatting sqref="B87">
    <cfRule type="expression" dxfId="3037" priority="5446">
      <formula>AD87&lt;&gt;""</formula>
    </cfRule>
  </conditionalFormatting>
  <conditionalFormatting sqref="Z87">
    <cfRule type="cellIs" dxfId="3036" priority="5444" operator="greaterThan">
      <formula>0</formula>
    </cfRule>
    <cfRule type="cellIs" dxfId="3035" priority="5445" operator="lessThan">
      <formula>0</formula>
    </cfRule>
  </conditionalFormatting>
  <conditionalFormatting sqref="S87">
    <cfRule type="cellIs" dxfId="3034" priority="5443" operator="lessThan">
      <formula>0</formula>
    </cfRule>
  </conditionalFormatting>
  <conditionalFormatting sqref="P87">
    <cfRule type="cellIs" dxfId="3033" priority="5441" operator="equal">
      <formula>AS_DURATION_EFFORT</formula>
    </cfRule>
    <cfRule type="cellIs" dxfId="3032" priority="5442" operator="equal">
      <formula>AS_DEV_EFFORT</formula>
    </cfRule>
  </conditionalFormatting>
  <conditionalFormatting sqref="F87">
    <cfRule type="expression" dxfId="3031" priority="5440">
      <formula>$K87&lt;&gt;""</formula>
    </cfRule>
  </conditionalFormatting>
  <conditionalFormatting sqref="C87">
    <cfRule type="expression" dxfId="3030" priority="5439">
      <formula>$G87&lt;&gt;"-"</formula>
    </cfRule>
  </conditionalFormatting>
  <conditionalFormatting sqref="D87">
    <cfRule type="expression" dxfId="3029" priority="5438">
      <formula>$H87&lt;&gt;"-"</formula>
    </cfRule>
  </conditionalFormatting>
  <conditionalFormatting sqref="E87">
    <cfRule type="expression" dxfId="3028" priority="5437">
      <formula>$I87&lt;&gt;"-"</formula>
    </cfRule>
  </conditionalFormatting>
  <conditionalFormatting sqref="B86">
    <cfRule type="expression" dxfId="3027" priority="5434">
      <formula>AD86&lt;&gt;""</formula>
    </cfRule>
  </conditionalFormatting>
  <conditionalFormatting sqref="Z86">
    <cfRule type="cellIs" dxfId="3026" priority="5432" operator="greaterThan">
      <formula>0</formula>
    </cfRule>
    <cfRule type="cellIs" dxfId="3025" priority="5433" operator="lessThan">
      <formula>0</formula>
    </cfRule>
  </conditionalFormatting>
  <conditionalFormatting sqref="S86">
    <cfRule type="cellIs" dxfId="3024" priority="5431" operator="lessThan">
      <formula>0</formula>
    </cfRule>
  </conditionalFormatting>
  <conditionalFormatting sqref="P86">
    <cfRule type="cellIs" dxfId="3023" priority="5429" operator="equal">
      <formula>AS_DURATION_EFFORT</formula>
    </cfRule>
    <cfRule type="cellIs" dxfId="3022" priority="5430" operator="equal">
      <formula>AS_DEV_EFFORT</formula>
    </cfRule>
  </conditionalFormatting>
  <conditionalFormatting sqref="F86">
    <cfRule type="expression" dxfId="3021" priority="5428">
      <formula>$K86&lt;&gt;""</formula>
    </cfRule>
  </conditionalFormatting>
  <conditionalFormatting sqref="C86">
    <cfRule type="expression" dxfId="3020" priority="5427">
      <formula>$G86&lt;&gt;"-"</formula>
    </cfRule>
  </conditionalFormatting>
  <conditionalFormatting sqref="D86">
    <cfRule type="expression" dxfId="3019" priority="5426">
      <formula>$H86&lt;&gt;"-"</formula>
    </cfRule>
  </conditionalFormatting>
  <conditionalFormatting sqref="E86">
    <cfRule type="expression" dxfId="3018" priority="5425">
      <formula>$I86&lt;&gt;"-"</formula>
    </cfRule>
  </conditionalFormatting>
  <conditionalFormatting sqref="B85">
    <cfRule type="expression" dxfId="3017" priority="5422">
      <formula>AD85&lt;&gt;""</formula>
    </cfRule>
  </conditionalFormatting>
  <conditionalFormatting sqref="Z85">
    <cfRule type="cellIs" dxfId="3016" priority="5420" operator="greaterThan">
      <formula>0</formula>
    </cfRule>
    <cfRule type="cellIs" dxfId="3015" priority="5421" operator="lessThan">
      <formula>0</formula>
    </cfRule>
  </conditionalFormatting>
  <conditionalFormatting sqref="S85">
    <cfRule type="cellIs" dxfId="3014" priority="5419" operator="lessThan">
      <formula>0</formula>
    </cfRule>
  </conditionalFormatting>
  <conditionalFormatting sqref="P85">
    <cfRule type="cellIs" dxfId="3013" priority="5417" operator="equal">
      <formula>AS_DURATION_EFFORT</formula>
    </cfRule>
    <cfRule type="cellIs" dxfId="3012" priority="5418" operator="equal">
      <formula>AS_DEV_EFFORT</formula>
    </cfRule>
  </conditionalFormatting>
  <conditionalFormatting sqref="F85">
    <cfRule type="expression" dxfId="3011" priority="5416">
      <formula>$K85&lt;&gt;""</formula>
    </cfRule>
  </conditionalFormatting>
  <conditionalFormatting sqref="C85">
    <cfRule type="expression" dxfId="3010" priority="5415">
      <formula>$G85&lt;&gt;"-"</formula>
    </cfRule>
  </conditionalFormatting>
  <conditionalFormatting sqref="D85">
    <cfRule type="expression" dxfId="3009" priority="5414">
      <formula>$H85&lt;&gt;"-"</formula>
    </cfRule>
  </conditionalFormatting>
  <conditionalFormatting sqref="E85">
    <cfRule type="expression" dxfId="3008" priority="5413">
      <formula>$I85&lt;&gt;"-"</formula>
    </cfRule>
  </conditionalFormatting>
  <conditionalFormatting sqref="B100">
    <cfRule type="expression" dxfId="3007" priority="5362">
      <formula>AD100&lt;&gt;""</formula>
    </cfRule>
  </conditionalFormatting>
  <conditionalFormatting sqref="Z100">
    <cfRule type="cellIs" dxfId="3006" priority="5360" operator="greaterThan">
      <formula>0</formula>
    </cfRule>
    <cfRule type="cellIs" dxfId="3005" priority="5361" operator="lessThan">
      <formula>0</formula>
    </cfRule>
  </conditionalFormatting>
  <conditionalFormatting sqref="S100">
    <cfRule type="cellIs" dxfId="3004" priority="5359" operator="lessThan">
      <formula>0</formula>
    </cfRule>
  </conditionalFormatting>
  <conditionalFormatting sqref="P100">
    <cfRule type="cellIs" dxfId="3003" priority="5357" operator="equal">
      <formula>AS_DURATION_EFFORT</formula>
    </cfRule>
    <cfRule type="cellIs" dxfId="3002" priority="5358" operator="equal">
      <formula>AS_DEV_EFFORT</formula>
    </cfRule>
  </conditionalFormatting>
  <conditionalFormatting sqref="F100">
    <cfRule type="expression" dxfId="3001" priority="5356">
      <formula>$K100&lt;&gt;""</formula>
    </cfRule>
  </conditionalFormatting>
  <conditionalFormatting sqref="C100">
    <cfRule type="expression" dxfId="3000" priority="5355">
      <formula>$G100&lt;&gt;"-"</formula>
    </cfRule>
  </conditionalFormatting>
  <conditionalFormatting sqref="D100">
    <cfRule type="expression" dxfId="2999" priority="5354">
      <formula>$H100&lt;&gt;"-"</formula>
    </cfRule>
  </conditionalFormatting>
  <conditionalFormatting sqref="E100">
    <cfRule type="expression" dxfId="2998" priority="5353">
      <formula>$I100&lt;&gt;"-"</formula>
    </cfRule>
  </conditionalFormatting>
  <conditionalFormatting sqref="B99">
    <cfRule type="expression" dxfId="2997" priority="5350">
      <formula>AD99&lt;&gt;""</formula>
    </cfRule>
  </conditionalFormatting>
  <conditionalFormatting sqref="Z99">
    <cfRule type="cellIs" dxfId="2996" priority="5348" operator="greaterThan">
      <formula>0</formula>
    </cfRule>
    <cfRule type="cellIs" dxfId="2995" priority="5349" operator="lessThan">
      <formula>0</formula>
    </cfRule>
  </conditionalFormatting>
  <conditionalFormatting sqref="S99">
    <cfRule type="cellIs" dxfId="2994" priority="5347" operator="lessThan">
      <formula>0</formula>
    </cfRule>
  </conditionalFormatting>
  <conditionalFormatting sqref="P99">
    <cfRule type="cellIs" dxfId="2993" priority="5345" operator="equal">
      <formula>AS_DURATION_EFFORT</formula>
    </cfRule>
    <cfRule type="cellIs" dxfId="2992" priority="5346" operator="equal">
      <formula>AS_DEV_EFFORT</formula>
    </cfRule>
  </conditionalFormatting>
  <conditionalFormatting sqref="F99">
    <cfRule type="expression" dxfId="2991" priority="5344">
      <formula>$K99&lt;&gt;""</formula>
    </cfRule>
  </conditionalFormatting>
  <conditionalFormatting sqref="C99">
    <cfRule type="expression" dxfId="2990" priority="5343">
      <formula>$G99&lt;&gt;"-"</formula>
    </cfRule>
  </conditionalFormatting>
  <conditionalFormatting sqref="D99">
    <cfRule type="expression" dxfId="2989" priority="5342">
      <formula>$H99&lt;&gt;"-"</formula>
    </cfRule>
  </conditionalFormatting>
  <conditionalFormatting sqref="E99">
    <cfRule type="expression" dxfId="2988" priority="5341">
      <formula>$I99&lt;&gt;"-"</formula>
    </cfRule>
  </conditionalFormatting>
  <conditionalFormatting sqref="B451">
    <cfRule type="expression" dxfId="2987" priority="5245">
      <formula>AD451&lt;&gt;""</formula>
    </cfRule>
  </conditionalFormatting>
  <conditionalFormatting sqref="Z451">
    <cfRule type="cellIs" dxfId="2986" priority="5243" operator="greaterThan">
      <formula>0</formula>
    </cfRule>
    <cfRule type="cellIs" dxfId="2985" priority="5244" operator="lessThan">
      <formula>0</formula>
    </cfRule>
  </conditionalFormatting>
  <conditionalFormatting sqref="S451">
    <cfRule type="cellIs" dxfId="2984" priority="5242" operator="lessThan">
      <formula>0</formula>
    </cfRule>
  </conditionalFormatting>
  <conditionalFormatting sqref="T449:T450">
    <cfRule type="expression" dxfId="2983" priority="5246">
      <formula>#REF!="Yes"</formula>
    </cfRule>
  </conditionalFormatting>
  <conditionalFormatting sqref="P451">
    <cfRule type="cellIs" dxfId="2982" priority="5240" operator="equal">
      <formula>AS_DURATION_EFFORT</formula>
    </cfRule>
    <cfRule type="cellIs" dxfId="2981" priority="5241" operator="equal">
      <formula>AS_DEV_EFFORT</formula>
    </cfRule>
  </conditionalFormatting>
  <conditionalFormatting sqref="B449:B450">
    <cfRule type="expression" dxfId="2980" priority="5239">
      <formula>AD449&lt;&gt;""</formula>
    </cfRule>
  </conditionalFormatting>
  <conditionalFormatting sqref="F451">
    <cfRule type="expression" dxfId="2979" priority="5238">
      <formula>$K451&lt;&gt;""</formula>
    </cfRule>
  </conditionalFormatting>
  <conditionalFormatting sqref="C451">
    <cfRule type="expression" dxfId="2978" priority="5237">
      <formula>$G451&lt;&gt;"-"</formula>
    </cfRule>
  </conditionalFormatting>
  <conditionalFormatting sqref="D451">
    <cfRule type="expression" dxfId="2977" priority="5236">
      <formula>$H451&lt;&gt;"-"</formula>
    </cfRule>
  </conditionalFormatting>
  <conditionalFormatting sqref="E451">
    <cfRule type="expression" dxfId="2976" priority="5235">
      <formula>$I451&lt;&gt;"-"</formula>
    </cfRule>
  </conditionalFormatting>
  <conditionalFormatting sqref="B452">
    <cfRule type="expression" dxfId="2975" priority="5232">
      <formula>AD452&lt;&gt;""</formula>
    </cfRule>
  </conditionalFormatting>
  <conditionalFormatting sqref="Z452">
    <cfRule type="cellIs" dxfId="2974" priority="5230" operator="greaterThan">
      <formula>0</formula>
    </cfRule>
    <cfRule type="cellIs" dxfId="2973" priority="5231" operator="lessThan">
      <formula>0</formula>
    </cfRule>
  </conditionalFormatting>
  <conditionalFormatting sqref="S452">
    <cfRule type="cellIs" dxfId="2972" priority="5229" operator="lessThan">
      <formula>0</formula>
    </cfRule>
  </conditionalFormatting>
  <conditionalFormatting sqref="F452">
    <cfRule type="expression" dxfId="2971" priority="5226">
      <formula>$K452&lt;&gt;""</formula>
    </cfRule>
  </conditionalFormatting>
  <conditionalFormatting sqref="C452">
    <cfRule type="expression" dxfId="2970" priority="5225">
      <formula>$G452&lt;&gt;"-"</formula>
    </cfRule>
  </conditionalFormatting>
  <conditionalFormatting sqref="D452">
    <cfRule type="expression" dxfId="2969" priority="5224">
      <formula>$H452&lt;&gt;"-"</formula>
    </cfRule>
  </conditionalFormatting>
  <conditionalFormatting sqref="E452">
    <cfRule type="expression" dxfId="2968" priority="5223">
      <formula>$I452&lt;&gt;"-"</formula>
    </cfRule>
  </conditionalFormatting>
  <conditionalFormatting sqref="B456">
    <cfRule type="expression" dxfId="2967" priority="5219">
      <formula>AD456&lt;&gt;""</formula>
    </cfRule>
  </conditionalFormatting>
  <conditionalFormatting sqref="Z456">
    <cfRule type="cellIs" dxfId="2966" priority="5217" operator="greaterThan">
      <formula>0</formula>
    </cfRule>
    <cfRule type="cellIs" dxfId="2965" priority="5218" operator="lessThan">
      <formula>0</formula>
    </cfRule>
  </conditionalFormatting>
  <conditionalFormatting sqref="S456">
    <cfRule type="cellIs" dxfId="2964" priority="5216" operator="lessThan">
      <formula>0</formula>
    </cfRule>
  </conditionalFormatting>
  <conditionalFormatting sqref="T454:T455">
    <cfRule type="expression" dxfId="2963" priority="5220">
      <formula>#REF!="Yes"</formula>
    </cfRule>
  </conditionalFormatting>
  <conditionalFormatting sqref="B454:B455">
    <cfRule type="expression" dxfId="2962" priority="5213">
      <formula>AD454&lt;&gt;""</formula>
    </cfRule>
  </conditionalFormatting>
  <conditionalFormatting sqref="F456">
    <cfRule type="expression" dxfId="2961" priority="5212">
      <formula>$K456&lt;&gt;""</formula>
    </cfRule>
  </conditionalFormatting>
  <conditionalFormatting sqref="C456">
    <cfRule type="expression" dxfId="2960" priority="5211">
      <formula>$G456&lt;&gt;"-"</formula>
    </cfRule>
  </conditionalFormatting>
  <conditionalFormatting sqref="D456">
    <cfRule type="expression" dxfId="2959" priority="5210">
      <formula>$H456&lt;&gt;"-"</formula>
    </cfRule>
  </conditionalFormatting>
  <conditionalFormatting sqref="E456">
    <cfRule type="expression" dxfId="2958" priority="5209">
      <formula>$I456&lt;&gt;"-"</formula>
    </cfRule>
  </conditionalFormatting>
  <conditionalFormatting sqref="B457">
    <cfRule type="expression" dxfId="2957" priority="5206">
      <formula>AD457&lt;&gt;""</formula>
    </cfRule>
  </conditionalFormatting>
  <conditionalFormatting sqref="Z457">
    <cfRule type="cellIs" dxfId="2956" priority="5204" operator="greaterThan">
      <formula>0</formula>
    </cfRule>
    <cfRule type="cellIs" dxfId="2955" priority="5205" operator="lessThan">
      <formula>0</formula>
    </cfRule>
  </conditionalFormatting>
  <conditionalFormatting sqref="S457">
    <cfRule type="cellIs" dxfId="2954" priority="5203" operator="lessThan">
      <formula>0</formula>
    </cfRule>
  </conditionalFormatting>
  <conditionalFormatting sqref="P458">
    <cfRule type="cellIs" dxfId="2953" priority="5167" operator="equal">
      <formula>AS_DURATION_EFFORT</formula>
    </cfRule>
    <cfRule type="cellIs" dxfId="2952" priority="5168" operator="equal">
      <formula>AS_DEV_EFFORT</formula>
    </cfRule>
  </conditionalFormatting>
  <conditionalFormatting sqref="F457">
    <cfRule type="expression" dxfId="2951" priority="5200">
      <formula>$K457&lt;&gt;""</formula>
    </cfRule>
  </conditionalFormatting>
  <conditionalFormatting sqref="C457">
    <cfRule type="expression" dxfId="2950" priority="5199">
      <formula>$G457&lt;&gt;"-"</formula>
    </cfRule>
  </conditionalFormatting>
  <conditionalFormatting sqref="D457">
    <cfRule type="expression" dxfId="2949" priority="5198">
      <formula>$H457&lt;&gt;"-"</formula>
    </cfRule>
  </conditionalFormatting>
  <conditionalFormatting sqref="E457">
    <cfRule type="expression" dxfId="2948" priority="5197">
      <formula>$I457&lt;&gt;"-"</formula>
    </cfRule>
  </conditionalFormatting>
  <conditionalFormatting sqref="B459">
    <cfRule type="expression" dxfId="2947" priority="5194">
      <formula>AD459&lt;&gt;""</formula>
    </cfRule>
  </conditionalFormatting>
  <conditionalFormatting sqref="Z459">
    <cfRule type="cellIs" dxfId="2946" priority="5192" operator="greaterThan">
      <formula>0</formula>
    </cfRule>
    <cfRule type="cellIs" dxfId="2945" priority="5193" operator="lessThan">
      <formula>0</formula>
    </cfRule>
  </conditionalFormatting>
  <conditionalFormatting sqref="S459">
    <cfRule type="cellIs" dxfId="2944" priority="5191" operator="lessThan">
      <formula>0</formula>
    </cfRule>
  </conditionalFormatting>
  <conditionalFormatting sqref="P459">
    <cfRule type="cellIs" dxfId="2943" priority="5189" operator="equal">
      <formula>AS_DURATION_EFFORT</formula>
    </cfRule>
    <cfRule type="cellIs" dxfId="2942" priority="5190" operator="equal">
      <formula>AS_DEV_EFFORT</formula>
    </cfRule>
  </conditionalFormatting>
  <conditionalFormatting sqref="F459">
    <cfRule type="expression" dxfId="2941" priority="5188">
      <formula>$K459&lt;&gt;""</formula>
    </cfRule>
  </conditionalFormatting>
  <conditionalFormatting sqref="C459">
    <cfRule type="expression" dxfId="2940" priority="5187">
      <formula>$G459&lt;&gt;"-"</formula>
    </cfRule>
  </conditionalFormatting>
  <conditionalFormatting sqref="D459">
    <cfRule type="expression" dxfId="2939" priority="5186">
      <formula>$H459&lt;&gt;"-"</formula>
    </cfRule>
  </conditionalFormatting>
  <conditionalFormatting sqref="E459">
    <cfRule type="expression" dxfId="2938" priority="5185">
      <formula>$I459&lt;&gt;"-"</formula>
    </cfRule>
  </conditionalFormatting>
  <conditionalFormatting sqref="B458">
    <cfRule type="expression" dxfId="2937" priority="5182">
      <formula>AD458&lt;&gt;""</formula>
    </cfRule>
  </conditionalFormatting>
  <conditionalFormatting sqref="Z458">
    <cfRule type="cellIs" dxfId="2936" priority="5180" operator="greaterThan">
      <formula>0</formula>
    </cfRule>
    <cfRule type="cellIs" dxfId="2935" priority="5181" operator="lessThan">
      <formula>0</formula>
    </cfRule>
  </conditionalFormatting>
  <conditionalFormatting sqref="S458">
    <cfRule type="cellIs" dxfId="2934" priority="5179" operator="lessThan">
      <formula>0</formula>
    </cfRule>
  </conditionalFormatting>
  <conditionalFormatting sqref="P456">
    <cfRule type="cellIs" dxfId="2933" priority="5169" operator="equal">
      <formula>AS_DURATION_EFFORT</formula>
    </cfRule>
    <cfRule type="cellIs" dxfId="2932" priority="5170" operator="equal">
      <formula>AS_DEV_EFFORT</formula>
    </cfRule>
  </conditionalFormatting>
  <conditionalFormatting sqref="F458">
    <cfRule type="expression" dxfId="2931" priority="5176">
      <formula>$K458&lt;&gt;""</formula>
    </cfRule>
  </conditionalFormatting>
  <conditionalFormatting sqref="C458">
    <cfRule type="expression" dxfId="2930" priority="5175">
      <formula>$G458&lt;&gt;"-"</formula>
    </cfRule>
  </conditionalFormatting>
  <conditionalFormatting sqref="D458">
    <cfRule type="expression" dxfId="2929" priority="5174">
      <formula>$H458&lt;&gt;"-"</formula>
    </cfRule>
  </conditionalFormatting>
  <conditionalFormatting sqref="E458">
    <cfRule type="expression" dxfId="2928" priority="5173">
      <formula>$I458&lt;&gt;"-"</formula>
    </cfRule>
  </conditionalFormatting>
  <conditionalFormatting sqref="P464">
    <cfRule type="cellIs" dxfId="2927" priority="5143" operator="equal">
      <formula>AS_DURATION_EFFORT</formula>
    </cfRule>
    <cfRule type="cellIs" dxfId="2926" priority="5144" operator="equal">
      <formula>AS_DEV_EFFORT</formula>
    </cfRule>
  </conditionalFormatting>
  <conditionalFormatting sqref="P457:P458">
    <cfRule type="cellIs" dxfId="2925" priority="5165" operator="equal">
      <formula>AS_DURATION_EFFORT</formula>
    </cfRule>
    <cfRule type="cellIs" dxfId="2924" priority="5166" operator="equal">
      <formula>AS_DEV_EFFORT</formula>
    </cfRule>
  </conditionalFormatting>
  <conditionalFormatting sqref="T461:T462">
    <cfRule type="expression" dxfId="2923" priority="5162">
      <formula>#REF!="Yes"</formula>
    </cfRule>
  </conditionalFormatting>
  <conditionalFormatting sqref="B461:B462">
    <cfRule type="expression" dxfId="2922" priority="5155">
      <formula>AD461&lt;&gt;""</formula>
    </cfRule>
  </conditionalFormatting>
  <conditionalFormatting sqref="B464">
    <cfRule type="expression" dxfId="2921" priority="5148">
      <formula>AD464&lt;&gt;""</formula>
    </cfRule>
  </conditionalFormatting>
  <conditionalFormatting sqref="Z464">
    <cfRule type="cellIs" dxfId="2920" priority="5146" operator="greaterThan">
      <formula>0</formula>
    </cfRule>
    <cfRule type="cellIs" dxfId="2919" priority="5147" operator="lessThan">
      <formula>0</formula>
    </cfRule>
  </conditionalFormatting>
  <conditionalFormatting sqref="S464">
    <cfRule type="cellIs" dxfId="2918" priority="5145" operator="lessThan">
      <formula>0</formula>
    </cfRule>
  </conditionalFormatting>
  <conditionalFormatting sqref="P463">
    <cfRule type="cellIs" dxfId="2917" priority="5131" operator="equal">
      <formula>AS_DURATION_EFFORT</formula>
    </cfRule>
    <cfRule type="cellIs" dxfId="2916" priority="5132" operator="equal">
      <formula>AS_DEV_EFFORT</formula>
    </cfRule>
  </conditionalFormatting>
  <conditionalFormatting sqref="F464">
    <cfRule type="expression" dxfId="2915" priority="5142">
      <formula>$K464&lt;&gt;""</formula>
    </cfRule>
  </conditionalFormatting>
  <conditionalFormatting sqref="C464">
    <cfRule type="expression" dxfId="2914" priority="5141">
      <formula>$G464&lt;&gt;"-"</formula>
    </cfRule>
  </conditionalFormatting>
  <conditionalFormatting sqref="D464">
    <cfRule type="expression" dxfId="2913" priority="5140">
      <formula>$H464&lt;&gt;"-"</formula>
    </cfRule>
  </conditionalFormatting>
  <conditionalFormatting sqref="E464">
    <cfRule type="expression" dxfId="2912" priority="5139">
      <formula>$I464&lt;&gt;"-"</formula>
    </cfRule>
  </conditionalFormatting>
  <conditionalFormatting sqref="B463">
    <cfRule type="expression" dxfId="2911" priority="5136">
      <formula>AD463&lt;&gt;""</formula>
    </cfRule>
  </conditionalFormatting>
  <conditionalFormatting sqref="Z463">
    <cfRule type="cellIs" dxfId="2910" priority="5134" operator="greaterThan">
      <formula>0</formula>
    </cfRule>
    <cfRule type="cellIs" dxfId="2909" priority="5135" operator="lessThan">
      <formula>0</formula>
    </cfRule>
  </conditionalFormatting>
  <conditionalFormatting sqref="S463">
    <cfRule type="cellIs" dxfId="2908" priority="5133" operator="lessThan">
      <formula>0</formula>
    </cfRule>
  </conditionalFormatting>
  <conditionalFormatting sqref="F463">
    <cfRule type="expression" dxfId="2907" priority="5130">
      <formula>$K463&lt;&gt;""</formula>
    </cfRule>
  </conditionalFormatting>
  <conditionalFormatting sqref="C463">
    <cfRule type="expression" dxfId="2906" priority="5129">
      <formula>$G463&lt;&gt;"-"</formula>
    </cfRule>
  </conditionalFormatting>
  <conditionalFormatting sqref="D463">
    <cfRule type="expression" dxfId="2905" priority="5128">
      <formula>$H463&lt;&gt;"-"</formula>
    </cfRule>
  </conditionalFormatting>
  <conditionalFormatting sqref="E463">
    <cfRule type="expression" dxfId="2904" priority="5127">
      <formula>$I463&lt;&gt;"-"</formula>
    </cfRule>
  </conditionalFormatting>
  <conditionalFormatting sqref="B475">
    <cfRule type="expression" dxfId="2903" priority="5083">
      <formula>AD475&lt;&gt;""</formula>
    </cfRule>
  </conditionalFormatting>
  <conditionalFormatting sqref="Z475">
    <cfRule type="cellIs" dxfId="2902" priority="5081" operator="greaterThan">
      <formula>0</formula>
    </cfRule>
    <cfRule type="cellIs" dxfId="2901" priority="5082" operator="lessThan">
      <formula>0</formula>
    </cfRule>
  </conditionalFormatting>
  <conditionalFormatting sqref="S475">
    <cfRule type="cellIs" dxfId="2900" priority="5080" operator="lessThan">
      <formula>0</formula>
    </cfRule>
  </conditionalFormatting>
  <conditionalFormatting sqref="T473:T474">
    <cfRule type="expression" dxfId="2899" priority="5084">
      <formula>#REF!="Yes"</formula>
    </cfRule>
  </conditionalFormatting>
  <conditionalFormatting sqref="P475">
    <cfRule type="cellIs" dxfId="2898" priority="5078" operator="equal">
      <formula>AS_DURATION_EFFORT</formula>
    </cfRule>
    <cfRule type="cellIs" dxfId="2897" priority="5079" operator="equal">
      <formula>AS_DEV_EFFORT</formula>
    </cfRule>
  </conditionalFormatting>
  <conditionalFormatting sqref="B473:B474">
    <cfRule type="expression" dxfId="2896" priority="5077">
      <formula>AD473&lt;&gt;""</formula>
    </cfRule>
  </conditionalFormatting>
  <conditionalFormatting sqref="F475">
    <cfRule type="expression" dxfId="2895" priority="5076">
      <formula>$K475&lt;&gt;""</formula>
    </cfRule>
  </conditionalFormatting>
  <conditionalFormatting sqref="C475">
    <cfRule type="expression" dxfId="2894" priority="5075">
      <formula>$G475&lt;&gt;"-"</formula>
    </cfRule>
  </conditionalFormatting>
  <conditionalFormatting sqref="D475">
    <cfRule type="expression" dxfId="2893" priority="5074">
      <formula>$H475&lt;&gt;"-"</formula>
    </cfRule>
  </conditionalFormatting>
  <conditionalFormatting sqref="E475">
    <cfRule type="expression" dxfId="2892" priority="5073">
      <formula>$I475&lt;&gt;"-"</formula>
    </cfRule>
  </conditionalFormatting>
  <conditionalFormatting sqref="B476">
    <cfRule type="expression" dxfId="2891" priority="5070">
      <formula>AD476&lt;&gt;""</formula>
    </cfRule>
  </conditionalFormatting>
  <conditionalFormatting sqref="Z476">
    <cfRule type="cellIs" dxfId="2890" priority="5068" operator="greaterThan">
      <formula>0</formula>
    </cfRule>
    <cfRule type="cellIs" dxfId="2889" priority="5069" operator="lessThan">
      <formula>0</formula>
    </cfRule>
  </conditionalFormatting>
  <conditionalFormatting sqref="S476">
    <cfRule type="cellIs" dxfId="2888" priority="5067" operator="lessThan">
      <formula>0</formula>
    </cfRule>
  </conditionalFormatting>
  <conditionalFormatting sqref="P476">
    <cfRule type="cellIs" dxfId="2887" priority="5065" operator="equal">
      <formula>AS_DURATION_EFFORT</formula>
    </cfRule>
    <cfRule type="cellIs" dxfId="2886" priority="5066" operator="equal">
      <formula>AS_DEV_EFFORT</formula>
    </cfRule>
  </conditionalFormatting>
  <conditionalFormatting sqref="F476">
    <cfRule type="expression" dxfId="2885" priority="5064">
      <formula>$K476&lt;&gt;""</formula>
    </cfRule>
  </conditionalFormatting>
  <conditionalFormatting sqref="C476">
    <cfRule type="expression" dxfId="2884" priority="5063">
      <formula>$G476&lt;&gt;"-"</formula>
    </cfRule>
  </conditionalFormatting>
  <conditionalFormatting sqref="D476">
    <cfRule type="expression" dxfId="2883" priority="5062">
      <formula>$H476&lt;&gt;"-"</formula>
    </cfRule>
  </conditionalFormatting>
  <conditionalFormatting sqref="E476">
    <cfRule type="expression" dxfId="2882" priority="5061">
      <formula>$I476&lt;&gt;"-"</formula>
    </cfRule>
  </conditionalFormatting>
  <conditionalFormatting sqref="B480">
    <cfRule type="expression" dxfId="2881" priority="5057">
      <formula>AD480&lt;&gt;""</formula>
    </cfRule>
  </conditionalFormatting>
  <conditionalFormatting sqref="Z480">
    <cfRule type="cellIs" dxfId="2880" priority="5055" operator="greaterThan">
      <formula>0</formula>
    </cfRule>
    <cfRule type="cellIs" dxfId="2879" priority="5056" operator="lessThan">
      <formula>0</formula>
    </cfRule>
  </conditionalFormatting>
  <conditionalFormatting sqref="S480">
    <cfRule type="cellIs" dxfId="2878" priority="5054" operator="lessThan">
      <formula>0</formula>
    </cfRule>
  </conditionalFormatting>
  <conditionalFormatting sqref="T478:T479">
    <cfRule type="expression" dxfId="2877" priority="5058">
      <formula>#REF!="Yes"</formula>
    </cfRule>
  </conditionalFormatting>
  <conditionalFormatting sqref="P480">
    <cfRule type="cellIs" dxfId="2876" priority="5052" operator="equal">
      <formula>AS_DURATION_EFFORT</formula>
    </cfRule>
    <cfRule type="cellIs" dxfId="2875" priority="5053" operator="equal">
      <formula>AS_DEV_EFFORT</formula>
    </cfRule>
  </conditionalFormatting>
  <conditionalFormatting sqref="B478:B479">
    <cfRule type="expression" dxfId="2874" priority="5051">
      <formula>AD478&lt;&gt;""</formula>
    </cfRule>
  </conditionalFormatting>
  <conditionalFormatting sqref="F480">
    <cfRule type="expression" dxfId="2873" priority="5050">
      <formula>$K480&lt;&gt;""</formula>
    </cfRule>
  </conditionalFormatting>
  <conditionalFormatting sqref="C480">
    <cfRule type="expression" dxfId="2872" priority="5049">
      <formula>$G480&lt;&gt;"-"</formula>
    </cfRule>
  </conditionalFormatting>
  <conditionalFormatting sqref="D480">
    <cfRule type="expression" dxfId="2871" priority="5048">
      <formula>$H480&lt;&gt;"-"</formula>
    </cfRule>
  </conditionalFormatting>
  <conditionalFormatting sqref="E480">
    <cfRule type="expression" dxfId="2870" priority="5047">
      <formula>$I480&lt;&gt;"-"</formula>
    </cfRule>
  </conditionalFormatting>
  <conditionalFormatting sqref="B488">
    <cfRule type="expression" dxfId="2869" priority="5019">
      <formula>AD488&lt;&gt;""</formula>
    </cfRule>
  </conditionalFormatting>
  <conditionalFormatting sqref="Z488">
    <cfRule type="cellIs" dxfId="2868" priority="5017" operator="greaterThan">
      <formula>0</formula>
    </cfRule>
    <cfRule type="cellIs" dxfId="2867" priority="5018" operator="lessThan">
      <formula>0</formula>
    </cfRule>
  </conditionalFormatting>
  <conditionalFormatting sqref="S488">
    <cfRule type="cellIs" dxfId="2866" priority="5016" operator="lessThan">
      <formula>0</formula>
    </cfRule>
  </conditionalFormatting>
  <conditionalFormatting sqref="T484:T485">
    <cfRule type="expression" dxfId="2865" priority="5020">
      <formula>#REF!="Yes"</formula>
    </cfRule>
  </conditionalFormatting>
  <conditionalFormatting sqref="P488">
    <cfRule type="cellIs" dxfId="2864" priority="5014" operator="equal">
      <formula>AS_DURATION_EFFORT</formula>
    </cfRule>
    <cfRule type="cellIs" dxfId="2863" priority="5015" operator="equal">
      <formula>AS_DEV_EFFORT</formula>
    </cfRule>
  </conditionalFormatting>
  <conditionalFormatting sqref="B484:B485">
    <cfRule type="expression" dxfId="2862" priority="5013">
      <formula>AD484&lt;&gt;""</formula>
    </cfRule>
  </conditionalFormatting>
  <conditionalFormatting sqref="F488">
    <cfRule type="expression" dxfId="2861" priority="5012">
      <formula>$K488&lt;&gt;""</formula>
    </cfRule>
  </conditionalFormatting>
  <conditionalFormatting sqref="C488">
    <cfRule type="expression" dxfId="2860" priority="5011">
      <formula>$G488&lt;&gt;"-"</formula>
    </cfRule>
  </conditionalFormatting>
  <conditionalFormatting sqref="D488">
    <cfRule type="expression" dxfId="2859" priority="5010">
      <formula>$H488&lt;&gt;"-"</formula>
    </cfRule>
  </conditionalFormatting>
  <conditionalFormatting sqref="E488">
    <cfRule type="expression" dxfId="2858" priority="5009">
      <formula>$I488&lt;&gt;"-"</formula>
    </cfRule>
  </conditionalFormatting>
  <conditionalFormatting sqref="B493">
    <cfRule type="expression" dxfId="2857" priority="4993">
      <formula>AD493&lt;&gt;""</formula>
    </cfRule>
  </conditionalFormatting>
  <conditionalFormatting sqref="Z493">
    <cfRule type="cellIs" dxfId="2856" priority="4991" operator="greaterThan">
      <formula>0</formula>
    </cfRule>
    <cfRule type="cellIs" dxfId="2855" priority="4992" operator="lessThan">
      <formula>0</formula>
    </cfRule>
  </conditionalFormatting>
  <conditionalFormatting sqref="S493">
    <cfRule type="cellIs" dxfId="2854" priority="4990" operator="lessThan">
      <formula>0</formula>
    </cfRule>
  </conditionalFormatting>
  <conditionalFormatting sqref="T491:T492">
    <cfRule type="expression" dxfId="2853" priority="4994">
      <formula>#REF!="Yes"</formula>
    </cfRule>
  </conditionalFormatting>
  <conditionalFormatting sqref="P493">
    <cfRule type="cellIs" dxfId="2852" priority="4988" operator="equal">
      <formula>AS_DURATION_EFFORT</formula>
    </cfRule>
    <cfRule type="cellIs" dxfId="2851" priority="4989" operator="equal">
      <formula>AS_DEV_EFFORT</formula>
    </cfRule>
  </conditionalFormatting>
  <conditionalFormatting sqref="B491:B492">
    <cfRule type="expression" dxfId="2850" priority="4987">
      <formula>AD491&lt;&gt;""</formula>
    </cfRule>
  </conditionalFormatting>
  <conditionalFormatting sqref="F493">
    <cfRule type="expression" dxfId="2849" priority="4986">
      <formula>$K493&lt;&gt;""</formula>
    </cfRule>
  </conditionalFormatting>
  <conditionalFormatting sqref="C493">
    <cfRule type="expression" dxfId="2848" priority="4985">
      <formula>$G493&lt;&gt;"-"</formula>
    </cfRule>
  </conditionalFormatting>
  <conditionalFormatting sqref="D493">
    <cfRule type="expression" dxfId="2847" priority="4984">
      <formula>$H493&lt;&gt;"-"</formula>
    </cfRule>
  </conditionalFormatting>
  <conditionalFormatting sqref="E493">
    <cfRule type="expression" dxfId="2846" priority="4983">
      <formula>$I493&lt;&gt;"-"</formula>
    </cfRule>
  </conditionalFormatting>
  <conditionalFormatting sqref="B496">
    <cfRule type="expression" dxfId="2845" priority="4980">
      <formula>AD496&lt;&gt;""</formula>
    </cfRule>
  </conditionalFormatting>
  <conditionalFormatting sqref="Z496">
    <cfRule type="cellIs" dxfId="2844" priority="4978" operator="greaterThan">
      <formula>0</formula>
    </cfRule>
    <cfRule type="cellIs" dxfId="2843" priority="4979" operator="lessThan">
      <formula>0</formula>
    </cfRule>
  </conditionalFormatting>
  <conditionalFormatting sqref="S496">
    <cfRule type="cellIs" dxfId="2842" priority="4977" operator="lessThan">
      <formula>0</formula>
    </cfRule>
  </conditionalFormatting>
  <conditionalFormatting sqref="P496">
    <cfRule type="cellIs" dxfId="2841" priority="4975" operator="equal">
      <formula>AS_DURATION_EFFORT</formula>
    </cfRule>
    <cfRule type="cellIs" dxfId="2840" priority="4976" operator="equal">
      <formula>AS_DEV_EFFORT</formula>
    </cfRule>
  </conditionalFormatting>
  <conditionalFormatting sqref="F496">
    <cfRule type="expression" dxfId="2839" priority="4974">
      <formula>$K496&lt;&gt;""</formula>
    </cfRule>
  </conditionalFormatting>
  <conditionalFormatting sqref="C496">
    <cfRule type="expression" dxfId="2838" priority="4973">
      <formula>$G496&lt;&gt;"-"</formula>
    </cfRule>
  </conditionalFormatting>
  <conditionalFormatting sqref="D496">
    <cfRule type="expression" dxfId="2837" priority="4972">
      <formula>$H496&lt;&gt;"-"</formula>
    </cfRule>
  </conditionalFormatting>
  <conditionalFormatting sqref="E496">
    <cfRule type="expression" dxfId="2836" priority="4971">
      <formula>$I496&lt;&gt;"-"</formula>
    </cfRule>
  </conditionalFormatting>
  <conditionalFormatting sqref="B495">
    <cfRule type="expression" dxfId="2835" priority="4968">
      <formula>AD495&lt;&gt;""</formula>
    </cfRule>
  </conditionalFormatting>
  <conditionalFormatting sqref="Z495">
    <cfRule type="cellIs" dxfId="2834" priority="4966" operator="greaterThan">
      <formula>0</formula>
    </cfRule>
    <cfRule type="cellIs" dxfId="2833" priority="4967" operator="lessThan">
      <formula>0</formula>
    </cfRule>
  </conditionalFormatting>
  <conditionalFormatting sqref="S495">
    <cfRule type="cellIs" dxfId="2832" priority="4965" operator="lessThan">
      <formula>0</formula>
    </cfRule>
  </conditionalFormatting>
  <conditionalFormatting sqref="P495">
    <cfRule type="cellIs" dxfId="2831" priority="4963" operator="equal">
      <formula>AS_DURATION_EFFORT</formula>
    </cfRule>
    <cfRule type="cellIs" dxfId="2830" priority="4964" operator="equal">
      <formula>AS_DEV_EFFORT</formula>
    </cfRule>
  </conditionalFormatting>
  <conditionalFormatting sqref="F495">
    <cfRule type="expression" dxfId="2829" priority="4962">
      <formula>$K495&lt;&gt;""</formula>
    </cfRule>
  </conditionalFormatting>
  <conditionalFormatting sqref="C495">
    <cfRule type="expression" dxfId="2828" priority="4961">
      <formula>$G495&lt;&gt;"-"</formula>
    </cfRule>
  </conditionalFormatting>
  <conditionalFormatting sqref="D495">
    <cfRule type="expression" dxfId="2827" priority="4960">
      <formula>$H495&lt;&gt;"-"</formula>
    </cfRule>
  </conditionalFormatting>
  <conditionalFormatting sqref="E495">
    <cfRule type="expression" dxfId="2826" priority="4959">
      <formula>$I495&lt;&gt;"-"</formula>
    </cfRule>
  </conditionalFormatting>
  <conditionalFormatting sqref="B494">
    <cfRule type="expression" dxfId="2825" priority="4956">
      <formula>AD494&lt;&gt;""</formula>
    </cfRule>
  </conditionalFormatting>
  <conditionalFormatting sqref="Z494">
    <cfRule type="cellIs" dxfId="2824" priority="4954" operator="greaterThan">
      <formula>0</formula>
    </cfRule>
    <cfRule type="cellIs" dxfId="2823" priority="4955" operator="lessThan">
      <formula>0</formula>
    </cfRule>
  </conditionalFormatting>
  <conditionalFormatting sqref="S494">
    <cfRule type="cellIs" dxfId="2822" priority="4953" operator="lessThan">
      <formula>0</formula>
    </cfRule>
  </conditionalFormatting>
  <conditionalFormatting sqref="P494">
    <cfRule type="cellIs" dxfId="2821" priority="4951" operator="equal">
      <formula>AS_DURATION_EFFORT</formula>
    </cfRule>
    <cfRule type="cellIs" dxfId="2820" priority="4952" operator="equal">
      <formula>AS_DEV_EFFORT</formula>
    </cfRule>
  </conditionalFormatting>
  <conditionalFormatting sqref="F494">
    <cfRule type="expression" dxfId="2819" priority="4950">
      <formula>$K494&lt;&gt;""</formula>
    </cfRule>
  </conditionalFormatting>
  <conditionalFormatting sqref="C494">
    <cfRule type="expression" dxfId="2818" priority="4949">
      <formula>$G494&lt;&gt;"-"</formula>
    </cfRule>
  </conditionalFormatting>
  <conditionalFormatting sqref="D494">
    <cfRule type="expression" dxfId="2817" priority="4948">
      <formula>$H494&lt;&gt;"-"</formula>
    </cfRule>
  </conditionalFormatting>
  <conditionalFormatting sqref="E494">
    <cfRule type="expression" dxfId="2816" priority="4947">
      <formula>$I494&lt;&gt;"-"</formula>
    </cfRule>
  </conditionalFormatting>
  <conditionalFormatting sqref="B503">
    <cfRule type="expression" dxfId="2815" priority="4937">
      <formula>AD503&lt;&gt;""</formula>
    </cfRule>
  </conditionalFormatting>
  <conditionalFormatting sqref="Z503">
    <cfRule type="cellIs" dxfId="2814" priority="4935" operator="greaterThan">
      <formula>0</formula>
    </cfRule>
    <cfRule type="cellIs" dxfId="2813" priority="4936" operator="lessThan">
      <formula>0</formula>
    </cfRule>
  </conditionalFormatting>
  <conditionalFormatting sqref="S503">
    <cfRule type="cellIs" dxfId="2812" priority="4934" operator="lessThan">
      <formula>0</formula>
    </cfRule>
  </conditionalFormatting>
  <conditionalFormatting sqref="T501:T502">
    <cfRule type="expression" dxfId="2811" priority="4938">
      <formula>#REF!="Yes"</formula>
    </cfRule>
  </conditionalFormatting>
  <conditionalFormatting sqref="P503">
    <cfRule type="cellIs" dxfId="2810" priority="4932" operator="equal">
      <formula>AS_DURATION_EFFORT</formula>
    </cfRule>
    <cfRule type="cellIs" dxfId="2809" priority="4933" operator="equal">
      <formula>AS_DEV_EFFORT</formula>
    </cfRule>
  </conditionalFormatting>
  <conditionalFormatting sqref="B501:B502">
    <cfRule type="expression" dxfId="2808" priority="4931">
      <formula>AD501&lt;&gt;""</formula>
    </cfRule>
  </conditionalFormatting>
  <conditionalFormatting sqref="F503">
    <cfRule type="expression" dxfId="2807" priority="4930">
      <formula>$K503&lt;&gt;""</formula>
    </cfRule>
  </conditionalFormatting>
  <conditionalFormatting sqref="C503">
    <cfRule type="expression" dxfId="2806" priority="4929">
      <formula>$G503&lt;&gt;"-"</formula>
    </cfRule>
  </conditionalFormatting>
  <conditionalFormatting sqref="D503">
    <cfRule type="expression" dxfId="2805" priority="4928">
      <formula>$H503&lt;&gt;"-"</formula>
    </cfRule>
  </conditionalFormatting>
  <conditionalFormatting sqref="E503">
    <cfRule type="expression" dxfId="2804" priority="4927">
      <formula>$I503&lt;&gt;"-"</formula>
    </cfRule>
  </conditionalFormatting>
  <conditionalFormatting sqref="B18">
    <cfRule type="expression" dxfId="2803" priority="3984">
      <formula>AD18&lt;&gt;""</formula>
    </cfRule>
  </conditionalFormatting>
  <conditionalFormatting sqref="Z18">
    <cfRule type="cellIs" dxfId="2802" priority="3982" operator="greaterThan">
      <formula>0</formula>
    </cfRule>
    <cfRule type="cellIs" dxfId="2801" priority="3983" operator="lessThan">
      <formula>0</formula>
    </cfRule>
  </conditionalFormatting>
  <conditionalFormatting sqref="S18">
    <cfRule type="cellIs" dxfId="2800" priority="3981" operator="lessThan">
      <formula>0</formula>
    </cfRule>
  </conditionalFormatting>
  <conditionalFormatting sqref="L18:M18 O18 R18:AC18">
    <cfRule type="expression" dxfId="2799" priority="3985">
      <formula>AND($G18="Yes", $S$6="Exclude")</formula>
    </cfRule>
    <cfRule type="expression" dxfId="2798" priority="3986">
      <formula>$J18="Yes"</formula>
    </cfRule>
  </conditionalFormatting>
  <conditionalFormatting sqref="F18">
    <cfRule type="expression" dxfId="2797" priority="3978">
      <formula>$K18&lt;&gt;""</formula>
    </cfRule>
  </conditionalFormatting>
  <conditionalFormatting sqref="C18">
    <cfRule type="expression" dxfId="2796" priority="3977">
      <formula>$G18&lt;&gt;"-"</formula>
    </cfRule>
  </conditionalFormatting>
  <conditionalFormatting sqref="D18">
    <cfRule type="expression" dxfId="2795" priority="3976">
      <formula>$H18&lt;&gt;"-"</formula>
    </cfRule>
  </conditionalFormatting>
  <conditionalFormatting sqref="E18">
    <cfRule type="expression" dxfId="2794" priority="3975">
      <formula>$I18&lt;&gt;"-"</formula>
    </cfRule>
  </conditionalFormatting>
  <conditionalFormatting sqref="B28">
    <cfRule type="expression" dxfId="2793" priority="3971">
      <formula>AD28&lt;&gt;""</formula>
    </cfRule>
  </conditionalFormatting>
  <conditionalFormatting sqref="Z28">
    <cfRule type="cellIs" dxfId="2792" priority="3969" operator="greaterThan">
      <formula>0</formula>
    </cfRule>
    <cfRule type="cellIs" dxfId="2791" priority="3970" operator="lessThan">
      <formula>0</formula>
    </cfRule>
  </conditionalFormatting>
  <conditionalFormatting sqref="S28">
    <cfRule type="cellIs" dxfId="2790" priority="3968" operator="lessThan">
      <formula>0</formula>
    </cfRule>
  </conditionalFormatting>
  <conditionalFormatting sqref="T26:T27">
    <cfRule type="expression" dxfId="2789" priority="3972">
      <formula>#REF!="Yes"</formula>
    </cfRule>
  </conditionalFormatting>
  <conditionalFormatting sqref="P28">
    <cfRule type="cellIs" dxfId="2788" priority="3966" operator="equal">
      <formula>AS_DURATION_EFFORT</formula>
    </cfRule>
    <cfRule type="cellIs" dxfId="2787" priority="3967" operator="equal">
      <formula>AS_DEV_EFFORT</formula>
    </cfRule>
  </conditionalFormatting>
  <conditionalFormatting sqref="B26:B27">
    <cfRule type="expression" dxfId="2786" priority="3965">
      <formula>AD26&lt;&gt;""</formula>
    </cfRule>
  </conditionalFormatting>
  <conditionalFormatting sqref="F28">
    <cfRule type="expression" dxfId="2785" priority="3964">
      <formula>$K28&lt;&gt;""</formula>
    </cfRule>
  </conditionalFormatting>
  <conditionalFormatting sqref="C28">
    <cfRule type="expression" dxfId="2784" priority="3963">
      <formula>$G28&lt;&gt;"-"</formula>
    </cfRule>
  </conditionalFormatting>
  <conditionalFormatting sqref="D28">
    <cfRule type="expression" dxfId="2783" priority="3962">
      <formula>$H28&lt;&gt;"-"</formula>
    </cfRule>
  </conditionalFormatting>
  <conditionalFormatting sqref="E28">
    <cfRule type="expression" dxfId="2782" priority="3961">
      <formula>$I28&lt;&gt;"-"</formula>
    </cfRule>
  </conditionalFormatting>
  <conditionalFormatting sqref="B35">
    <cfRule type="expression" dxfId="2781" priority="3957">
      <formula>AD35&lt;&gt;""</formula>
    </cfRule>
  </conditionalFormatting>
  <conditionalFormatting sqref="Z35">
    <cfRule type="cellIs" dxfId="2780" priority="3955" operator="greaterThan">
      <formula>0</formula>
    </cfRule>
    <cfRule type="cellIs" dxfId="2779" priority="3956" operator="lessThan">
      <formula>0</formula>
    </cfRule>
  </conditionalFormatting>
  <conditionalFormatting sqref="S35">
    <cfRule type="cellIs" dxfId="2778" priority="3954" operator="lessThan">
      <formula>0</formula>
    </cfRule>
  </conditionalFormatting>
  <conditionalFormatting sqref="T33:T34">
    <cfRule type="expression" dxfId="2777" priority="3958">
      <formula>#REF!="Yes"</formula>
    </cfRule>
  </conditionalFormatting>
  <conditionalFormatting sqref="P35">
    <cfRule type="cellIs" dxfId="2776" priority="3952" operator="equal">
      <formula>AS_DURATION_EFFORT</formula>
    </cfRule>
    <cfRule type="cellIs" dxfId="2775" priority="3953" operator="equal">
      <formula>AS_DEV_EFFORT</formula>
    </cfRule>
  </conditionalFormatting>
  <conditionalFormatting sqref="B33:B34">
    <cfRule type="expression" dxfId="2774" priority="3951">
      <formula>AD33&lt;&gt;""</formula>
    </cfRule>
  </conditionalFormatting>
  <conditionalFormatting sqref="F35">
    <cfRule type="expression" dxfId="2773" priority="3950">
      <formula>$K35&lt;&gt;""</formula>
    </cfRule>
  </conditionalFormatting>
  <conditionalFormatting sqref="C35">
    <cfRule type="expression" dxfId="2772" priority="3949">
      <formula>$G35&lt;&gt;"-"</formula>
    </cfRule>
  </conditionalFormatting>
  <conditionalFormatting sqref="D35">
    <cfRule type="expression" dxfId="2771" priority="3948">
      <formula>$H35&lt;&gt;"-"</formula>
    </cfRule>
  </conditionalFormatting>
  <conditionalFormatting sqref="E35">
    <cfRule type="expression" dxfId="2770" priority="3947">
      <formula>$I35&lt;&gt;"-"</formula>
    </cfRule>
  </conditionalFormatting>
  <conditionalFormatting sqref="B43">
    <cfRule type="expression" dxfId="2769" priority="3943">
      <formula>AD43&lt;&gt;""</formula>
    </cfRule>
  </conditionalFormatting>
  <conditionalFormatting sqref="Z43">
    <cfRule type="cellIs" dxfId="2768" priority="3941" operator="greaterThan">
      <formula>0</formula>
    </cfRule>
    <cfRule type="cellIs" dxfId="2767" priority="3942" operator="lessThan">
      <formula>0</formula>
    </cfRule>
  </conditionalFormatting>
  <conditionalFormatting sqref="S43">
    <cfRule type="cellIs" dxfId="2766" priority="3940" operator="lessThan">
      <formula>0</formula>
    </cfRule>
  </conditionalFormatting>
  <conditionalFormatting sqref="T41:T42">
    <cfRule type="expression" dxfId="2765" priority="3944">
      <formula>#REF!="Yes"</formula>
    </cfRule>
  </conditionalFormatting>
  <conditionalFormatting sqref="P43">
    <cfRule type="cellIs" dxfId="2764" priority="3938" operator="equal">
      <formula>AS_DURATION_EFFORT</formula>
    </cfRule>
    <cfRule type="cellIs" dxfId="2763" priority="3939" operator="equal">
      <formula>AS_DEV_EFFORT</formula>
    </cfRule>
  </conditionalFormatting>
  <conditionalFormatting sqref="B41:B42">
    <cfRule type="expression" dxfId="2762" priority="3937">
      <formula>AD41&lt;&gt;""</formula>
    </cfRule>
  </conditionalFormatting>
  <conditionalFormatting sqref="F43">
    <cfRule type="expression" dxfId="2761" priority="3936">
      <formula>$K43&lt;&gt;""</formula>
    </cfRule>
  </conditionalFormatting>
  <conditionalFormatting sqref="C43">
    <cfRule type="expression" dxfId="2760" priority="3935">
      <formula>$G43&lt;&gt;"-"</formula>
    </cfRule>
  </conditionalFormatting>
  <conditionalFormatting sqref="D43">
    <cfRule type="expression" dxfId="2759" priority="3934">
      <formula>$H43&lt;&gt;"-"</formula>
    </cfRule>
  </conditionalFormatting>
  <conditionalFormatting sqref="E43">
    <cfRule type="expression" dxfId="2758" priority="3933">
      <formula>$I43&lt;&gt;"-"</formula>
    </cfRule>
  </conditionalFormatting>
  <conditionalFormatting sqref="B49">
    <cfRule type="expression" dxfId="2757" priority="3929">
      <formula>AD49&lt;&gt;""</formula>
    </cfRule>
  </conditionalFormatting>
  <conditionalFormatting sqref="Z49">
    <cfRule type="cellIs" dxfId="2756" priority="3927" operator="greaterThan">
      <formula>0</formula>
    </cfRule>
    <cfRule type="cellIs" dxfId="2755" priority="3928" operator="lessThan">
      <formula>0</formula>
    </cfRule>
  </conditionalFormatting>
  <conditionalFormatting sqref="S49">
    <cfRule type="cellIs" dxfId="2754" priority="3926" operator="lessThan">
      <formula>0</formula>
    </cfRule>
  </conditionalFormatting>
  <conditionalFormatting sqref="T47:T48">
    <cfRule type="expression" dxfId="2753" priority="3930">
      <formula>#REF!="Yes"</formula>
    </cfRule>
  </conditionalFormatting>
  <conditionalFormatting sqref="P49">
    <cfRule type="cellIs" dxfId="2752" priority="3924" operator="equal">
      <formula>AS_DURATION_EFFORT</formula>
    </cfRule>
    <cfRule type="cellIs" dxfId="2751" priority="3925" operator="equal">
      <formula>AS_DEV_EFFORT</formula>
    </cfRule>
  </conditionalFormatting>
  <conditionalFormatting sqref="B47:B48">
    <cfRule type="expression" dxfId="2750" priority="3923">
      <formula>AD47&lt;&gt;""</formula>
    </cfRule>
  </conditionalFormatting>
  <conditionalFormatting sqref="F49">
    <cfRule type="expression" dxfId="2749" priority="3922">
      <formula>$K49&lt;&gt;""</formula>
    </cfRule>
  </conditionalFormatting>
  <conditionalFormatting sqref="C49">
    <cfRule type="expression" dxfId="2748" priority="3921">
      <formula>$G49&lt;&gt;"-"</formula>
    </cfRule>
  </conditionalFormatting>
  <conditionalFormatting sqref="D49">
    <cfRule type="expression" dxfId="2747" priority="3920">
      <formula>$H49&lt;&gt;"-"</formula>
    </cfRule>
  </conditionalFormatting>
  <conditionalFormatting sqref="E49">
    <cfRule type="expression" dxfId="2746" priority="3919">
      <formula>$I49&lt;&gt;"-"</formula>
    </cfRule>
  </conditionalFormatting>
  <conditionalFormatting sqref="B58">
    <cfRule type="expression" dxfId="2745" priority="3915">
      <formula>AD58&lt;&gt;""</formula>
    </cfRule>
  </conditionalFormatting>
  <conditionalFormatting sqref="Z58">
    <cfRule type="cellIs" dxfId="2744" priority="3913" operator="greaterThan">
      <formula>0</formula>
    </cfRule>
    <cfRule type="cellIs" dxfId="2743" priority="3914" operator="lessThan">
      <formula>0</formula>
    </cfRule>
  </conditionalFormatting>
  <conditionalFormatting sqref="S58">
    <cfRule type="cellIs" dxfId="2742" priority="3912" operator="lessThan">
      <formula>0</formula>
    </cfRule>
  </conditionalFormatting>
  <conditionalFormatting sqref="T56:T57">
    <cfRule type="expression" dxfId="2741" priority="3916">
      <formula>#REF!="Yes"</formula>
    </cfRule>
  </conditionalFormatting>
  <conditionalFormatting sqref="P58">
    <cfRule type="cellIs" dxfId="2740" priority="3910" operator="equal">
      <formula>AS_DURATION_EFFORT</formula>
    </cfRule>
    <cfRule type="cellIs" dxfId="2739" priority="3911" operator="equal">
      <formula>AS_DEV_EFFORT</formula>
    </cfRule>
  </conditionalFormatting>
  <conditionalFormatting sqref="B56:B57">
    <cfRule type="expression" dxfId="2738" priority="3909">
      <formula>AD56&lt;&gt;""</formula>
    </cfRule>
  </conditionalFormatting>
  <conditionalFormatting sqref="F58">
    <cfRule type="expression" dxfId="2737" priority="3908">
      <formula>$K58&lt;&gt;""</formula>
    </cfRule>
  </conditionalFormatting>
  <conditionalFormatting sqref="C58">
    <cfRule type="expression" dxfId="2736" priority="3907">
      <formula>$G58&lt;&gt;"-"</formula>
    </cfRule>
  </conditionalFormatting>
  <conditionalFormatting sqref="D58">
    <cfRule type="expression" dxfId="2735" priority="3906">
      <formula>$H58&lt;&gt;"-"</formula>
    </cfRule>
  </conditionalFormatting>
  <conditionalFormatting sqref="E58">
    <cfRule type="expression" dxfId="2734" priority="3905">
      <formula>$I58&lt;&gt;"-"</formula>
    </cfRule>
  </conditionalFormatting>
  <conditionalFormatting sqref="N18">
    <cfRule type="expression" dxfId="2733" priority="3903">
      <formula>AND($G18="Yes", $S$6="Exclude")</formula>
    </cfRule>
    <cfRule type="expression" dxfId="2732" priority="3904">
      <formula>$J18="Yes"</formula>
    </cfRule>
  </conditionalFormatting>
  <conditionalFormatting sqref="P18">
    <cfRule type="cellIs" dxfId="2731" priority="3899" operator="equal">
      <formula>AS_DURATION_EFFORT</formula>
    </cfRule>
    <cfRule type="cellIs" dxfId="2730" priority="3900" operator="equal">
      <formula>AS_DEV_EFFORT</formula>
    </cfRule>
  </conditionalFormatting>
  <conditionalFormatting sqref="P18:Q18">
    <cfRule type="expression" dxfId="2729" priority="3901">
      <formula>AND($G18="Yes", $S$6="Exclude")</formula>
    </cfRule>
    <cfRule type="expression" dxfId="2728" priority="3902">
      <formula>$J18="Yes"</formula>
    </cfRule>
  </conditionalFormatting>
  <conditionalFormatting sqref="B22">
    <cfRule type="expression" dxfId="2727" priority="3896">
      <formula>AD22&lt;&gt;""</formula>
    </cfRule>
  </conditionalFormatting>
  <conditionalFormatting sqref="Z22">
    <cfRule type="cellIs" dxfId="2726" priority="3894" operator="greaterThan">
      <formula>0</formula>
    </cfRule>
    <cfRule type="cellIs" dxfId="2725" priority="3895" operator="lessThan">
      <formula>0</formula>
    </cfRule>
  </conditionalFormatting>
  <conditionalFormatting sqref="S22">
    <cfRule type="cellIs" dxfId="2724" priority="3893" operator="lessThan">
      <formula>0</formula>
    </cfRule>
  </conditionalFormatting>
  <conditionalFormatting sqref="P22">
    <cfRule type="cellIs" dxfId="2723" priority="3891" operator="equal">
      <formula>AS_DURATION_EFFORT</formula>
    </cfRule>
    <cfRule type="cellIs" dxfId="2722" priority="3892" operator="equal">
      <formula>AS_DEV_EFFORT</formula>
    </cfRule>
  </conditionalFormatting>
  <conditionalFormatting sqref="L22:M22 O22:AC22">
    <cfRule type="expression" dxfId="2721" priority="3897">
      <formula>AND($G22="Yes", $S$6="Exclude")</formula>
    </cfRule>
    <cfRule type="expression" dxfId="2720" priority="3898">
      <formula>$J22="Yes"</formula>
    </cfRule>
  </conditionalFormatting>
  <conditionalFormatting sqref="F22">
    <cfRule type="expression" dxfId="2719" priority="3890">
      <formula>$K22&lt;&gt;""</formula>
    </cfRule>
  </conditionalFormatting>
  <conditionalFormatting sqref="C22">
    <cfRule type="expression" dxfId="2718" priority="3889">
      <formula>$G22&lt;&gt;"-"</formula>
    </cfRule>
  </conditionalFormatting>
  <conditionalFormatting sqref="D22">
    <cfRule type="expression" dxfId="2717" priority="3888">
      <formula>$H22&lt;&gt;"-"</formula>
    </cfRule>
  </conditionalFormatting>
  <conditionalFormatting sqref="E22">
    <cfRule type="expression" dxfId="2716" priority="3887">
      <formula>$I22&lt;&gt;"-"</formula>
    </cfRule>
  </conditionalFormatting>
  <conditionalFormatting sqref="N22">
    <cfRule type="expression" dxfId="2715" priority="3885">
      <formula>AND($G22="Yes", $S$6="Exclude")</formula>
    </cfRule>
    <cfRule type="expression" dxfId="2714" priority="3886">
      <formula>$J22="Yes"</formula>
    </cfRule>
  </conditionalFormatting>
  <conditionalFormatting sqref="B31">
    <cfRule type="expression" dxfId="2713" priority="3882">
      <formula>AD31&lt;&gt;""</formula>
    </cfRule>
  </conditionalFormatting>
  <conditionalFormatting sqref="Z31">
    <cfRule type="cellIs" dxfId="2712" priority="3880" operator="greaterThan">
      <formula>0</formula>
    </cfRule>
    <cfRule type="cellIs" dxfId="2711" priority="3881" operator="lessThan">
      <formula>0</formula>
    </cfRule>
  </conditionalFormatting>
  <conditionalFormatting sqref="S31">
    <cfRule type="cellIs" dxfId="2710" priority="3879" operator="lessThan">
      <formula>0</formula>
    </cfRule>
  </conditionalFormatting>
  <conditionalFormatting sqref="P31">
    <cfRule type="cellIs" dxfId="2709" priority="3877" operator="equal">
      <formula>AS_DURATION_EFFORT</formula>
    </cfRule>
    <cfRule type="cellIs" dxfId="2708" priority="3878" operator="equal">
      <formula>AS_DEV_EFFORT</formula>
    </cfRule>
  </conditionalFormatting>
  <conditionalFormatting sqref="L31:M31 O31:AC31">
    <cfRule type="expression" dxfId="2707" priority="3883">
      <formula>AND($G31="Yes", $S$6="Exclude")</formula>
    </cfRule>
    <cfRule type="expression" dxfId="2706" priority="3884">
      <formula>$J31="Yes"</formula>
    </cfRule>
  </conditionalFormatting>
  <conditionalFormatting sqref="F31">
    <cfRule type="expression" dxfId="2705" priority="3876">
      <formula>$K31&lt;&gt;""</formula>
    </cfRule>
  </conditionalFormatting>
  <conditionalFormatting sqref="C31">
    <cfRule type="expression" dxfId="2704" priority="3875">
      <formula>$G31&lt;&gt;"-"</formula>
    </cfRule>
  </conditionalFormatting>
  <conditionalFormatting sqref="D31">
    <cfRule type="expression" dxfId="2703" priority="3874">
      <formula>$H31&lt;&gt;"-"</formula>
    </cfRule>
  </conditionalFormatting>
  <conditionalFormatting sqref="E31">
    <cfRule type="expression" dxfId="2702" priority="3873">
      <formula>$I31&lt;&gt;"-"</formula>
    </cfRule>
  </conditionalFormatting>
  <conditionalFormatting sqref="B30">
    <cfRule type="expression" dxfId="2701" priority="3870">
      <formula>AD30&lt;&gt;""</formula>
    </cfRule>
  </conditionalFormatting>
  <conditionalFormatting sqref="Z30">
    <cfRule type="cellIs" dxfId="2700" priority="3868" operator="greaterThan">
      <formula>0</formula>
    </cfRule>
    <cfRule type="cellIs" dxfId="2699" priority="3869" operator="lessThan">
      <formula>0</formula>
    </cfRule>
  </conditionalFormatting>
  <conditionalFormatting sqref="S30">
    <cfRule type="cellIs" dxfId="2698" priority="3867" operator="lessThan">
      <formula>0</formula>
    </cfRule>
  </conditionalFormatting>
  <conditionalFormatting sqref="P30">
    <cfRule type="cellIs" dxfId="2697" priority="3865" operator="equal">
      <formula>AS_DURATION_EFFORT</formula>
    </cfRule>
    <cfRule type="cellIs" dxfId="2696" priority="3866" operator="equal">
      <formula>AS_DEV_EFFORT</formula>
    </cfRule>
  </conditionalFormatting>
  <conditionalFormatting sqref="L30:M30 P30:AC30">
    <cfRule type="expression" dxfId="2695" priority="3871">
      <formula>AND($G30="Yes", $S$6="Exclude")</formula>
    </cfRule>
    <cfRule type="expression" dxfId="2694" priority="3872">
      <formula>$J30="Yes"</formula>
    </cfRule>
  </conditionalFormatting>
  <conditionalFormatting sqref="F30">
    <cfRule type="expression" dxfId="2693" priority="3864">
      <formula>$K30&lt;&gt;""</formula>
    </cfRule>
  </conditionalFormatting>
  <conditionalFormatting sqref="C30">
    <cfRule type="expression" dxfId="2692" priority="3863">
      <formula>$G30&lt;&gt;"-"</formula>
    </cfRule>
  </conditionalFormatting>
  <conditionalFormatting sqref="D30">
    <cfRule type="expression" dxfId="2691" priority="3862">
      <formula>$H30&lt;&gt;"-"</formula>
    </cfRule>
  </conditionalFormatting>
  <conditionalFormatting sqref="E30">
    <cfRule type="expression" dxfId="2690" priority="3861">
      <formula>$I30&lt;&gt;"-"</formula>
    </cfRule>
  </conditionalFormatting>
  <conditionalFormatting sqref="B29">
    <cfRule type="expression" dxfId="2689" priority="3858">
      <formula>AD29&lt;&gt;""</formula>
    </cfRule>
  </conditionalFormatting>
  <conditionalFormatting sqref="Z29">
    <cfRule type="cellIs" dxfId="2688" priority="3856" operator="greaterThan">
      <formula>0</formula>
    </cfRule>
    <cfRule type="cellIs" dxfId="2687" priority="3857" operator="lessThan">
      <formula>0</formula>
    </cfRule>
  </conditionalFormatting>
  <conditionalFormatting sqref="S29">
    <cfRule type="cellIs" dxfId="2686" priority="3855" operator="lessThan">
      <formula>0</formula>
    </cfRule>
  </conditionalFormatting>
  <conditionalFormatting sqref="P29">
    <cfRule type="cellIs" dxfId="2685" priority="3853" operator="equal">
      <formula>AS_DURATION_EFFORT</formula>
    </cfRule>
    <cfRule type="cellIs" dxfId="2684" priority="3854" operator="equal">
      <formula>AS_DEV_EFFORT</formula>
    </cfRule>
  </conditionalFormatting>
  <conditionalFormatting sqref="L29:M29 P29:AC29">
    <cfRule type="expression" dxfId="2683" priority="3859">
      <formula>AND($G29="Yes", $S$6="Exclude")</formula>
    </cfRule>
    <cfRule type="expression" dxfId="2682" priority="3860">
      <formula>$J29="Yes"</formula>
    </cfRule>
  </conditionalFormatting>
  <conditionalFormatting sqref="F29">
    <cfRule type="expression" dxfId="2681" priority="3852">
      <formula>$K29&lt;&gt;""</formula>
    </cfRule>
  </conditionalFormatting>
  <conditionalFormatting sqref="C29">
    <cfRule type="expression" dxfId="2680" priority="3851">
      <formula>$G29&lt;&gt;"-"</formula>
    </cfRule>
  </conditionalFormatting>
  <conditionalFormatting sqref="D29">
    <cfRule type="expression" dxfId="2679" priority="3850">
      <formula>$H29&lt;&gt;"-"</formula>
    </cfRule>
  </conditionalFormatting>
  <conditionalFormatting sqref="E29">
    <cfRule type="expression" dxfId="2678" priority="3849">
      <formula>$I29&lt;&gt;"-"</formula>
    </cfRule>
  </conditionalFormatting>
  <conditionalFormatting sqref="N30:N31">
    <cfRule type="expression" dxfId="2677" priority="3847">
      <formula>AND($G30="Yes", $S$6="Exclude")</formula>
    </cfRule>
    <cfRule type="expression" dxfId="2676" priority="3848">
      <formula>$J30="Yes"</formula>
    </cfRule>
  </conditionalFormatting>
  <conditionalFormatting sqref="N28">
    <cfRule type="expression" dxfId="2675" priority="3845">
      <formula>AND($G28="Yes", $S$6="Exclude")</formula>
    </cfRule>
    <cfRule type="expression" dxfId="2674" priority="3846">
      <formula>$J28="Yes"</formula>
    </cfRule>
  </conditionalFormatting>
  <conditionalFormatting sqref="N29">
    <cfRule type="expression" dxfId="2673" priority="3843">
      <formula>AND($G29="Yes", $S$6="Exclude")</formula>
    </cfRule>
    <cfRule type="expression" dxfId="2672" priority="3844">
      <formula>$J29="Yes"</formula>
    </cfRule>
  </conditionalFormatting>
  <conditionalFormatting sqref="O30">
    <cfRule type="expression" dxfId="2671" priority="3841">
      <formula>AND($G30="Yes", $S$6="Exclude")</formula>
    </cfRule>
    <cfRule type="expression" dxfId="2670" priority="3842">
      <formula>$J30="Yes"</formula>
    </cfRule>
  </conditionalFormatting>
  <conditionalFormatting sqref="O29">
    <cfRule type="expression" dxfId="2669" priority="3839">
      <formula>AND($G29="Yes", $S$6="Exclude")</formula>
    </cfRule>
    <cfRule type="expression" dxfId="2668" priority="3840">
      <formula>$J29="Yes"</formula>
    </cfRule>
  </conditionalFormatting>
  <conditionalFormatting sqref="B39">
    <cfRule type="expression" dxfId="2667" priority="3836">
      <formula>AD39&lt;&gt;""</formula>
    </cfRule>
  </conditionalFormatting>
  <conditionalFormatting sqref="Z39">
    <cfRule type="cellIs" dxfId="2666" priority="3834" operator="greaterThan">
      <formula>0</formula>
    </cfRule>
    <cfRule type="cellIs" dxfId="2665" priority="3835" operator="lessThan">
      <formula>0</formula>
    </cfRule>
  </conditionalFormatting>
  <conditionalFormatting sqref="S39">
    <cfRule type="cellIs" dxfId="2664" priority="3833" operator="lessThan">
      <formula>0</formula>
    </cfRule>
  </conditionalFormatting>
  <conditionalFormatting sqref="P39">
    <cfRule type="cellIs" dxfId="2663" priority="3831" operator="equal">
      <formula>AS_DURATION_EFFORT</formula>
    </cfRule>
    <cfRule type="cellIs" dxfId="2662" priority="3832" operator="equal">
      <formula>AS_DEV_EFFORT</formula>
    </cfRule>
  </conditionalFormatting>
  <conditionalFormatting sqref="L39:M39 O39:AC39">
    <cfRule type="expression" dxfId="2661" priority="3837">
      <formula>AND($G39="Yes", $S$6="Exclude")</formula>
    </cfRule>
    <cfRule type="expression" dxfId="2660" priority="3838">
      <formula>$J39="Yes"</formula>
    </cfRule>
  </conditionalFormatting>
  <conditionalFormatting sqref="F39">
    <cfRule type="expression" dxfId="2659" priority="3830">
      <formula>$K39&lt;&gt;""</formula>
    </cfRule>
  </conditionalFormatting>
  <conditionalFormatting sqref="C39">
    <cfRule type="expression" dxfId="2658" priority="3829">
      <formula>$G39&lt;&gt;"-"</formula>
    </cfRule>
  </conditionalFormatting>
  <conditionalFormatting sqref="D39">
    <cfRule type="expression" dxfId="2657" priority="3828">
      <formula>$H39&lt;&gt;"-"</formula>
    </cfRule>
  </conditionalFormatting>
  <conditionalFormatting sqref="E39">
    <cfRule type="expression" dxfId="2656" priority="3827">
      <formula>$I39&lt;&gt;"-"</formula>
    </cfRule>
  </conditionalFormatting>
  <conditionalFormatting sqref="B38">
    <cfRule type="expression" dxfId="2655" priority="3824">
      <formula>AD38&lt;&gt;""</formula>
    </cfRule>
  </conditionalFormatting>
  <conditionalFormatting sqref="Z38">
    <cfRule type="cellIs" dxfId="2654" priority="3822" operator="greaterThan">
      <formula>0</formula>
    </cfRule>
    <cfRule type="cellIs" dxfId="2653" priority="3823" operator="lessThan">
      <formula>0</formula>
    </cfRule>
  </conditionalFormatting>
  <conditionalFormatting sqref="S38">
    <cfRule type="cellIs" dxfId="2652" priority="3821" operator="lessThan">
      <formula>0</formula>
    </cfRule>
  </conditionalFormatting>
  <conditionalFormatting sqref="P38">
    <cfRule type="cellIs" dxfId="2651" priority="3819" operator="equal">
      <formula>AS_DURATION_EFFORT</formula>
    </cfRule>
    <cfRule type="cellIs" dxfId="2650" priority="3820" operator="equal">
      <formula>AS_DEV_EFFORT</formula>
    </cfRule>
  </conditionalFormatting>
  <conditionalFormatting sqref="L38:M38 P38:AC38">
    <cfRule type="expression" dxfId="2649" priority="3825">
      <formula>AND($G38="Yes", $S$6="Exclude")</formula>
    </cfRule>
    <cfRule type="expression" dxfId="2648" priority="3826">
      <formula>$J38="Yes"</formula>
    </cfRule>
  </conditionalFormatting>
  <conditionalFormatting sqref="F38">
    <cfRule type="expression" dxfId="2647" priority="3818">
      <formula>$K38&lt;&gt;""</formula>
    </cfRule>
  </conditionalFormatting>
  <conditionalFormatting sqref="C38">
    <cfRule type="expression" dxfId="2646" priority="3817">
      <formula>$G38&lt;&gt;"-"</formula>
    </cfRule>
  </conditionalFormatting>
  <conditionalFormatting sqref="D38">
    <cfRule type="expression" dxfId="2645" priority="3816">
      <formula>$H38&lt;&gt;"-"</formula>
    </cfRule>
  </conditionalFormatting>
  <conditionalFormatting sqref="E38">
    <cfRule type="expression" dxfId="2644" priority="3815">
      <formula>$I38&lt;&gt;"-"</formula>
    </cfRule>
  </conditionalFormatting>
  <conditionalFormatting sqref="B37">
    <cfRule type="expression" dxfId="2643" priority="3812">
      <formula>AD37&lt;&gt;""</formula>
    </cfRule>
  </conditionalFormatting>
  <conditionalFormatting sqref="Z37">
    <cfRule type="cellIs" dxfId="2642" priority="3810" operator="greaterThan">
      <formula>0</formula>
    </cfRule>
    <cfRule type="cellIs" dxfId="2641" priority="3811" operator="lessThan">
      <formula>0</formula>
    </cfRule>
  </conditionalFormatting>
  <conditionalFormatting sqref="S37">
    <cfRule type="cellIs" dxfId="2640" priority="3809" operator="lessThan">
      <formula>0</formula>
    </cfRule>
  </conditionalFormatting>
  <conditionalFormatting sqref="P37">
    <cfRule type="cellIs" dxfId="2639" priority="3807" operator="equal">
      <formula>AS_DURATION_EFFORT</formula>
    </cfRule>
    <cfRule type="cellIs" dxfId="2638" priority="3808" operator="equal">
      <formula>AS_DEV_EFFORT</formula>
    </cfRule>
  </conditionalFormatting>
  <conditionalFormatting sqref="L37:M37 P37:AC37">
    <cfRule type="expression" dxfId="2637" priority="3813">
      <formula>AND($G37="Yes", $S$6="Exclude")</formula>
    </cfRule>
    <cfRule type="expression" dxfId="2636" priority="3814">
      <formula>$J37="Yes"</formula>
    </cfRule>
  </conditionalFormatting>
  <conditionalFormatting sqref="F37">
    <cfRule type="expression" dxfId="2635" priority="3806">
      <formula>$K37&lt;&gt;""</formula>
    </cfRule>
  </conditionalFormatting>
  <conditionalFormatting sqref="C37">
    <cfRule type="expression" dxfId="2634" priority="3805">
      <formula>$G37&lt;&gt;"-"</formula>
    </cfRule>
  </conditionalFormatting>
  <conditionalFormatting sqref="D37">
    <cfRule type="expression" dxfId="2633" priority="3804">
      <formula>$H37&lt;&gt;"-"</formula>
    </cfRule>
  </conditionalFormatting>
  <conditionalFormatting sqref="E37">
    <cfRule type="expression" dxfId="2632" priority="3803">
      <formula>$I37&lt;&gt;"-"</formula>
    </cfRule>
  </conditionalFormatting>
  <conditionalFormatting sqref="B36">
    <cfRule type="expression" dxfId="2631" priority="3800">
      <formula>AD36&lt;&gt;""</formula>
    </cfRule>
  </conditionalFormatting>
  <conditionalFormatting sqref="Z36">
    <cfRule type="cellIs" dxfId="2630" priority="3798" operator="greaterThan">
      <formula>0</formula>
    </cfRule>
    <cfRule type="cellIs" dxfId="2629" priority="3799" operator="lessThan">
      <formula>0</formula>
    </cfRule>
  </conditionalFormatting>
  <conditionalFormatting sqref="S36">
    <cfRule type="cellIs" dxfId="2628" priority="3797" operator="lessThan">
      <formula>0</formula>
    </cfRule>
  </conditionalFormatting>
  <conditionalFormatting sqref="P36">
    <cfRule type="cellIs" dxfId="2627" priority="3795" operator="equal">
      <formula>AS_DURATION_EFFORT</formula>
    </cfRule>
    <cfRule type="cellIs" dxfId="2626" priority="3796" operator="equal">
      <formula>AS_DEV_EFFORT</formula>
    </cfRule>
  </conditionalFormatting>
  <conditionalFormatting sqref="L36:M36 P36:AC36">
    <cfRule type="expression" dxfId="2625" priority="3801">
      <formula>AND($G36="Yes", $S$6="Exclude")</formula>
    </cfRule>
    <cfRule type="expression" dxfId="2624" priority="3802">
      <formula>$J36="Yes"</formula>
    </cfRule>
  </conditionalFormatting>
  <conditionalFormatting sqref="F36">
    <cfRule type="expression" dxfId="2623" priority="3794">
      <formula>$K36&lt;&gt;""</formula>
    </cfRule>
  </conditionalFormatting>
  <conditionalFormatting sqref="C36">
    <cfRule type="expression" dxfId="2622" priority="3793">
      <formula>$G36&lt;&gt;"-"</formula>
    </cfRule>
  </conditionalFormatting>
  <conditionalFormatting sqref="D36">
    <cfRule type="expression" dxfId="2621" priority="3792">
      <formula>$H36&lt;&gt;"-"</formula>
    </cfRule>
  </conditionalFormatting>
  <conditionalFormatting sqref="E36">
    <cfRule type="expression" dxfId="2620" priority="3791">
      <formula>$I36&lt;&gt;"-"</formula>
    </cfRule>
  </conditionalFormatting>
  <conditionalFormatting sqref="N35">
    <cfRule type="expression" dxfId="2619" priority="3789">
      <formula>AND($G35="Yes", $S$6="Exclude")</formula>
    </cfRule>
    <cfRule type="expression" dxfId="2618" priority="3790">
      <formula>$J35="Yes"</formula>
    </cfRule>
  </conditionalFormatting>
  <conditionalFormatting sqref="N38">
    <cfRule type="expression" dxfId="2617" priority="3787">
      <formula>AND($G38="Yes", $S$6="Exclude")</formula>
    </cfRule>
    <cfRule type="expression" dxfId="2616" priority="3788">
      <formula>$J38="Yes"</formula>
    </cfRule>
  </conditionalFormatting>
  <conditionalFormatting sqref="N37">
    <cfRule type="expression" dxfId="2615" priority="3785">
      <formula>AND($G37="Yes", $S$6="Exclude")</formula>
    </cfRule>
    <cfRule type="expression" dxfId="2614" priority="3786">
      <formula>$J37="Yes"</formula>
    </cfRule>
  </conditionalFormatting>
  <conditionalFormatting sqref="N36">
    <cfRule type="expression" dxfId="2613" priority="3783">
      <formula>AND($G36="Yes", $S$6="Exclude")</formula>
    </cfRule>
    <cfRule type="expression" dxfId="2612" priority="3784">
      <formula>$J36="Yes"</formula>
    </cfRule>
  </conditionalFormatting>
  <conditionalFormatting sqref="N39">
    <cfRule type="expression" dxfId="2611" priority="3781">
      <formula>AND($G39="Yes", $S$6="Exclude")</formula>
    </cfRule>
    <cfRule type="expression" dxfId="2610" priority="3782">
      <formula>$J39="Yes"</formula>
    </cfRule>
  </conditionalFormatting>
  <conditionalFormatting sqref="O36">
    <cfRule type="expression" dxfId="2609" priority="3779">
      <formula>AND($G36="Yes", $S$6="Exclude")</formula>
    </cfRule>
    <cfRule type="expression" dxfId="2608" priority="3780">
      <formula>$J36="Yes"</formula>
    </cfRule>
  </conditionalFormatting>
  <conditionalFormatting sqref="O37">
    <cfRule type="expression" dxfId="2607" priority="3777">
      <formula>AND($G37="Yes", $S$6="Exclude")</formula>
    </cfRule>
    <cfRule type="expression" dxfId="2606" priority="3778">
      <formula>$J37="Yes"</formula>
    </cfRule>
  </conditionalFormatting>
  <conditionalFormatting sqref="O38">
    <cfRule type="expression" dxfId="2605" priority="3775">
      <formula>AND($G38="Yes", $S$6="Exclude")</formula>
    </cfRule>
    <cfRule type="expression" dxfId="2604" priority="3776">
      <formula>$J38="Yes"</formula>
    </cfRule>
  </conditionalFormatting>
  <conditionalFormatting sqref="B45">
    <cfRule type="expression" dxfId="2603" priority="3772">
      <formula>AD45&lt;&gt;""</formula>
    </cfRule>
  </conditionalFormatting>
  <conditionalFormatting sqref="Z45">
    <cfRule type="cellIs" dxfId="2602" priority="3770" operator="greaterThan">
      <formula>0</formula>
    </cfRule>
    <cfRule type="cellIs" dxfId="2601" priority="3771" operator="lessThan">
      <formula>0</formula>
    </cfRule>
  </conditionalFormatting>
  <conditionalFormatting sqref="S45">
    <cfRule type="cellIs" dxfId="2600" priority="3769" operator="lessThan">
      <formula>0</formula>
    </cfRule>
  </conditionalFormatting>
  <conditionalFormatting sqref="P45">
    <cfRule type="cellIs" dxfId="2599" priority="3767" operator="equal">
      <formula>AS_DURATION_EFFORT</formula>
    </cfRule>
    <cfRule type="cellIs" dxfId="2598" priority="3768" operator="equal">
      <formula>AS_DEV_EFFORT</formula>
    </cfRule>
  </conditionalFormatting>
  <conditionalFormatting sqref="L45:M45 P45:AC45">
    <cfRule type="expression" dxfId="2597" priority="3773">
      <formula>AND($G45="Yes", $S$6="Exclude")</formula>
    </cfRule>
    <cfRule type="expression" dxfId="2596" priority="3774">
      <formula>$J45="Yes"</formula>
    </cfRule>
  </conditionalFormatting>
  <conditionalFormatting sqref="F45">
    <cfRule type="expression" dxfId="2595" priority="3766">
      <formula>$K45&lt;&gt;""</formula>
    </cfRule>
  </conditionalFormatting>
  <conditionalFormatting sqref="C45">
    <cfRule type="expression" dxfId="2594" priority="3765">
      <formula>$G45&lt;&gt;"-"</formula>
    </cfRule>
  </conditionalFormatting>
  <conditionalFormatting sqref="D45">
    <cfRule type="expression" dxfId="2593" priority="3764">
      <formula>$H45&lt;&gt;"-"</formula>
    </cfRule>
  </conditionalFormatting>
  <conditionalFormatting sqref="E45">
    <cfRule type="expression" dxfId="2592" priority="3763">
      <formula>$I45&lt;&gt;"-"</formula>
    </cfRule>
  </conditionalFormatting>
  <conditionalFormatting sqref="B44">
    <cfRule type="expression" dxfId="2591" priority="3760">
      <formula>AD44&lt;&gt;""</formula>
    </cfRule>
  </conditionalFormatting>
  <conditionalFormatting sqref="Z44">
    <cfRule type="cellIs" dxfId="2590" priority="3758" operator="greaterThan">
      <formula>0</formula>
    </cfRule>
    <cfRule type="cellIs" dxfId="2589" priority="3759" operator="lessThan">
      <formula>0</formula>
    </cfRule>
  </conditionalFormatting>
  <conditionalFormatting sqref="S44">
    <cfRule type="cellIs" dxfId="2588" priority="3757" operator="lessThan">
      <formula>0</formula>
    </cfRule>
  </conditionalFormatting>
  <conditionalFormatting sqref="P44">
    <cfRule type="cellIs" dxfId="2587" priority="3755" operator="equal">
      <formula>AS_DURATION_EFFORT</formula>
    </cfRule>
    <cfRule type="cellIs" dxfId="2586" priority="3756" operator="equal">
      <formula>AS_DEV_EFFORT</formula>
    </cfRule>
  </conditionalFormatting>
  <conditionalFormatting sqref="L44:M44 P44:AC44">
    <cfRule type="expression" dxfId="2585" priority="3761">
      <formula>AND($G44="Yes", $S$6="Exclude")</formula>
    </cfRule>
    <cfRule type="expression" dxfId="2584" priority="3762">
      <formula>$J44="Yes"</formula>
    </cfRule>
  </conditionalFormatting>
  <conditionalFormatting sqref="F44">
    <cfRule type="expression" dxfId="2583" priority="3754">
      <formula>$K44&lt;&gt;""</formula>
    </cfRule>
  </conditionalFormatting>
  <conditionalFormatting sqref="C44">
    <cfRule type="expression" dxfId="2582" priority="3753">
      <formula>$G44&lt;&gt;"-"</formula>
    </cfRule>
  </conditionalFormatting>
  <conditionalFormatting sqref="D44">
    <cfRule type="expression" dxfId="2581" priority="3752">
      <formula>$H44&lt;&gt;"-"</formula>
    </cfRule>
  </conditionalFormatting>
  <conditionalFormatting sqref="E44">
    <cfRule type="expression" dxfId="2580" priority="3751">
      <formula>$I44&lt;&gt;"-"</formula>
    </cfRule>
  </conditionalFormatting>
  <conditionalFormatting sqref="N43:O45">
    <cfRule type="expression" dxfId="2579" priority="3749">
      <formula>AND($G43="Yes", $S$6="Exclude")</formula>
    </cfRule>
    <cfRule type="expression" dxfId="2578" priority="3750">
      <formula>$J43="Yes"</formula>
    </cfRule>
  </conditionalFormatting>
  <conditionalFormatting sqref="P43">
    <cfRule type="cellIs" dxfId="2577" priority="3747" operator="equal">
      <formula>AS_DURATION_EFFORT</formula>
    </cfRule>
    <cfRule type="cellIs" dxfId="2576" priority="3748" operator="equal">
      <formula>AS_DEV_EFFORT</formula>
    </cfRule>
  </conditionalFormatting>
  <conditionalFormatting sqref="B54">
    <cfRule type="expression" dxfId="2575" priority="3744">
      <formula>AD54&lt;&gt;""</formula>
    </cfRule>
  </conditionalFormatting>
  <conditionalFormatting sqref="Z54">
    <cfRule type="cellIs" dxfId="2574" priority="3742" operator="greaterThan">
      <formula>0</formula>
    </cfRule>
    <cfRule type="cellIs" dxfId="2573" priority="3743" operator="lessThan">
      <formula>0</formula>
    </cfRule>
  </conditionalFormatting>
  <conditionalFormatting sqref="S54">
    <cfRule type="cellIs" dxfId="2572" priority="3741" operator="lessThan">
      <formula>0</formula>
    </cfRule>
  </conditionalFormatting>
  <conditionalFormatting sqref="P54">
    <cfRule type="cellIs" dxfId="2571" priority="3739" operator="equal">
      <formula>AS_DURATION_EFFORT</formula>
    </cfRule>
    <cfRule type="cellIs" dxfId="2570" priority="3740" operator="equal">
      <formula>AS_DEV_EFFORT</formula>
    </cfRule>
  </conditionalFormatting>
  <conditionalFormatting sqref="L54:M54 O54:AC54">
    <cfRule type="expression" dxfId="2569" priority="3745">
      <formula>AND($G54="Yes", $S$6="Exclude")</formula>
    </cfRule>
    <cfRule type="expression" dxfId="2568" priority="3746">
      <formula>$J54="Yes"</formula>
    </cfRule>
  </conditionalFormatting>
  <conditionalFormatting sqref="F54">
    <cfRule type="expression" dxfId="2567" priority="3738">
      <formula>$K54&lt;&gt;""</formula>
    </cfRule>
  </conditionalFormatting>
  <conditionalFormatting sqref="C54">
    <cfRule type="expression" dxfId="2566" priority="3737">
      <formula>$G54&lt;&gt;"-"</formula>
    </cfRule>
  </conditionalFormatting>
  <conditionalFormatting sqref="D54">
    <cfRule type="expression" dxfId="2565" priority="3736">
      <formula>$H54&lt;&gt;"-"</formula>
    </cfRule>
  </conditionalFormatting>
  <conditionalFormatting sqref="E54">
    <cfRule type="expression" dxfId="2564" priority="3735">
      <formula>$I54&lt;&gt;"-"</formula>
    </cfRule>
  </conditionalFormatting>
  <conditionalFormatting sqref="B53">
    <cfRule type="expression" dxfId="2563" priority="3732">
      <formula>AD53&lt;&gt;""</formula>
    </cfRule>
  </conditionalFormatting>
  <conditionalFormatting sqref="Z53">
    <cfRule type="cellIs" dxfId="2562" priority="3730" operator="greaterThan">
      <formula>0</formula>
    </cfRule>
    <cfRule type="cellIs" dxfId="2561" priority="3731" operator="lessThan">
      <formula>0</formula>
    </cfRule>
  </conditionalFormatting>
  <conditionalFormatting sqref="S53">
    <cfRule type="cellIs" dxfId="2560" priority="3729" operator="lessThan">
      <formula>0</formula>
    </cfRule>
  </conditionalFormatting>
  <conditionalFormatting sqref="P53">
    <cfRule type="cellIs" dxfId="2559" priority="3727" operator="equal">
      <formula>AS_DURATION_EFFORT</formula>
    </cfRule>
    <cfRule type="cellIs" dxfId="2558" priority="3728" operator="equal">
      <formula>AS_DEV_EFFORT</formula>
    </cfRule>
  </conditionalFormatting>
  <conditionalFormatting sqref="L53:M53 O53:AC53">
    <cfRule type="expression" dxfId="2557" priority="3733">
      <formula>AND($G53="Yes", $S$6="Exclude")</formula>
    </cfRule>
    <cfRule type="expression" dxfId="2556" priority="3734">
      <formula>$J53="Yes"</formula>
    </cfRule>
  </conditionalFormatting>
  <conditionalFormatting sqref="F53">
    <cfRule type="expression" dxfId="2555" priority="3726">
      <formula>$K53&lt;&gt;""</formula>
    </cfRule>
  </conditionalFormatting>
  <conditionalFormatting sqref="C53">
    <cfRule type="expression" dxfId="2554" priority="3725">
      <formula>$G53&lt;&gt;"-"</formula>
    </cfRule>
  </conditionalFormatting>
  <conditionalFormatting sqref="D53">
    <cfRule type="expression" dxfId="2553" priority="3724">
      <formula>$H53&lt;&gt;"-"</formula>
    </cfRule>
  </conditionalFormatting>
  <conditionalFormatting sqref="E53">
    <cfRule type="expression" dxfId="2552" priority="3723">
      <formula>$I53&lt;&gt;"-"</formula>
    </cfRule>
  </conditionalFormatting>
  <conditionalFormatting sqref="B52">
    <cfRule type="expression" dxfId="2551" priority="3720">
      <formula>AD52&lt;&gt;""</formula>
    </cfRule>
  </conditionalFormatting>
  <conditionalFormatting sqref="Z52">
    <cfRule type="cellIs" dxfId="2550" priority="3718" operator="greaterThan">
      <formula>0</formula>
    </cfRule>
    <cfRule type="cellIs" dxfId="2549" priority="3719" operator="lessThan">
      <formula>0</formula>
    </cfRule>
  </conditionalFormatting>
  <conditionalFormatting sqref="S52">
    <cfRule type="cellIs" dxfId="2548" priority="3717" operator="lessThan">
      <formula>0</formula>
    </cfRule>
  </conditionalFormatting>
  <conditionalFormatting sqref="P52">
    <cfRule type="cellIs" dxfId="2547" priority="3715" operator="equal">
      <formula>AS_DURATION_EFFORT</formula>
    </cfRule>
    <cfRule type="cellIs" dxfId="2546" priority="3716" operator="equal">
      <formula>AS_DEV_EFFORT</formula>
    </cfRule>
  </conditionalFormatting>
  <conditionalFormatting sqref="L52:M52 O52:AC52">
    <cfRule type="expression" dxfId="2545" priority="3721">
      <formula>AND($G52="Yes", $S$6="Exclude")</formula>
    </cfRule>
    <cfRule type="expression" dxfId="2544" priority="3722">
      <formula>$J52="Yes"</formula>
    </cfRule>
  </conditionalFormatting>
  <conditionalFormatting sqref="F52">
    <cfRule type="expression" dxfId="2543" priority="3714">
      <formula>$K52&lt;&gt;""</formula>
    </cfRule>
  </conditionalFormatting>
  <conditionalFormatting sqref="C52">
    <cfRule type="expression" dxfId="2542" priority="3713">
      <formula>$G52&lt;&gt;"-"</formula>
    </cfRule>
  </conditionalFormatting>
  <conditionalFormatting sqref="D52">
    <cfRule type="expression" dxfId="2541" priority="3712">
      <formula>$H52&lt;&gt;"-"</formula>
    </cfRule>
  </conditionalFormatting>
  <conditionalFormatting sqref="E52">
    <cfRule type="expression" dxfId="2540" priority="3711">
      <formula>$I52&lt;&gt;"-"</formula>
    </cfRule>
  </conditionalFormatting>
  <conditionalFormatting sqref="B51">
    <cfRule type="expression" dxfId="2539" priority="3708">
      <formula>AD51&lt;&gt;""</formula>
    </cfRule>
  </conditionalFormatting>
  <conditionalFormatting sqref="Z51">
    <cfRule type="cellIs" dxfId="2538" priority="3706" operator="greaterThan">
      <formula>0</formula>
    </cfRule>
    <cfRule type="cellIs" dxfId="2537" priority="3707" operator="lessThan">
      <formula>0</formula>
    </cfRule>
  </conditionalFormatting>
  <conditionalFormatting sqref="S51">
    <cfRule type="cellIs" dxfId="2536" priority="3705" operator="lessThan">
      <formula>0</formula>
    </cfRule>
  </conditionalFormatting>
  <conditionalFormatting sqref="P51">
    <cfRule type="cellIs" dxfId="2535" priority="3703" operator="equal">
      <formula>AS_DURATION_EFFORT</formula>
    </cfRule>
    <cfRule type="cellIs" dxfId="2534" priority="3704" operator="equal">
      <formula>AS_DEV_EFFORT</formula>
    </cfRule>
  </conditionalFormatting>
  <conditionalFormatting sqref="L51:M51 O51:AC51">
    <cfRule type="expression" dxfId="2533" priority="3709">
      <formula>AND($G51="Yes", $S$6="Exclude")</formula>
    </cfRule>
    <cfRule type="expression" dxfId="2532" priority="3710">
      <formula>$J51="Yes"</formula>
    </cfRule>
  </conditionalFormatting>
  <conditionalFormatting sqref="F51">
    <cfRule type="expression" dxfId="2531" priority="3702">
      <formula>$K51&lt;&gt;""</formula>
    </cfRule>
  </conditionalFormatting>
  <conditionalFormatting sqref="C51">
    <cfRule type="expression" dxfId="2530" priority="3701">
      <formula>$G51&lt;&gt;"-"</formula>
    </cfRule>
  </conditionalFormatting>
  <conditionalFormatting sqref="D51">
    <cfRule type="expression" dxfId="2529" priority="3700">
      <formula>$H51&lt;&gt;"-"</formula>
    </cfRule>
  </conditionalFormatting>
  <conditionalFormatting sqref="E51">
    <cfRule type="expression" dxfId="2528" priority="3699">
      <formula>$I51&lt;&gt;"-"</formula>
    </cfRule>
  </conditionalFormatting>
  <conditionalFormatting sqref="B50">
    <cfRule type="expression" dxfId="2527" priority="3696">
      <formula>AD50&lt;&gt;""</formula>
    </cfRule>
  </conditionalFormatting>
  <conditionalFormatting sqref="Z50">
    <cfRule type="cellIs" dxfId="2526" priority="3694" operator="greaterThan">
      <formula>0</formula>
    </cfRule>
    <cfRule type="cellIs" dxfId="2525" priority="3695" operator="lessThan">
      <formula>0</formula>
    </cfRule>
  </conditionalFormatting>
  <conditionalFormatting sqref="S50">
    <cfRule type="cellIs" dxfId="2524" priority="3693" operator="lessThan">
      <formula>0</formula>
    </cfRule>
  </conditionalFormatting>
  <conditionalFormatting sqref="P50">
    <cfRule type="cellIs" dxfId="2523" priority="3691" operator="equal">
      <formula>AS_DURATION_EFFORT</formula>
    </cfRule>
    <cfRule type="cellIs" dxfId="2522" priority="3692" operator="equal">
      <formula>AS_DEV_EFFORT</formula>
    </cfRule>
  </conditionalFormatting>
  <conditionalFormatting sqref="L50:M50 O50:AC50">
    <cfRule type="expression" dxfId="2521" priority="3697">
      <formula>AND($G50="Yes", $S$6="Exclude")</formula>
    </cfRule>
    <cfRule type="expression" dxfId="2520" priority="3698">
      <formula>$J50="Yes"</formula>
    </cfRule>
  </conditionalFormatting>
  <conditionalFormatting sqref="F50">
    <cfRule type="expression" dxfId="2519" priority="3690">
      <formula>$K50&lt;&gt;""</formula>
    </cfRule>
  </conditionalFormatting>
  <conditionalFormatting sqref="C50">
    <cfRule type="expression" dxfId="2518" priority="3689">
      <formula>$G50&lt;&gt;"-"</formula>
    </cfRule>
  </conditionalFormatting>
  <conditionalFormatting sqref="D50">
    <cfRule type="expression" dxfId="2517" priority="3688">
      <formula>$H50&lt;&gt;"-"</formula>
    </cfRule>
  </conditionalFormatting>
  <conditionalFormatting sqref="E50">
    <cfRule type="expression" dxfId="2516" priority="3687">
      <formula>$I50&lt;&gt;"-"</formula>
    </cfRule>
  </conditionalFormatting>
  <conditionalFormatting sqref="N49:N54">
    <cfRule type="expression" dxfId="2515" priority="3685">
      <formula>AND($G49="Yes", $S$6="Exclude")</formula>
    </cfRule>
    <cfRule type="expression" dxfId="2514" priority="3686">
      <formula>$J49="Yes"</formula>
    </cfRule>
  </conditionalFormatting>
  <conditionalFormatting sqref="B61">
    <cfRule type="expression" dxfId="2513" priority="3682">
      <formula>AD61&lt;&gt;""</formula>
    </cfRule>
  </conditionalFormatting>
  <conditionalFormatting sqref="Z61">
    <cfRule type="cellIs" dxfId="2512" priority="3680" operator="greaterThan">
      <formula>0</formula>
    </cfRule>
    <cfRule type="cellIs" dxfId="2511" priority="3681" operator="lessThan">
      <formula>0</formula>
    </cfRule>
  </conditionalFormatting>
  <conditionalFormatting sqref="S61">
    <cfRule type="cellIs" dxfId="2510" priority="3679" operator="lessThan">
      <formula>0</formula>
    </cfRule>
  </conditionalFormatting>
  <conditionalFormatting sqref="P61">
    <cfRule type="cellIs" dxfId="2509" priority="3677" operator="equal">
      <formula>AS_DURATION_EFFORT</formula>
    </cfRule>
    <cfRule type="cellIs" dxfId="2508" priority="3678" operator="equal">
      <formula>AS_DEV_EFFORT</formula>
    </cfRule>
  </conditionalFormatting>
  <conditionalFormatting sqref="F61">
    <cfRule type="expression" dxfId="2507" priority="3676">
      <formula>$K61&lt;&gt;""</formula>
    </cfRule>
  </conditionalFormatting>
  <conditionalFormatting sqref="C61">
    <cfRule type="expression" dxfId="2506" priority="3675">
      <formula>$G61&lt;&gt;"-"</formula>
    </cfRule>
  </conditionalFormatting>
  <conditionalFormatting sqref="D61">
    <cfRule type="expression" dxfId="2505" priority="3674">
      <formula>$H61&lt;&gt;"-"</formula>
    </cfRule>
  </conditionalFormatting>
  <conditionalFormatting sqref="E61">
    <cfRule type="expression" dxfId="2504" priority="3673">
      <formula>$I61&lt;&gt;"-"</formula>
    </cfRule>
  </conditionalFormatting>
  <conditionalFormatting sqref="B60">
    <cfRule type="expression" dxfId="2503" priority="3670">
      <formula>AD60&lt;&gt;""</formula>
    </cfRule>
  </conditionalFormatting>
  <conditionalFormatting sqref="Z60">
    <cfRule type="cellIs" dxfId="2502" priority="3668" operator="greaterThan">
      <formula>0</formula>
    </cfRule>
    <cfRule type="cellIs" dxfId="2501" priority="3669" operator="lessThan">
      <formula>0</formula>
    </cfRule>
  </conditionalFormatting>
  <conditionalFormatting sqref="S60">
    <cfRule type="cellIs" dxfId="2500" priority="3667" operator="lessThan">
      <formula>0</formula>
    </cfRule>
  </conditionalFormatting>
  <conditionalFormatting sqref="P60">
    <cfRule type="cellIs" dxfId="2499" priority="3665" operator="equal">
      <formula>AS_DURATION_EFFORT</formula>
    </cfRule>
    <cfRule type="cellIs" dxfId="2498" priority="3666" operator="equal">
      <formula>AS_DEV_EFFORT</formula>
    </cfRule>
  </conditionalFormatting>
  <conditionalFormatting sqref="F60">
    <cfRule type="expression" dxfId="2497" priority="3664">
      <formula>$K60&lt;&gt;""</formula>
    </cfRule>
  </conditionalFormatting>
  <conditionalFormatting sqref="C60">
    <cfRule type="expression" dxfId="2496" priority="3663">
      <formula>$G60&lt;&gt;"-"</formula>
    </cfRule>
  </conditionalFormatting>
  <conditionalFormatting sqref="D60">
    <cfRule type="expression" dxfId="2495" priority="3662">
      <formula>$H60&lt;&gt;"-"</formula>
    </cfRule>
  </conditionalFormatting>
  <conditionalFormatting sqref="E60">
    <cfRule type="expression" dxfId="2494" priority="3661">
      <formula>$I60&lt;&gt;"-"</formula>
    </cfRule>
  </conditionalFormatting>
  <conditionalFormatting sqref="B59">
    <cfRule type="expression" dxfId="2493" priority="3646">
      <formula>AD59&lt;&gt;""</formula>
    </cfRule>
  </conditionalFormatting>
  <conditionalFormatting sqref="Z59">
    <cfRule type="cellIs" dxfId="2492" priority="3644" operator="greaterThan">
      <formula>0</formula>
    </cfRule>
    <cfRule type="cellIs" dxfId="2491" priority="3645" operator="lessThan">
      <formula>0</formula>
    </cfRule>
  </conditionalFormatting>
  <conditionalFormatting sqref="S59">
    <cfRule type="cellIs" dxfId="2490" priority="3643" operator="lessThan">
      <formula>0</formula>
    </cfRule>
  </conditionalFormatting>
  <conditionalFormatting sqref="P59">
    <cfRule type="cellIs" dxfId="2489" priority="3641" operator="equal">
      <formula>AS_DURATION_EFFORT</formula>
    </cfRule>
    <cfRule type="cellIs" dxfId="2488" priority="3642" operator="equal">
      <formula>AS_DEV_EFFORT</formula>
    </cfRule>
  </conditionalFormatting>
  <conditionalFormatting sqref="L59:M59 P59:AC59">
    <cfRule type="expression" dxfId="2487" priority="3647">
      <formula>AND($G59="Yes", $S$6="Exclude")</formula>
    </cfRule>
    <cfRule type="expression" dxfId="2486" priority="3648">
      <formula>$J59="Yes"</formula>
    </cfRule>
  </conditionalFormatting>
  <conditionalFormatting sqref="F59">
    <cfRule type="expression" dxfId="2485" priority="3640">
      <formula>$K59&lt;&gt;""</formula>
    </cfRule>
  </conditionalFormatting>
  <conditionalFormatting sqref="C59">
    <cfRule type="expression" dxfId="2484" priority="3639">
      <formula>$G59&lt;&gt;"-"</formula>
    </cfRule>
  </conditionalFormatting>
  <conditionalFormatting sqref="D59">
    <cfRule type="expression" dxfId="2483" priority="3638">
      <formula>$H59&lt;&gt;"-"</formula>
    </cfRule>
  </conditionalFormatting>
  <conditionalFormatting sqref="E59">
    <cfRule type="expression" dxfId="2482" priority="3637">
      <formula>$I59&lt;&gt;"-"</formula>
    </cfRule>
  </conditionalFormatting>
  <conditionalFormatting sqref="B428">
    <cfRule type="expression" dxfId="2481" priority="3629">
      <formula>AD428&lt;&gt;""</formula>
    </cfRule>
  </conditionalFormatting>
  <conditionalFormatting sqref="Z428">
    <cfRule type="cellIs" dxfId="2480" priority="3627" operator="greaterThan">
      <formula>0</formula>
    </cfRule>
    <cfRule type="cellIs" dxfId="2479" priority="3628" operator="lessThan">
      <formula>0</formula>
    </cfRule>
  </conditionalFormatting>
  <conditionalFormatting sqref="S428">
    <cfRule type="cellIs" dxfId="2478" priority="3626" operator="lessThan">
      <formula>0</formula>
    </cfRule>
  </conditionalFormatting>
  <conditionalFormatting sqref="T426:T427">
    <cfRule type="expression" dxfId="2477" priority="3630">
      <formula>#REF!="Yes"</formula>
    </cfRule>
  </conditionalFormatting>
  <conditionalFormatting sqref="P428">
    <cfRule type="cellIs" dxfId="2476" priority="3624" operator="equal">
      <formula>AS_DURATION_EFFORT</formula>
    </cfRule>
    <cfRule type="cellIs" dxfId="2475" priority="3625" operator="equal">
      <formula>AS_DEV_EFFORT</formula>
    </cfRule>
  </conditionalFormatting>
  <conditionalFormatting sqref="B426:B427">
    <cfRule type="expression" dxfId="2474" priority="3623">
      <formula>AD426&lt;&gt;""</formula>
    </cfRule>
  </conditionalFormatting>
  <conditionalFormatting sqref="F428">
    <cfRule type="expression" dxfId="2473" priority="3622">
      <formula>$K428&lt;&gt;""</formula>
    </cfRule>
  </conditionalFormatting>
  <conditionalFormatting sqref="C428">
    <cfRule type="expression" dxfId="2472" priority="3621">
      <formula>$G428&lt;&gt;"-"</formula>
    </cfRule>
  </conditionalFormatting>
  <conditionalFormatting sqref="D428">
    <cfRule type="expression" dxfId="2471" priority="3620">
      <formula>$H428&lt;&gt;"-"</formula>
    </cfRule>
  </conditionalFormatting>
  <conditionalFormatting sqref="E428">
    <cfRule type="expression" dxfId="2470" priority="3619">
      <formula>$I428&lt;&gt;"-"</formula>
    </cfRule>
  </conditionalFormatting>
  <conditionalFormatting sqref="B429">
    <cfRule type="expression" dxfId="2469" priority="3614">
      <formula>AD429&lt;&gt;""</formula>
    </cfRule>
  </conditionalFormatting>
  <conditionalFormatting sqref="Z429">
    <cfRule type="cellIs" dxfId="2468" priority="3612" operator="greaterThan">
      <formula>0</formula>
    </cfRule>
    <cfRule type="cellIs" dxfId="2467" priority="3613" operator="lessThan">
      <formula>0</formula>
    </cfRule>
  </conditionalFormatting>
  <conditionalFormatting sqref="S429">
    <cfRule type="cellIs" dxfId="2466" priority="3611" operator="lessThan">
      <formula>0</formula>
    </cfRule>
  </conditionalFormatting>
  <conditionalFormatting sqref="P429">
    <cfRule type="cellIs" dxfId="2465" priority="3609" operator="equal">
      <formula>AS_DURATION_EFFORT</formula>
    </cfRule>
    <cfRule type="cellIs" dxfId="2464" priority="3610" operator="equal">
      <formula>AS_DEV_EFFORT</formula>
    </cfRule>
  </conditionalFormatting>
  <conditionalFormatting sqref="F429">
    <cfRule type="expression" dxfId="2463" priority="3608">
      <formula>$K429&lt;&gt;""</formula>
    </cfRule>
  </conditionalFormatting>
  <conditionalFormatting sqref="C429">
    <cfRule type="expression" dxfId="2462" priority="3607">
      <formula>$G429&lt;&gt;"-"</formula>
    </cfRule>
  </conditionalFormatting>
  <conditionalFormatting sqref="D429">
    <cfRule type="expression" dxfId="2461" priority="3606">
      <formula>$H429&lt;&gt;"-"</formula>
    </cfRule>
  </conditionalFormatting>
  <conditionalFormatting sqref="E429">
    <cfRule type="expression" dxfId="2460" priority="3605">
      <formula>$I429&lt;&gt;"-"</formula>
    </cfRule>
  </conditionalFormatting>
  <conditionalFormatting sqref="B444">
    <cfRule type="expression" dxfId="2459" priority="3203">
      <formula>AD444&lt;&gt;""</formula>
    </cfRule>
  </conditionalFormatting>
  <conditionalFormatting sqref="Z444">
    <cfRule type="cellIs" dxfId="2458" priority="3201" operator="greaterThan">
      <formula>0</formula>
    </cfRule>
    <cfRule type="cellIs" dxfId="2457" priority="3202" operator="lessThan">
      <formula>0</formula>
    </cfRule>
  </conditionalFormatting>
  <conditionalFormatting sqref="S444">
    <cfRule type="cellIs" dxfId="2456" priority="3200" operator="lessThan">
      <formula>0</formula>
    </cfRule>
  </conditionalFormatting>
  <conditionalFormatting sqref="T442:T443">
    <cfRule type="expression" dxfId="2455" priority="3204">
      <formula>#REF!="Yes"</formula>
    </cfRule>
  </conditionalFormatting>
  <conditionalFormatting sqref="P444">
    <cfRule type="cellIs" dxfId="2454" priority="3198" operator="equal">
      <formula>AS_DURATION_EFFORT</formula>
    </cfRule>
    <cfRule type="cellIs" dxfId="2453" priority="3199" operator="equal">
      <formula>AS_DEV_EFFORT</formula>
    </cfRule>
  </conditionalFormatting>
  <conditionalFormatting sqref="B442:B443">
    <cfRule type="expression" dxfId="2452" priority="3197">
      <formula>AD442&lt;&gt;""</formula>
    </cfRule>
  </conditionalFormatting>
  <conditionalFormatting sqref="F444">
    <cfRule type="expression" dxfId="2451" priority="3196">
      <formula>$K444&lt;&gt;""</formula>
    </cfRule>
  </conditionalFormatting>
  <conditionalFormatting sqref="C444">
    <cfRule type="expression" dxfId="2450" priority="3195">
      <formula>$G444&lt;&gt;"-"</formula>
    </cfRule>
  </conditionalFormatting>
  <conditionalFormatting sqref="D444">
    <cfRule type="expression" dxfId="2449" priority="3194">
      <formula>$H444&lt;&gt;"-"</formula>
    </cfRule>
  </conditionalFormatting>
  <conditionalFormatting sqref="E444">
    <cfRule type="expression" dxfId="2448" priority="3193">
      <formula>$I444&lt;&gt;"-"</formula>
    </cfRule>
  </conditionalFormatting>
  <conditionalFormatting sqref="B445">
    <cfRule type="expression" dxfId="2447" priority="3192">
      <formula>AD445&lt;&gt;""</formula>
    </cfRule>
  </conditionalFormatting>
  <conditionalFormatting sqref="Z445">
    <cfRule type="cellIs" dxfId="2446" priority="3190" operator="greaterThan">
      <formula>0</formula>
    </cfRule>
    <cfRule type="cellIs" dxfId="2445" priority="3191" operator="lessThan">
      <formula>0</formula>
    </cfRule>
  </conditionalFormatting>
  <conditionalFormatting sqref="S445">
    <cfRule type="cellIs" dxfId="2444" priority="3189" operator="lessThan">
      <formula>0</formula>
    </cfRule>
  </conditionalFormatting>
  <conditionalFormatting sqref="P445">
    <cfRule type="cellIs" dxfId="2443" priority="3187" operator="equal">
      <formula>AS_DURATION_EFFORT</formula>
    </cfRule>
    <cfRule type="cellIs" dxfId="2442" priority="3188" operator="equal">
      <formula>AS_DEV_EFFORT</formula>
    </cfRule>
  </conditionalFormatting>
  <conditionalFormatting sqref="F445">
    <cfRule type="expression" dxfId="2441" priority="3186">
      <formula>$K445&lt;&gt;""</formula>
    </cfRule>
  </conditionalFormatting>
  <conditionalFormatting sqref="C445">
    <cfRule type="expression" dxfId="2440" priority="3185">
      <formula>$G445&lt;&gt;"-"</formula>
    </cfRule>
  </conditionalFormatting>
  <conditionalFormatting sqref="D445">
    <cfRule type="expression" dxfId="2439" priority="3184">
      <formula>$H445&lt;&gt;"-"</formula>
    </cfRule>
  </conditionalFormatting>
  <conditionalFormatting sqref="E445">
    <cfRule type="expression" dxfId="2438" priority="3183">
      <formula>$I445&lt;&gt;"-"</formula>
    </cfRule>
  </conditionalFormatting>
  <conditionalFormatting sqref="B446">
    <cfRule type="expression" dxfId="2437" priority="3182">
      <formula>AD446&lt;&gt;""</formula>
    </cfRule>
  </conditionalFormatting>
  <conditionalFormatting sqref="Z446">
    <cfRule type="cellIs" dxfId="2436" priority="3180" operator="greaterThan">
      <formula>0</formula>
    </cfRule>
    <cfRule type="cellIs" dxfId="2435" priority="3181" operator="lessThan">
      <formula>0</formula>
    </cfRule>
  </conditionalFormatting>
  <conditionalFormatting sqref="S446">
    <cfRule type="cellIs" dxfId="2434" priority="3179" operator="lessThan">
      <formula>0</formula>
    </cfRule>
  </conditionalFormatting>
  <conditionalFormatting sqref="P446">
    <cfRule type="cellIs" dxfId="2433" priority="3177" operator="equal">
      <formula>AS_DURATION_EFFORT</formula>
    </cfRule>
    <cfRule type="cellIs" dxfId="2432" priority="3178" operator="equal">
      <formula>AS_DEV_EFFORT</formula>
    </cfRule>
  </conditionalFormatting>
  <conditionalFormatting sqref="F446">
    <cfRule type="expression" dxfId="2431" priority="3176">
      <formula>$K446&lt;&gt;""</formula>
    </cfRule>
  </conditionalFormatting>
  <conditionalFormatting sqref="C446">
    <cfRule type="expression" dxfId="2430" priority="3175">
      <formula>$G446&lt;&gt;"-"</formula>
    </cfRule>
  </conditionalFormatting>
  <conditionalFormatting sqref="D446">
    <cfRule type="expression" dxfId="2429" priority="3174">
      <formula>$H446&lt;&gt;"-"</formula>
    </cfRule>
  </conditionalFormatting>
  <conditionalFormatting sqref="E446">
    <cfRule type="expression" dxfId="2428" priority="3173">
      <formula>$I446&lt;&gt;"-"</formula>
    </cfRule>
  </conditionalFormatting>
  <conditionalFormatting sqref="B447">
    <cfRule type="expression" dxfId="2427" priority="3172">
      <formula>AD447&lt;&gt;""</formula>
    </cfRule>
  </conditionalFormatting>
  <conditionalFormatting sqref="Z447">
    <cfRule type="cellIs" dxfId="2426" priority="3170" operator="greaterThan">
      <formula>0</formula>
    </cfRule>
    <cfRule type="cellIs" dxfId="2425" priority="3171" operator="lessThan">
      <formula>0</formula>
    </cfRule>
  </conditionalFormatting>
  <conditionalFormatting sqref="S447">
    <cfRule type="cellIs" dxfId="2424" priority="3169" operator="lessThan">
      <formula>0</formula>
    </cfRule>
  </conditionalFormatting>
  <conditionalFormatting sqref="P447">
    <cfRule type="cellIs" dxfId="2423" priority="3167" operator="equal">
      <formula>AS_DURATION_EFFORT</formula>
    </cfRule>
    <cfRule type="cellIs" dxfId="2422" priority="3168" operator="equal">
      <formula>AS_DEV_EFFORT</formula>
    </cfRule>
  </conditionalFormatting>
  <conditionalFormatting sqref="F447">
    <cfRule type="expression" dxfId="2421" priority="3166">
      <formula>$K447&lt;&gt;""</formula>
    </cfRule>
  </conditionalFormatting>
  <conditionalFormatting sqref="C447">
    <cfRule type="expression" dxfId="2420" priority="3165">
      <formula>$G447&lt;&gt;"-"</formula>
    </cfRule>
  </conditionalFormatting>
  <conditionalFormatting sqref="D447">
    <cfRule type="expression" dxfId="2419" priority="3164">
      <formula>$H447&lt;&gt;"-"</formula>
    </cfRule>
  </conditionalFormatting>
  <conditionalFormatting sqref="E447">
    <cfRule type="expression" dxfId="2418" priority="3163">
      <formula>$I447&lt;&gt;"-"</formula>
    </cfRule>
  </conditionalFormatting>
  <conditionalFormatting sqref="B438">
    <cfRule type="expression" dxfId="2417" priority="3159">
      <formula>AD438&lt;&gt;""</formula>
    </cfRule>
  </conditionalFormatting>
  <conditionalFormatting sqref="Z438">
    <cfRule type="cellIs" dxfId="2416" priority="3157" operator="greaterThan">
      <formula>0</formula>
    </cfRule>
    <cfRule type="cellIs" dxfId="2415" priority="3158" operator="lessThan">
      <formula>0</formula>
    </cfRule>
  </conditionalFormatting>
  <conditionalFormatting sqref="S438">
    <cfRule type="cellIs" dxfId="2414" priority="3156" operator="lessThan">
      <formula>0</formula>
    </cfRule>
  </conditionalFormatting>
  <conditionalFormatting sqref="T436:T437">
    <cfRule type="expression" dxfId="2413" priority="3160">
      <formula>#REF!="Yes"</formula>
    </cfRule>
  </conditionalFormatting>
  <conditionalFormatting sqref="P438">
    <cfRule type="cellIs" dxfId="2412" priority="3154" operator="equal">
      <formula>AS_DURATION_EFFORT</formula>
    </cfRule>
    <cfRule type="cellIs" dxfId="2411" priority="3155" operator="equal">
      <formula>AS_DEV_EFFORT</formula>
    </cfRule>
  </conditionalFormatting>
  <conditionalFormatting sqref="B436:B437">
    <cfRule type="expression" dxfId="2410" priority="3153">
      <formula>AD436&lt;&gt;""</formula>
    </cfRule>
  </conditionalFormatting>
  <conditionalFormatting sqref="F438">
    <cfRule type="expression" dxfId="2409" priority="3152">
      <formula>$K438&lt;&gt;""</formula>
    </cfRule>
  </conditionalFormatting>
  <conditionalFormatting sqref="C438">
    <cfRule type="expression" dxfId="2408" priority="3151">
      <formula>$G438&lt;&gt;"-"</formula>
    </cfRule>
  </conditionalFormatting>
  <conditionalFormatting sqref="D438">
    <cfRule type="expression" dxfId="2407" priority="3150">
      <formula>$H438&lt;&gt;"-"</formula>
    </cfRule>
  </conditionalFormatting>
  <conditionalFormatting sqref="E438">
    <cfRule type="expression" dxfId="2406" priority="3149">
      <formula>$I438&lt;&gt;"-"</formula>
    </cfRule>
  </conditionalFormatting>
  <conditionalFormatting sqref="B439">
    <cfRule type="expression" dxfId="2405" priority="3144">
      <formula>AD439&lt;&gt;""</formula>
    </cfRule>
  </conditionalFormatting>
  <conditionalFormatting sqref="Z439">
    <cfRule type="cellIs" dxfId="2404" priority="3142" operator="greaterThan">
      <formula>0</formula>
    </cfRule>
    <cfRule type="cellIs" dxfId="2403" priority="3143" operator="lessThan">
      <formula>0</formula>
    </cfRule>
  </conditionalFormatting>
  <conditionalFormatting sqref="S439">
    <cfRule type="cellIs" dxfId="2402" priority="3141" operator="lessThan">
      <formula>0</formula>
    </cfRule>
  </conditionalFormatting>
  <conditionalFormatting sqref="F439">
    <cfRule type="expression" dxfId="2401" priority="3138">
      <formula>$K439&lt;&gt;""</formula>
    </cfRule>
  </conditionalFormatting>
  <conditionalFormatting sqref="C439">
    <cfRule type="expression" dxfId="2400" priority="3137">
      <formula>$G439&lt;&gt;"-"</formula>
    </cfRule>
  </conditionalFormatting>
  <conditionalFormatting sqref="D439">
    <cfRule type="expression" dxfId="2399" priority="3136">
      <formula>$H439&lt;&gt;"-"</formula>
    </cfRule>
  </conditionalFormatting>
  <conditionalFormatting sqref="E439">
    <cfRule type="expression" dxfId="2398" priority="3135">
      <formula>$I439&lt;&gt;"-"</formula>
    </cfRule>
  </conditionalFormatting>
  <conditionalFormatting sqref="P439">
    <cfRule type="cellIs" dxfId="2397" priority="3129" operator="equal">
      <formula>AS_DURATION_EFFORT</formula>
    </cfRule>
    <cfRule type="cellIs" dxfId="2396" priority="3130" operator="equal">
      <formula>AS_DEV_EFFORT</formula>
    </cfRule>
  </conditionalFormatting>
  <conditionalFormatting sqref="P452">
    <cfRule type="cellIs" dxfId="2395" priority="3123" operator="equal">
      <formula>AS_DURATION_EFFORT</formula>
    </cfRule>
    <cfRule type="cellIs" dxfId="2394" priority="3124" operator="equal">
      <formula>AS_DEV_EFFORT</formula>
    </cfRule>
  </conditionalFormatting>
  <conditionalFormatting sqref="B465">
    <cfRule type="expression" dxfId="2393" priority="3118">
      <formula>AD465&lt;&gt;""</formula>
    </cfRule>
  </conditionalFormatting>
  <conditionalFormatting sqref="Z465">
    <cfRule type="cellIs" dxfId="2392" priority="3116" operator="greaterThan">
      <formula>0</formula>
    </cfRule>
    <cfRule type="cellIs" dxfId="2391" priority="3117" operator="lessThan">
      <formula>0</formula>
    </cfRule>
  </conditionalFormatting>
  <conditionalFormatting sqref="S465">
    <cfRule type="cellIs" dxfId="2390" priority="3115" operator="lessThan">
      <formula>0</formula>
    </cfRule>
  </conditionalFormatting>
  <conditionalFormatting sqref="P465">
    <cfRule type="cellIs" dxfId="2389" priority="3113" operator="equal">
      <formula>AS_DURATION_EFFORT</formula>
    </cfRule>
    <cfRule type="cellIs" dxfId="2388" priority="3114" operator="equal">
      <formula>AS_DEV_EFFORT</formula>
    </cfRule>
  </conditionalFormatting>
  <conditionalFormatting sqref="F465">
    <cfRule type="expression" dxfId="2387" priority="3112">
      <formula>$K465&lt;&gt;""</formula>
    </cfRule>
  </conditionalFormatting>
  <conditionalFormatting sqref="C465">
    <cfRule type="expression" dxfId="2386" priority="3111">
      <formula>$G465&lt;&gt;"-"</formula>
    </cfRule>
  </conditionalFormatting>
  <conditionalFormatting sqref="D465">
    <cfRule type="expression" dxfId="2385" priority="3110">
      <formula>$H465&lt;&gt;"-"</formula>
    </cfRule>
  </conditionalFormatting>
  <conditionalFormatting sqref="E465">
    <cfRule type="expression" dxfId="2384" priority="3109">
      <formula>$I465&lt;&gt;"-"</formula>
    </cfRule>
  </conditionalFormatting>
  <conditionalFormatting sqref="B466">
    <cfRule type="expression" dxfId="2383" priority="3106">
      <formula>AD466&lt;&gt;""</formula>
    </cfRule>
  </conditionalFormatting>
  <conditionalFormatting sqref="Z466">
    <cfRule type="cellIs" dxfId="2382" priority="3104" operator="greaterThan">
      <formula>0</formula>
    </cfRule>
    <cfRule type="cellIs" dxfId="2381" priority="3105" operator="lessThan">
      <formula>0</formula>
    </cfRule>
  </conditionalFormatting>
  <conditionalFormatting sqref="S466">
    <cfRule type="cellIs" dxfId="2380" priority="3103" operator="lessThan">
      <formula>0</formula>
    </cfRule>
  </conditionalFormatting>
  <conditionalFormatting sqref="P466">
    <cfRule type="cellIs" dxfId="2379" priority="3101" operator="equal">
      <formula>AS_DURATION_EFFORT</formula>
    </cfRule>
    <cfRule type="cellIs" dxfId="2378" priority="3102" operator="equal">
      <formula>AS_DEV_EFFORT</formula>
    </cfRule>
  </conditionalFormatting>
  <conditionalFormatting sqref="F466">
    <cfRule type="expression" dxfId="2377" priority="3100">
      <formula>$K466&lt;&gt;""</formula>
    </cfRule>
  </conditionalFormatting>
  <conditionalFormatting sqref="C466">
    <cfRule type="expression" dxfId="2376" priority="3099">
      <formula>$G466&lt;&gt;"-"</formula>
    </cfRule>
  </conditionalFormatting>
  <conditionalFormatting sqref="D466">
    <cfRule type="expression" dxfId="2375" priority="3098">
      <formula>$H466&lt;&gt;"-"</formula>
    </cfRule>
  </conditionalFormatting>
  <conditionalFormatting sqref="E466">
    <cfRule type="expression" dxfId="2374" priority="3097">
      <formula>$I466&lt;&gt;"-"</formula>
    </cfRule>
  </conditionalFormatting>
  <conditionalFormatting sqref="B354">
    <cfRule type="expression" dxfId="2373" priority="3073">
      <formula>AD354&lt;&gt;""</formula>
    </cfRule>
  </conditionalFormatting>
  <conditionalFormatting sqref="Z354">
    <cfRule type="cellIs" dxfId="2372" priority="3071" operator="greaterThan">
      <formula>0</formula>
    </cfRule>
    <cfRule type="cellIs" dxfId="2371" priority="3072" operator="lessThan">
      <formula>0</formula>
    </cfRule>
  </conditionalFormatting>
  <conditionalFormatting sqref="S354">
    <cfRule type="cellIs" dxfId="2370" priority="3070" operator="lessThan">
      <formula>0</formula>
    </cfRule>
  </conditionalFormatting>
  <conditionalFormatting sqref="T350:T351">
    <cfRule type="expression" dxfId="2369" priority="3074">
      <formula>#REF!="Yes"</formula>
    </cfRule>
  </conditionalFormatting>
  <conditionalFormatting sqref="P354">
    <cfRule type="cellIs" dxfId="2368" priority="3068" operator="equal">
      <formula>AS_DURATION_EFFORT</formula>
    </cfRule>
    <cfRule type="cellIs" dxfId="2367" priority="3069" operator="equal">
      <formula>AS_DEV_EFFORT</formula>
    </cfRule>
  </conditionalFormatting>
  <conditionalFormatting sqref="B350:B351">
    <cfRule type="expression" dxfId="2366" priority="3067">
      <formula>AD350&lt;&gt;""</formula>
    </cfRule>
  </conditionalFormatting>
  <conditionalFormatting sqref="F354">
    <cfRule type="expression" dxfId="2365" priority="3066">
      <formula>$K354&lt;&gt;""</formula>
    </cfRule>
  </conditionalFormatting>
  <conditionalFormatting sqref="C354">
    <cfRule type="expression" dxfId="2364" priority="3065">
      <formula>$G354&lt;&gt;"-"</formula>
    </cfRule>
  </conditionalFormatting>
  <conditionalFormatting sqref="D354">
    <cfRule type="expression" dxfId="2363" priority="3064">
      <formula>$H354&lt;&gt;"-"</formula>
    </cfRule>
  </conditionalFormatting>
  <conditionalFormatting sqref="E354">
    <cfRule type="expression" dxfId="2362" priority="3063">
      <formula>$I354&lt;&gt;"-"</formula>
    </cfRule>
  </conditionalFormatting>
  <conditionalFormatting sqref="B355">
    <cfRule type="expression" dxfId="2361" priority="3028">
      <formula>AD355&lt;&gt;""</formula>
    </cfRule>
  </conditionalFormatting>
  <conditionalFormatting sqref="Z355">
    <cfRule type="cellIs" dxfId="2360" priority="3026" operator="greaterThan">
      <formula>0</formula>
    </cfRule>
    <cfRule type="cellIs" dxfId="2359" priority="3027" operator="lessThan">
      <formula>0</formula>
    </cfRule>
  </conditionalFormatting>
  <conditionalFormatting sqref="S355">
    <cfRule type="cellIs" dxfId="2358" priority="3025" operator="lessThan">
      <formula>0</formula>
    </cfRule>
  </conditionalFormatting>
  <conditionalFormatting sqref="P355">
    <cfRule type="cellIs" dxfId="2357" priority="3023" operator="equal">
      <formula>AS_DURATION_EFFORT</formula>
    </cfRule>
    <cfRule type="cellIs" dxfId="2356" priority="3024" operator="equal">
      <formula>AS_DEV_EFFORT</formula>
    </cfRule>
  </conditionalFormatting>
  <conditionalFormatting sqref="F355">
    <cfRule type="expression" dxfId="2355" priority="3022">
      <formula>$K355&lt;&gt;""</formula>
    </cfRule>
  </conditionalFormatting>
  <conditionalFormatting sqref="C355">
    <cfRule type="expression" dxfId="2354" priority="3021">
      <formula>$G355&lt;&gt;"-"</formula>
    </cfRule>
  </conditionalFormatting>
  <conditionalFormatting sqref="D355">
    <cfRule type="expression" dxfId="2353" priority="3020">
      <formula>$H355&lt;&gt;"-"</formula>
    </cfRule>
  </conditionalFormatting>
  <conditionalFormatting sqref="E355">
    <cfRule type="expression" dxfId="2352" priority="3019">
      <formula>$I355&lt;&gt;"-"</formula>
    </cfRule>
  </conditionalFormatting>
  <conditionalFormatting sqref="B362">
    <cfRule type="expression" dxfId="2351" priority="3005">
      <formula>AD362&lt;&gt;""</formula>
    </cfRule>
  </conditionalFormatting>
  <conditionalFormatting sqref="Z362">
    <cfRule type="cellIs" dxfId="2350" priority="3003" operator="greaterThan">
      <formula>0</formula>
    </cfRule>
    <cfRule type="cellIs" dxfId="2349" priority="3004" operator="lessThan">
      <formula>0</formula>
    </cfRule>
  </conditionalFormatting>
  <conditionalFormatting sqref="S362">
    <cfRule type="cellIs" dxfId="2348" priority="3002" operator="lessThan">
      <formula>0</formula>
    </cfRule>
  </conditionalFormatting>
  <conditionalFormatting sqref="T360:T361">
    <cfRule type="expression" dxfId="2347" priority="3006">
      <formula>#REF!="Yes"</formula>
    </cfRule>
  </conditionalFormatting>
  <conditionalFormatting sqref="P362">
    <cfRule type="cellIs" dxfId="2346" priority="3000" operator="equal">
      <formula>AS_DURATION_EFFORT</formula>
    </cfRule>
    <cfRule type="cellIs" dxfId="2345" priority="3001" operator="equal">
      <formula>AS_DEV_EFFORT</formula>
    </cfRule>
  </conditionalFormatting>
  <conditionalFormatting sqref="B360:B361">
    <cfRule type="expression" dxfId="2344" priority="2999">
      <formula>AD360&lt;&gt;""</formula>
    </cfRule>
  </conditionalFormatting>
  <conditionalFormatting sqref="F362">
    <cfRule type="expression" dxfId="2343" priority="2998">
      <formula>$K362&lt;&gt;""</formula>
    </cfRule>
  </conditionalFormatting>
  <conditionalFormatting sqref="C362">
    <cfRule type="expression" dxfId="2342" priority="2997">
      <formula>$G362&lt;&gt;"-"</formula>
    </cfRule>
  </conditionalFormatting>
  <conditionalFormatting sqref="D362">
    <cfRule type="expression" dxfId="2341" priority="2996">
      <formula>$H362&lt;&gt;"-"</formula>
    </cfRule>
  </conditionalFormatting>
  <conditionalFormatting sqref="E362">
    <cfRule type="expression" dxfId="2340" priority="2995">
      <formula>$I362&lt;&gt;"-"</formula>
    </cfRule>
  </conditionalFormatting>
  <conditionalFormatting sqref="B363">
    <cfRule type="expression" dxfId="2339" priority="2992">
      <formula>AD363&lt;&gt;""</formula>
    </cfRule>
  </conditionalFormatting>
  <conditionalFormatting sqref="Z363">
    <cfRule type="cellIs" dxfId="2338" priority="2990" operator="greaterThan">
      <formula>0</formula>
    </cfRule>
    <cfRule type="cellIs" dxfId="2337" priority="2991" operator="lessThan">
      <formula>0</formula>
    </cfRule>
  </conditionalFormatting>
  <conditionalFormatting sqref="S363">
    <cfRule type="cellIs" dxfId="2336" priority="2989" operator="lessThan">
      <formula>0</formula>
    </cfRule>
  </conditionalFormatting>
  <conditionalFormatting sqref="P363">
    <cfRule type="cellIs" dxfId="2335" priority="2987" operator="equal">
      <formula>AS_DURATION_EFFORT</formula>
    </cfRule>
    <cfRule type="cellIs" dxfId="2334" priority="2988" operator="equal">
      <formula>AS_DEV_EFFORT</formula>
    </cfRule>
  </conditionalFormatting>
  <conditionalFormatting sqref="F363">
    <cfRule type="expression" dxfId="2333" priority="2986">
      <formula>$K363&lt;&gt;""</formula>
    </cfRule>
  </conditionalFormatting>
  <conditionalFormatting sqref="C363">
    <cfRule type="expression" dxfId="2332" priority="2985">
      <formula>$G363&lt;&gt;"-"</formula>
    </cfRule>
  </conditionalFormatting>
  <conditionalFormatting sqref="D363">
    <cfRule type="expression" dxfId="2331" priority="2984">
      <formula>$H363&lt;&gt;"-"</formula>
    </cfRule>
  </conditionalFormatting>
  <conditionalFormatting sqref="E363">
    <cfRule type="expression" dxfId="2330" priority="2983">
      <formula>$I363&lt;&gt;"-"</formula>
    </cfRule>
  </conditionalFormatting>
  <conditionalFormatting sqref="B352">
    <cfRule type="expression" dxfId="2329" priority="2862">
      <formula>AD352&lt;&gt;""</formula>
    </cfRule>
  </conditionalFormatting>
  <conditionalFormatting sqref="Z352">
    <cfRule type="cellIs" dxfId="2328" priority="2860" operator="greaterThan">
      <formula>0</formula>
    </cfRule>
    <cfRule type="cellIs" dxfId="2327" priority="2861" operator="lessThan">
      <formula>0</formula>
    </cfRule>
  </conditionalFormatting>
  <conditionalFormatting sqref="S352">
    <cfRule type="cellIs" dxfId="2326" priority="2859" operator="lessThan">
      <formula>0</formula>
    </cfRule>
  </conditionalFormatting>
  <conditionalFormatting sqref="P352">
    <cfRule type="cellIs" dxfId="2325" priority="2857" operator="equal">
      <formula>AS_DURATION_EFFORT</formula>
    </cfRule>
    <cfRule type="cellIs" dxfId="2324" priority="2858" operator="equal">
      <formula>AS_DEV_EFFORT</formula>
    </cfRule>
  </conditionalFormatting>
  <conditionalFormatting sqref="F352">
    <cfRule type="expression" dxfId="2323" priority="2856">
      <formula>$K352&lt;&gt;""</formula>
    </cfRule>
  </conditionalFormatting>
  <conditionalFormatting sqref="C352">
    <cfRule type="expression" dxfId="2322" priority="2855">
      <formula>$G352&lt;&gt;"-"</formula>
    </cfRule>
  </conditionalFormatting>
  <conditionalFormatting sqref="D352">
    <cfRule type="expression" dxfId="2321" priority="2854">
      <formula>$H352&lt;&gt;"-"</formula>
    </cfRule>
  </conditionalFormatting>
  <conditionalFormatting sqref="E352">
    <cfRule type="expression" dxfId="2320" priority="2853">
      <formula>$I352&lt;&gt;"-"</formula>
    </cfRule>
  </conditionalFormatting>
  <conditionalFormatting sqref="B353">
    <cfRule type="expression" dxfId="2319" priority="2850">
      <formula>AD353&lt;&gt;""</formula>
    </cfRule>
  </conditionalFormatting>
  <conditionalFormatting sqref="Z353">
    <cfRule type="cellIs" dxfId="2318" priority="2848" operator="greaterThan">
      <formula>0</formula>
    </cfRule>
    <cfRule type="cellIs" dxfId="2317" priority="2849" operator="lessThan">
      <formula>0</formula>
    </cfRule>
  </conditionalFormatting>
  <conditionalFormatting sqref="S353">
    <cfRule type="cellIs" dxfId="2316" priority="2847" operator="lessThan">
      <formula>0</formula>
    </cfRule>
  </conditionalFormatting>
  <conditionalFormatting sqref="P353">
    <cfRule type="cellIs" dxfId="2315" priority="2845" operator="equal">
      <formula>AS_DURATION_EFFORT</formula>
    </cfRule>
    <cfRule type="cellIs" dxfId="2314" priority="2846" operator="equal">
      <formula>AS_DEV_EFFORT</formula>
    </cfRule>
  </conditionalFormatting>
  <conditionalFormatting sqref="F353">
    <cfRule type="expression" dxfId="2313" priority="2844">
      <formula>$K353&lt;&gt;""</formula>
    </cfRule>
  </conditionalFormatting>
  <conditionalFormatting sqref="C353">
    <cfRule type="expression" dxfId="2312" priority="2843">
      <formula>$G353&lt;&gt;"-"</formula>
    </cfRule>
  </conditionalFormatting>
  <conditionalFormatting sqref="D353">
    <cfRule type="expression" dxfId="2311" priority="2842">
      <formula>$H353&lt;&gt;"-"</formula>
    </cfRule>
  </conditionalFormatting>
  <conditionalFormatting sqref="E353">
    <cfRule type="expression" dxfId="2310" priority="2841">
      <formula>$I353&lt;&gt;"-"</formula>
    </cfRule>
  </conditionalFormatting>
  <conditionalFormatting sqref="B364">
    <cfRule type="expression" dxfId="2309" priority="2840">
      <formula>AD364&lt;&gt;""</formula>
    </cfRule>
  </conditionalFormatting>
  <conditionalFormatting sqref="Z364">
    <cfRule type="cellIs" dxfId="2308" priority="2838" operator="greaterThan">
      <formula>0</formula>
    </cfRule>
    <cfRule type="cellIs" dxfId="2307" priority="2839" operator="lessThan">
      <formula>0</formula>
    </cfRule>
  </conditionalFormatting>
  <conditionalFormatting sqref="S364">
    <cfRule type="cellIs" dxfId="2306" priority="2837" operator="lessThan">
      <formula>0</formula>
    </cfRule>
  </conditionalFormatting>
  <conditionalFormatting sqref="P364">
    <cfRule type="cellIs" dxfId="2305" priority="2835" operator="equal">
      <formula>AS_DURATION_EFFORT</formula>
    </cfRule>
    <cfRule type="cellIs" dxfId="2304" priority="2836" operator="equal">
      <formula>AS_DEV_EFFORT</formula>
    </cfRule>
  </conditionalFormatting>
  <conditionalFormatting sqref="F364">
    <cfRule type="expression" dxfId="2303" priority="2834">
      <formula>$K364&lt;&gt;""</formula>
    </cfRule>
  </conditionalFormatting>
  <conditionalFormatting sqref="C364">
    <cfRule type="expression" dxfId="2302" priority="2833">
      <formula>$G364&lt;&gt;"-"</formula>
    </cfRule>
  </conditionalFormatting>
  <conditionalFormatting sqref="D364">
    <cfRule type="expression" dxfId="2301" priority="2832">
      <formula>$H364&lt;&gt;"-"</formula>
    </cfRule>
  </conditionalFormatting>
  <conditionalFormatting sqref="E364">
    <cfRule type="expression" dxfId="2300" priority="2831">
      <formula>$I364&lt;&gt;"-"</formula>
    </cfRule>
  </conditionalFormatting>
  <conditionalFormatting sqref="B365">
    <cfRule type="expression" dxfId="2299" priority="2830">
      <formula>AD365&lt;&gt;""</formula>
    </cfRule>
  </conditionalFormatting>
  <conditionalFormatting sqref="Z365">
    <cfRule type="cellIs" dxfId="2298" priority="2828" operator="greaterThan">
      <formula>0</formula>
    </cfRule>
    <cfRule type="cellIs" dxfId="2297" priority="2829" operator="lessThan">
      <formula>0</formula>
    </cfRule>
  </conditionalFormatting>
  <conditionalFormatting sqref="S365">
    <cfRule type="cellIs" dxfId="2296" priority="2827" operator="lessThan">
      <formula>0</formula>
    </cfRule>
  </conditionalFormatting>
  <conditionalFormatting sqref="P365">
    <cfRule type="cellIs" dxfId="2295" priority="2825" operator="equal">
      <formula>AS_DURATION_EFFORT</formula>
    </cfRule>
    <cfRule type="cellIs" dxfId="2294" priority="2826" operator="equal">
      <formula>AS_DEV_EFFORT</formula>
    </cfRule>
  </conditionalFormatting>
  <conditionalFormatting sqref="F365">
    <cfRule type="expression" dxfId="2293" priority="2824">
      <formula>$K365&lt;&gt;""</formula>
    </cfRule>
  </conditionalFormatting>
  <conditionalFormatting sqref="C365">
    <cfRule type="expression" dxfId="2292" priority="2823">
      <formula>$G365&lt;&gt;"-"</formula>
    </cfRule>
  </conditionalFormatting>
  <conditionalFormatting sqref="D365">
    <cfRule type="expression" dxfId="2291" priority="2822">
      <formula>$H365&lt;&gt;"-"</formula>
    </cfRule>
  </conditionalFormatting>
  <conditionalFormatting sqref="E365">
    <cfRule type="expression" dxfId="2290" priority="2821">
      <formula>$I365&lt;&gt;"-"</formula>
    </cfRule>
  </conditionalFormatting>
  <conditionalFormatting sqref="B171">
    <cfRule type="expression" dxfId="2289" priority="2735">
      <formula>AD171&lt;&gt;""</formula>
    </cfRule>
  </conditionalFormatting>
  <conditionalFormatting sqref="Z171">
    <cfRule type="cellIs" dxfId="2288" priority="2733" operator="greaterThan">
      <formula>0</formula>
    </cfRule>
    <cfRule type="cellIs" dxfId="2287" priority="2734" operator="lessThan">
      <formula>0</formula>
    </cfRule>
  </conditionalFormatting>
  <conditionalFormatting sqref="S171">
    <cfRule type="cellIs" dxfId="2286" priority="2732" operator="lessThan">
      <formula>0</formula>
    </cfRule>
  </conditionalFormatting>
  <conditionalFormatting sqref="T169:T170">
    <cfRule type="expression" dxfId="2285" priority="2736">
      <formula>#REF!="Yes"</formula>
    </cfRule>
  </conditionalFormatting>
  <conditionalFormatting sqref="P171">
    <cfRule type="cellIs" dxfId="2284" priority="2730" operator="equal">
      <formula>AS_DURATION_EFFORT</formula>
    </cfRule>
    <cfRule type="cellIs" dxfId="2283" priority="2731" operator="equal">
      <formula>AS_DEV_EFFORT</formula>
    </cfRule>
  </conditionalFormatting>
  <conditionalFormatting sqref="B169:B170">
    <cfRule type="expression" dxfId="2282" priority="2729">
      <formula>AD169&lt;&gt;""</formula>
    </cfRule>
  </conditionalFormatting>
  <conditionalFormatting sqref="F171">
    <cfRule type="expression" dxfId="2281" priority="2728">
      <formula>$K171&lt;&gt;""</formula>
    </cfRule>
  </conditionalFormatting>
  <conditionalFormatting sqref="C171">
    <cfRule type="expression" dxfId="2280" priority="2727">
      <formula>$G171&lt;&gt;"-"</formula>
    </cfRule>
  </conditionalFormatting>
  <conditionalFormatting sqref="D171">
    <cfRule type="expression" dxfId="2279" priority="2726">
      <formula>$H171&lt;&gt;"-"</formula>
    </cfRule>
  </conditionalFormatting>
  <conditionalFormatting sqref="E171">
    <cfRule type="expression" dxfId="2278" priority="2725">
      <formula>$I171&lt;&gt;"-"</formula>
    </cfRule>
  </conditionalFormatting>
  <conditionalFormatting sqref="B172">
    <cfRule type="expression" dxfId="2277" priority="2720">
      <formula>AD172&lt;&gt;""</formula>
    </cfRule>
  </conditionalFormatting>
  <conditionalFormatting sqref="Z172">
    <cfRule type="cellIs" dxfId="2276" priority="2718" operator="greaterThan">
      <formula>0</formula>
    </cfRule>
    <cfRule type="cellIs" dxfId="2275" priority="2719" operator="lessThan">
      <formula>0</formula>
    </cfRule>
  </conditionalFormatting>
  <conditionalFormatting sqref="S172">
    <cfRule type="cellIs" dxfId="2274" priority="2717" operator="lessThan">
      <formula>0</formula>
    </cfRule>
  </conditionalFormatting>
  <conditionalFormatting sqref="P172">
    <cfRule type="cellIs" dxfId="2273" priority="2715" operator="equal">
      <formula>AS_DURATION_EFFORT</formula>
    </cfRule>
    <cfRule type="cellIs" dxfId="2272" priority="2716" operator="equal">
      <formula>AS_DEV_EFFORT</formula>
    </cfRule>
  </conditionalFormatting>
  <conditionalFormatting sqref="F172">
    <cfRule type="expression" dxfId="2271" priority="2714">
      <formula>$K172&lt;&gt;""</formula>
    </cfRule>
  </conditionalFormatting>
  <conditionalFormatting sqref="C172">
    <cfRule type="expression" dxfId="2270" priority="2713">
      <formula>$G172&lt;&gt;"-"</formula>
    </cfRule>
  </conditionalFormatting>
  <conditionalFormatting sqref="D172">
    <cfRule type="expression" dxfId="2269" priority="2712">
      <formula>$H172&lt;&gt;"-"</formula>
    </cfRule>
  </conditionalFormatting>
  <conditionalFormatting sqref="E172">
    <cfRule type="expression" dxfId="2268" priority="2711">
      <formula>$I172&lt;&gt;"-"</formula>
    </cfRule>
  </conditionalFormatting>
  <conditionalFormatting sqref="B173">
    <cfRule type="expression" dxfId="2267" priority="2708">
      <formula>AD173&lt;&gt;""</formula>
    </cfRule>
  </conditionalFormatting>
  <conditionalFormatting sqref="Z173">
    <cfRule type="cellIs" dxfId="2266" priority="2706" operator="greaterThan">
      <formula>0</formula>
    </cfRule>
    <cfRule type="cellIs" dxfId="2265" priority="2707" operator="lessThan">
      <formula>0</formula>
    </cfRule>
  </conditionalFormatting>
  <conditionalFormatting sqref="S173">
    <cfRule type="cellIs" dxfId="2264" priority="2705" operator="lessThan">
      <formula>0</formula>
    </cfRule>
  </conditionalFormatting>
  <conditionalFormatting sqref="P173">
    <cfRule type="cellIs" dxfId="2263" priority="2703" operator="equal">
      <formula>AS_DURATION_EFFORT</formula>
    </cfRule>
    <cfRule type="cellIs" dxfId="2262" priority="2704" operator="equal">
      <formula>AS_DEV_EFFORT</formula>
    </cfRule>
  </conditionalFormatting>
  <conditionalFormatting sqref="F173">
    <cfRule type="expression" dxfId="2261" priority="2702">
      <formula>$K173&lt;&gt;""</formula>
    </cfRule>
  </conditionalFormatting>
  <conditionalFormatting sqref="C173">
    <cfRule type="expression" dxfId="2260" priority="2701">
      <formula>$G173&lt;&gt;"-"</formula>
    </cfRule>
  </conditionalFormatting>
  <conditionalFormatting sqref="D173">
    <cfRule type="expression" dxfId="2259" priority="2700">
      <formula>$H173&lt;&gt;"-"</formula>
    </cfRule>
  </conditionalFormatting>
  <conditionalFormatting sqref="E173">
    <cfRule type="expression" dxfId="2258" priority="2699">
      <formula>$I173&lt;&gt;"-"</formula>
    </cfRule>
  </conditionalFormatting>
  <conditionalFormatting sqref="B174">
    <cfRule type="expression" dxfId="2257" priority="2696">
      <formula>AD174&lt;&gt;""</formula>
    </cfRule>
  </conditionalFormatting>
  <conditionalFormatting sqref="Z174">
    <cfRule type="cellIs" dxfId="2256" priority="2694" operator="greaterThan">
      <formula>0</formula>
    </cfRule>
    <cfRule type="cellIs" dxfId="2255" priority="2695" operator="lessThan">
      <formula>0</formula>
    </cfRule>
  </conditionalFormatting>
  <conditionalFormatting sqref="S174">
    <cfRule type="cellIs" dxfId="2254" priority="2693" operator="lessThan">
      <formula>0</formula>
    </cfRule>
  </conditionalFormatting>
  <conditionalFormatting sqref="P174">
    <cfRule type="cellIs" dxfId="2253" priority="2691" operator="equal">
      <formula>AS_DURATION_EFFORT</formula>
    </cfRule>
    <cfRule type="cellIs" dxfId="2252" priority="2692" operator="equal">
      <formula>AS_DEV_EFFORT</formula>
    </cfRule>
  </conditionalFormatting>
  <conditionalFormatting sqref="F174">
    <cfRule type="expression" dxfId="2251" priority="2690">
      <formula>$K174&lt;&gt;""</formula>
    </cfRule>
  </conditionalFormatting>
  <conditionalFormatting sqref="C174">
    <cfRule type="expression" dxfId="2250" priority="2689">
      <formula>$G174&lt;&gt;"-"</formula>
    </cfRule>
  </conditionalFormatting>
  <conditionalFormatting sqref="D174">
    <cfRule type="expression" dxfId="2249" priority="2688">
      <formula>$H174&lt;&gt;"-"</formula>
    </cfRule>
  </conditionalFormatting>
  <conditionalFormatting sqref="E174">
    <cfRule type="expression" dxfId="2248" priority="2687">
      <formula>$I174&lt;&gt;"-"</formula>
    </cfRule>
  </conditionalFormatting>
  <conditionalFormatting sqref="B179">
    <cfRule type="expression" dxfId="2247" priority="2683">
      <formula>AD179&lt;&gt;""</formula>
    </cfRule>
  </conditionalFormatting>
  <conditionalFormatting sqref="Z179">
    <cfRule type="cellIs" dxfId="2246" priority="2681" operator="greaterThan">
      <formula>0</formula>
    </cfRule>
    <cfRule type="cellIs" dxfId="2245" priority="2682" operator="lessThan">
      <formula>0</formula>
    </cfRule>
  </conditionalFormatting>
  <conditionalFormatting sqref="S179">
    <cfRule type="cellIs" dxfId="2244" priority="2680" operator="lessThan">
      <formula>0</formula>
    </cfRule>
  </conditionalFormatting>
  <conditionalFormatting sqref="T177:T178">
    <cfRule type="expression" dxfId="2243" priority="2684">
      <formula>#REF!="Yes"</formula>
    </cfRule>
  </conditionalFormatting>
  <conditionalFormatting sqref="P179">
    <cfRule type="cellIs" dxfId="2242" priority="2678" operator="equal">
      <formula>AS_DURATION_EFFORT</formula>
    </cfRule>
    <cfRule type="cellIs" dxfId="2241" priority="2679" operator="equal">
      <formula>AS_DEV_EFFORT</formula>
    </cfRule>
  </conditionalFormatting>
  <conditionalFormatting sqref="B177:B178">
    <cfRule type="expression" dxfId="2240" priority="2677">
      <formula>AD177&lt;&gt;""</formula>
    </cfRule>
  </conditionalFormatting>
  <conditionalFormatting sqref="F179">
    <cfRule type="expression" dxfId="2239" priority="2676">
      <formula>$K179&lt;&gt;""</formula>
    </cfRule>
  </conditionalFormatting>
  <conditionalFormatting sqref="C179">
    <cfRule type="expression" dxfId="2238" priority="2675">
      <formula>$G179&lt;&gt;"-"</formula>
    </cfRule>
  </conditionalFormatting>
  <conditionalFormatting sqref="D179">
    <cfRule type="expression" dxfId="2237" priority="2674">
      <formula>$H179&lt;&gt;"-"</formula>
    </cfRule>
  </conditionalFormatting>
  <conditionalFormatting sqref="E179">
    <cfRule type="expression" dxfId="2236" priority="2673">
      <formula>$I179&lt;&gt;"-"</formula>
    </cfRule>
  </conditionalFormatting>
  <conditionalFormatting sqref="B180">
    <cfRule type="expression" dxfId="2235" priority="2670">
      <formula>AD180&lt;&gt;""</formula>
    </cfRule>
  </conditionalFormatting>
  <conditionalFormatting sqref="Z180">
    <cfRule type="cellIs" dxfId="2234" priority="2668" operator="greaterThan">
      <formula>0</formula>
    </cfRule>
    <cfRule type="cellIs" dxfId="2233" priority="2669" operator="lessThan">
      <formula>0</formula>
    </cfRule>
  </conditionalFormatting>
  <conditionalFormatting sqref="S180">
    <cfRule type="cellIs" dxfId="2232" priority="2667" operator="lessThan">
      <formula>0</formula>
    </cfRule>
  </conditionalFormatting>
  <conditionalFormatting sqref="P180">
    <cfRule type="cellIs" dxfId="2231" priority="2665" operator="equal">
      <formula>AS_DURATION_EFFORT</formula>
    </cfRule>
    <cfRule type="cellIs" dxfId="2230" priority="2666" operator="equal">
      <formula>AS_DEV_EFFORT</formula>
    </cfRule>
  </conditionalFormatting>
  <conditionalFormatting sqref="F180">
    <cfRule type="expression" dxfId="2229" priority="2664">
      <formula>$K180&lt;&gt;""</formula>
    </cfRule>
  </conditionalFormatting>
  <conditionalFormatting sqref="C180">
    <cfRule type="expression" dxfId="2228" priority="2663">
      <formula>$G180&lt;&gt;"-"</formula>
    </cfRule>
  </conditionalFormatting>
  <conditionalFormatting sqref="D180">
    <cfRule type="expression" dxfId="2227" priority="2662">
      <formula>$H180&lt;&gt;"-"</formula>
    </cfRule>
  </conditionalFormatting>
  <conditionalFormatting sqref="E180">
    <cfRule type="expression" dxfId="2226" priority="2661">
      <formula>$I180&lt;&gt;"-"</formula>
    </cfRule>
  </conditionalFormatting>
  <conditionalFormatting sqref="B181">
    <cfRule type="expression" dxfId="2225" priority="2658">
      <formula>AD181&lt;&gt;""</formula>
    </cfRule>
  </conditionalFormatting>
  <conditionalFormatting sqref="Z181">
    <cfRule type="cellIs" dxfId="2224" priority="2656" operator="greaterThan">
      <formula>0</formula>
    </cfRule>
    <cfRule type="cellIs" dxfId="2223" priority="2657" operator="lessThan">
      <formula>0</formula>
    </cfRule>
  </conditionalFormatting>
  <conditionalFormatting sqref="S181">
    <cfRule type="cellIs" dxfId="2222" priority="2655" operator="lessThan">
      <formula>0</formula>
    </cfRule>
  </conditionalFormatting>
  <conditionalFormatting sqref="P181">
    <cfRule type="cellIs" dxfId="2221" priority="2653" operator="equal">
      <formula>AS_DURATION_EFFORT</formula>
    </cfRule>
    <cfRule type="cellIs" dxfId="2220" priority="2654" operator="equal">
      <formula>AS_DEV_EFFORT</formula>
    </cfRule>
  </conditionalFormatting>
  <conditionalFormatting sqref="F181">
    <cfRule type="expression" dxfId="2219" priority="2652">
      <formula>$K181&lt;&gt;""</formula>
    </cfRule>
  </conditionalFormatting>
  <conditionalFormatting sqref="C181">
    <cfRule type="expression" dxfId="2218" priority="2651">
      <formula>$G181&lt;&gt;"-"</formula>
    </cfRule>
  </conditionalFormatting>
  <conditionalFormatting sqref="D181">
    <cfRule type="expression" dxfId="2217" priority="2650">
      <formula>$H181&lt;&gt;"-"</formula>
    </cfRule>
  </conditionalFormatting>
  <conditionalFormatting sqref="E181">
    <cfRule type="expression" dxfId="2216" priority="2649">
      <formula>$I181&lt;&gt;"-"</formula>
    </cfRule>
  </conditionalFormatting>
  <conditionalFormatting sqref="B183">
    <cfRule type="expression" dxfId="2215" priority="2646">
      <formula>AD183&lt;&gt;""</formula>
    </cfRule>
  </conditionalFormatting>
  <conditionalFormatting sqref="Z183">
    <cfRule type="cellIs" dxfId="2214" priority="2644" operator="greaterThan">
      <formula>0</formula>
    </cfRule>
    <cfRule type="cellIs" dxfId="2213" priority="2645" operator="lessThan">
      <formula>0</formula>
    </cfRule>
  </conditionalFormatting>
  <conditionalFormatting sqref="S183">
    <cfRule type="cellIs" dxfId="2212" priority="2643" operator="lessThan">
      <formula>0</formula>
    </cfRule>
  </conditionalFormatting>
  <conditionalFormatting sqref="P183">
    <cfRule type="cellIs" dxfId="2211" priority="2641" operator="equal">
      <formula>AS_DURATION_EFFORT</formula>
    </cfRule>
    <cfRule type="cellIs" dxfId="2210" priority="2642" operator="equal">
      <formula>AS_DEV_EFFORT</formula>
    </cfRule>
  </conditionalFormatting>
  <conditionalFormatting sqref="F183">
    <cfRule type="expression" dxfId="2209" priority="2640">
      <formula>$K183&lt;&gt;""</formula>
    </cfRule>
  </conditionalFormatting>
  <conditionalFormatting sqref="C183">
    <cfRule type="expression" dxfId="2208" priority="2639">
      <formula>$G183&lt;&gt;"-"</formula>
    </cfRule>
  </conditionalFormatting>
  <conditionalFormatting sqref="D183">
    <cfRule type="expression" dxfId="2207" priority="2638">
      <formula>$H183&lt;&gt;"-"</formula>
    </cfRule>
  </conditionalFormatting>
  <conditionalFormatting sqref="E183">
    <cfRule type="expression" dxfId="2206" priority="2637">
      <formula>$I183&lt;&gt;"-"</formula>
    </cfRule>
  </conditionalFormatting>
  <conditionalFormatting sqref="B105">
    <cfRule type="expression" dxfId="2205" priority="2633">
      <formula>AD105&lt;&gt;""</formula>
    </cfRule>
  </conditionalFormatting>
  <conditionalFormatting sqref="Z105">
    <cfRule type="cellIs" dxfId="2204" priority="2631" operator="greaterThan">
      <formula>0</formula>
    </cfRule>
    <cfRule type="cellIs" dxfId="2203" priority="2632" operator="lessThan">
      <formula>0</formula>
    </cfRule>
  </conditionalFormatting>
  <conditionalFormatting sqref="S105">
    <cfRule type="cellIs" dxfId="2202" priority="2630" operator="lessThan">
      <formula>0</formula>
    </cfRule>
  </conditionalFormatting>
  <conditionalFormatting sqref="T103:T104">
    <cfRule type="expression" dxfId="2201" priority="2634">
      <formula>#REF!="Yes"</formula>
    </cfRule>
  </conditionalFormatting>
  <conditionalFormatting sqref="P105">
    <cfRule type="cellIs" dxfId="2200" priority="2628" operator="equal">
      <formula>AS_DURATION_EFFORT</formula>
    </cfRule>
    <cfRule type="cellIs" dxfId="2199" priority="2629" operator="equal">
      <formula>AS_DEV_EFFORT</formula>
    </cfRule>
  </conditionalFormatting>
  <conditionalFormatting sqref="B103:B104">
    <cfRule type="expression" dxfId="2198" priority="2627">
      <formula>AD103&lt;&gt;""</formula>
    </cfRule>
  </conditionalFormatting>
  <conditionalFormatting sqref="L105:AC105">
    <cfRule type="expression" dxfId="2197" priority="2635">
      <formula>AND($G105="Yes", $S$6="Exclude")</formula>
    </cfRule>
    <cfRule type="expression" dxfId="2196" priority="2636">
      <formula>$J105="Yes"</formula>
    </cfRule>
  </conditionalFormatting>
  <conditionalFormatting sqref="F105">
    <cfRule type="expression" dxfId="2195" priority="2626">
      <formula>$K105&lt;&gt;""</formula>
    </cfRule>
  </conditionalFormatting>
  <conditionalFormatting sqref="C105">
    <cfRule type="expression" dxfId="2194" priority="2625">
      <formula>$G105&lt;&gt;"-"</formula>
    </cfRule>
  </conditionalFormatting>
  <conditionalFormatting sqref="D105">
    <cfRule type="expression" dxfId="2193" priority="2624">
      <formula>$H105&lt;&gt;"-"</formula>
    </cfRule>
  </conditionalFormatting>
  <conditionalFormatting sqref="E105">
    <cfRule type="expression" dxfId="2192" priority="2623">
      <formula>$I105&lt;&gt;"-"</formula>
    </cfRule>
  </conditionalFormatting>
  <conditionalFormatting sqref="S102">
    <cfRule type="expression" dxfId="2191" priority="2622">
      <formula>#REF!="Yes"</formula>
    </cfRule>
  </conditionalFormatting>
  <conditionalFormatting sqref="B102">
    <cfRule type="expression" dxfId="2190" priority="2621">
      <formula>AD102&lt;&gt;""</formula>
    </cfRule>
  </conditionalFormatting>
  <conditionalFormatting sqref="B106">
    <cfRule type="expression" dxfId="2189" priority="2618">
      <formula>AD106&lt;&gt;""</formula>
    </cfRule>
  </conditionalFormatting>
  <conditionalFormatting sqref="Z106">
    <cfRule type="cellIs" dxfId="2188" priority="2616" operator="greaterThan">
      <formula>0</formula>
    </cfRule>
    <cfRule type="cellIs" dxfId="2187" priority="2617" operator="lessThan">
      <formula>0</formula>
    </cfRule>
  </conditionalFormatting>
  <conditionalFormatting sqref="S106">
    <cfRule type="cellIs" dxfId="2186" priority="2615" operator="lessThan">
      <formula>0</formula>
    </cfRule>
  </conditionalFormatting>
  <conditionalFormatting sqref="P106">
    <cfRule type="cellIs" dxfId="2185" priority="2613" operator="equal">
      <formula>AS_DURATION_EFFORT</formula>
    </cfRule>
    <cfRule type="cellIs" dxfId="2184" priority="2614" operator="equal">
      <formula>AS_DEV_EFFORT</formula>
    </cfRule>
  </conditionalFormatting>
  <conditionalFormatting sqref="L106:AC106">
    <cfRule type="expression" dxfId="2183" priority="2619">
      <formula>AND($G106="Yes", $S$6="Exclude")</formula>
    </cfRule>
    <cfRule type="expression" dxfId="2182" priority="2620">
      <formula>$J106="Yes"</formula>
    </cfRule>
  </conditionalFormatting>
  <conditionalFormatting sqref="F106">
    <cfRule type="expression" dxfId="2181" priority="2612">
      <formula>$K106&lt;&gt;""</formula>
    </cfRule>
  </conditionalFormatting>
  <conditionalFormatting sqref="C106">
    <cfRule type="expression" dxfId="2180" priority="2611">
      <formula>$G106&lt;&gt;"-"</formula>
    </cfRule>
  </conditionalFormatting>
  <conditionalFormatting sqref="D106">
    <cfRule type="expression" dxfId="2179" priority="2610">
      <formula>$H106&lt;&gt;"-"</formula>
    </cfRule>
  </conditionalFormatting>
  <conditionalFormatting sqref="E106">
    <cfRule type="expression" dxfId="2178" priority="2609">
      <formula>$I106&lt;&gt;"-"</formula>
    </cfRule>
  </conditionalFormatting>
  <conditionalFormatting sqref="B107">
    <cfRule type="expression" dxfId="2177" priority="2606">
      <formula>AD107&lt;&gt;""</formula>
    </cfRule>
  </conditionalFormatting>
  <conditionalFormatting sqref="Z107">
    <cfRule type="cellIs" dxfId="2176" priority="2604" operator="greaterThan">
      <formula>0</formula>
    </cfRule>
    <cfRule type="cellIs" dxfId="2175" priority="2605" operator="lessThan">
      <formula>0</formula>
    </cfRule>
  </conditionalFormatting>
  <conditionalFormatting sqref="S107">
    <cfRule type="cellIs" dxfId="2174" priority="2603" operator="lessThan">
      <formula>0</formula>
    </cfRule>
  </conditionalFormatting>
  <conditionalFormatting sqref="P107">
    <cfRule type="cellIs" dxfId="2173" priority="2601" operator="equal">
      <formula>AS_DURATION_EFFORT</formula>
    </cfRule>
    <cfRule type="cellIs" dxfId="2172" priority="2602" operator="equal">
      <formula>AS_DEV_EFFORT</formula>
    </cfRule>
  </conditionalFormatting>
  <conditionalFormatting sqref="L107:AC107">
    <cfRule type="expression" dxfId="2171" priority="2607">
      <formula>AND($G107="Yes", $S$6="Exclude")</formula>
    </cfRule>
    <cfRule type="expression" dxfId="2170" priority="2608">
      <formula>$J107="Yes"</formula>
    </cfRule>
  </conditionalFormatting>
  <conditionalFormatting sqref="F107">
    <cfRule type="expression" dxfId="2169" priority="2600">
      <formula>$K107&lt;&gt;""</formula>
    </cfRule>
  </conditionalFormatting>
  <conditionalFormatting sqref="C107">
    <cfRule type="expression" dxfId="2168" priority="2599">
      <formula>$G107&lt;&gt;"-"</formula>
    </cfRule>
  </conditionalFormatting>
  <conditionalFormatting sqref="D107">
    <cfRule type="expression" dxfId="2167" priority="2598">
      <formula>$H107&lt;&gt;"-"</formula>
    </cfRule>
  </conditionalFormatting>
  <conditionalFormatting sqref="E107">
    <cfRule type="expression" dxfId="2166" priority="2597">
      <formula>$I107&lt;&gt;"-"</formula>
    </cfRule>
  </conditionalFormatting>
  <conditionalFormatting sqref="B108">
    <cfRule type="expression" dxfId="2165" priority="2594">
      <formula>AD108&lt;&gt;""</formula>
    </cfRule>
  </conditionalFormatting>
  <conditionalFormatting sqref="Z108">
    <cfRule type="cellIs" dxfId="2164" priority="2592" operator="greaterThan">
      <formula>0</formula>
    </cfRule>
    <cfRule type="cellIs" dxfId="2163" priority="2593" operator="lessThan">
      <formula>0</formula>
    </cfRule>
  </conditionalFormatting>
  <conditionalFormatting sqref="S108">
    <cfRule type="cellIs" dxfId="2162" priority="2591" operator="lessThan">
      <formula>0</formula>
    </cfRule>
  </conditionalFormatting>
  <conditionalFormatting sqref="P108">
    <cfRule type="cellIs" dxfId="2161" priority="2589" operator="equal">
      <formula>AS_DURATION_EFFORT</formula>
    </cfRule>
    <cfRule type="cellIs" dxfId="2160" priority="2590" operator="equal">
      <formula>AS_DEV_EFFORT</formula>
    </cfRule>
  </conditionalFormatting>
  <conditionalFormatting sqref="L108:AC108">
    <cfRule type="expression" dxfId="2159" priority="2595">
      <formula>AND($G108="Yes", $S$6="Exclude")</formula>
    </cfRule>
    <cfRule type="expression" dxfId="2158" priority="2596">
      <formula>$J108="Yes"</formula>
    </cfRule>
  </conditionalFormatting>
  <conditionalFormatting sqref="F108">
    <cfRule type="expression" dxfId="2157" priority="2588">
      <formula>$K108&lt;&gt;""</formula>
    </cfRule>
  </conditionalFormatting>
  <conditionalFormatting sqref="C108">
    <cfRule type="expression" dxfId="2156" priority="2587">
      <formula>$G108&lt;&gt;"-"</formula>
    </cfRule>
  </conditionalFormatting>
  <conditionalFormatting sqref="D108">
    <cfRule type="expression" dxfId="2155" priority="2586">
      <formula>$H108&lt;&gt;"-"</formula>
    </cfRule>
  </conditionalFormatting>
  <conditionalFormatting sqref="E108">
    <cfRule type="expression" dxfId="2154" priority="2585">
      <formula>$I108&lt;&gt;"-"</formula>
    </cfRule>
  </conditionalFormatting>
  <conditionalFormatting sqref="B109">
    <cfRule type="expression" dxfId="2153" priority="2582">
      <formula>AD109&lt;&gt;""</formula>
    </cfRule>
  </conditionalFormatting>
  <conditionalFormatting sqref="Z109">
    <cfRule type="cellIs" dxfId="2152" priority="2580" operator="greaterThan">
      <formula>0</formula>
    </cfRule>
    <cfRule type="cellIs" dxfId="2151" priority="2581" operator="lessThan">
      <formula>0</formula>
    </cfRule>
  </conditionalFormatting>
  <conditionalFormatting sqref="S109">
    <cfRule type="cellIs" dxfId="2150" priority="2579" operator="lessThan">
      <formula>0</formula>
    </cfRule>
  </conditionalFormatting>
  <conditionalFormatting sqref="P109">
    <cfRule type="cellIs" dxfId="2149" priority="2577" operator="equal">
      <formula>AS_DURATION_EFFORT</formula>
    </cfRule>
    <cfRule type="cellIs" dxfId="2148" priority="2578" operator="equal">
      <formula>AS_DEV_EFFORT</formula>
    </cfRule>
  </conditionalFormatting>
  <conditionalFormatting sqref="L109:AC109">
    <cfRule type="expression" dxfId="2147" priority="2583">
      <formula>AND($G109="Yes", $S$6="Exclude")</formula>
    </cfRule>
    <cfRule type="expression" dxfId="2146" priority="2584">
      <formula>$J109="Yes"</formula>
    </cfRule>
  </conditionalFormatting>
  <conditionalFormatting sqref="F109">
    <cfRule type="expression" dxfId="2145" priority="2576">
      <formula>$K109&lt;&gt;""</formula>
    </cfRule>
  </conditionalFormatting>
  <conditionalFormatting sqref="C109">
    <cfRule type="expression" dxfId="2144" priority="2575">
      <formula>$G109&lt;&gt;"-"</formula>
    </cfRule>
  </conditionalFormatting>
  <conditionalFormatting sqref="D109">
    <cfRule type="expression" dxfId="2143" priority="2574">
      <formula>$H109&lt;&gt;"-"</formula>
    </cfRule>
  </conditionalFormatting>
  <conditionalFormatting sqref="E109">
    <cfRule type="expression" dxfId="2142" priority="2573">
      <formula>$I109&lt;&gt;"-"</formula>
    </cfRule>
  </conditionalFormatting>
  <conditionalFormatting sqref="B110">
    <cfRule type="expression" dxfId="2141" priority="2570">
      <formula>AD110&lt;&gt;""</formula>
    </cfRule>
  </conditionalFormatting>
  <conditionalFormatting sqref="Z110">
    <cfRule type="cellIs" dxfId="2140" priority="2568" operator="greaterThan">
      <formula>0</formula>
    </cfRule>
    <cfRule type="cellIs" dxfId="2139" priority="2569" operator="lessThan">
      <formula>0</formula>
    </cfRule>
  </conditionalFormatting>
  <conditionalFormatting sqref="S110">
    <cfRule type="cellIs" dxfId="2138" priority="2567" operator="lessThan">
      <formula>0</formula>
    </cfRule>
  </conditionalFormatting>
  <conditionalFormatting sqref="P110">
    <cfRule type="cellIs" dxfId="2137" priority="2565" operator="equal">
      <formula>AS_DURATION_EFFORT</formula>
    </cfRule>
    <cfRule type="cellIs" dxfId="2136" priority="2566" operator="equal">
      <formula>AS_DEV_EFFORT</formula>
    </cfRule>
  </conditionalFormatting>
  <conditionalFormatting sqref="L110:AC110">
    <cfRule type="expression" dxfId="2135" priority="2571">
      <formula>AND($G110="Yes", $S$6="Exclude")</formula>
    </cfRule>
    <cfRule type="expression" dxfId="2134" priority="2572">
      <formula>$J110="Yes"</formula>
    </cfRule>
  </conditionalFormatting>
  <conditionalFormatting sqref="F110">
    <cfRule type="expression" dxfId="2133" priority="2564">
      <formula>$K110&lt;&gt;""</formula>
    </cfRule>
  </conditionalFormatting>
  <conditionalFormatting sqref="C110">
    <cfRule type="expression" dxfId="2132" priority="2563">
      <formula>$G110&lt;&gt;"-"</formula>
    </cfRule>
  </conditionalFormatting>
  <conditionalFormatting sqref="D110">
    <cfRule type="expression" dxfId="2131" priority="2562">
      <formula>$H110&lt;&gt;"-"</formula>
    </cfRule>
  </conditionalFormatting>
  <conditionalFormatting sqref="E110">
    <cfRule type="expression" dxfId="2130" priority="2561">
      <formula>$I110&lt;&gt;"-"</formula>
    </cfRule>
  </conditionalFormatting>
  <conditionalFormatting sqref="B115">
    <cfRule type="expression" dxfId="2129" priority="2557">
      <formula>AD115&lt;&gt;""</formula>
    </cfRule>
  </conditionalFormatting>
  <conditionalFormatting sqref="Z115">
    <cfRule type="cellIs" dxfId="2128" priority="2555" operator="greaterThan">
      <formula>0</formula>
    </cfRule>
    <cfRule type="cellIs" dxfId="2127" priority="2556" operator="lessThan">
      <formula>0</formula>
    </cfRule>
  </conditionalFormatting>
  <conditionalFormatting sqref="S115">
    <cfRule type="cellIs" dxfId="2126" priority="2554" operator="lessThan">
      <formula>0</formula>
    </cfRule>
  </conditionalFormatting>
  <conditionalFormatting sqref="T113:T114">
    <cfRule type="expression" dxfId="2125" priority="2558">
      <formula>#REF!="Yes"</formula>
    </cfRule>
  </conditionalFormatting>
  <conditionalFormatting sqref="P115">
    <cfRule type="cellIs" dxfId="2124" priority="2552" operator="equal">
      <formula>AS_DURATION_EFFORT</formula>
    </cfRule>
    <cfRule type="cellIs" dxfId="2123" priority="2553" operator="equal">
      <formula>AS_DEV_EFFORT</formula>
    </cfRule>
  </conditionalFormatting>
  <conditionalFormatting sqref="B113:B114">
    <cfRule type="expression" dxfId="2122" priority="2551">
      <formula>AD113&lt;&gt;""</formula>
    </cfRule>
  </conditionalFormatting>
  <conditionalFormatting sqref="L115:AC115">
    <cfRule type="expression" dxfId="2121" priority="2559">
      <formula>AND($G115="Yes", $S$6="Exclude")</formula>
    </cfRule>
    <cfRule type="expression" dxfId="2120" priority="2560">
      <formula>$J115="Yes"</formula>
    </cfRule>
  </conditionalFormatting>
  <conditionalFormatting sqref="F115">
    <cfRule type="expression" dxfId="2119" priority="2550">
      <formula>$K115&lt;&gt;""</formula>
    </cfRule>
  </conditionalFormatting>
  <conditionalFormatting sqref="C115">
    <cfRule type="expression" dxfId="2118" priority="2549">
      <formula>$G115&lt;&gt;"-"</formula>
    </cfRule>
  </conditionalFormatting>
  <conditionalFormatting sqref="D115">
    <cfRule type="expression" dxfId="2117" priority="2548">
      <formula>$H115&lt;&gt;"-"</formula>
    </cfRule>
  </conditionalFormatting>
  <conditionalFormatting sqref="E115">
    <cfRule type="expression" dxfId="2116" priority="2547">
      <formula>$I115&lt;&gt;"-"</formula>
    </cfRule>
  </conditionalFormatting>
  <conditionalFormatting sqref="B116">
    <cfRule type="expression" dxfId="2115" priority="2544">
      <formula>AD116&lt;&gt;""</formula>
    </cfRule>
  </conditionalFormatting>
  <conditionalFormatting sqref="Z116">
    <cfRule type="cellIs" dxfId="2114" priority="2542" operator="greaterThan">
      <formula>0</formula>
    </cfRule>
    <cfRule type="cellIs" dxfId="2113" priority="2543" operator="lessThan">
      <formula>0</formula>
    </cfRule>
  </conditionalFormatting>
  <conditionalFormatting sqref="S116">
    <cfRule type="cellIs" dxfId="2112" priority="2541" operator="lessThan">
      <formula>0</formula>
    </cfRule>
  </conditionalFormatting>
  <conditionalFormatting sqref="P116">
    <cfRule type="cellIs" dxfId="2111" priority="2539" operator="equal">
      <formula>AS_DURATION_EFFORT</formula>
    </cfRule>
    <cfRule type="cellIs" dxfId="2110" priority="2540" operator="equal">
      <formula>AS_DEV_EFFORT</formula>
    </cfRule>
  </conditionalFormatting>
  <conditionalFormatting sqref="L116:AC116">
    <cfRule type="expression" dxfId="2109" priority="2545">
      <formula>AND($G116="Yes", $S$6="Exclude")</formula>
    </cfRule>
    <cfRule type="expression" dxfId="2108" priority="2546">
      <formula>$J116="Yes"</formula>
    </cfRule>
  </conditionalFormatting>
  <conditionalFormatting sqref="F116">
    <cfRule type="expression" dxfId="2107" priority="2538">
      <formula>$K116&lt;&gt;""</formula>
    </cfRule>
  </conditionalFormatting>
  <conditionalFormatting sqref="C116">
    <cfRule type="expression" dxfId="2106" priority="2537">
      <formula>$G116&lt;&gt;"-"</formula>
    </cfRule>
  </conditionalFormatting>
  <conditionalFormatting sqref="D116">
    <cfRule type="expression" dxfId="2105" priority="2536">
      <formula>$H116&lt;&gt;"-"</formula>
    </cfRule>
  </conditionalFormatting>
  <conditionalFormatting sqref="E116">
    <cfRule type="expression" dxfId="2104" priority="2535">
      <formula>$I116&lt;&gt;"-"</formula>
    </cfRule>
  </conditionalFormatting>
  <conditionalFormatting sqref="B117">
    <cfRule type="expression" dxfId="2103" priority="2532">
      <formula>AD117&lt;&gt;""</formula>
    </cfRule>
  </conditionalFormatting>
  <conditionalFormatting sqref="Z117">
    <cfRule type="cellIs" dxfId="2102" priority="2530" operator="greaterThan">
      <formula>0</formula>
    </cfRule>
    <cfRule type="cellIs" dxfId="2101" priority="2531" operator="lessThan">
      <formula>0</formula>
    </cfRule>
  </conditionalFormatting>
  <conditionalFormatting sqref="S117">
    <cfRule type="cellIs" dxfId="2100" priority="2529" operator="lessThan">
      <formula>0</formula>
    </cfRule>
  </conditionalFormatting>
  <conditionalFormatting sqref="P117">
    <cfRule type="cellIs" dxfId="2099" priority="2527" operator="equal">
      <formula>AS_DURATION_EFFORT</formula>
    </cfRule>
    <cfRule type="cellIs" dxfId="2098" priority="2528" operator="equal">
      <formula>AS_DEV_EFFORT</formula>
    </cfRule>
  </conditionalFormatting>
  <conditionalFormatting sqref="L117:AC117">
    <cfRule type="expression" dxfId="2097" priority="2533">
      <formula>AND($G117="Yes", $S$6="Exclude")</formula>
    </cfRule>
    <cfRule type="expression" dxfId="2096" priority="2534">
      <formula>$J117="Yes"</formula>
    </cfRule>
  </conditionalFormatting>
  <conditionalFormatting sqref="F117">
    <cfRule type="expression" dxfId="2095" priority="2526">
      <formula>$K117&lt;&gt;""</formula>
    </cfRule>
  </conditionalFormatting>
  <conditionalFormatting sqref="C117">
    <cfRule type="expression" dxfId="2094" priority="2525">
      <formula>$G117&lt;&gt;"-"</formula>
    </cfRule>
  </conditionalFormatting>
  <conditionalFormatting sqref="D117">
    <cfRule type="expression" dxfId="2093" priority="2524">
      <formula>$H117&lt;&gt;"-"</formula>
    </cfRule>
  </conditionalFormatting>
  <conditionalFormatting sqref="E117">
    <cfRule type="expression" dxfId="2092" priority="2523">
      <formula>$I117&lt;&gt;"-"</formula>
    </cfRule>
  </conditionalFormatting>
  <conditionalFormatting sqref="B118">
    <cfRule type="expression" dxfId="2091" priority="2520">
      <formula>AD118&lt;&gt;""</formula>
    </cfRule>
  </conditionalFormatting>
  <conditionalFormatting sqref="Z118">
    <cfRule type="cellIs" dxfId="2090" priority="2518" operator="greaterThan">
      <formula>0</formula>
    </cfRule>
    <cfRule type="cellIs" dxfId="2089" priority="2519" operator="lessThan">
      <formula>0</formula>
    </cfRule>
  </conditionalFormatting>
  <conditionalFormatting sqref="S118">
    <cfRule type="cellIs" dxfId="2088" priority="2517" operator="lessThan">
      <formula>0</formula>
    </cfRule>
  </conditionalFormatting>
  <conditionalFormatting sqref="P118">
    <cfRule type="cellIs" dxfId="2087" priority="2515" operator="equal">
      <formula>AS_DURATION_EFFORT</formula>
    </cfRule>
    <cfRule type="cellIs" dxfId="2086" priority="2516" operator="equal">
      <formula>AS_DEV_EFFORT</formula>
    </cfRule>
  </conditionalFormatting>
  <conditionalFormatting sqref="L118:AC118">
    <cfRule type="expression" dxfId="2085" priority="2521">
      <formula>AND($G118="Yes", $S$6="Exclude")</formula>
    </cfRule>
    <cfRule type="expression" dxfId="2084" priority="2522">
      <formula>$J118="Yes"</formula>
    </cfRule>
  </conditionalFormatting>
  <conditionalFormatting sqref="F118">
    <cfRule type="expression" dxfId="2083" priority="2514">
      <formula>$K118&lt;&gt;""</formula>
    </cfRule>
  </conditionalFormatting>
  <conditionalFormatting sqref="C118">
    <cfRule type="expression" dxfId="2082" priority="2513">
      <formula>$G118&lt;&gt;"-"</formula>
    </cfRule>
  </conditionalFormatting>
  <conditionalFormatting sqref="D118">
    <cfRule type="expression" dxfId="2081" priority="2512">
      <formula>$H118&lt;&gt;"-"</formula>
    </cfRule>
  </conditionalFormatting>
  <conditionalFormatting sqref="E118">
    <cfRule type="expression" dxfId="2080" priority="2511">
      <formula>$I118&lt;&gt;"-"</formula>
    </cfRule>
  </conditionalFormatting>
  <conditionalFormatting sqref="B119">
    <cfRule type="expression" dxfId="2079" priority="2508">
      <formula>AD119&lt;&gt;""</formula>
    </cfRule>
  </conditionalFormatting>
  <conditionalFormatting sqref="Z119">
    <cfRule type="cellIs" dxfId="2078" priority="2506" operator="greaterThan">
      <formula>0</formula>
    </cfRule>
    <cfRule type="cellIs" dxfId="2077" priority="2507" operator="lessThan">
      <formula>0</formula>
    </cfRule>
  </conditionalFormatting>
  <conditionalFormatting sqref="S119">
    <cfRule type="cellIs" dxfId="2076" priority="2505" operator="lessThan">
      <formula>0</formula>
    </cfRule>
  </conditionalFormatting>
  <conditionalFormatting sqref="P119">
    <cfRule type="cellIs" dxfId="2075" priority="2503" operator="equal">
      <formula>AS_DURATION_EFFORT</formula>
    </cfRule>
    <cfRule type="cellIs" dxfId="2074" priority="2504" operator="equal">
      <formula>AS_DEV_EFFORT</formula>
    </cfRule>
  </conditionalFormatting>
  <conditionalFormatting sqref="L119:AC119">
    <cfRule type="expression" dxfId="2073" priority="2509">
      <formula>AND($G119="Yes", $S$6="Exclude")</formula>
    </cfRule>
    <cfRule type="expression" dxfId="2072" priority="2510">
      <formula>$J119="Yes"</formula>
    </cfRule>
  </conditionalFormatting>
  <conditionalFormatting sqref="F119">
    <cfRule type="expression" dxfId="2071" priority="2502">
      <formula>$K119&lt;&gt;""</formula>
    </cfRule>
  </conditionalFormatting>
  <conditionalFormatting sqref="C119">
    <cfRule type="expression" dxfId="2070" priority="2501">
      <formula>$G119&lt;&gt;"-"</formula>
    </cfRule>
  </conditionalFormatting>
  <conditionalFormatting sqref="D119">
    <cfRule type="expression" dxfId="2069" priority="2500">
      <formula>$H119&lt;&gt;"-"</formula>
    </cfRule>
  </conditionalFormatting>
  <conditionalFormatting sqref="E119">
    <cfRule type="expression" dxfId="2068" priority="2499">
      <formula>$I119&lt;&gt;"-"</formula>
    </cfRule>
  </conditionalFormatting>
  <conditionalFormatting sqref="B128">
    <cfRule type="expression" dxfId="2067" priority="2483">
      <formula>AD128&lt;&gt;""</formula>
    </cfRule>
  </conditionalFormatting>
  <conditionalFormatting sqref="Z128">
    <cfRule type="cellIs" dxfId="2066" priority="2481" operator="greaterThan">
      <formula>0</formula>
    </cfRule>
    <cfRule type="cellIs" dxfId="2065" priority="2482" operator="lessThan">
      <formula>0</formula>
    </cfRule>
  </conditionalFormatting>
  <conditionalFormatting sqref="S128">
    <cfRule type="cellIs" dxfId="2064" priority="2480" operator="lessThan">
      <formula>0</formula>
    </cfRule>
  </conditionalFormatting>
  <conditionalFormatting sqref="T126:T127">
    <cfRule type="expression" dxfId="2063" priority="2484">
      <formula>#REF!="Yes"</formula>
    </cfRule>
  </conditionalFormatting>
  <conditionalFormatting sqref="P128">
    <cfRule type="cellIs" dxfId="2062" priority="2478" operator="equal">
      <formula>AS_DURATION_EFFORT</formula>
    </cfRule>
    <cfRule type="cellIs" dxfId="2061" priority="2479" operator="equal">
      <formula>AS_DEV_EFFORT</formula>
    </cfRule>
  </conditionalFormatting>
  <conditionalFormatting sqref="B126:B127">
    <cfRule type="expression" dxfId="2060" priority="2477">
      <formula>AD126&lt;&gt;""</formula>
    </cfRule>
  </conditionalFormatting>
  <conditionalFormatting sqref="L128:AC128">
    <cfRule type="expression" dxfId="2059" priority="2485">
      <formula>AND($G128="Yes", $S$6="Exclude")</formula>
    </cfRule>
    <cfRule type="expression" dxfId="2058" priority="2486">
      <formula>$J128="Yes"</formula>
    </cfRule>
  </conditionalFormatting>
  <conditionalFormatting sqref="F128">
    <cfRule type="expression" dxfId="2057" priority="2476">
      <formula>$K128&lt;&gt;""</formula>
    </cfRule>
  </conditionalFormatting>
  <conditionalFormatting sqref="C128">
    <cfRule type="expression" dxfId="2056" priority="2475">
      <formula>$G128&lt;&gt;"-"</formula>
    </cfRule>
  </conditionalFormatting>
  <conditionalFormatting sqref="D128">
    <cfRule type="expression" dxfId="2055" priority="2474">
      <formula>$H128&lt;&gt;"-"</formula>
    </cfRule>
  </conditionalFormatting>
  <conditionalFormatting sqref="E128">
    <cfRule type="expression" dxfId="2054" priority="2473">
      <formula>$I128&lt;&gt;"-"</formula>
    </cfRule>
  </conditionalFormatting>
  <conditionalFormatting sqref="B129">
    <cfRule type="expression" dxfId="2053" priority="2470">
      <formula>AD129&lt;&gt;""</formula>
    </cfRule>
  </conditionalFormatting>
  <conditionalFormatting sqref="Z129">
    <cfRule type="cellIs" dxfId="2052" priority="2468" operator="greaterThan">
      <formula>0</formula>
    </cfRule>
    <cfRule type="cellIs" dxfId="2051" priority="2469" operator="lessThan">
      <formula>0</formula>
    </cfRule>
  </conditionalFormatting>
  <conditionalFormatting sqref="S129">
    <cfRule type="cellIs" dxfId="2050" priority="2467" operator="lessThan">
      <formula>0</formula>
    </cfRule>
  </conditionalFormatting>
  <conditionalFormatting sqref="P129">
    <cfRule type="cellIs" dxfId="2049" priority="2465" operator="equal">
      <formula>AS_DURATION_EFFORT</formula>
    </cfRule>
    <cfRule type="cellIs" dxfId="2048" priority="2466" operator="equal">
      <formula>AS_DEV_EFFORT</formula>
    </cfRule>
  </conditionalFormatting>
  <conditionalFormatting sqref="L129:AC129">
    <cfRule type="expression" dxfId="2047" priority="2471">
      <formula>AND($G129="Yes", $S$6="Exclude")</formula>
    </cfRule>
    <cfRule type="expression" dxfId="2046" priority="2472">
      <formula>$J129="Yes"</formula>
    </cfRule>
  </conditionalFormatting>
  <conditionalFormatting sqref="F129">
    <cfRule type="expression" dxfId="2045" priority="2464">
      <formula>$K129&lt;&gt;""</formula>
    </cfRule>
  </conditionalFormatting>
  <conditionalFormatting sqref="C129">
    <cfRule type="expression" dxfId="2044" priority="2463">
      <formula>$G129&lt;&gt;"-"</formula>
    </cfRule>
  </conditionalFormatting>
  <conditionalFormatting sqref="D129">
    <cfRule type="expression" dxfId="2043" priority="2462">
      <formula>$H129&lt;&gt;"-"</formula>
    </cfRule>
  </conditionalFormatting>
  <conditionalFormatting sqref="E129">
    <cfRule type="expression" dxfId="2042" priority="2461">
      <formula>$I129&lt;&gt;"-"</formula>
    </cfRule>
  </conditionalFormatting>
  <conditionalFormatting sqref="B130">
    <cfRule type="expression" dxfId="2041" priority="2458">
      <formula>AD130&lt;&gt;""</formula>
    </cfRule>
  </conditionalFormatting>
  <conditionalFormatting sqref="Z130">
    <cfRule type="cellIs" dxfId="2040" priority="2456" operator="greaterThan">
      <formula>0</formula>
    </cfRule>
    <cfRule type="cellIs" dxfId="2039" priority="2457" operator="lessThan">
      <formula>0</formula>
    </cfRule>
  </conditionalFormatting>
  <conditionalFormatting sqref="S130">
    <cfRule type="cellIs" dxfId="2038" priority="2455" operator="lessThan">
      <formula>0</formula>
    </cfRule>
  </conditionalFormatting>
  <conditionalFormatting sqref="P130">
    <cfRule type="cellIs" dxfId="2037" priority="2453" operator="equal">
      <formula>AS_DURATION_EFFORT</formula>
    </cfRule>
    <cfRule type="cellIs" dxfId="2036" priority="2454" operator="equal">
      <formula>AS_DEV_EFFORT</formula>
    </cfRule>
  </conditionalFormatting>
  <conditionalFormatting sqref="L130:AC130">
    <cfRule type="expression" dxfId="2035" priority="2459">
      <formula>AND($G130="Yes", $S$6="Exclude")</formula>
    </cfRule>
    <cfRule type="expression" dxfId="2034" priority="2460">
      <formula>$J130="Yes"</formula>
    </cfRule>
  </conditionalFormatting>
  <conditionalFormatting sqref="F130">
    <cfRule type="expression" dxfId="2033" priority="2452">
      <formula>$K130&lt;&gt;""</formula>
    </cfRule>
  </conditionalFormatting>
  <conditionalFormatting sqref="C130">
    <cfRule type="expression" dxfId="2032" priority="2451">
      <formula>$G130&lt;&gt;"-"</formula>
    </cfRule>
  </conditionalFormatting>
  <conditionalFormatting sqref="D130">
    <cfRule type="expression" dxfId="2031" priority="2450">
      <formula>$H130&lt;&gt;"-"</formula>
    </cfRule>
  </conditionalFormatting>
  <conditionalFormatting sqref="E130">
    <cfRule type="expression" dxfId="2030" priority="2449">
      <formula>$I130&lt;&gt;"-"</formula>
    </cfRule>
  </conditionalFormatting>
  <conditionalFormatting sqref="B131">
    <cfRule type="expression" dxfId="2029" priority="2446">
      <formula>AD131&lt;&gt;""</formula>
    </cfRule>
  </conditionalFormatting>
  <conditionalFormatting sqref="Z131">
    <cfRule type="cellIs" dxfId="2028" priority="2444" operator="greaterThan">
      <formula>0</formula>
    </cfRule>
    <cfRule type="cellIs" dxfId="2027" priority="2445" operator="lessThan">
      <formula>0</formula>
    </cfRule>
  </conditionalFormatting>
  <conditionalFormatting sqref="S131">
    <cfRule type="cellIs" dxfId="2026" priority="2443" operator="lessThan">
      <formula>0</formula>
    </cfRule>
  </conditionalFormatting>
  <conditionalFormatting sqref="P131">
    <cfRule type="cellIs" dxfId="2025" priority="2441" operator="equal">
      <formula>AS_DURATION_EFFORT</formula>
    </cfRule>
    <cfRule type="cellIs" dxfId="2024" priority="2442" operator="equal">
      <formula>AS_DEV_EFFORT</formula>
    </cfRule>
  </conditionalFormatting>
  <conditionalFormatting sqref="L131:AC131">
    <cfRule type="expression" dxfId="2023" priority="2447">
      <formula>AND($G131="Yes", $S$6="Exclude")</formula>
    </cfRule>
    <cfRule type="expression" dxfId="2022" priority="2448">
      <formula>$J131="Yes"</formula>
    </cfRule>
  </conditionalFormatting>
  <conditionalFormatting sqref="F131">
    <cfRule type="expression" dxfId="2021" priority="2440">
      <formula>$K131&lt;&gt;""</formula>
    </cfRule>
  </conditionalFormatting>
  <conditionalFormatting sqref="C131">
    <cfRule type="expression" dxfId="2020" priority="2439">
      <formula>$G131&lt;&gt;"-"</formula>
    </cfRule>
  </conditionalFormatting>
  <conditionalFormatting sqref="D131">
    <cfRule type="expression" dxfId="2019" priority="2438">
      <formula>$H131&lt;&gt;"-"</formula>
    </cfRule>
  </conditionalFormatting>
  <conditionalFormatting sqref="E131">
    <cfRule type="expression" dxfId="2018" priority="2437">
      <formula>$I131&lt;&gt;"-"</formula>
    </cfRule>
  </conditionalFormatting>
  <conditionalFormatting sqref="B144">
    <cfRule type="expression" dxfId="2017" priority="2433">
      <formula>AD144&lt;&gt;""</formula>
    </cfRule>
  </conditionalFormatting>
  <conditionalFormatting sqref="Z144">
    <cfRule type="cellIs" dxfId="2016" priority="2431" operator="greaterThan">
      <formula>0</formula>
    </cfRule>
    <cfRule type="cellIs" dxfId="2015" priority="2432" operator="lessThan">
      <formula>0</formula>
    </cfRule>
  </conditionalFormatting>
  <conditionalFormatting sqref="S144">
    <cfRule type="cellIs" dxfId="2014" priority="2430" operator="lessThan">
      <formula>0</formula>
    </cfRule>
  </conditionalFormatting>
  <conditionalFormatting sqref="T142:T143">
    <cfRule type="expression" dxfId="2013" priority="2434">
      <formula>#REF!="Yes"</formula>
    </cfRule>
  </conditionalFormatting>
  <conditionalFormatting sqref="P144">
    <cfRule type="cellIs" dxfId="2012" priority="2428" operator="equal">
      <formula>AS_DURATION_EFFORT</formula>
    </cfRule>
    <cfRule type="cellIs" dxfId="2011" priority="2429" operator="equal">
      <formula>AS_DEV_EFFORT</formula>
    </cfRule>
  </conditionalFormatting>
  <conditionalFormatting sqref="B142:B143">
    <cfRule type="expression" dxfId="2010" priority="2427">
      <formula>AD142&lt;&gt;""</formula>
    </cfRule>
  </conditionalFormatting>
  <conditionalFormatting sqref="L144:AC144">
    <cfRule type="expression" dxfId="2009" priority="2435">
      <formula>AND($G144="Yes", $S$6="Exclude")</formula>
    </cfRule>
    <cfRule type="expression" dxfId="2008" priority="2436">
      <formula>$J144="Yes"</formula>
    </cfRule>
  </conditionalFormatting>
  <conditionalFormatting sqref="F144">
    <cfRule type="expression" dxfId="2007" priority="2426">
      <formula>$K144&lt;&gt;""</formula>
    </cfRule>
  </conditionalFormatting>
  <conditionalFormatting sqref="C144">
    <cfRule type="expression" dxfId="2006" priority="2425">
      <formula>$G144&lt;&gt;"-"</formula>
    </cfRule>
  </conditionalFormatting>
  <conditionalFormatting sqref="D144">
    <cfRule type="expression" dxfId="2005" priority="2424">
      <formula>$H144&lt;&gt;"-"</formula>
    </cfRule>
  </conditionalFormatting>
  <conditionalFormatting sqref="E144">
    <cfRule type="expression" dxfId="2004" priority="2423">
      <formula>$I144&lt;&gt;"-"</formula>
    </cfRule>
  </conditionalFormatting>
  <conditionalFormatting sqref="B145">
    <cfRule type="expression" dxfId="2003" priority="2420">
      <formula>AD145&lt;&gt;""</formula>
    </cfRule>
  </conditionalFormatting>
  <conditionalFormatting sqref="Z145">
    <cfRule type="cellIs" dxfId="2002" priority="2418" operator="greaterThan">
      <formula>0</formula>
    </cfRule>
    <cfRule type="cellIs" dxfId="2001" priority="2419" operator="lessThan">
      <formula>0</formula>
    </cfRule>
  </conditionalFormatting>
  <conditionalFormatting sqref="S145">
    <cfRule type="cellIs" dxfId="2000" priority="2417" operator="lessThan">
      <formula>0</formula>
    </cfRule>
  </conditionalFormatting>
  <conditionalFormatting sqref="P145">
    <cfRule type="cellIs" dxfId="1999" priority="2415" operator="equal">
      <formula>AS_DURATION_EFFORT</formula>
    </cfRule>
    <cfRule type="cellIs" dxfId="1998" priority="2416" operator="equal">
      <formula>AS_DEV_EFFORT</formula>
    </cfRule>
  </conditionalFormatting>
  <conditionalFormatting sqref="L145:AC145">
    <cfRule type="expression" dxfId="1997" priority="2421">
      <formula>AND($G145="Yes", $S$6="Exclude")</formula>
    </cfRule>
    <cfRule type="expression" dxfId="1996" priority="2422">
      <formula>$J145="Yes"</formula>
    </cfRule>
  </conditionalFormatting>
  <conditionalFormatting sqref="F145">
    <cfRule type="expression" dxfId="1995" priority="2414">
      <formula>$K145&lt;&gt;""</formula>
    </cfRule>
  </conditionalFormatting>
  <conditionalFormatting sqref="C145">
    <cfRule type="expression" dxfId="1994" priority="2413">
      <formula>$G145&lt;&gt;"-"</formula>
    </cfRule>
  </conditionalFormatting>
  <conditionalFormatting sqref="D145">
    <cfRule type="expression" dxfId="1993" priority="2412">
      <formula>$H145&lt;&gt;"-"</formula>
    </cfRule>
  </conditionalFormatting>
  <conditionalFormatting sqref="E145">
    <cfRule type="expression" dxfId="1992" priority="2411">
      <formula>$I145&lt;&gt;"-"</formula>
    </cfRule>
  </conditionalFormatting>
  <conditionalFormatting sqref="B146">
    <cfRule type="expression" dxfId="1991" priority="2408">
      <formula>AD146&lt;&gt;""</formula>
    </cfRule>
  </conditionalFormatting>
  <conditionalFormatting sqref="Z146">
    <cfRule type="cellIs" dxfId="1990" priority="2406" operator="greaterThan">
      <formula>0</formula>
    </cfRule>
    <cfRule type="cellIs" dxfId="1989" priority="2407" operator="lessThan">
      <formula>0</formula>
    </cfRule>
  </conditionalFormatting>
  <conditionalFormatting sqref="S146">
    <cfRule type="cellIs" dxfId="1988" priority="2405" operator="lessThan">
      <formula>0</formula>
    </cfRule>
  </conditionalFormatting>
  <conditionalFormatting sqref="P146">
    <cfRule type="cellIs" dxfId="1987" priority="2403" operator="equal">
      <formula>AS_DURATION_EFFORT</formula>
    </cfRule>
    <cfRule type="cellIs" dxfId="1986" priority="2404" operator="equal">
      <formula>AS_DEV_EFFORT</formula>
    </cfRule>
  </conditionalFormatting>
  <conditionalFormatting sqref="L146:AC146">
    <cfRule type="expression" dxfId="1985" priority="2409">
      <formula>AND($G146="Yes", $S$6="Exclude")</formula>
    </cfRule>
    <cfRule type="expression" dxfId="1984" priority="2410">
      <formula>$J146="Yes"</formula>
    </cfRule>
  </conditionalFormatting>
  <conditionalFormatting sqref="F146">
    <cfRule type="expression" dxfId="1983" priority="2402">
      <formula>$K146&lt;&gt;""</formula>
    </cfRule>
  </conditionalFormatting>
  <conditionalFormatting sqref="C146">
    <cfRule type="expression" dxfId="1982" priority="2401">
      <formula>$G146&lt;&gt;"-"</formula>
    </cfRule>
  </conditionalFormatting>
  <conditionalFormatting sqref="D146">
    <cfRule type="expression" dxfId="1981" priority="2400">
      <formula>$H146&lt;&gt;"-"</formula>
    </cfRule>
  </conditionalFormatting>
  <conditionalFormatting sqref="E146">
    <cfRule type="expression" dxfId="1980" priority="2399">
      <formula>$I146&lt;&gt;"-"</formula>
    </cfRule>
  </conditionalFormatting>
  <conditionalFormatting sqref="B147">
    <cfRule type="expression" dxfId="1979" priority="2396">
      <formula>AD147&lt;&gt;""</formula>
    </cfRule>
  </conditionalFormatting>
  <conditionalFormatting sqref="Z147">
    <cfRule type="cellIs" dxfId="1978" priority="2394" operator="greaterThan">
      <formula>0</formula>
    </cfRule>
    <cfRule type="cellIs" dxfId="1977" priority="2395" operator="lessThan">
      <formula>0</formula>
    </cfRule>
  </conditionalFormatting>
  <conditionalFormatting sqref="S147">
    <cfRule type="cellIs" dxfId="1976" priority="2393" operator="lessThan">
      <formula>0</formula>
    </cfRule>
  </conditionalFormatting>
  <conditionalFormatting sqref="P147">
    <cfRule type="cellIs" dxfId="1975" priority="2391" operator="equal">
      <formula>AS_DURATION_EFFORT</formula>
    </cfRule>
    <cfRule type="cellIs" dxfId="1974" priority="2392" operator="equal">
      <formula>AS_DEV_EFFORT</formula>
    </cfRule>
  </conditionalFormatting>
  <conditionalFormatting sqref="L147:AC147">
    <cfRule type="expression" dxfId="1973" priority="2397">
      <formula>AND($G147="Yes", $S$6="Exclude")</formula>
    </cfRule>
    <cfRule type="expression" dxfId="1972" priority="2398">
      <formula>$J147="Yes"</formula>
    </cfRule>
  </conditionalFormatting>
  <conditionalFormatting sqref="F147">
    <cfRule type="expression" dxfId="1971" priority="2390">
      <formula>$K147&lt;&gt;""</formula>
    </cfRule>
  </conditionalFormatting>
  <conditionalFormatting sqref="C147">
    <cfRule type="expression" dxfId="1970" priority="2389">
      <formula>$G147&lt;&gt;"-"</formula>
    </cfRule>
  </conditionalFormatting>
  <conditionalFormatting sqref="D147">
    <cfRule type="expression" dxfId="1969" priority="2388">
      <formula>$H147&lt;&gt;"-"</formula>
    </cfRule>
  </conditionalFormatting>
  <conditionalFormatting sqref="E147">
    <cfRule type="expression" dxfId="1968" priority="2387">
      <formula>$I147&lt;&gt;"-"</formula>
    </cfRule>
  </conditionalFormatting>
  <conditionalFormatting sqref="B175">
    <cfRule type="expression" dxfId="1967" priority="2336">
      <formula>AD175&lt;&gt;""</formula>
    </cfRule>
  </conditionalFormatting>
  <conditionalFormatting sqref="Z175">
    <cfRule type="cellIs" dxfId="1966" priority="2334" operator="greaterThan">
      <formula>0</formula>
    </cfRule>
    <cfRule type="cellIs" dxfId="1965" priority="2335" operator="lessThan">
      <formula>0</formula>
    </cfRule>
  </conditionalFormatting>
  <conditionalFormatting sqref="S175">
    <cfRule type="cellIs" dxfId="1964" priority="2333" operator="lessThan">
      <formula>0</formula>
    </cfRule>
  </conditionalFormatting>
  <conditionalFormatting sqref="P175">
    <cfRule type="cellIs" dxfId="1963" priority="2331" operator="equal">
      <formula>AS_DURATION_EFFORT</formula>
    </cfRule>
    <cfRule type="cellIs" dxfId="1962" priority="2332" operator="equal">
      <formula>AS_DEV_EFFORT</formula>
    </cfRule>
  </conditionalFormatting>
  <conditionalFormatting sqref="F175">
    <cfRule type="expression" dxfId="1961" priority="2330">
      <formula>$K175&lt;&gt;""</formula>
    </cfRule>
  </conditionalFormatting>
  <conditionalFormatting sqref="C175">
    <cfRule type="expression" dxfId="1960" priority="2329">
      <formula>$G175&lt;&gt;"-"</formula>
    </cfRule>
  </conditionalFormatting>
  <conditionalFormatting sqref="D175">
    <cfRule type="expression" dxfId="1959" priority="2328">
      <formula>$H175&lt;&gt;"-"</formula>
    </cfRule>
  </conditionalFormatting>
  <conditionalFormatting sqref="E175">
    <cfRule type="expression" dxfId="1958" priority="2327">
      <formula>$I175&lt;&gt;"-"</formula>
    </cfRule>
  </conditionalFormatting>
  <conditionalFormatting sqref="B195">
    <cfRule type="expression" dxfId="1957" priority="2323">
      <formula>AD195&lt;&gt;""</formula>
    </cfRule>
  </conditionalFormatting>
  <conditionalFormatting sqref="Z195">
    <cfRule type="cellIs" dxfId="1956" priority="2321" operator="greaterThan">
      <formula>0</formula>
    </cfRule>
    <cfRule type="cellIs" dxfId="1955" priority="2322" operator="lessThan">
      <formula>0</formula>
    </cfRule>
  </conditionalFormatting>
  <conditionalFormatting sqref="S195">
    <cfRule type="cellIs" dxfId="1954" priority="2320" operator="lessThan">
      <formula>0</formula>
    </cfRule>
  </conditionalFormatting>
  <conditionalFormatting sqref="T193:T194">
    <cfRule type="expression" dxfId="1953" priority="2324">
      <formula>#REF!="Yes"</formula>
    </cfRule>
  </conditionalFormatting>
  <conditionalFormatting sqref="P195">
    <cfRule type="cellIs" dxfId="1952" priority="2318" operator="equal">
      <formula>AS_DURATION_EFFORT</formula>
    </cfRule>
    <cfRule type="cellIs" dxfId="1951" priority="2319" operator="equal">
      <formula>AS_DEV_EFFORT</formula>
    </cfRule>
  </conditionalFormatting>
  <conditionalFormatting sqref="B193:B194">
    <cfRule type="expression" dxfId="1950" priority="2317">
      <formula>AD193&lt;&gt;""</formula>
    </cfRule>
  </conditionalFormatting>
  <conditionalFormatting sqref="F195">
    <cfRule type="expression" dxfId="1949" priority="2316">
      <formula>$K195&lt;&gt;""</formula>
    </cfRule>
  </conditionalFormatting>
  <conditionalFormatting sqref="C195">
    <cfRule type="expression" dxfId="1948" priority="2315">
      <formula>$G195&lt;&gt;"-"</formula>
    </cfRule>
  </conditionalFormatting>
  <conditionalFormatting sqref="D195">
    <cfRule type="expression" dxfId="1947" priority="2314">
      <formula>$H195&lt;&gt;"-"</formula>
    </cfRule>
  </conditionalFormatting>
  <conditionalFormatting sqref="E195">
    <cfRule type="expression" dxfId="1946" priority="2313">
      <formula>$I195&lt;&gt;"-"</formula>
    </cfRule>
  </conditionalFormatting>
  <conditionalFormatting sqref="B196">
    <cfRule type="expression" dxfId="1945" priority="2310">
      <formula>AD196&lt;&gt;""</formula>
    </cfRule>
  </conditionalFormatting>
  <conditionalFormatting sqref="Z196">
    <cfRule type="cellIs" dxfId="1944" priority="2308" operator="greaterThan">
      <formula>0</formula>
    </cfRule>
    <cfRule type="cellIs" dxfId="1943" priority="2309" operator="lessThan">
      <formula>0</formula>
    </cfRule>
  </conditionalFormatting>
  <conditionalFormatting sqref="S196">
    <cfRule type="cellIs" dxfId="1942" priority="2307" operator="lessThan">
      <formula>0</formula>
    </cfRule>
  </conditionalFormatting>
  <conditionalFormatting sqref="P196">
    <cfRule type="cellIs" dxfId="1941" priority="2305" operator="equal">
      <formula>AS_DURATION_EFFORT</formula>
    </cfRule>
    <cfRule type="cellIs" dxfId="1940" priority="2306" operator="equal">
      <formula>AS_DEV_EFFORT</formula>
    </cfRule>
  </conditionalFormatting>
  <conditionalFormatting sqref="F196">
    <cfRule type="expression" dxfId="1939" priority="2304">
      <formula>$K196&lt;&gt;""</formula>
    </cfRule>
  </conditionalFormatting>
  <conditionalFormatting sqref="C196">
    <cfRule type="expression" dxfId="1938" priority="2303">
      <formula>$G196&lt;&gt;"-"</formula>
    </cfRule>
  </conditionalFormatting>
  <conditionalFormatting sqref="D196">
    <cfRule type="expression" dxfId="1937" priority="2302">
      <formula>$H196&lt;&gt;"-"</formula>
    </cfRule>
  </conditionalFormatting>
  <conditionalFormatting sqref="E196">
    <cfRule type="expression" dxfId="1936" priority="2301">
      <formula>$I196&lt;&gt;"-"</formula>
    </cfRule>
  </conditionalFormatting>
  <conditionalFormatting sqref="B197">
    <cfRule type="expression" dxfId="1935" priority="2298">
      <formula>AD197&lt;&gt;""</formula>
    </cfRule>
  </conditionalFormatting>
  <conditionalFormatting sqref="Z197">
    <cfRule type="cellIs" dxfId="1934" priority="2296" operator="greaterThan">
      <formula>0</formula>
    </cfRule>
    <cfRule type="cellIs" dxfId="1933" priority="2297" operator="lessThan">
      <formula>0</formula>
    </cfRule>
  </conditionalFormatting>
  <conditionalFormatting sqref="S197">
    <cfRule type="cellIs" dxfId="1932" priority="2295" operator="lessThan">
      <formula>0</formula>
    </cfRule>
  </conditionalFormatting>
  <conditionalFormatting sqref="P197">
    <cfRule type="cellIs" dxfId="1931" priority="2293" operator="equal">
      <formula>AS_DURATION_EFFORT</formula>
    </cfRule>
    <cfRule type="cellIs" dxfId="1930" priority="2294" operator="equal">
      <formula>AS_DEV_EFFORT</formula>
    </cfRule>
  </conditionalFormatting>
  <conditionalFormatting sqref="F197">
    <cfRule type="expression" dxfId="1929" priority="2292">
      <formula>$K197&lt;&gt;""</formula>
    </cfRule>
  </conditionalFormatting>
  <conditionalFormatting sqref="C197">
    <cfRule type="expression" dxfId="1928" priority="2291">
      <formula>$G197&lt;&gt;"-"</formula>
    </cfRule>
  </conditionalFormatting>
  <conditionalFormatting sqref="D197">
    <cfRule type="expression" dxfId="1927" priority="2290">
      <formula>$H197&lt;&gt;"-"</formula>
    </cfRule>
  </conditionalFormatting>
  <conditionalFormatting sqref="E197">
    <cfRule type="expression" dxfId="1926" priority="2289">
      <formula>$I197&lt;&gt;"-"</formula>
    </cfRule>
  </conditionalFormatting>
  <conditionalFormatting sqref="B198">
    <cfRule type="expression" dxfId="1925" priority="2286">
      <formula>AD198&lt;&gt;""</formula>
    </cfRule>
  </conditionalFormatting>
  <conditionalFormatting sqref="Z198">
    <cfRule type="cellIs" dxfId="1924" priority="2284" operator="greaterThan">
      <formula>0</formula>
    </cfRule>
    <cfRule type="cellIs" dxfId="1923" priority="2285" operator="lessThan">
      <formula>0</formula>
    </cfRule>
  </conditionalFormatting>
  <conditionalFormatting sqref="S198">
    <cfRule type="cellIs" dxfId="1922" priority="2283" operator="lessThan">
      <formula>0</formula>
    </cfRule>
  </conditionalFormatting>
  <conditionalFormatting sqref="P198">
    <cfRule type="cellIs" dxfId="1921" priority="2281" operator="equal">
      <formula>AS_DURATION_EFFORT</formula>
    </cfRule>
    <cfRule type="cellIs" dxfId="1920" priority="2282" operator="equal">
      <formula>AS_DEV_EFFORT</formula>
    </cfRule>
  </conditionalFormatting>
  <conditionalFormatting sqref="F198">
    <cfRule type="expression" dxfId="1919" priority="2280">
      <formula>$K198&lt;&gt;""</formula>
    </cfRule>
  </conditionalFormatting>
  <conditionalFormatting sqref="C198">
    <cfRule type="expression" dxfId="1918" priority="2279">
      <formula>$G198&lt;&gt;"-"</formula>
    </cfRule>
  </conditionalFormatting>
  <conditionalFormatting sqref="D198">
    <cfRule type="expression" dxfId="1917" priority="2278">
      <formula>$H198&lt;&gt;"-"</formula>
    </cfRule>
  </conditionalFormatting>
  <conditionalFormatting sqref="E198">
    <cfRule type="expression" dxfId="1916" priority="2277">
      <formula>$I198&lt;&gt;"-"</formula>
    </cfRule>
  </conditionalFormatting>
  <conditionalFormatting sqref="B202">
    <cfRule type="expression" dxfId="1915" priority="2273">
      <formula>AD202&lt;&gt;""</formula>
    </cfRule>
  </conditionalFormatting>
  <conditionalFormatting sqref="Z202">
    <cfRule type="cellIs" dxfId="1914" priority="2271" operator="greaterThan">
      <formula>0</formula>
    </cfRule>
    <cfRule type="cellIs" dxfId="1913" priority="2272" operator="lessThan">
      <formula>0</formula>
    </cfRule>
  </conditionalFormatting>
  <conditionalFormatting sqref="S202">
    <cfRule type="cellIs" dxfId="1912" priority="2270" operator="lessThan">
      <formula>0</formula>
    </cfRule>
  </conditionalFormatting>
  <conditionalFormatting sqref="T200:T201">
    <cfRule type="expression" dxfId="1911" priority="2274">
      <formula>#REF!="Yes"</formula>
    </cfRule>
  </conditionalFormatting>
  <conditionalFormatting sqref="P202">
    <cfRule type="cellIs" dxfId="1910" priority="2268" operator="equal">
      <formula>AS_DURATION_EFFORT</formula>
    </cfRule>
    <cfRule type="cellIs" dxfId="1909" priority="2269" operator="equal">
      <formula>AS_DEV_EFFORT</formula>
    </cfRule>
  </conditionalFormatting>
  <conditionalFormatting sqref="B200:B201">
    <cfRule type="expression" dxfId="1908" priority="2267">
      <formula>AD200&lt;&gt;""</formula>
    </cfRule>
  </conditionalFormatting>
  <conditionalFormatting sqref="F202">
    <cfRule type="expression" dxfId="1907" priority="2266">
      <formula>$K202&lt;&gt;""</formula>
    </cfRule>
  </conditionalFormatting>
  <conditionalFormatting sqref="C202">
    <cfRule type="expression" dxfId="1906" priority="2265">
      <formula>$G202&lt;&gt;"-"</formula>
    </cfRule>
  </conditionalFormatting>
  <conditionalFormatting sqref="D202">
    <cfRule type="expression" dxfId="1905" priority="2264">
      <formula>$H202&lt;&gt;"-"</formula>
    </cfRule>
  </conditionalFormatting>
  <conditionalFormatting sqref="E202">
    <cfRule type="expression" dxfId="1904" priority="2263">
      <formula>$I202&lt;&gt;"-"</formula>
    </cfRule>
  </conditionalFormatting>
  <conditionalFormatting sqref="B203">
    <cfRule type="expression" dxfId="1903" priority="2260">
      <formula>AD203&lt;&gt;""</formula>
    </cfRule>
  </conditionalFormatting>
  <conditionalFormatting sqref="Z203">
    <cfRule type="cellIs" dxfId="1902" priority="2258" operator="greaterThan">
      <formula>0</formula>
    </cfRule>
    <cfRule type="cellIs" dxfId="1901" priority="2259" operator="lessThan">
      <formula>0</formula>
    </cfRule>
  </conditionalFormatting>
  <conditionalFormatting sqref="S203">
    <cfRule type="cellIs" dxfId="1900" priority="2257" operator="lessThan">
      <formula>0</formula>
    </cfRule>
  </conditionalFormatting>
  <conditionalFormatting sqref="P203">
    <cfRule type="cellIs" dxfId="1899" priority="2255" operator="equal">
      <formula>AS_DURATION_EFFORT</formula>
    </cfRule>
    <cfRule type="cellIs" dxfId="1898" priority="2256" operator="equal">
      <formula>AS_DEV_EFFORT</formula>
    </cfRule>
  </conditionalFormatting>
  <conditionalFormatting sqref="F203">
    <cfRule type="expression" dxfId="1897" priority="2254">
      <formula>$K203&lt;&gt;""</formula>
    </cfRule>
  </conditionalFormatting>
  <conditionalFormatting sqref="C203">
    <cfRule type="expression" dxfId="1896" priority="2253">
      <formula>$G203&lt;&gt;"-"</formula>
    </cfRule>
  </conditionalFormatting>
  <conditionalFormatting sqref="D203">
    <cfRule type="expression" dxfId="1895" priority="2252">
      <formula>$H203&lt;&gt;"-"</formula>
    </cfRule>
  </conditionalFormatting>
  <conditionalFormatting sqref="E203">
    <cfRule type="expression" dxfId="1894" priority="2251">
      <formula>$I203&lt;&gt;"-"</formula>
    </cfRule>
  </conditionalFormatting>
  <conditionalFormatting sqref="B204">
    <cfRule type="expression" dxfId="1893" priority="2248">
      <formula>AD204&lt;&gt;""</formula>
    </cfRule>
  </conditionalFormatting>
  <conditionalFormatting sqref="Z204">
    <cfRule type="cellIs" dxfId="1892" priority="2246" operator="greaterThan">
      <formula>0</formula>
    </cfRule>
    <cfRule type="cellIs" dxfId="1891" priority="2247" operator="lessThan">
      <formula>0</formula>
    </cfRule>
  </conditionalFormatting>
  <conditionalFormatting sqref="S204">
    <cfRule type="cellIs" dxfId="1890" priority="2245" operator="lessThan">
      <formula>0</formula>
    </cfRule>
  </conditionalFormatting>
  <conditionalFormatting sqref="P204">
    <cfRule type="cellIs" dxfId="1889" priority="2243" operator="equal">
      <formula>AS_DURATION_EFFORT</formula>
    </cfRule>
    <cfRule type="cellIs" dxfId="1888" priority="2244" operator="equal">
      <formula>AS_DEV_EFFORT</formula>
    </cfRule>
  </conditionalFormatting>
  <conditionalFormatting sqref="F204">
    <cfRule type="expression" dxfId="1887" priority="2242">
      <formula>$K204&lt;&gt;""</formula>
    </cfRule>
  </conditionalFormatting>
  <conditionalFormatting sqref="C204">
    <cfRule type="expression" dxfId="1886" priority="2241">
      <formula>$G204&lt;&gt;"-"</formula>
    </cfRule>
  </conditionalFormatting>
  <conditionalFormatting sqref="D204">
    <cfRule type="expression" dxfId="1885" priority="2240">
      <formula>$H204&lt;&gt;"-"</formula>
    </cfRule>
  </conditionalFormatting>
  <conditionalFormatting sqref="E204">
    <cfRule type="expression" dxfId="1884" priority="2239">
      <formula>$I204&lt;&gt;"-"</formula>
    </cfRule>
  </conditionalFormatting>
  <conditionalFormatting sqref="B220">
    <cfRule type="expression" dxfId="1883" priority="2235">
      <formula>AD220&lt;&gt;""</formula>
    </cfRule>
  </conditionalFormatting>
  <conditionalFormatting sqref="Z220">
    <cfRule type="cellIs" dxfId="1882" priority="2233" operator="greaterThan">
      <formula>0</formula>
    </cfRule>
    <cfRule type="cellIs" dxfId="1881" priority="2234" operator="lessThan">
      <formula>0</formula>
    </cfRule>
  </conditionalFormatting>
  <conditionalFormatting sqref="S220">
    <cfRule type="cellIs" dxfId="1880" priority="2232" operator="lessThan">
      <formula>0</formula>
    </cfRule>
  </conditionalFormatting>
  <conditionalFormatting sqref="T218:T219">
    <cfRule type="expression" dxfId="1879" priority="2236">
      <formula>#REF!="Yes"</formula>
    </cfRule>
  </conditionalFormatting>
  <conditionalFormatting sqref="P220">
    <cfRule type="cellIs" dxfId="1878" priority="2230" operator="equal">
      <formula>AS_DURATION_EFFORT</formula>
    </cfRule>
    <cfRule type="cellIs" dxfId="1877" priority="2231" operator="equal">
      <formula>AS_DEV_EFFORT</formula>
    </cfRule>
  </conditionalFormatting>
  <conditionalFormatting sqref="B218:B219">
    <cfRule type="expression" dxfId="1876" priority="2229">
      <formula>AD218&lt;&gt;""</formula>
    </cfRule>
  </conditionalFormatting>
  <conditionalFormatting sqref="F220">
    <cfRule type="expression" dxfId="1875" priority="2228">
      <formula>$K220&lt;&gt;""</formula>
    </cfRule>
  </conditionalFormatting>
  <conditionalFormatting sqref="C220">
    <cfRule type="expression" dxfId="1874" priority="2227">
      <formula>$G220&lt;&gt;"-"</formula>
    </cfRule>
  </conditionalFormatting>
  <conditionalFormatting sqref="D220">
    <cfRule type="expression" dxfId="1873" priority="2226">
      <formula>$H220&lt;&gt;"-"</formula>
    </cfRule>
  </conditionalFormatting>
  <conditionalFormatting sqref="E220">
    <cfRule type="expression" dxfId="1872" priority="2225">
      <formula>$I220&lt;&gt;"-"</formula>
    </cfRule>
  </conditionalFormatting>
  <conditionalFormatting sqref="B229">
    <cfRule type="expression" dxfId="1871" priority="2219">
      <formula>AD229&lt;&gt;""</formula>
    </cfRule>
  </conditionalFormatting>
  <conditionalFormatting sqref="Z229">
    <cfRule type="cellIs" dxfId="1870" priority="2217" operator="greaterThan">
      <formula>0</formula>
    </cfRule>
    <cfRule type="cellIs" dxfId="1869" priority="2218" operator="lessThan">
      <formula>0</formula>
    </cfRule>
  </conditionalFormatting>
  <conditionalFormatting sqref="S229">
    <cfRule type="cellIs" dxfId="1868" priority="2216" operator="lessThan">
      <formula>0</formula>
    </cfRule>
  </conditionalFormatting>
  <conditionalFormatting sqref="T227:T228">
    <cfRule type="expression" dxfId="1867" priority="2220">
      <formula>#REF!="Yes"</formula>
    </cfRule>
  </conditionalFormatting>
  <conditionalFormatting sqref="P229">
    <cfRule type="cellIs" dxfId="1866" priority="2214" operator="equal">
      <formula>AS_DURATION_EFFORT</formula>
    </cfRule>
    <cfRule type="cellIs" dxfId="1865" priority="2215" operator="equal">
      <formula>AS_DEV_EFFORT</formula>
    </cfRule>
  </conditionalFormatting>
  <conditionalFormatting sqref="B227:B228">
    <cfRule type="expression" dxfId="1864" priority="2213">
      <formula>AD227&lt;&gt;""</formula>
    </cfRule>
  </conditionalFormatting>
  <conditionalFormatting sqref="F229">
    <cfRule type="expression" dxfId="1863" priority="2212">
      <formula>$K229&lt;&gt;""</formula>
    </cfRule>
  </conditionalFormatting>
  <conditionalFormatting sqref="C229">
    <cfRule type="expression" dxfId="1862" priority="2211">
      <formula>$G229&lt;&gt;"-"</formula>
    </cfRule>
  </conditionalFormatting>
  <conditionalFormatting sqref="D229">
    <cfRule type="expression" dxfId="1861" priority="2210">
      <formula>$H229&lt;&gt;"-"</formula>
    </cfRule>
  </conditionalFormatting>
  <conditionalFormatting sqref="E229">
    <cfRule type="expression" dxfId="1860" priority="2209">
      <formula>$I229&lt;&gt;"-"</formula>
    </cfRule>
  </conditionalFormatting>
  <conditionalFormatting sqref="B111">
    <cfRule type="expression" dxfId="1859" priority="2206">
      <formula>AD111&lt;&gt;""</formula>
    </cfRule>
  </conditionalFormatting>
  <conditionalFormatting sqref="Z111">
    <cfRule type="cellIs" dxfId="1858" priority="2204" operator="greaterThan">
      <formula>0</formula>
    </cfRule>
    <cfRule type="cellIs" dxfId="1857" priority="2205" operator="lessThan">
      <formula>0</formula>
    </cfRule>
  </conditionalFormatting>
  <conditionalFormatting sqref="S111">
    <cfRule type="cellIs" dxfId="1856" priority="2203" operator="lessThan">
      <formula>0</formula>
    </cfRule>
  </conditionalFormatting>
  <conditionalFormatting sqref="P111">
    <cfRule type="cellIs" dxfId="1855" priority="2201" operator="equal">
      <formula>AS_DURATION_EFFORT</formula>
    </cfRule>
    <cfRule type="cellIs" dxfId="1854" priority="2202" operator="equal">
      <formula>AS_DEV_EFFORT</formula>
    </cfRule>
  </conditionalFormatting>
  <conditionalFormatting sqref="L111:AC111">
    <cfRule type="expression" dxfId="1853" priority="2207">
      <formula>AND($G111="Yes", $S$6="Exclude")</formula>
    </cfRule>
    <cfRule type="expression" dxfId="1852" priority="2208">
      <formula>$J111="Yes"</formula>
    </cfRule>
  </conditionalFormatting>
  <conditionalFormatting sqref="F111">
    <cfRule type="expression" dxfId="1851" priority="2200">
      <formula>$K111&lt;&gt;""</formula>
    </cfRule>
  </conditionalFormatting>
  <conditionalFormatting sqref="C111">
    <cfRule type="expression" dxfId="1850" priority="2199">
      <formula>$G111&lt;&gt;"-"</formula>
    </cfRule>
  </conditionalFormatting>
  <conditionalFormatting sqref="D111">
    <cfRule type="expression" dxfId="1849" priority="2198">
      <formula>$H111&lt;&gt;"-"</formula>
    </cfRule>
  </conditionalFormatting>
  <conditionalFormatting sqref="E111">
    <cfRule type="expression" dxfId="1848" priority="2197">
      <formula>$I111&lt;&gt;"-"</formula>
    </cfRule>
  </conditionalFormatting>
  <conditionalFormatting sqref="B120">
    <cfRule type="expression" dxfId="1847" priority="2194">
      <formula>AD120&lt;&gt;""</formula>
    </cfRule>
  </conditionalFormatting>
  <conditionalFormatting sqref="Z120">
    <cfRule type="cellIs" dxfId="1846" priority="2192" operator="greaterThan">
      <formula>0</formula>
    </cfRule>
    <cfRule type="cellIs" dxfId="1845" priority="2193" operator="lessThan">
      <formula>0</formula>
    </cfRule>
  </conditionalFormatting>
  <conditionalFormatting sqref="S120">
    <cfRule type="cellIs" dxfId="1844" priority="2191" operator="lessThan">
      <formula>0</formula>
    </cfRule>
  </conditionalFormatting>
  <conditionalFormatting sqref="P120">
    <cfRule type="cellIs" dxfId="1843" priority="2189" operator="equal">
      <formula>AS_DURATION_EFFORT</formula>
    </cfRule>
    <cfRule type="cellIs" dxfId="1842" priority="2190" operator="equal">
      <formula>AS_DEV_EFFORT</formula>
    </cfRule>
  </conditionalFormatting>
  <conditionalFormatting sqref="L120:AC120">
    <cfRule type="expression" dxfId="1841" priority="2195">
      <formula>AND($G120="Yes", $S$6="Exclude")</formula>
    </cfRule>
    <cfRule type="expression" dxfId="1840" priority="2196">
      <formula>$J120="Yes"</formula>
    </cfRule>
  </conditionalFormatting>
  <conditionalFormatting sqref="F120">
    <cfRule type="expression" dxfId="1839" priority="2188">
      <formula>$K120&lt;&gt;""</formula>
    </cfRule>
  </conditionalFormatting>
  <conditionalFormatting sqref="C120">
    <cfRule type="expression" dxfId="1838" priority="2187">
      <formula>$G120&lt;&gt;"-"</formula>
    </cfRule>
  </conditionalFormatting>
  <conditionalFormatting sqref="D120">
    <cfRule type="expression" dxfId="1837" priority="2186">
      <formula>$H120&lt;&gt;"-"</formula>
    </cfRule>
  </conditionalFormatting>
  <conditionalFormatting sqref="E120">
    <cfRule type="expression" dxfId="1836" priority="2185">
      <formula>$I120&lt;&gt;"-"</formula>
    </cfRule>
  </conditionalFormatting>
  <conditionalFormatting sqref="B121">
    <cfRule type="expression" dxfId="1835" priority="2182">
      <formula>AD121&lt;&gt;""</formula>
    </cfRule>
  </conditionalFormatting>
  <conditionalFormatting sqref="Z121">
    <cfRule type="cellIs" dxfId="1834" priority="2180" operator="greaterThan">
      <formula>0</formula>
    </cfRule>
    <cfRule type="cellIs" dxfId="1833" priority="2181" operator="lessThan">
      <formula>0</formula>
    </cfRule>
  </conditionalFormatting>
  <conditionalFormatting sqref="S121">
    <cfRule type="cellIs" dxfId="1832" priority="2179" operator="lessThan">
      <formula>0</formula>
    </cfRule>
  </conditionalFormatting>
  <conditionalFormatting sqref="P121">
    <cfRule type="cellIs" dxfId="1831" priority="2177" operator="equal">
      <formula>AS_DURATION_EFFORT</formula>
    </cfRule>
    <cfRule type="cellIs" dxfId="1830" priority="2178" operator="equal">
      <formula>AS_DEV_EFFORT</formula>
    </cfRule>
  </conditionalFormatting>
  <conditionalFormatting sqref="L121:AC121">
    <cfRule type="expression" dxfId="1829" priority="2183">
      <formula>AND($G121="Yes", $S$6="Exclude")</formula>
    </cfRule>
    <cfRule type="expression" dxfId="1828" priority="2184">
      <formula>$J121="Yes"</formula>
    </cfRule>
  </conditionalFormatting>
  <conditionalFormatting sqref="F121">
    <cfRule type="expression" dxfId="1827" priority="2176">
      <formula>$K121&lt;&gt;""</formula>
    </cfRule>
  </conditionalFormatting>
  <conditionalFormatting sqref="C121">
    <cfRule type="expression" dxfId="1826" priority="2175">
      <formula>$G121&lt;&gt;"-"</formula>
    </cfRule>
  </conditionalFormatting>
  <conditionalFormatting sqref="D121">
    <cfRule type="expression" dxfId="1825" priority="2174">
      <formula>$H121&lt;&gt;"-"</formula>
    </cfRule>
  </conditionalFormatting>
  <conditionalFormatting sqref="E121">
    <cfRule type="expression" dxfId="1824" priority="2173">
      <formula>$I121&lt;&gt;"-"</formula>
    </cfRule>
  </conditionalFormatting>
  <conditionalFormatting sqref="B132">
    <cfRule type="expression" dxfId="1823" priority="2170">
      <formula>AD132&lt;&gt;""</formula>
    </cfRule>
  </conditionalFormatting>
  <conditionalFormatting sqref="Z132">
    <cfRule type="cellIs" dxfId="1822" priority="2168" operator="greaterThan">
      <formula>0</formula>
    </cfRule>
    <cfRule type="cellIs" dxfId="1821" priority="2169" operator="lessThan">
      <formula>0</formula>
    </cfRule>
  </conditionalFormatting>
  <conditionalFormatting sqref="S132">
    <cfRule type="cellIs" dxfId="1820" priority="2167" operator="lessThan">
      <formula>0</formula>
    </cfRule>
  </conditionalFormatting>
  <conditionalFormatting sqref="P132">
    <cfRule type="cellIs" dxfId="1819" priority="2165" operator="equal">
      <formula>AS_DURATION_EFFORT</formula>
    </cfRule>
    <cfRule type="cellIs" dxfId="1818" priority="2166" operator="equal">
      <formula>AS_DEV_EFFORT</formula>
    </cfRule>
  </conditionalFormatting>
  <conditionalFormatting sqref="L132:AC132">
    <cfRule type="expression" dxfId="1817" priority="2171">
      <formula>AND($G132="Yes", $S$6="Exclude")</formula>
    </cfRule>
    <cfRule type="expression" dxfId="1816" priority="2172">
      <formula>$J132="Yes"</formula>
    </cfRule>
  </conditionalFormatting>
  <conditionalFormatting sqref="F132">
    <cfRule type="expression" dxfId="1815" priority="2164">
      <formula>$K132&lt;&gt;""</formula>
    </cfRule>
  </conditionalFormatting>
  <conditionalFormatting sqref="C132">
    <cfRule type="expression" dxfId="1814" priority="2163">
      <formula>$G132&lt;&gt;"-"</formula>
    </cfRule>
  </conditionalFormatting>
  <conditionalFormatting sqref="D132">
    <cfRule type="expression" dxfId="1813" priority="2162">
      <formula>$H132&lt;&gt;"-"</formula>
    </cfRule>
  </conditionalFormatting>
  <conditionalFormatting sqref="E132">
    <cfRule type="expression" dxfId="1812" priority="2161">
      <formula>$I132&lt;&gt;"-"</formula>
    </cfRule>
  </conditionalFormatting>
  <conditionalFormatting sqref="B136">
    <cfRule type="expression" dxfId="1811" priority="2157">
      <formula>AD136&lt;&gt;""</formula>
    </cfRule>
  </conditionalFormatting>
  <conditionalFormatting sqref="Z136">
    <cfRule type="cellIs" dxfId="1810" priority="2155" operator="greaterThan">
      <formula>0</formula>
    </cfRule>
    <cfRule type="cellIs" dxfId="1809" priority="2156" operator="lessThan">
      <formula>0</formula>
    </cfRule>
  </conditionalFormatting>
  <conditionalFormatting sqref="S136">
    <cfRule type="cellIs" dxfId="1808" priority="2154" operator="lessThan">
      <formula>0</formula>
    </cfRule>
  </conditionalFormatting>
  <conditionalFormatting sqref="T134:T135">
    <cfRule type="expression" dxfId="1807" priority="2158">
      <formula>#REF!="Yes"</formula>
    </cfRule>
  </conditionalFormatting>
  <conditionalFormatting sqref="P136">
    <cfRule type="cellIs" dxfId="1806" priority="2152" operator="equal">
      <formula>AS_DURATION_EFFORT</formula>
    </cfRule>
    <cfRule type="cellIs" dxfId="1805" priority="2153" operator="equal">
      <formula>AS_DEV_EFFORT</formula>
    </cfRule>
  </conditionalFormatting>
  <conditionalFormatting sqref="B134:B135">
    <cfRule type="expression" dxfId="1804" priority="2151">
      <formula>AD134&lt;&gt;""</formula>
    </cfRule>
  </conditionalFormatting>
  <conditionalFormatting sqref="L136:AC136">
    <cfRule type="expression" dxfId="1803" priority="2159">
      <formula>AND($G136="Yes", $S$6="Exclude")</formula>
    </cfRule>
    <cfRule type="expression" dxfId="1802" priority="2160">
      <formula>$J136="Yes"</formula>
    </cfRule>
  </conditionalFormatting>
  <conditionalFormatting sqref="F136">
    <cfRule type="expression" dxfId="1801" priority="2150">
      <formula>$K136&lt;&gt;""</formula>
    </cfRule>
  </conditionalFormatting>
  <conditionalFormatting sqref="C136">
    <cfRule type="expression" dxfId="1800" priority="2149">
      <formula>$G136&lt;&gt;"-"</formula>
    </cfRule>
  </conditionalFormatting>
  <conditionalFormatting sqref="D136">
    <cfRule type="expression" dxfId="1799" priority="2148">
      <formula>$H136&lt;&gt;"-"</formula>
    </cfRule>
  </conditionalFormatting>
  <conditionalFormatting sqref="E136">
    <cfRule type="expression" dxfId="1798" priority="2147">
      <formula>$I136&lt;&gt;"-"</formula>
    </cfRule>
  </conditionalFormatting>
  <conditionalFormatting sqref="B137">
    <cfRule type="expression" dxfId="1797" priority="2144">
      <formula>AD137&lt;&gt;""</formula>
    </cfRule>
  </conditionalFormatting>
  <conditionalFormatting sqref="Z137">
    <cfRule type="cellIs" dxfId="1796" priority="2142" operator="greaterThan">
      <formula>0</formula>
    </cfRule>
    <cfRule type="cellIs" dxfId="1795" priority="2143" operator="lessThan">
      <formula>0</formula>
    </cfRule>
  </conditionalFormatting>
  <conditionalFormatting sqref="S137">
    <cfRule type="cellIs" dxfId="1794" priority="2141" operator="lessThan">
      <formula>0</formula>
    </cfRule>
  </conditionalFormatting>
  <conditionalFormatting sqref="P137">
    <cfRule type="cellIs" dxfId="1793" priority="2139" operator="equal">
      <formula>AS_DURATION_EFFORT</formula>
    </cfRule>
    <cfRule type="cellIs" dxfId="1792" priority="2140" operator="equal">
      <formula>AS_DEV_EFFORT</formula>
    </cfRule>
  </conditionalFormatting>
  <conditionalFormatting sqref="L137:AC137">
    <cfRule type="expression" dxfId="1791" priority="2145">
      <formula>AND($G137="Yes", $S$6="Exclude")</formula>
    </cfRule>
    <cfRule type="expression" dxfId="1790" priority="2146">
      <formula>$J137="Yes"</formula>
    </cfRule>
  </conditionalFormatting>
  <conditionalFormatting sqref="F137">
    <cfRule type="expression" dxfId="1789" priority="2138">
      <formula>$K137&lt;&gt;""</formula>
    </cfRule>
  </conditionalFormatting>
  <conditionalFormatting sqref="C137">
    <cfRule type="expression" dxfId="1788" priority="2137">
      <formula>$G137&lt;&gt;"-"</formula>
    </cfRule>
  </conditionalFormatting>
  <conditionalFormatting sqref="D137">
    <cfRule type="expression" dxfId="1787" priority="2136">
      <formula>$H137&lt;&gt;"-"</formula>
    </cfRule>
  </conditionalFormatting>
  <conditionalFormatting sqref="E137">
    <cfRule type="expression" dxfId="1786" priority="2135">
      <formula>$I137&lt;&gt;"-"</formula>
    </cfRule>
  </conditionalFormatting>
  <conditionalFormatting sqref="B138">
    <cfRule type="expression" dxfId="1785" priority="2132">
      <formula>AD138&lt;&gt;""</formula>
    </cfRule>
  </conditionalFormatting>
  <conditionalFormatting sqref="Z138">
    <cfRule type="cellIs" dxfId="1784" priority="2130" operator="greaterThan">
      <formula>0</formula>
    </cfRule>
    <cfRule type="cellIs" dxfId="1783" priority="2131" operator="lessThan">
      <formula>0</formula>
    </cfRule>
  </conditionalFormatting>
  <conditionalFormatting sqref="S138">
    <cfRule type="cellIs" dxfId="1782" priority="2129" operator="lessThan">
      <formula>0</formula>
    </cfRule>
  </conditionalFormatting>
  <conditionalFormatting sqref="P138">
    <cfRule type="cellIs" dxfId="1781" priority="2127" operator="equal">
      <formula>AS_DURATION_EFFORT</formula>
    </cfRule>
    <cfRule type="cellIs" dxfId="1780" priority="2128" operator="equal">
      <formula>AS_DEV_EFFORT</formula>
    </cfRule>
  </conditionalFormatting>
  <conditionalFormatting sqref="L138:AC138">
    <cfRule type="expression" dxfId="1779" priority="2133">
      <formula>AND($G138="Yes", $S$6="Exclude")</formula>
    </cfRule>
    <cfRule type="expression" dxfId="1778" priority="2134">
      <formula>$J138="Yes"</formula>
    </cfRule>
  </conditionalFormatting>
  <conditionalFormatting sqref="F138">
    <cfRule type="expression" dxfId="1777" priority="2126">
      <formula>$K138&lt;&gt;""</formula>
    </cfRule>
  </conditionalFormatting>
  <conditionalFormatting sqref="C138">
    <cfRule type="expression" dxfId="1776" priority="2125">
      <formula>$G138&lt;&gt;"-"</formula>
    </cfRule>
  </conditionalFormatting>
  <conditionalFormatting sqref="D138">
    <cfRule type="expression" dxfId="1775" priority="2124">
      <formula>$H138&lt;&gt;"-"</formula>
    </cfRule>
  </conditionalFormatting>
  <conditionalFormatting sqref="E138">
    <cfRule type="expression" dxfId="1774" priority="2123">
      <formula>$I138&lt;&gt;"-"</formula>
    </cfRule>
  </conditionalFormatting>
  <conditionalFormatting sqref="B139">
    <cfRule type="expression" dxfId="1773" priority="2120">
      <formula>AD139&lt;&gt;""</formula>
    </cfRule>
  </conditionalFormatting>
  <conditionalFormatting sqref="Z139">
    <cfRule type="cellIs" dxfId="1772" priority="2118" operator="greaterThan">
      <formula>0</formula>
    </cfRule>
    <cfRule type="cellIs" dxfId="1771" priority="2119" operator="lessThan">
      <formula>0</formula>
    </cfRule>
  </conditionalFormatting>
  <conditionalFormatting sqref="S139">
    <cfRule type="cellIs" dxfId="1770" priority="2117" operator="lessThan">
      <formula>0</formula>
    </cfRule>
  </conditionalFormatting>
  <conditionalFormatting sqref="P139">
    <cfRule type="cellIs" dxfId="1769" priority="2115" operator="equal">
      <formula>AS_DURATION_EFFORT</formula>
    </cfRule>
    <cfRule type="cellIs" dxfId="1768" priority="2116" operator="equal">
      <formula>AS_DEV_EFFORT</formula>
    </cfRule>
  </conditionalFormatting>
  <conditionalFormatting sqref="L139:AC139">
    <cfRule type="expression" dxfId="1767" priority="2121">
      <formula>AND($G139="Yes", $S$6="Exclude")</formula>
    </cfRule>
    <cfRule type="expression" dxfId="1766" priority="2122">
      <formula>$J139="Yes"</formula>
    </cfRule>
  </conditionalFormatting>
  <conditionalFormatting sqref="F139">
    <cfRule type="expression" dxfId="1765" priority="2114">
      <formula>$K139&lt;&gt;""</formula>
    </cfRule>
  </conditionalFormatting>
  <conditionalFormatting sqref="C139">
    <cfRule type="expression" dxfId="1764" priority="2113">
      <formula>$G139&lt;&gt;"-"</formula>
    </cfRule>
  </conditionalFormatting>
  <conditionalFormatting sqref="D139">
    <cfRule type="expression" dxfId="1763" priority="2112">
      <formula>$H139&lt;&gt;"-"</formula>
    </cfRule>
  </conditionalFormatting>
  <conditionalFormatting sqref="E139">
    <cfRule type="expression" dxfId="1762" priority="2111">
      <formula>$I139&lt;&gt;"-"</formula>
    </cfRule>
  </conditionalFormatting>
  <conditionalFormatting sqref="B140">
    <cfRule type="expression" dxfId="1761" priority="2108">
      <formula>AD140&lt;&gt;""</formula>
    </cfRule>
  </conditionalFormatting>
  <conditionalFormatting sqref="Z140">
    <cfRule type="cellIs" dxfId="1760" priority="2106" operator="greaterThan">
      <formula>0</formula>
    </cfRule>
    <cfRule type="cellIs" dxfId="1759" priority="2107" operator="lessThan">
      <formula>0</formula>
    </cfRule>
  </conditionalFormatting>
  <conditionalFormatting sqref="S140">
    <cfRule type="cellIs" dxfId="1758" priority="2105" operator="lessThan">
      <formula>0</formula>
    </cfRule>
  </conditionalFormatting>
  <conditionalFormatting sqref="P140">
    <cfRule type="cellIs" dxfId="1757" priority="2103" operator="equal">
      <formula>AS_DURATION_EFFORT</formula>
    </cfRule>
    <cfRule type="cellIs" dxfId="1756" priority="2104" operator="equal">
      <formula>AS_DEV_EFFORT</formula>
    </cfRule>
  </conditionalFormatting>
  <conditionalFormatting sqref="L140:AC140">
    <cfRule type="expression" dxfId="1755" priority="2109">
      <formula>AND($G140="Yes", $S$6="Exclude")</formula>
    </cfRule>
    <cfRule type="expression" dxfId="1754" priority="2110">
      <formula>$J140="Yes"</formula>
    </cfRule>
  </conditionalFormatting>
  <conditionalFormatting sqref="F140">
    <cfRule type="expression" dxfId="1753" priority="2102">
      <formula>$K140&lt;&gt;""</formula>
    </cfRule>
  </conditionalFormatting>
  <conditionalFormatting sqref="C140">
    <cfRule type="expression" dxfId="1752" priority="2101">
      <formula>$G140&lt;&gt;"-"</formula>
    </cfRule>
  </conditionalFormatting>
  <conditionalFormatting sqref="D140">
    <cfRule type="expression" dxfId="1751" priority="2100">
      <formula>$H140&lt;&gt;"-"</formula>
    </cfRule>
  </conditionalFormatting>
  <conditionalFormatting sqref="E140">
    <cfRule type="expression" dxfId="1750" priority="2099">
      <formula>$I140&lt;&gt;"-"</formula>
    </cfRule>
  </conditionalFormatting>
  <conditionalFormatting sqref="B148">
    <cfRule type="expression" dxfId="1749" priority="2096">
      <formula>AD148&lt;&gt;""</formula>
    </cfRule>
  </conditionalFormatting>
  <conditionalFormatting sqref="Z148">
    <cfRule type="cellIs" dxfId="1748" priority="2094" operator="greaterThan">
      <formula>0</formula>
    </cfRule>
    <cfRule type="cellIs" dxfId="1747" priority="2095" operator="lessThan">
      <formula>0</formula>
    </cfRule>
  </conditionalFormatting>
  <conditionalFormatting sqref="S148">
    <cfRule type="cellIs" dxfId="1746" priority="2093" operator="lessThan">
      <formula>0</formula>
    </cfRule>
  </conditionalFormatting>
  <conditionalFormatting sqref="P148">
    <cfRule type="cellIs" dxfId="1745" priority="2091" operator="equal">
      <formula>AS_DURATION_EFFORT</formula>
    </cfRule>
    <cfRule type="cellIs" dxfId="1744" priority="2092" operator="equal">
      <formula>AS_DEV_EFFORT</formula>
    </cfRule>
  </conditionalFormatting>
  <conditionalFormatting sqref="L148:AC148">
    <cfRule type="expression" dxfId="1743" priority="2097">
      <formula>AND($G148="Yes", $S$6="Exclude")</formula>
    </cfRule>
    <cfRule type="expression" dxfId="1742" priority="2098">
      <formula>$J148="Yes"</formula>
    </cfRule>
  </conditionalFormatting>
  <conditionalFormatting sqref="F148">
    <cfRule type="expression" dxfId="1741" priority="2090">
      <formula>$K148&lt;&gt;""</formula>
    </cfRule>
  </conditionalFormatting>
  <conditionalFormatting sqref="C148">
    <cfRule type="expression" dxfId="1740" priority="2089">
      <formula>$G148&lt;&gt;"-"</formula>
    </cfRule>
  </conditionalFormatting>
  <conditionalFormatting sqref="D148">
    <cfRule type="expression" dxfId="1739" priority="2088">
      <formula>$H148&lt;&gt;"-"</formula>
    </cfRule>
  </conditionalFormatting>
  <conditionalFormatting sqref="E148">
    <cfRule type="expression" dxfId="1738" priority="2087">
      <formula>$I148&lt;&gt;"-"</formula>
    </cfRule>
  </conditionalFormatting>
  <conditionalFormatting sqref="B182">
    <cfRule type="expression" dxfId="1737" priority="2074">
      <formula>AD182&lt;&gt;""</formula>
    </cfRule>
  </conditionalFormatting>
  <conditionalFormatting sqref="Z182">
    <cfRule type="cellIs" dxfId="1736" priority="2072" operator="greaterThan">
      <formula>0</formula>
    </cfRule>
    <cfRule type="cellIs" dxfId="1735" priority="2073" operator="lessThan">
      <formula>0</formula>
    </cfRule>
  </conditionalFormatting>
  <conditionalFormatting sqref="S182">
    <cfRule type="cellIs" dxfId="1734" priority="2071" operator="lessThan">
      <formula>0</formula>
    </cfRule>
  </conditionalFormatting>
  <conditionalFormatting sqref="P182">
    <cfRule type="cellIs" dxfId="1733" priority="2069" operator="equal">
      <formula>AS_DURATION_EFFORT</formula>
    </cfRule>
    <cfRule type="cellIs" dxfId="1732" priority="2070" operator="equal">
      <formula>AS_DEV_EFFORT</formula>
    </cfRule>
  </conditionalFormatting>
  <conditionalFormatting sqref="F182">
    <cfRule type="expression" dxfId="1731" priority="2068">
      <formula>$K182&lt;&gt;""</formula>
    </cfRule>
  </conditionalFormatting>
  <conditionalFormatting sqref="C182">
    <cfRule type="expression" dxfId="1730" priority="2067">
      <formula>$G182&lt;&gt;"-"</formula>
    </cfRule>
  </conditionalFormatting>
  <conditionalFormatting sqref="D182">
    <cfRule type="expression" dxfId="1729" priority="2066">
      <formula>$H182&lt;&gt;"-"</formula>
    </cfRule>
  </conditionalFormatting>
  <conditionalFormatting sqref="E182">
    <cfRule type="expression" dxfId="1728" priority="2065">
      <formula>$I182&lt;&gt;"-"</formula>
    </cfRule>
  </conditionalFormatting>
  <conditionalFormatting sqref="B187">
    <cfRule type="expression" dxfId="1727" priority="2061">
      <formula>AD187&lt;&gt;""</formula>
    </cfRule>
  </conditionalFormatting>
  <conditionalFormatting sqref="Z187">
    <cfRule type="cellIs" dxfId="1726" priority="2059" operator="greaterThan">
      <formula>0</formula>
    </cfRule>
    <cfRule type="cellIs" dxfId="1725" priority="2060" operator="lessThan">
      <formula>0</formula>
    </cfRule>
  </conditionalFormatting>
  <conditionalFormatting sqref="S187">
    <cfRule type="cellIs" dxfId="1724" priority="2058" operator="lessThan">
      <formula>0</formula>
    </cfRule>
  </conditionalFormatting>
  <conditionalFormatting sqref="T185:T186">
    <cfRule type="expression" dxfId="1723" priority="2062">
      <formula>#REF!="Yes"</formula>
    </cfRule>
  </conditionalFormatting>
  <conditionalFormatting sqref="P187">
    <cfRule type="cellIs" dxfId="1722" priority="2056" operator="equal">
      <formula>AS_DURATION_EFFORT</formula>
    </cfRule>
    <cfRule type="cellIs" dxfId="1721" priority="2057" operator="equal">
      <formula>AS_DEV_EFFORT</formula>
    </cfRule>
  </conditionalFormatting>
  <conditionalFormatting sqref="B185:B186">
    <cfRule type="expression" dxfId="1720" priority="2055">
      <formula>AD185&lt;&gt;""</formula>
    </cfRule>
  </conditionalFormatting>
  <conditionalFormatting sqref="F187">
    <cfRule type="expression" dxfId="1719" priority="2054">
      <formula>$K187&lt;&gt;""</formula>
    </cfRule>
  </conditionalFormatting>
  <conditionalFormatting sqref="C187">
    <cfRule type="expression" dxfId="1718" priority="2053">
      <formula>$G187&lt;&gt;"-"</formula>
    </cfRule>
  </conditionalFormatting>
  <conditionalFormatting sqref="D187">
    <cfRule type="expression" dxfId="1717" priority="2052">
      <formula>$H187&lt;&gt;"-"</formula>
    </cfRule>
  </conditionalFormatting>
  <conditionalFormatting sqref="E187">
    <cfRule type="expression" dxfId="1716" priority="2051">
      <formula>$I187&lt;&gt;"-"</formula>
    </cfRule>
  </conditionalFormatting>
  <conditionalFormatting sqref="B188">
    <cfRule type="expression" dxfId="1715" priority="2048">
      <formula>AD188&lt;&gt;""</formula>
    </cfRule>
  </conditionalFormatting>
  <conditionalFormatting sqref="Z188">
    <cfRule type="cellIs" dxfId="1714" priority="2046" operator="greaterThan">
      <formula>0</formula>
    </cfRule>
    <cfRule type="cellIs" dxfId="1713" priority="2047" operator="lessThan">
      <formula>0</formula>
    </cfRule>
  </conditionalFormatting>
  <conditionalFormatting sqref="S188">
    <cfRule type="cellIs" dxfId="1712" priority="2045" operator="lessThan">
      <formula>0</formula>
    </cfRule>
  </conditionalFormatting>
  <conditionalFormatting sqref="P188">
    <cfRule type="cellIs" dxfId="1711" priority="2043" operator="equal">
      <formula>AS_DURATION_EFFORT</formula>
    </cfRule>
    <cfRule type="cellIs" dxfId="1710" priority="2044" operator="equal">
      <formula>AS_DEV_EFFORT</formula>
    </cfRule>
  </conditionalFormatting>
  <conditionalFormatting sqref="F188">
    <cfRule type="expression" dxfId="1709" priority="2042">
      <formula>$K188&lt;&gt;""</formula>
    </cfRule>
  </conditionalFormatting>
  <conditionalFormatting sqref="C188">
    <cfRule type="expression" dxfId="1708" priority="2041">
      <formula>$G188&lt;&gt;"-"</formula>
    </cfRule>
  </conditionalFormatting>
  <conditionalFormatting sqref="D188">
    <cfRule type="expression" dxfId="1707" priority="2040">
      <formula>$H188&lt;&gt;"-"</formula>
    </cfRule>
  </conditionalFormatting>
  <conditionalFormatting sqref="E188">
    <cfRule type="expression" dxfId="1706" priority="2039">
      <formula>$I188&lt;&gt;"-"</formula>
    </cfRule>
  </conditionalFormatting>
  <conditionalFormatting sqref="B189">
    <cfRule type="expression" dxfId="1705" priority="2036">
      <formula>AD189&lt;&gt;""</formula>
    </cfRule>
  </conditionalFormatting>
  <conditionalFormatting sqref="Z189">
    <cfRule type="cellIs" dxfId="1704" priority="2034" operator="greaterThan">
      <formula>0</formula>
    </cfRule>
    <cfRule type="cellIs" dxfId="1703" priority="2035" operator="lessThan">
      <formula>0</formula>
    </cfRule>
  </conditionalFormatting>
  <conditionalFormatting sqref="S189">
    <cfRule type="cellIs" dxfId="1702" priority="2033" operator="lessThan">
      <formula>0</formula>
    </cfRule>
  </conditionalFormatting>
  <conditionalFormatting sqref="P189">
    <cfRule type="cellIs" dxfId="1701" priority="2031" operator="equal">
      <formula>AS_DURATION_EFFORT</formula>
    </cfRule>
    <cfRule type="cellIs" dxfId="1700" priority="2032" operator="equal">
      <formula>AS_DEV_EFFORT</formula>
    </cfRule>
  </conditionalFormatting>
  <conditionalFormatting sqref="F189">
    <cfRule type="expression" dxfId="1699" priority="2030">
      <formula>$K189&lt;&gt;""</formula>
    </cfRule>
  </conditionalFormatting>
  <conditionalFormatting sqref="C189">
    <cfRule type="expression" dxfId="1698" priority="2029">
      <formula>$G189&lt;&gt;"-"</formula>
    </cfRule>
  </conditionalFormatting>
  <conditionalFormatting sqref="D189">
    <cfRule type="expression" dxfId="1697" priority="2028">
      <formula>$H189&lt;&gt;"-"</formula>
    </cfRule>
  </conditionalFormatting>
  <conditionalFormatting sqref="E189">
    <cfRule type="expression" dxfId="1696" priority="2027">
      <formula>$I189&lt;&gt;"-"</formula>
    </cfRule>
  </conditionalFormatting>
  <conditionalFormatting sqref="B190">
    <cfRule type="expression" dxfId="1695" priority="2024">
      <formula>AD190&lt;&gt;""</formula>
    </cfRule>
  </conditionalFormatting>
  <conditionalFormatting sqref="Z190">
    <cfRule type="cellIs" dxfId="1694" priority="2022" operator="greaterThan">
      <formula>0</formula>
    </cfRule>
    <cfRule type="cellIs" dxfId="1693" priority="2023" operator="lessThan">
      <formula>0</formula>
    </cfRule>
  </conditionalFormatting>
  <conditionalFormatting sqref="S190">
    <cfRule type="cellIs" dxfId="1692" priority="2021" operator="lessThan">
      <formula>0</formula>
    </cfRule>
  </conditionalFormatting>
  <conditionalFormatting sqref="P190">
    <cfRule type="cellIs" dxfId="1691" priority="2019" operator="equal">
      <formula>AS_DURATION_EFFORT</formula>
    </cfRule>
    <cfRule type="cellIs" dxfId="1690" priority="2020" operator="equal">
      <formula>AS_DEV_EFFORT</formula>
    </cfRule>
  </conditionalFormatting>
  <conditionalFormatting sqref="F190">
    <cfRule type="expression" dxfId="1689" priority="2018">
      <formula>$K190&lt;&gt;""</formula>
    </cfRule>
  </conditionalFormatting>
  <conditionalFormatting sqref="C190">
    <cfRule type="expression" dxfId="1688" priority="2017">
      <formula>$G190&lt;&gt;"-"</formula>
    </cfRule>
  </conditionalFormatting>
  <conditionalFormatting sqref="D190">
    <cfRule type="expression" dxfId="1687" priority="2016">
      <formula>$H190&lt;&gt;"-"</formula>
    </cfRule>
  </conditionalFormatting>
  <conditionalFormatting sqref="E190">
    <cfRule type="expression" dxfId="1686" priority="2015">
      <formula>$I190&lt;&gt;"-"</formula>
    </cfRule>
  </conditionalFormatting>
  <conditionalFormatting sqref="B191">
    <cfRule type="expression" dxfId="1685" priority="2012">
      <formula>AD191&lt;&gt;""</formula>
    </cfRule>
  </conditionalFormatting>
  <conditionalFormatting sqref="Z191">
    <cfRule type="cellIs" dxfId="1684" priority="2010" operator="greaterThan">
      <formula>0</formula>
    </cfRule>
    <cfRule type="cellIs" dxfId="1683" priority="2011" operator="lessThan">
      <formula>0</formula>
    </cfRule>
  </conditionalFormatting>
  <conditionalFormatting sqref="S191">
    <cfRule type="cellIs" dxfId="1682" priority="2009" operator="lessThan">
      <formula>0</formula>
    </cfRule>
  </conditionalFormatting>
  <conditionalFormatting sqref="P191">
    <cfRule type="cellIs" dxfId="1681" priority="2007" operator="equal">
      <formula>AS_DURATION_EFFORT</formula>
    </cfRule>
    <cfRule type="cellIs" dxfId="1680" priority="2008" operator="equal">
      <formula>AS_DEV_EFFORT</formula>
    </cfRule>
  </conditionalFormatting>
  <conditionalFormatting sqref="F191">
    <cfRule type="expression" dxfId="1679" priority="2006">
      <formula>$K191&lt;&gt;""</formula>
    </cfRule>
  </conditionalFormatting>
  <conditionalFormatting sqref="C191">
    <cfRule type="expression" dxfId="1678" priority="2005">
      <formula>$G191&lt;&gt;"-"</formula>
    </cfRule>
  </conditionalFormatting>
  <conditionalFormatting sqref="D191">
    <cfRule type="expression" dxfId="1677" priority="2004">
      <formula>$H191&lt;&gt;"-"</formula>
    </cfRule>
  </conditionalFormatting>
  <conditionalFormatting sqref="E191">
    <cfRule type="expression" dxfId="1676" priority="2003">
      <formula>$I191&lt;&gt;"-"</formula>
    </cfRule>
  </conditionalFormatting>
  <conditionalFormatting sqref="B205">
    <cfRule type="expression" dxfId="1675" priority="2000">
      <formula>AD205&lt;&gt;""</formula>
    </cfRule>
  </conditionalFormatting>
  <conditionalFormatting sqref="Z205">
    <cfRule type="cellIs" dxfId="1674" priority="1998" operator="greaterThan">
      <formula>0</formula>
    </cfRule>
    <cfRule type="cellIs" dxfId="1673" priority="1999" operator="lessThan">
      <formula>0</formula>
    </cfRule>
  </conditionalFormatting>
  <conditionalFormatting sqref="S205">
    <cfRule type="cellIs" dxfId="1672" priority="1997" operator="lessThan">
      <formula>0</formula>
    </cfRule>
  </conditionalFormatting>
  <conditionalFormatting sqref="P205">
    <cfRule type="cellIs" dxfId="1671" priority="1995" operator="equal">
      <formula>AS_DURATION_EFFORT</formula>
    </cfRule>
    <cfRule type="cellIs" dxfId="1670" priority="1996" operator="equal">
      <formula>AS_DEV_EFFORT</formula>
    </cfRule>
  </conditionalFormatting>
  <conditionalFormatting sqref="F205">
    <cfRule type="expression" dxfId="1669" priority="1994">
      <formula>$K205&lt;&gt;""</formula>
    </cfRule>
  </conditionalFormatting>
  <conditionalFormatting sqref="C205">
    <cfRule type="expression" dxfId="1668" priority="1993">
      <formula>$G205&lt;&gt;"-"</formula>
    </cfRule>
  </conditionalFormatting>
  <conditionalFormatting sqref="D205">
    <cfRule type="expression" dxfId="1667" priority="1992">
      <formula>$H205&lt;&gt;"-"</formula>
    </cfRule>
  </conditionalFormatting>
  <conditionalFormatting sqref="E205">
    <cfRule type="expression" dxfId="1666" priority="1991">
      <formula>$I205&lt;&gt;"-"</formula>
    </cfRule>
  </conditionalFormatting>
  <conditionalFormatting sqref="B206">
    <cfRule type="expression" dxfId="1665" priority="1988">
      <formula>AD206&lt;&gt;""</formula>
    </cfRule>
  </conditionalFormatting>
  <conditionalFormatting sqref="Z206">
    <cfRule type="cellIs" dxfId="1664" priority="1986" operator="greaterThan">
      <formula>0</formula>
    </cfRule>
    <cfRule type="cellIs" dxfId="1663" priority="1987" operator="lessThan">
      <formula>0</formula>
    </cfRule>
  </conditionalFormatting>
  <conditionalFormatting sqref="S206">
    <cfRule type="cellIs" dxfId="1662" priority="1985" operator="lessThan">
      <formula>0</formula>
    </cfRule>
  </conditionalFormatting>
  <conditionalFormatting sqref="P206">
    <cfRule type="cellIs" dxfId="1661" priority="1983" operator="equal">
      <formula>AS_DURATION_EFFORT</formula>
    </cfRule>
    <cfRule type="cellIs" dxfId="1660" priority="1984" operator="equal">
      <formula>AS_DEV_EFFORT</formula>
    </cfRule>
  </conditionalFormatting>
  <conditionalFormatting sqref="F206">
    <cfRule type="expression" dxfId="1659" priority="1982">
      <formula>$K206&lt;&gt;""</formula>
    </cfRule>
  </conditionalFormatting>
  <conditionalFormatting sqref="C206">
    <cfRule type="expression" dxfId="1658" priority="1981">
      <formula>$G206&lt;&gt;"-"</formula>
    </cfRule>
  </conditionalFormatting>
  <conditionalFormatting sqref="D206">
    <cfRule type="expression" dxfId="1657" priority="1980">
      <formula>$H206&lt;&gt;"-"</formula>
    </cfRule>
  </conditionalFormatting>
  <conditionalFormatting sqref="E206">
    <cfRule type="expression" dxfId="1656" priority="1979">
      <formula>$I206&lt;&gt;"-"</formula>
    </cfRule>
  </conditionalFormatting>
  <conditionalFormatting sqref="B221">
    <cfRule type="expression" dxfId="1655" priority="1976">
      <formula>AD221&lt;&gt;""</formula>
    </cfRule>
  </conditionalFormatting>
  <conditionalFormatting sqref="Z221">
    <cfRule type="cellIs" dxfId="1654" priority="1974" operator="greaterThan">
      <formula>0</formula>
    </cfRule>
    <cfRule type="cellIs" dxfId="1653" priority="1975" operator="lessThan">
      <formula>0</formula>
    </cfRule>
  </conditionalFormatting>
  <conditionalFormatting sqref="S221">
    <cfRule type="cellIs" dxfId="1652" priority="1973" operator="lessThan">
      <formula>0</formula>
    </cfRule>
  </conditionalFormatting>
  <conditionalFormatting sqref="P221">
    <cfRule type="cellIs" dxfId="1651" priority="1971" operator="equal">
      <formula>AS_DURATION_EFFORT</formula>
    </cfRule>
    <cfRule type="cellIs" dxfId="1650" priority="1972" operator="equal">
      <formula>AS_DEV_EFFORT</formula>
    </cfRule>
  </conditionalFormatting>
  <conditionalFormatting sqref="F221">
    <cfRule type="expression" dxfId="1649" priority="1970">
      <formula>$K221&lt;&gt;""</formula>
    </cfRule>
  </conditionalFormatting>
  <conditionalFormatting sqref="C221">
    <cfRule type="expression" dxfId="1648" priority="1969">
      <formula>$G221&lt;&gt;"-"</formula>
    </cfRule>
  </conditionalFormatting>
  <conditionalFormatting sqref="D221">
    <cfRule type="expression" dxfId="1647" priority="1968">
      <formula>$H221&lt;&gt;"-"</formula>
    </cfRule>
  </conditionalFormatting>
  <conditionalFormatting sqref="E221">
    <cfRule type="expression" dxfId="1646" priority="1967">
      <formula>$I221&lt;&gt;"-"</formula>
    </cfRule>
  </conditionalFormatting>
  <conditionalFormatting sqref="B222">
    <cfRule type="expression" dxfId="1645" priority="1964">
      <formula>AD222&lt;&gt;""</formula>
    </cfRule>
  </conditionalFormatting>
  <conditionalFormatting sqref="Z222">
    <cfRule type="cellIs" dxfId="1644" priority="1962" operator="greaterThan">
      <formula>0</formula>
    </cfRule>
    <cfRule type="cellIs" dxfId="1643" priority="1963" operator="lessThan">
      <formula>0</formula>
    </cfRule>
  </conditionalFormatting>
  <conditionalFormatting sqref="S222">
    <cfRule type="cellIs" dxfId="1642" priority="1961" operator="lessThan">
      <formula>0</formula>
    </cfRule>
  </conditionalFormatting>
  <conditionalFormatting sqref="P222">
    <cfRule type="cellIs" dxfId="1641" priority="1959" operator="equal">
      <formula>AS_DURATION_EFFORT</formula>
    </cfRule>
    <cfRule type="cellIs" dxfId="1640" priority="1960" operator="equal">
      <formula>AS_DEV_EFFORT</formula>
    </cfRule>
  </conditionalFormatting>
  <conditionalFormatting sqref="F222">
    <cfRule type="expression" dxfId="1639" priority="1958">
      <formula>$K222&lt;&gt;""</formula>
    </cfRule>
  </conditionalFormatting>
  <conditionalFormatting sqref="C222">
    <cfRule type="expression" dxfId="1638" priority="1957">
      <formula>$G222&lt;&gt;"-"</formula>
    </cfRule>
  </conditionalFormatting>
  <conditionalFormatting sqref="D222">
    <cfRule type="expression" dxfId="1637" priority="1956">
      <formula>$H222&lt;&gt;"-"</formula>
    </cfRule>
  </conditionalFormatting>
  <conditionalFormatting sqref="E222">
    <cfRule type="expression" dxfId="1636" priority="1955">
      <formula>$I222&lt;&gt;"-"</formula>
    </cfRule>
  </conditionalFormatting>
  <conditionalFormatting sqref="B223">
    <cfRule type="expression" dxfId="1635" priority="1952">
      <formula>AD223&lt;&gt;""</formula>
    </cfRule>
  </conditionalFormatting>
  <conditionalFormatting sqref="Z223">
    <cfRule type="cellIs" dxfId="1634" priority="1950" operator="greaterThan">
      <formula>0</formula>
    </cfRule>
    <cfRule type="cellIs" dxfId="1633" priority="1951" operator="lessThan">
      <formula>0</formula>
    </cfRule>
  </conditionalFormatting>
  <conditionalFormatting sqref="S223">
    <cfRule type="cellIs" dxfId="1632" priority="1949" operator="lessThan">
      <formula>0</formula>
    </cfRule>
  </conditionalFormatting>
  <conditionalFormatting sqref="P223">
    <cfRule type="cellIs" dxfId="1631" priority="1947" operator="equal">
      <formula>AS_DURATION_EFFORT</formula>
    </cfRule>
    <cfRule type="cellIs" dxfId="1630" priority="1948" operator="equal">
      <formula>AS_DEV_EFFORT</formula>
    </cfRule>
  </conditionalFormatting>
  <conditionalFormatting sqref="F223">
    <cfRule type="expression" dxfId="1629" priority="1946">
      <formula>$K223&lt;&gt;""</formula>
    </cfRule>
  </conditionalFormatting>
  <conditionalFormatting sqref="C223">
    <cfRule type="expression" dxfId="1628" priority="1945">
      <formula>$G223&lt;&gt;"-"</formula>
    </cfRule>
  </conditionalFormatting>
  <conditionalFormatting sqref="D223">
    <cfRule type="expression" dxfId="1627" priority="1944">
      <formula>$H223&lt;&gt;"-"</formula>
    </cfRule>
  </conditionalFormatting>
  <conditionalFormatting sqref="E223">
    <cfRule type="expression" dxfId="1626" priority="1943">
      <formula>$I223&lt;&gt;"-"</formula>
    </cfRule>
  </conditionalFormatting>
  <conditionalFormatting sqref="B224">
    <cfRule type="expression" dxfId="1625" priority="1940">
      <formula>AD224&lt;&gt;""</formula>
    </cfRule>
  </conditionalFormatting>
  <conditionalFormatting sqref="Z224">
    <cfRule type="cellIs" dxfId="1624" priority="1938" operator="greaterThan">
      <formula>0</formula>
    </cfRule>
    <cfRule type="cellIs" dxfId="1623" priority="1939" operator="lessThan">
      <formula>0</formula>
    </cfRule>
  </conditionalFormatting>
  <conditionalFormatting sqref="S224">
    <cfRule type="cellIs" dxfId="1622" priority="1937" operator="lessThan">
      <formula>0</formula>
    </cfRule>
  </conditionalFormatting>
  <conditionalFormatting sqref="P224">
    <cfRule type="cellIs" dxfId="1621" priority="1935" operator="equal">
      <formula>AS_DURATION_EFFORT</formula>
    </cfRule>
    <cfRule type="cellIs" dxfId="1620" priority="1936" operator="equal">
      <formula>AS_DEV_EFFORT</formula>
    </cfRule>
  </conditionalFormatting>
  <conditionalFormatting sqref="F224">
    <cfRule type="expression" dxfId="1619" priority="1934">
      <formula>$K224&lt;&gt;""</formula>
    </cfRule>
  </conditionalFormatting>
  <conditionalFormatting sqref="C224">
    <cfRule type="expression" dxfId="1618" priority="1933">
      <formula>$G224&lt;&gt;"-"</formula>
    </cfRule>
  </conditionalFormatting>
  <conditionalFormatting sqref="D224">
    <cfRule type="expression" dxfId="1617" priority="1932">
      <formula>$H224&lt;&gt;"-"</formula>
    </cfRule>
  </conditionalFormatting>
  <conditionalFormatting sqref="E224">
    <cfRule type="expression" dxfId="1616" priority="1931">
      <formula>$I224&lt;&gt;"-"</formula>
    </cfRule>
  </conditionalFormatting>
  <conditionalFormatting sqref="B225">
    <cfRule type="expression" dxfId="1615" priority="1928">
      <formula>AD225&lt;&gt;""</formula>
    </cfRule>
  </conditionalFormatting>
  <conditionalFormatting sqref="Z225">
    <cfRule type="cellIs" dxfId="1614" priority="1926" operator="greaterThan">
      <formula>0</formula>
    </cfRule>
    <cfRule type="cellIs" dxfId="1613" priority="1927" operator="lessThan">
      <formula>0</formula>
    </cfRule>
  </conditionalFormatting>
  <conditionalFormatting sqref="S225">
    <cfRule type="cellIs" dxfId="1612" priority="1925" operator="lessThan">
      <formula>0</formula>
    </cfRule>
  </conditionalFormatting>
  <conditionalFormatting sqref="P225">
    <cfRule type="cellIs" dxfId="1611" priority="1923" operator="equal">
      <formula>AS_DURATION_EFFORT</formula>
    </cfRule>
    <cfRule type="cellIs" dxfId="1610" priority="1924" operator="equal">
      <formula>AS_DEV_EFFORT</formula>
    </cfRule>
  </conditionalFormatting>
  <conditionalFormatting sqref="F225">
    <cfRule type="expression" dxfId="1609" priority="1922">
      <formula>$K225&lt;&gt;""</formula>
    </cfRule>
  </conditionalFormatting>
  <conditionalFormatting sqref="C225">
    <cfRule type="expression" dxfId="1608" priority="1921">
      <formula>$G225&lt;&gt;"-"</formula>
    </cfRule>
  </conditionalFormatting>
  <conditionalFormatting sqref="D225">
    <cfRule type="expression" dxfId="1607" priority="1920">
      <formula>$H225&lt;&gt;"-"</formula>
    </cfRule>
  </conditionalFormatting>
  <conditionalFormatting sqref="E225">
    <cfRule type="expression" dxfId="1606" priority="1919">
      <formula>$I225&lt;&gt;"-"</formula>
    </cfRule>
  </conditionalFormatting>
  <conditionalFormatting sqref="B230">
    <cfRule type="expression" dxfId="1605" priority="1916">
      <formula>AD230&lt;&gt;""</formula>
    </cfRule>
  </conditionalFormatting>
  <conditionalFormatting sqref="Z230">
    <cfRule type="cellIs" dxfId="1604" priority="1914" operator="greaterThan">
      <formula>0</formula>
    </cfRule>
    <cfRule type="cellIs" dxfId="1603" priority="1915" operator="lessThan">
      <formula>0</formula>
    </cfRule>
  </conditionalFormatting>
  <conditionalFormatting sqref="S230">
    <cfRule type="cellIs" dxfId="1602" priority="1913" operator="lessThan">
      <formula>0</formula>
    </cfRule>
  </conditionalFormatting>
  <conditionalFormatting sqref="P230">
    <cfRule type="cellIs" dxfId="1601" priority="1911" operator="equal">
      <formula>AS_DURATION_EFFORT</formula>
    </cfRule>
    <cfRule type="cellIs" dxfId="1600" priority="1912" operator="equal">
      <formula>AS_DEV_EFFORT</formula>
    </cfRule>
  </conditionalFormatting>
  <conditionalFormatting sqref="F230">
    <cfRule type="expression" dxfId="1599" priority="1910">
      <formula>$K230&lt;&gt;""</formula>
    </cfRule>
  </conditionalFormatting>
  <conditionalFormatting sqref="C230">
    <cfRule type="expression" dxfId="1598" priority="1909">
      <formula>$G230&lt;&gt;"-"</formula>
    </cfRule>
  </conditionalFormatting>
  <conditionalFormatting sqref="D230">
    <cfRule type="expression" dxfId="1597" priority="1908">
      <formula>$H230&lt;&gt;"-"</formula>
    </cfRule>
  </conditionalFormatting>
  <conditionalFormatting sqref="E230">
    <cfRule type="expression" dxfId="1596" priority="1907">
      <formula>$I230&lt;&gt;"-"</formula>
    </cfRule>
  </conditionalFormatting>
  <conditionalFormatting sqref="B231">
    <cfRule type="expression" dxfId="1595" priority="1904">
      <formula>AD231&lt;&gt;""</formula>
    </cfRule>
  </conditionalFormatting>
  <conditionalFormatting sqref="Z231">
    <cfRule type="cellIs" dxfId="1594" priority="1902" operator="greaterThan">
      <formula>0</formula>
    </cfRule>
    <cfRule type="cellIs" dxfId="1593" priority="1903" operator="lessThan">
      <formula>0</formula>
    </cfRule>
  </conditionalFormatting>
  <conditionalFormatting sqref="S231">
    <cfRule type="cellIs" dxfId="1592" priority="1901" operator="lessThan">
      <formula>0</formula>
    </cfRule>
  </conditionalFormatting>
  <conditionalFormatting sqref="P231">
    <cfRule type="cellIs" dxfId="1591" priority="1899" operator="equal">
      <formula>AS_DURATION_EFFORT</formula>
    </cfRule>
    <cfRule type="cellIs" dxfId="1590" priority="1900" operator="equal">
      <formula>AS_DEV_EFFORT</formula>
    </cfRule>
  </conditionalFormatting>
  <conditionalFormatting sqref="F231">
    <cfRule type="expression" dxfId="1589" priority="1898">
      <formula>$K231&lt;&gt;""</formula>
    </cfRule>
  </conditionalFormatting>
  <conditionalFormatting sqref="C231">
    <cfRule type="expression" dxfId="1588" priority="1897">
      <formula>$G231&lt;&gt;"-"</formula>
    </cfRule>
  </conditionalFormatting>
  <conditionalFormatting sqref="D231">
    <cfRule type="expression" dxfId="1587" priority="1896">
      <formula>$H231&lt;&gt;"-"</formula>
    </cfRule>
  </conditionalFormatting>
  <conditionalFormatting sqref="E231">
    <cfRule type="expression" dxfId="1586" priority="1895">
      <formula>$I231&lt;&gt;"-"</formula>
    </cfRule>
  </conditionalFormatting>
  <conditionalFormatting sqref="B232">
    <cfRule type="expression" dxfId="1585" priority="1892">
      <formula>AD232&lt;&gt;""</formula>
    </cfRule>
  </conditionalFormatting>
  <conditionalFormatting sqref="Z232">
    <cfRule type="cellIs" dxfId="1584" priority="1890" operator="greaterThan">
      <formula>0</formula>
    </cfRule>
    <cfRule type="cellIs" dxfId="1583" priority="1891" operator="lessThan">
      <formula>0</formula>
    </cfRule>
  </conditionalFormatting>
  <conditionalFormatting sqref="S232">
    <cfRule type="cellIs" dxfId="1582" priority="1889" operator="lessThan">
      <formula>0</formula>
    </cfRule>
  </conditionalFormatting>
  <conditionalFormatting sqref="P232">
    <cfRule type="cellIs" dxfId="1581" priority="1887" operator="equal">
      <formula>AS_DURATION_EFFORT</formula>
    </cfRule>
    <cfRule type="cellIs" dxfId="1580" priority="1888" operator="equal">
      <formula>AS_DEV_EFFORT</formula>
    </cfRule>
  </conditionalFormatting>
  <conditionalFormatting sqref="F232">
    <cfRule type="expression" dxfId="1579" priority="1886">
      <formula>$K232&lt;&gt;""</formula>
    </cfRule>
  </conditionalFormatting>
  <conditionalFormatting sqref="C232">
    <cfRule type="expression" dxfId="1578" priority="1885">
      <formula>$G232&lt;&gt;"-"</formula>
    </cfRule>
  </conditionalFormatting>
  <conditionalFormatting sqref="D232">
    <cfRule type="expression" dxfId="1577" priority="1884">
      <formula>$H232&lt;&gt;"-"</formula>
    </cfRule>
  </conditionalFormatting>
  <conditionalFormatting sqref="E232">
    <cfRule type="expression" dxfId="1576" priority="1883">
      <formula>$I232&lt;&gt;"-"</formula>
    </cfRule>
  </conditionalFormatting>
  <conditionalFormatting sqref="B233">
    <cfRule type="expression" dxfId="1575" priority="1880">
      <formula>AD233&lt;&gt;""</formula>
    </cfRule>
  </conditionalFormatting>
  <conditionalFormatting sqref="Z233">
    <cfRule type="cellIs" dxfId="1574" priority="1878" operator="greaterThan">
      <formula>0</formula>
    </cfRule>
    <cfRule type="cellIs" dxfId="1573" priority="1879" operator="lessThan">
      <formula>0</formula>
    </cfRule>
  </conditionalFormatting>
  <conditionalFormatting sqref="S233">
    <cfRule type="cellIs" dxfId="1572" priority="1877" operator="lessThan">
      <formula>0</formula>
    </cfRule>
  </conditionalFormatting>
  <conditionalFormatting sqref="P233">
    <cfRule type="cellIs" dxfId="1571" priority="1875" operator="equal">
      <formula>AS_DURATION_EFFORT</formula>
    </cfRule>
    <cfRule type="cellIs" dxfId="1570" priority="1876" operator="equal">
      <formula>AS_DEV_EFFORT</formula>
    </cfRule>
  </conditionalFormatting>
  <conditionalFormatting sqref="F233">
    <cfRule type="expression" dxfId="1569" priority="1874">
      <formula>$K233&lt;&gt;""</formula>
    </cfRule>
  </conditionalFormatting>
  <conditionalFormatting sqref="C233">
    <cfRule type="expression" dxfId="1568" priority="1873">
      <formula>$G233&lt;&gt;"-"</formula>
    </cfRule>
  </conditionalFormatting>
  <conditionalFormatting sqref="D233">
    <cfRule type="expression" dxfId="1567" priority="1872">
      <formula>$H233&lt;&gt;"-"</formula>
    </cfRule>
  </conditionalFormatting>
  <conditionalFormatting sqref="E233">
    <cfRule type="expression" dxfId="1566" priority="1871">
      <formula>$I233&lt;&gt;"-"</formula>
    </cfRule>
  </conditionalFormatting>
  <conditionalFormatting sqref="B234">
    <cfRule type="expression" dxfId="1565" priority="1868">
      <formula>AD234&lt;&gt;""</formula>
    </cfRule>
  </conditionalFormatting>
  <conditionalFormatting sqref="Z234">
    <cfRule type="cellIs" dxfId="1564" priority="1866" operator="greaterThan">
      <formula>0</formula>
    </cfRule>
    <cfRule type="cellIs" dxfId="1563" priority="1867" operator="lessThan">
      <formula>0</formula>
    </cfRule>
  </conditionalFormatting>
  <conditionalFormatting sqref="S234">
    <cfRule type="cellIs" dxfId="1562" priority="1865" operator="lessThan">
      <formula>0</formula>
    </cfRule>
  </conditionalFormatting>
  <conditionalFormatting sqref="P234">
    <cfRule type="cellIs" dxfId="1561" priority="1863" operator="equal">
      <formula>AS_DURATION_EFFORT</formula>
    </cfRule>
    <cfRule type="cellIs" dxfId="1560" priority="1864" operator="equal">
      <formula>AS_DEV_EFFORT</formula>
    </cfRule>
  </conditionalFormatting>
  <conditionalFormatting sqref="F234">
    <cfRule type="expression" dxfId="1559" priority="1862">
      <formula>$K234&lt;&gt;""</formula>
    </cfRule>
  </conditionalFormatting>
  <conditionalFormatting sqref="C234">
    <cfRule type="expression" dxfId="1558" priority="1861">
      <formula>$G234&lt;&gt;"-"</formula>
    </cfRule>
  </conditionalFormatting>
  <conditionalFormatting sqref="D234">
    <cfRule type="expression" dxfId="1557" priority="1860">
      <formula>$H234&lt;&gt;"-"</formula>
    </cfRule>
  </conditionalFormatting>
  <conditionalFormatting sqref="E234">
    <cfRule type="expression" dxfId="1556" priority="1859">
      <formula>$I234&lt;&gt;"-"</formula>
    </cfRule>
  </conditionalFormatting>
  <conditionalFormatting sqref="B238">
    <cfRule type="expression" dxfId="1555" priority="1855">
      <formula>AD238&lt;&gt;""</formula>
    </cfRule>
  </conditionalFormatting>
  <conditionalFormatting sqref="Z238">
    <cfRule type="cellIs" dxfId="1554" priority="1853" operator="greaterThan">
      <formula>0</formula>
    </cfRule>
    <cfRule type="cellIs" dxfId="1553" priority="1854" operator="lessThan">
      <formula>0</formula>
    </cfRule>
  </conditionalFormatting>
  <conditionalFormatting sqref="S238">
    <cfRule type="cellIs" dxfId="1552" priority="1852" operator="lessThan">
      <formula>0</formula>
    </cfRule>
  </conditionalFormatting>
  <conditionalFormatting sqref="T236:T237">
    <cfRule type="expression" dxfId="1551" priority="1856">
      <formula>#REF!="Yes"</formula>
    </cfRule>
  </conditionalFormatting>
  <conditionalFormatting sqref="P238">
    <cfRule type="cellIs" dxfId="1550" priority="1850" operator="equal">
      <formula>AS_DURATION_EFFORT</formula>
    </cfRule>
    <cfRule type="cellIs" dxfId="1549" priority="1851" operator="equal">
      <formula>AS_DEV_EFFORT</formula>
    </cfRule>
  </conditionalFormatting>
  <conditionalFormatting sqref="B236:B237">
    <cfRule type="expression" dxfId="1548" priority="1849">
      <formula>AD236&lt;&gt;""</formula>
    </cfRule>
  </conditionalFormatting>
  <conditionalFormatting sqref="F238">
    <cfRule type="expression" dxfId="1547" priority="1848">
      <formula>$K238&lt;&gt;""</formula>
    </cfRule>
  </conditionalFormatting>
  <conditionalFormatting sqref="C238">
    <cfRule type="expression" dxfId="1546" priority="1847">
      <formula>$G238&lt;&gt;"-"</formula>
    </cfRule>
  </conditionalFormatting>
  <conditionalFormatting sqref="D238">
    <cfRule type="expression" dxfId="1545" priority="1846">
      <formula>$H238&lt;&gt;"-"</formula>
    </cfRule>
  </conditionalFormatting>
  <conditionalFormatting sqref="E238">
    <cfRule type="expression" dxfId="1544" priority="1845">
      <formula>$I238&lt;&gt;"-"</formula>
    </cfRule>
  </conditionalFormatting>
  <conditionalFormatting sqref="B239">
    <cfRule type="expression" dxfId="1543" priority="1842">
      <formula>AD239&lt;&gt;""</formula>
    </cfRule>
  </conditionalFormatting>
  <conditionalFormatting sqref="Z239">
    <cfRule type="cellIs" dxfId="1542" priority="1840" operator="greaterThan">
      <formula>0</formula>
    </cfRule>
    <cfRule type="cellIs" dxfId="1541" priority="1841" operator="lessThan">
      <formula>0</formula>
    </cfRule>
  </conditionalFormatting>
  <conditionalFormatting sqref="S239">
    <cfRule type="cellIs" dxfId="1540" priority="1839" operator="lessThan">
      <formula>0</formula>
    </cfRule>
  </conditionalFormatting>
  <conditionalFormatting sqref="P239">
    <cfRule type="cellIs" dxfId="1539" priority="1837" operator="equal">
      <formula>AS_DURATION_EFFORT</formula>
    </cfRule>
    <cfRule type="cellIs" dxfId="1538" priority="1838" operator="equal">
      <formula>AS_DEV_EFFORT</formula>
    </cfRule>
  </conditionalFormatting>
  <conditionalFormatting sqref="F239">
    <cfRule type="expression" dxfId="1537" priority="1836">
      <formula>$K239&lt;&gt;""</formula>
    </cfRule>
  </conditionalFormatting>
  <conditionalFormatting sqref="C239">
    <cfRule type="expression" dxfId="1536" priority="1835">
      <formula>$G239&lt;&gt;"-"</formula>
    </cfRule>
  </conditionalFormatting>
  <conditionalFormatting sqref="D239">
    <cfRule type="expression" dxfId="1535" priority="1834">
      <formula>$H239&lt;&gt;"-"</formula>
    </cfRule>
  </conditionalFormatting>
  <conditionalFormatting sqref="E239">
    <cfRule type="expression" dxfId="1534" priority="1833">
      <formula>$I239&lt;&gt;"-"</formula>
    </cfRule>
  </conditionalFormatting>
  <conditionalFormatting sqref="B240">
    <cfRule type="expression" dxfId="1533" priority="1830">
      <formula>AD240&lt;&gt;""</formula>
    </cfRule>
  </conditionalFormatting>
  <conditionalFormatting sqref="Z240">
    <cfRule type="cellIs" dxfId="1532" priority="1828" operator="greaterThan">
      <formula>0</formula>
    </cfRule>
    <cfRule type="cellIs" dxfId="1531" priority="1829" operator="lessThan">
      <formula>0</formula>
    </cfRule>
  </conditionalFormatting>
  <conditionalFormatting sqref="S240">
    <cfRule type="cellIs" dxfId="1530" priority="1827" operator="lessThan">
      <formula>0</formula>
    </cfRule>
  </conditionalFormatting>
  <conditionalFormatting sqref="P240">
    <cfRule type="cellIs" dxfId="1529" priority="1825" operator="equal">
      <formula>AS_DURATION_EFFORT</formula>
    </cfRule>
    <cfRule type="cellIs" dxfId="1528" priority="1826" operator="equal">
      <formula>AS_DEV_EFFORT</formula>
    </cfRule>
  </conditionalFormatting>
  <conditionalFormatting sqref="F240">
    <cfRule type="expression" dxfId="1527" priority="1824">
      <formula>$K240&lt;&gt;""</formula>
    </cfRule>
  </conditionalFormatting>
  <conditionalFormatting sqref="C240">
    <cfRule type="expression" dxfId="1526" priority="1823">
      <formula>$G240&lt;&gt;"-"</formula>
    </cfRule>
  </conditionalFormatting>
  <conditionalFormatting sqref="D240">
    <cfRule type="expression" dxfId="1525" priority="1822">
      <formula>$H240&lt;&gt;"-"</formula>
    </cfRule>
  </conditionalFormatting>
  <conditionalFormatting sqref="E240">
    <cfRule type="expression" dxfId="1524" priority="1821">
      <formula>$I240&lt;&gt;"-"</formula>
    </cfRule>
  </conditionalFormatting>
  <conditionalFormatting sqref="B241">
    <cfRule type="expression" dxfId="1523" priority="1818">
      <formula>AD241&lt;&gt;""</formula>
    </cfRule>
  </conditionalFormatting>
  <conditionalFormatting sqref="Z241">
    <cfRule type="cellIs" dxfId="1522" priority="1816" operator="greaterThan">
      <formula>0</formula>
    </cfRule>
    <cfRule type="cellIs" dxfId="1521" priority="1817" operator="lessThan">
      <formula>0</formula>
    </cfRule>
  </conditionalFormatting>
  <conditionalFormatting sqref="S241">
    <cfRule type="cellIs" dxfId="1520" priority="1815" operator="lessThan">
      <formula>0</formula>
    </cfRule>
  </conditionalFormatting>
  <conditionalFormatting sqref="P241">
    <cfRule type="cellIs" dxfId="1519" priority="1813" operator="equal">
      <formula>AS_DURATION_EFFORT</formula>
    </cfRule>
    <cfRule type="cellIs" dxfId="1518" priority="1814" operator="equal">
      <formula>AS_DEV_EFFORT</formula>
    </cfRule>
  </conditionalFormatting>
  <conditionalFormatting sqref="F241">
    <cfRule type="expression" dxfId="1517" priority="1812">
      <formula>$K241&lt;&gt;""</formula>
    </cfRule>
  </conditionalFormatting>
  <conditionalFormatting sqref="C241">
    <cfRule type="expression" dxfId="1516" priority="1811">
      <formula>$G241&lt;&gt;"-"</formula>
    </cfRule>
  </conditionalFormatting>
  <conditionalFormatting sqref="D241">
    <cfRule type="expression" dxfId="1515" priority="1810">
      <formula>$H241&lt;&gt;"-"</formula>
    </cfRule>
  </conditionalFormatting>
  <conditionalFormatting sqref="E241">
    <cfRule type="expression" dxfId="1514" priority="1809">
      <formula>$I241&lt;&gt;"-"</formula>
    </cfRule>
  </conditionalFormatting>
  <conditionalFormatting sqref="B242">
    <cfRule type="expression" dxfId="1513" priority="1806">
      <formula>AD242&lt;&gt;""</formula>
    </cfRule>
  </conditionalFormatting>
  <conditionalFormatting sqref="Z242">
    <cfRule type="cellIs" dxfId="1512" priority="1804" operator="greaterThan">
      <formula>0</formula>
    </cfRule>
    <cfRule type="cellIs" dxfId="1511" priority="1805" operator="lessThan">
      <formula>0</formula>
    </cfRule>
  </conditionalFormatting>
  <conditionalFormatting sqref="S242">
    <cfRule type="cellIs" dxfId="1510" priority="1803" operator="lessThan">
      <formula>0</formula>
    </cfRule>
  </conditionalFormatting>
  <conditionalFormatting sqref="P242">
    <cfRule type="cellIs" dxfId="1509" priority="1801" operator="equal">
      <formula>AS_DURATION_EFFORT</formula>
    </cfRule>
    <cfRule type="cellIs" dxfId="1508" priority="1802" operator="equal">
      <formula>AS_DEV_EFFORT</formula>
    </cfRule>
  </conditionalFormatting>
  <conditionalFormatting sqref="F242">
    <cfRule type="expression" dxfId="1507" priority="1800">
      <formula>$K242&lt;&gt;""</formula>
    </cfRule>
  </conditionalFormatting>
  <conditionalFormatting sqref="C242">
    <cfRule type="expression" dxfId="1506" priority="1799">
      <formula>$G242&lt;&gt;"-"</formula>
    </cfRule>
  </conditionalFormatting>
  <conditionalFormatting sqref="D242">
    <cfRule type="expression" dxfId="1505" priority="1798">
      <formula>$H242&lt;&gt;"-"</formula>
    </cfRule>
  </conditionalFormatting>
  <conditionalFormatting sqref="E242">
    <cfRule type="expression" dxfId="1504" priority="1797">
      <formula>$I242&lt;&gt;"-"</formula>
    </cfRule>
  </conditionalFormatting>
  <conditionalFormatting sqref="B262">
    <cfRule type="expression" dxfId="1503" priority="1793">
      <formula>AD262&lt;&gt;""</formula>
    </cfRule>
  </conditionalFormatting>
  <conditionalFormatting sqref="Z262">
    <cfRule type="cellIs" dxfId="1502" priority="1791" operator="greaterThan">
      <formula>0</formula>
    </cfRule>
    <cfRule type="cellIs" dxfId="1501" priority="1792" operator="lessThan">
      <formula>0</formula>
    </cfRule>
  </conditionalFormatting>
  <conditionalFormatting sqref="S262">
    <cfRule type="cellIs" dxfId="1500" priority="1790" operator="lessThan">
      <formula>0</formula>
    </cfRule>
  </conditionalFormatting>
  <conditionalFormatting sqref="T260:T261">
    <cfRule type="expression" dxfId="1499" priority="1794">
      <formula>#REF!="Yes"</formula>
    </cfRule>
  </conditionalFormatting>
  <conditionalFormatting sqref="P262">
    <cfRule type="cellIs" dxfId="1498" priority="1788" operator="equal">
      <formula>AS_DURATION_EFFORT</formula>
    </cfRule>
    <cfRule type="cellIs" dxfId="1497" priority="1789" operator="equal">
      <formula>AS_DEV_EFFORT</formula>
    </cfRule>
  </conditionalFormatting>
  <conditionalFormatting sqref="B260:B261">
    <cfRule type="expression" dxfId="1496" priority="1787">
      <formula>AD260&lt;&gt;""</formula>
    </cfRule>
  </conditionalFormatting>
  <conditionalFormatting sqref="F262">
    <cfRule type="expression" dxfId="1495" priority="1786">
      <formula>$K262&lt;&gt;""</formula>
    </cfRule>
  </conditionalFormatting>
  <conditionalFormatting sqref="C262">
    <cfRule type="expression" dxfId="1494" priority="1785">
      <formula>$G262&lt;&gt;"-"</formula>
    </cfRule>
  </conditionalFormatting>
  <conditionalFormatting sqref="D262">
    <cfRule type="expression" dxfId="1493" priority="1784">
      <formula>$H262&lt;&gt;"-"</formula>
    </cfRule>
  </conditionalFormatting>
  <conditionalFormatting sqref="E262">
    <cfRule type="expression" dxfId="1492" priority="1783">
      <formula>$I262&lt;&gt;"-"</formula>
    </cfRule>
  </conditionalFormatting>
  <conditionalFormatting sqref="B263">
    <cfRule type="expression" dxfId="1491" priority="1778">
      <formula>AD263&lt;&gt;""</formula>
    </cfRule>
  </conditionalFormatting>
  <conditionalFormatting sqref="Z263">
    <cfRule type="cellIs" dxfId="1490" priority="1776" operator="greaterThan">
      <formula>0</formula>
    </cfRule>
    <cfRule type="cellIs" dxfId="1489" priority="1777" operator="lessThan">
      <formula>0</formula>
    </cfRule>
  </conditionalFormatting>
  <conditionalFormatting sqref="S263">
    <cfRule type="cellIs" dxfId="1488" priority="1775" operator="lessThan">
      <formula>0</formula>
    </cfRule>
  </conditionalFormatting>
  <conditionalFormatting sqref="P263">
    <cfRule type="cellIs" dxfId="1487" priority="1773" operator="equal">
      <formula>AS_DURATION_EFFORT</formula>
    </cfRule>
    <cfRule type="cellIs" dxfId="1486" priority="1774" operator="equal">
      <formula>AS_DEV_EFFORT</formula>
    </cfRule>
  </conditionalFormatting>
  <conditionalFormatting sqref="F263">
    <cfRule type="expression" dxfId="1485" priority="1772">
      <formula>$K263&lt;&gt;""</formula>
    </cfRule>
  </conditionalFormatting>
  <conditionalFormatting sqref="C263">
    <cfRule type="expression" dxfId="1484" priority="1771">
      <formula>$G263&lt;&gt;"-"</formula>
    </cfRule>
  </conditionalFormatting>
  <conditionalFormatting sqref="D263">
    <cfRule type="expression" dxfId="1483" priority="1770">
      <formula>$H263&lt;&gt;"-"</formula>
    </cfRule>
  </conditionalFormatting>
  <conditionalFormatting sqref="E263">
    <cfRule type="expression" dxfId="1482" priority="1769">
      <formula>$I263&lt;&gt;"-"</formula>
    </cfRule>
  </conditionalFormatting>
  <conditionalFormatting sqref="B264">
    <cfRule type="expression" dxfId="1481" priority="1766">
      <formula>AD264&lt;&gt;""</formula>
    </cfRule>
  </conditionalFormatting>
  <conditionalFormatting sqref="Z264">
    <cfRule type="cellIs" dxfId="1480" priority="1764" operator="greaterThan">
      <formula>0</formula>
    </cfRule>
    <cfRule type="cellIs" dxfId="1479" priority="1765" operator="lessThan">
      <formula>0</formula>
    </cfRule>
  </conditionalFormatting>
  <conditionalFormatting sqref="S264">
    <cfRule type="cellIs" dxfId="1478" priority="1763" operator="lessThan">
      <formula>0</formula>
    </cfRule>
  </conditionalFormatting>
  <conditionalFormatting sqref="P264">
    <cfRule type="cellIs" dxfId="1477" priority="1761" operator="equal">
      <formula>AS_DURATION_EFFORT</formula>
    </cfRule>
    <cfRule type="cellIs" dxfId="1476" priority="1762" operator="equal">
      <formula>AS_DEV_EFFORT</formula>
    </cfRule>
  </conditionalFormatting>
  <conditionalFormatting sqref="F264">
    <cfRule type="expression" dxfId="1475" priority="1760">
      <formula>$K264&lt;&gt;""</formula>
    </cfRule>
  </conditionalFormatting>
  <conditionalFormatting sqref="C264">
    <cfRule type="expression" dxfId="1474" priority="1759">
      <formula>$G264&lt;&gt;"-"</formula>
    </cfRule>
  </conditionalFormatting>
  <conditionalFormatting sqref="D264">
    <cfRule type="expression" dxfId="1473" priority="1758">
      <formula>$H264&lt;&gt;"-"</formula>
    </cfRule>
  </conditionalFormatting>
  <conditionalFormatting sqref="E264">
    <cfRule type="expression" dxfId="1472" priority="1757">
      <formula>$I264&lt;&gt;"-"</formula>
    </cfRule>
  </conditionalFormatting>
  <conditionalFormatting sqref="B265">
    <cfRule type="expression" dxfId="1471" priority="1754">
      <formula>AD265&lt;&gt;""</formula>
    </cfRule>
  </conditionalFormatting>
  <conditionalFormatting sqref="Z265">
    <cfRule type="cellIs" dxfId="1470" priority="1752" operator="greaterThan">
      <formula>0</formula>
    </cfRule>
    <cfRule type="cellIs" dxfId="1469" priority="1753" operator="lessThan">
      <formula>0</formula>
    </cfRule>
  </conditionalFormatting>
  <conditionalFormatting sqref="S265">
    <cfRule type="cellIs" dxfId="1468" priority="1751" operator="lessThan">
      <formula>0</formula>
    </cfRule>
  </conditionalFormatting>
  <conditionalFormatting sqref="P265">
    <cfRule type="cellIs" dxfId="1467" priority="1749" operator="equal">
      <formula>AS_DURATION_EFFORT</formula>
    </cfRule>
    <cfRule type="cellIs" dxfId="1466" priority="1750" operator="equal">
      <formula>AS_DEV_EFFORT</formula>
    </cfRule>
  </conditionalFormatting>
  <conditionalFormatting sqref="F265">
    <cfRule type="expression" dxfId="1465" priority="1748">
      <formula>$K265&lt;&gt;""</formula>
    </cfRule>
  </conditionalFormatting>
  <conditionalFormatting sqref="C265">
    <cfRule type="expression" dxfId="1464" priority="1747">
      <formula>$G265&lt;&gt;"-"</formula>
    </cfRule>
  </conditionalFormatting>
  <conditionalFormatting sqref="D265">
    <cfRule type="expression" dxfId="1463" priority="1746">
      <formula>$H265&lt;&gt;"-"</formula>
    </cfRule>
  </conditionalFormatting>
  <conditionalFormatting sqref="E265">
    <cfRule type="expression" dxfId="1462" priority="1745">
      <formula>$I265&lt;&gt;"-"</formula>
    </cfRule>
  </conditionalFormatting>
  <conditionalFormatting sqref="B266">
    <cfRule type="expression" dxfId="1461" priority="1742">
      <formula>AD266&lt;&gt;""</formula>
    </cfRule>
  </conditionalFormatting>
  <conditionalFormatting sqref="Z266">
    <cfRule type="cellIs" dxfId="1460" priority="1740" operator="greaterThan">
      <formula>0</formula>
    </cfRule>
    <cfRule type="cellIs" dxfId="1459" priority="1741" operator="lessThan">
      <formula>0</formula>
    </cfRule>
  </conditionalFormatting>
  <conditionalFormatting sqref="S266">
    <cfRule type="cellIs" dxfId="1458" priority="1739" operator="lessThan">
      <formula>0</formula>
    </cfRule>
  </conditionalFormatting>
  <conditionalFormatting sqref="P266">
    <cfRule type="cellIs" dxfId="1457" priority="1737" operator="equal">
      <formula>AS_DURATION_EFFORT</formula>
    </cfRule>
    <cfRule type="cellIs" dxfId="1456" priority="1738" operator="equal">
      <formula>AS_DEV_EFFORT</formula>
    </cfRule>
  </conditionalFormatting>
  <conditionalFormatting sqref="F266">
    <cfRule type="expression" dxfId="1455" priority="1736">
      <formula>$K266&lt;&gt;""</formula>
    </cfRule>
  </conditionalFormatting>
  <conditionalFormatting sqref="C266">
    <cfRule type="expression" dxfId="1454" priority="1735">
      <formula>$G266&lt;&gt;"-"</formula>
    </cfRule>
  </conditionalFormatting>
  <conditionalFormatting sqref="D266">
    <cfRule type="expression" dxfId="1453" priority="1734">
      <formula>$H266&lt;&gt;"-"</formula>
    </cfRule>
  </conditionalFormatting>
  <conditionalFormatting sqref="E266">
    <cfRule type="expression" dxfId="1452" priority="1733">
      <formula>$I266&lt;&gt;"-"</formula>
    </cfRule>
  </conditionalFormatting>
  <conditionalFormatting sqref="B273">
    <cfRule type="expression" dxfId="1451" priority="1729">
      <formula>AD273&lt;&gt;""</formula>
    </cfRule>
  </conditionalFormatting>
  <conditionalFormatting sqref="Z273">
    <cfRule type="cellIs" dxfId="1450" priority="1727" operator="greaterThan">
      <formula>0</formula>
    </cfRule>
    <cfRule type="cellIs" dxfId="1449" priority="1728" operator="lessThan">
      <formula>0</formula>
    </cfRule>
  </conditionalFormatting>
  <conditionalFormatting sqref="S273">
    <cfRule type="cellIs" dxfId="1448" priority="1726" operator="lessThan">
      <formula>0</formula>
    </cfRule>
  </conditionalFormatting>
  <conditionalFormatting sqref="T271:T272">
    <cfRule type="expression" dxfId="1447" priority="1730">
      <formula>#REF!="Yes"</formula>
    </cfRule>
  </conditionalFormatting>
  <conditionalFormatting sqref="P273">
    <cfRule type="cellIs" dxfId="1446" priority="1724" operator="equal">
      <formula>AS_DURATION_EFFORT</formula>
    </cfRule>
    <cfRule type="cellIs" dxfId="1445" priority="1725" operator="equal">
      <formula>AS_DEV_EFFORT</formula>
    </cfRule>
  </conditionalFormatting>
  <conditionalFormatting sqref="B271:B272">
    <cfRule type="expression" dxfId="1444" priority="1723">
      <formula>AD271&lt;&gt;""</formula>
    </cfRule>
  </conditionalFormatting>
  <conditionalFormatting sqref="F273">
    <cfRule type="expression" dxfId="1443" priority="1722">
      <formula>$K273&lt;&gt;""</formula>
    </cfRule>
  </conditionalFormatting>
  <conditionalFormatting sqref="C273">
    <cfRule type="expression" dxfId="1442" priority="1721">
      <formula>$G273&lt;&gt;"-"</formula>
    </cfRule>
  </conditionalFormatting>
  <conditionalFormatting sqref="D273">
    <cfRule type="expression" dxfId="1441" priority="1720">
      <formula>$H273&lt;&gt;"-"</formula>
    </cfRule>
  </conditionalFormatting>
  <conditionalFormatting sqref="E273">
    <cfRule type="expression" dxfId="1440" priority="1719">
      <formula>$I273&lt;&gt;"-"</formula>
    </cfRule>
  </conditionalFormatting>
  <conditionalFormatting sqref="B274">
    <cfRule type="expression" dxfId="1439" priority="1716">
      <formula>AD274&lt;&gt;""</formula>
    </cfRule>
  </conditionalFormatting>
  <conditionalFormatting sqref="Z274">
    <cfRule type="cellIs" dxfId="1438" priority="1714" operator="greaterThan">
      <formula>0</formula>
    </cfRule>
    <cfRule type="cellIs" dxfId="1437" priority="1715" operator="lessThan">
      <formula>0</formula>
    </cfRule>
  </conditionalFormatting>
  <conditionalFormatting sqref="S274">
    <cfRule type="cellIs" dxfId="1436" priority="1713" operator="lessThan">
      <formula>0</formula>
    </cfRule>
  </conditionalFormatting>
  <conditionalFormatting sqref="P274">
    <cfRule type="cellIs" dxfId="1435" priority="1711" operator="equal">
      <formula>AS_DURATION_EFFORT</formula>
    </cfRule>
    <cfRule type="cellIs" dxfId="1434" priority="1712" operator="equal">
      <formula>AS_DEV_EFFORT</formula>
    </cfRule>
  </conditionalFormatting>
  <conditionalFormatting sqref="F274">
    <cfRule type="expression" dxfId="1433" priority="1710">
      <formula>$K274&lt;&gt;""</formula>
    </cfRule>
  </conditionalFormatting>
  <conditionalFormatting sqref="C274">
    <cfRule type="expression" dxfId="1432" priority="1709">
      <formula>$G274&lt;&gt;"-"</formula>
    </cfRule>
  </conditionalFormatting>
  <conditionalFormatting sqref="D274">
    <cfRule type="expression" dxfId="1431" priority="1708">
      <formula>$H274&lt;&gt;"-"</formula>
    </cfRule>
  </conditionalFormatting>
  <conditionalFormatting sqref="E274">
    <cfRule type="expression" dxfId="1430" priority="1707">
      <formula>$I274&lt;&gt;"-"</formula>
    </cfRule>
  </conditionalFormatting>
  <conditionalFormatting sqref="B275">
    <cfRule type="expression" dxfId="1429" priority="1704">
      <formula>AD275&lt;&gt;""</formula>
    </cfRule>
  </conditionalFormatting>
  <conditionalFormatting sqref="Z275">
    <cfRule type="cellIs" dxfId="1428" priority="1702" operator="greaterThan">
      <formula>0</formula>
    </cfRule>
    <cfRule type="cellIs" dxfId="1427" priority="1703" operator="lessThan">
      <formula>0</formula>
    </cfRule>
  </conditionalFormatting>
  <conditionalFormatting sqref="S275">
    <cfRule type="cellIs" dxfId="1426" priority="1701" operator="lessThan">
      <formula>0</formula>
    </cfRule>
  </conditionalFormatting>
  <conditionalFormatting sqref="P275">
    <cfRule type="cellIs" dxfId="1425" priority="1699" operator="equal">
      <formula>AS_DURATION_EFFORT</formula>
    </cfRule>
    <cfRule type="cellIs" dxfId="1424" priority="1700" operator="equal">
      <formula>AS_DEV_EFFORT</formula>
    </cfRule>
  </conditionalFormatting>
  <conditionalFormatting sqref="F275">
    <cfRule type="expression" dxfId="1423" priority="1698">
      <formula>$K275&lt;&gt;""</formula>
    </cfRule>
  </conditionalFormatting>
  <conditionalFormatting sqref="C275">
    <cfRule type="expression" dxfId="1422" priority="1697">
      <formula>$G275&lt;&gt;"-"</formula>
    </cfRule>
  </conditionalFormatting>
  <conditionalFormatting sqref="D275">
    <cfRule type="expression" dxfId="1421" priority="1696">
      <formula>$H275&lt;&gt;"-"</formula>
    </cfRule>
  </conditionalFormatting>
  <conditionalFormatting sqref="E275">
    <cfRule type="expression" dxfId="1420" priority="1695">
      <formula>$I275&lt;&gt;"-"</formula>
    </cfRule>
  </conditionalFormatting>
  <conditionalFormatting sqref="B276">
    <cfRule type="expression" dxfId="1419" priority="1692">
      <formula>AD276&lt;&gt;""</formula>
    </cfRule>
  </conditionalFormatting>
  <conditionalFormatting sqref="Z276">
    <cfRule type="cellIs" dxfId="1418" priority="1690" operator="greaterThan">
      <formula>0</formula>
    </cfRule>
    <cfRule type="cellIs" dxfId="1417" priority="1691" operator="lessThan">
      <formula>0</formula>
    </cfRule>
  </conditionalFormatting>
  <conditionalFormatting sqref="S276">
    <cfRule type="cellIs" dxfId="1416" priority="1689" operator="lessThan">
      <formula>0</formula>
    </cfRule>
  </conditionalFormatting>
  <conditionalFormatting sqref="P276">
    <cfRule type="cellIs" dxfId="1415" priority="1687" operator="equal">
      <formula>AS_DURATION_EFFORT</formula>
    </cfRule>
    <cfRule type="cellIs" dxfId="1414" priority="1688" operator="equal">
      <formula>AS_DEV_EFFORT</formula>
    </cfRule>
  </conditionalFormatting>
  <conditionalFormatting sqref="F276">
    <cfRule type="expression" dxfId="1413" priority="1686">
      <formula>$K276&lt;&gt;""</formula>
    </cfRule>
  </conditionalFormatting>
  <conditionalFormatting sqref="C276">
    <cfRule type="expression" dxfId="1412" priority="1685">
      <formula>$G276&lt;&gt;"-"</formula>
    </cfRule>
  </conditionalFormatting>
  <conditionalFormatting sqref="D276">
    <cfRule type="expression" dxfId="1411" priority="1684">
      <formula>$H276&lt;&gt;"-"</formula>
    </cfRule>
  </conditionalFormatting>
  <conditionalFormatting sqref="E276">
    <cfRule type="expression" dxfId="1410" priority="1683">
      <formula>$I276&lt;&gt;"-"</formula>
    </cfRule>
  </conditionalFormatting>
  <conditionalFormatting sqref="B277">
    <cfRule type="expression" dxfId="1409" priority="1680">
      <formula>AD277&lt;&gt;""</formula>
    </cfRule>
  </conditionalFormatting>
  <conditionalFormatting sqref="Z277">
    <cfRule type="cellIs" dxfId="1408" priority="1678" operator="greaterThan">
      <formula>0</formula>
    </cfRule>
    <cfRule type="cellIs" dxfId="1407" priority="1679" operator="lessThan">
      <formula>0</formula>
    </cfRule>
  </conditionalFormatting>
  <conditionalFormatting sqref="S277">
    <cfRule type="cellIs" dxfId="1406" priority="1677" operator="lessThan">
      <formula>0</formula>
    </cfRule>
  </conditionalFormatting>
  <conditionalFormatting sqref="P277">
    <cfRule type="cellIs" dxfId="1405" priority="1675" operator="equal">
      <formula>AS_DURATION_EFFORT</formula>
    </cfRule>
    <cfRule type="cellIs" dxfId="1404" priority="1676" operator="equal">
      <formula>AS_DEV_EFFORT</formula>
    </cfRule>
  </conditionalFormatting>
  <conditionalFormatting sqref="F277">
    <cfRule type="expression" dxfId="1403" priority="1674">
      <formula>$K277&lt;&gt;""</formula>
    </cfRule>
  </conditionalFormatting>
  <conditionalFormatting sqref="C277">
    <cfRule type="expression" dxfId="1402" priority="1673">
      <formula>$G277&lt;&gt;"-"</formula>
    </cfRule>
  </conditionalFormatting>
  <conditionalFormatting sqref="D277">
    <cfRule type="expression" dxfId="1401" priority="1672">
      <formula>$H277&lt;&gt;"-"</formula>
    </cfRule>
  </conditionalFormatting>
  <conditionalFormatting sqref="E277">
    <cfRule type="expression" dxfId="1400" priority="1671">
      <formula>$I277&lt;&gt;"-"</formula>
    </cfRule>
  </conditionalFormatting>
  <conditionalFormatting sqref="B281">
    <cfRule type="expression" dxfId="1399" priority="1667">
      <formula>AD281&lt;&gt;""</formula>
    </cfRule>
  </conditionalFormatting>
  <conditionalFormatting sqref="Z281">
    <cfRule type="cellIs" dxfId="1398" priority="1665" operator="greaterThan">
      <formula>0</formula>
    </cfRule>
    <cfRule type="cellIs" dxfId="1397" priority="1666" operator="lessThan">
      <formula>0</formula>
    </cfRule>
  </conditionalFormatting>
  <conditionalFormatting sqref="S281">
    <cfRule type="cellIs" dxfId="1396" priority="1664" operator="lessThan">
      <formula>0</formula>
    </cfRule>
  </conditionalFormatting>
  <conditionalFormatting sqref="T279:T280">
    <cfRule type="expression" dxfId="1395" priority="1668">
      <formula>#REF!="Yes"</formula>
    </cfRule>
  </conditionalFormatting>
  <conditionalFormatting sqref="P281">
    <cfRule type="cellIs" dxfId="1394" priority="1662" operator="equal">
      <formula>AS_DURATION_EFFORT</formula>
    </cfRule>
    <cfRule type="cellIs" dxfId="1393" priority="1663" operator="equal">
      <formula>AS_DEV_EFFORT</formula>
    </cfRule>
  </conditionalFormatting>
  <conditionalFormatting sqref="B279:B280">
    <cfRule type="expression" dxfId="1392" priority="1661">
      <formula>AD279&lt;&gt;""</formula>
    </cfRule>
  </conditionalFormatting>
  <conditionalFormatting sqref="F281">
    <cfRule type="expression" dxfId="1391" priority="1660">
      <formula>$K281&lt;&gt;""</formula>
    </cfRule>
  </conditionalFormatting>
  <conditionalFormatting sqref="C281">
    <cfRule type="expression" dxfId="1390" priority="1659">
      <formula>$G281&lt;&gt;"-"</formula>
    </cfRule>
  </conditionalFormatting>
  <conditionalFormatting sqref="D281">
    <cfRule type="expression" dxfId="1389" priority="1658">
      <formula>$H281&lt;&gt;"-"</formula>
    </cfRule>
  </conditionalFormatting>
  <conditionalFormatting sqref="E281">
    <cfRule type="expression" dxfId="1388" priority="1657">
      <formula>$I281&lt;&gt;"-"</formula>
    </cfRule>
  </conditionalFormatting>
  <conditionalFormatting sqref="B282">
    <cfRule type="expression" dxfId="1387" priority="1654">
      <formula>AD282&lt;&gt;""</formula>
    </cfRule>
  </conditionalFormatting>
  <conditionalFormatting sqref="Z282">
    <cfRule type="cellIs" dxfId="1386" priority="1652" operator="greaterThan">
      <formula>0</formula>
    </cfRule>
    <cfRule type="cellIs" dxfId="1385" priority="1653" operator="lessThan">
      <formula>0</formula>
    </cfRule>
  </conditionalFormatting>
  <conditionalFormatting sqref="S282">
    <cfRule type="cellIs" dxfId="1384" priority="1651" operator="lessThan">
      <formula>0</formula>
    </cfRule>
  </conditionalFormatting>
  <conditionalFormatting sqref="P282">
    <cfRule type="cellIs" dxfId="1383" priority="1649" operator="equal">
      <formula>AS_DURATION_EFFORT</formula>
    </cfRule>
    <cfRule type="cellIs" dxfId="1382" priority="1650" operator="equal">
      <formula>AS_DEV_EFFORT</formula>
    </cfRule>
  </conditionalFormatting>
  <conditionalFormatting sqref="F282">
    <cfRule type="expression" dxfId="1381" priority="1648">
      <formula>$K282&lt;&gt;""</formula>
    </cfRule>
  </conditionalFormatting>
  <conditionalFormatting sqref="C282">
    <cfRule type="expression" dxfId="1380" priority="1647">
      <formula>$G282&lt;&gt;"-"</formula>
    </cfRule>
  </conditionalFormatting>
  <conditionalFormatting sqref="D282">
    <cfRule type="expression" dxfId="1379" priority="1646">
      <formula>$H282&lt;&gt;"-"</formula>
    </cfRule>
  </conditionalFormatting>
  <conditionalFormatting sqref="E282">
    <cfRule type="expression" dxfId="1378" priority="1645">
      <formula>$I282&lt;&gt;"-"</formula>
    </cfRule>
  </conditionalFormatting>
  <conditionalFormatting sqref="B283">
    <cfRule type="expression" dxfId="1377" priority="1642">
      <formula>AD283&lt;&gt;""</formula>
    </cfRule>
  </conditionalFormatting>
  <conditionalFormatting sqref="Z283">
    <cfRule type="cellIs" dxfId="1376" priority="1640" operator="greaterThan">
      <formula>0</formula>
    </cfRule>
    <cfRule type="cellIs" dxfId="1375" priority="1641" operator="lessThan">
      <formula>0</formula>
    </cfRule>
  </conditionalFormatting>
  <conditionalFormatting sqref="S283">
    <cfRule type="cellIs" dxfId="1374" priority="1639" operator="lessThan">
      <formula>0</formula>
    </cfRule>
  </conditionalFormatting>
  <conditionalFormatting sqref="P283">
    <cfRule type="cellIs" dxfId="1373" priority="1637" operator="equal">
      <formula>AS_DURATION_EFFORT</formula>
    </cfRule>
    <cfRule type="cellIs" dxfId="1372" priority="1638" operator="equal">
      <formula>AS_DEV_EFFORT</formula>
    </cfRule>
  </conditionalFormatting>
  <conditionalFormatting sqref="F283">
    <cfRule type="expression" dxfId="1371" priority="1636">
      <formula>$K283&lt;&gt;""</formula>
    </cfRule>
  </conditionalFormatting>
  <conditionalFormatting sqref="C283">
    <cfRule type="expression" dxfId="1370" priority="1635">
      <formula>$G283&lt;&gt;"-"</formula>
    </cfRule>
  </conditionalFormatting>
  <conditionalFormatting sqref="D283">
    <cfRule type="expression" dxfId="1369" priority="1634">
      <formula>$H283&lt;&gt;"-"</formula>
    </cfRule>
  </conditionalFormatting>
  <conditionalFormatting sqref="E283">
    <cfRule type="expression" dxfId="1368" priority="1633">
      <formula>$I283&lt;&gt;"-"</formula>
    </cfRule>
  </conditionalFormatting>
  <conditionalFormatting sqref="B284">
    <cfRule type="expression" dxfId="1367" priority="1630">
      <formula>AD284&lt;&gt;""</formula>
    </cfRule>
  </conditionalFormatting>
  <conditionalFormatting sqref="Z284">
    <cfRule type="cellIs" dxfId="1366" priority="1628" operator="greaterThan">
      <formula>0</formula>
    </cfRule>
    <cfRule type="cellIs" dxfId="1365" priority="1629" operator="lessThan">
      <formula>0</formula>
    </cfRule>
  </conditionalFormatting>
  <conditionalFormatting sqref="S284">
    <cfRule type="cellIs" dxfId="1364" priority="1627" operator="lessThan">
      <formula>0</formula>
    </cfRule>
  </conditionalFormatting>
  <conditionalFormatting sqref="P284">
    <cfRule type="cellIs" dxfId="1363" priority="1625" operator="equal">
      <formula>AS_DURATION_EFFORT</formula>
    </cfRule>
    <cfRule type="cellIs" dxfId="1362" priority="1626" operator="equal">
      <formula>AS_DEV_EFFORT</formula>
    </cfRule>
  </conditionalFormatting>
  <conditionalFormatting sqref="F284">
    <cfRule type="expression" dxfId="1361" priority="1624">
      <formula>$K284&lt;&gt;""</formula>
    </cfRule>
  </conditionalFormatting>
  <conditionalFormatting sqref="C284">
    <cfRule type="expression" dxfId="1360" priority="1623">
      <formula>$G284&lt;&gt;"-"</formula>
    </cfRule>
  </conditionalFormatting>
  <conditionalFormatting sqref="D284">
    <cfRule type="expression" dxfId="1359" priority="1622">
      <formula>$H284&lt;&gt;"-"</formula>
    </cfRule>
  </conditionalFormatting>
  <conditionalFormatting sqref="E284">
    <cfRule type="expression" dxfId="1358" priority="1621">
      <formula>$I284&lt;&gt;"-"</formula>
    </cfRule>
  </conditionalFormatting>
  <conditionalFormatting sqref="B285">
    <cfRule type="expression" dxfId="1357" priority="1618">
      <formula>AD285&lt;&gt;""</formula>
    </cfRule>
  </conditionalFormatting>
  <conditionalFormatting sqref="Z285">
    <cfRule type="cellIs" dxfId="1356" priority="1616" operator="greaterThan">
      <formula>0</formula>
    </cfRule>
    <cfRule type="cellIs" dxfId="1355" priority="1617" operator="lessThan">
      <formula>0</formula>
    </cfRule>
  </conditionalFormatting>
  <conditionalFormatting sqref="S285">
    <cfRule type="cellIs" dxfId="1354" priority="1615" operator="lessThan">
      <formula>0</formula>
    </cfRule>
  </conditionalFormatting>
  <conditionalFormatting sqref="P285">
    <cfRule type="cellIs" dxfId="1353" priority="1613" operator="equal">
      <formula>AS_DURATION_EFFORT</formula>
    </cfRule>
    <cfRule type="cellIs" dxfId="1352" priority="1614" operator="equal">
      <formula>AS_DEV_EFFORT</formula>
    </cfRule>
  </conditionalFormatting>
  <conditionalFormatting sqref="F285">
    <cfRule type="expression" dxfId="1351" priority="1612">
      <formula>$K285&lt;&gt;""</formula>
    </cfRule>
  </conditionalFormatting>
  <conditionalFormatting sqref="C285">
    <cfRule type="expression" dxfId="1350" priority="1611">
      <formula>$G285&lt;&gt;"-"</formula>
    </cfRule>
  </conditionalFormatting>
  <conditionalFormatting sqref="D285">
    <cfRule type="expression" dxfId="1349" priority="1610">
      <formula>$H285&lt;&gt;"-"</formula>
    </cfRule>
  </conditionalFormatting>
  <conditionalFormatting sqref="E285">
    <cfRule type="expression" dxfId="1348" priority="1609">
      <formula>$I285&lt;&gt;"-"</formula>
    </cfRule>
  </conditionalFormatting>
  <conditionalFormatting sqref="B292">
    <cfRule type="expression" dxfId="1347" priority="1605">
      <formula>AD292&lt;&gt;""</formula>
    </cfRule>
  </conditionalFormatting>
  <conditionalFormatting sqref="Z292">
    <cfRule type="cellIs" dxfId="1346" priority="1603" operator="greaterThan">
      <formula>0</formula>
    </cfRule>
    <cfRule type="cellIs" dxfId="1345" priority="1604" operator="lessThan">
      <formula>0</formula>
    </cfRule>
  </conditionalFormatting>
  <conditionalFormatting sqref="S292">
    <cfRule type="cellIs" dxfId="1344" priority="1602" operator="lessThan">
      <formula>0</formula>
    </cfRule>
  </conditionalFormatting>
  <conditionalFormatting sqref="T290:T291">
    <cfRule type="expression" dxfId="1343" priority="1606">
      <formula>#REF!="Yes"</formula>
    </cfRule>
  </conditionalFormatting>
  <conditionalFormatting sqref="P292">
    <cfRule type="cellIs" dxfId="1342" priority="1600" operator="equal">
      <formula>AS_DURATION_EFFORT</formula>
    </cfRule>
    <cfRule type="cellIs" dxfId="1341" priority="1601" operator="equal">
      <formula>AS_DEV_EFFORT</formula>
    </cfRule>
  </conditionalFormatting>
  <conditionalFormatting sqref="B290:B291">
    <cfRule type="expression" dxfId="1340" priority="1599">
      <formula>AD290&lt;&gt;""</formula>
    </cfRule>
  </conditionalFormatting>
  <conditionalFormatting sqref="F292">
    <cfRule type="expression" dxfId="1339" priority="1598">
      <formula>$K292&lt;&gt;""</formula>
    </cfRule>
  </conditionalFormatting>
  <conditionalFormatting sqref="C292">
    <cfRule type="expression" dxfId="1338" priority="1597">
      <formula>$G292&lt;&gt;"-"</formula>
    </cfRule>
  </conditionalFormatting>
  <conditionalFormatting sqref="D292">
    <cfRule type="expression" dxfId="1337" priority="1596">
      <formula>$H292&lt;&gt;"-"</formula>
    </cfRule>
  </conditionalFormatting>
  <conditionalFormatting sqref="E292">
    <cfRule type="expression" dxfId="1336" priority="1595">
      <formula>$I292&lt;&gt;"-"</formula>
    </cfRule>
  </conditionalFormatting>
  <conditionalFormatting sqref="B293">
    <cfRule type="expression" dxfId="1335" priority="1592">
      <formula>AD293&lt;&gt;""</formula>
    </cfRule>
  </conditionalFormatting>
  <conditionalFormatting sqref="Z293">
    <cfRule type="cellIs" dxfId="1334" priority="1590" operator="greaterThan">
      <formula>0</formula>
    </cfRule>
    <cfRule type="cellIs" dxfId="1333" priority="1591" operator="lessThan">
      <formula>0</formula>
    </cfRule>
  </conditionalFormatting>
  <conditionalFormatting sqref="S293">
    <cfRule type="cellIs" dxfId="1332" priority="1589" operator="lessThan">
      <formula>0</formula>
    </cfRule>
  </conditionalFormatting>
  <conditionalFormatting sqref="P293">
    <cfRule type="cellIs" dxfId="1331" priority="1587" operator="equal">
      <formula>AS_DURATION_EFFORT</formula>
    </cfRule>
    <cfRule type="cellIs" dxfId="1330" priority="1588" operator="equal">
      <formula>AS_DEV_EFFORT</formula>
    </cfRule>
  </conditionalFormatting>
  <conditionalFormatting sqref="F293">
    <cfRule type="expression" dxfId="1329" priority="1586">
      <formula>$K293&lt;&gt;""</formula>
    </cfRule>
  </conditionalFormatting>
  <conditionalFormatting sqref="C293">
    <cfRule type="expression" dxfId="1328" priority="1585">
      <formula>$G293&lt;&gt;"-"</formula>
    </cfRule>
  </conditionalFormatting>
  <conditionalFormatting sqref="D293">
    <cfRule type="expression" dxfId="1327" priority="1584">
      <formula>$H293&lt;&gt;"-"</formula>
    </cfRule>
  </conditionalFormatting>
  <conditionalFormatting sqref="E293">
    <cfRule type="expression" dxfId="1326" priority="1583">
      <formula>$I293&lt;&gt;"-"</formula>
    </cfRule>
  </conditionalFormatting>
  <conditionalFormatting sqref="B294">
    <cfRule type="expression" dxfId="1325" priority="1580">
      <formula>AD294&lt;&gt;""</formula>
    </cfRule>
  </conditionalFormatting>
  <conditionalFormatting sqref="Z294">
    <cfRule type="cellIs" dxfId="1324" priority="1578" operator="greaterThan">
      <formula>0</formula>
    </cfRule>
    <cfRule type="cellIs" dxfId="1323" priority="1579" operator="lessThan">
      <formula>0</formula>
    </cfRule>
  </conditionalFormatting>
  <conditionalFormatting sqref="S294">
    <cfRule type="cellIs" dxfId="1322" priority="1577" operator="lessThan">
      <formula>0</formula>
    </cfRule>
  </conditionalFormatting>
  <conditionalFormatting sqref="P294">
    <cfRule type="cellIs" dxfId="1321" priority="1575" operator="equal">
      <formula>AS_DURATION_EFFORT</formula>
    </cfRule>
    <cfRule type="cellIs" dxfId="1320" priority="1576" operator="equal">
      <formula>AS_DEV_EFFORT</formula>
    </cfRule>
  </conditionalFormatting>
  <conditionalFormatting sqref="F294">
    <cfRule type="expression" dxfId="1319" priority="1574">
      <formula>$K294&lt;&gt;""</formula>
    </cfRule>
  </conditionalFormatting>
  <conditionalFormatting sqref="C294">
    <cfRule type="expression" dxfId="1318" priority="1573">
      <formula>$G294&lt;&gt;"-"</formula>
    </cfRule>
  </conditionalFormatting>
  <conditionalFormatting sqref="D294">
    <cfRule type="expression" dxfId="1317" priority="1572">
      <formula>$H294&lt;&gt;"-"</formula>
    </cfRule>
  </conditionalFormatting>
  <conditionalFormatting sqref="E294">
    <cfRule type="expression" dxfId="1316" priority="1571">
      <formula>$I294&lt;&gt;"-"</formula>
    </cfRule>
  </conditionalFormatting>
  <conditionalFormatting sqref="B295">
    <cfRule type="expression" dxfId="1315" priority="1568">
      <formula>AD295&lt;&gt;""</formula>
    </cfRule>
  </conditionalFormatting>
  <conditionalFormatting sqref="Z295">
    <cfRule type="cellIs" dxfId="1314" priority="1566" operator="greaterThan">
      <formula>0</formula>
    </cfRule>
    <cfRule type="cellIs" dxfId="1313" priority="1567" operator="lessThan">
      <formula>0</formula>
    </cfRule>
  </conditionalFormatting>
  <conditionalFormatting sqref="S295">
    <cfRule type="cellIs" dxfId="1312" priority="1565" operator="lessThan">
      <formula>0</formula>
    </cfRule>
  </conditionalFormatting>
  <conditionalFormatting sqref="P295">
    <cfRule type="cellIs" dxfId="1311" priority="1563" operator="equal">
      <formula>AS_DURATION_EFFORT</formula>
    </cfRule>
    <cfRule type="cellIs" dxfId="1310" priority="1564" operator="equal">
      <formula>AS_DEV_EFFORT</formula>
    </cfRule>
  </conditionalFormatting>
  <conditionalFormatting sqref="F295">
    <cfRule type="expression" dxfId="1309" priority="1562">
      <formula>$K295&lt;&gt;""</formula>
    </cfRule>
  </conditionalFormatting>
  <conditionalFormatting sqref="C295">
    <cfRule type="expression" dxfId="1308" priority="1561">
      <formula>$G295&lt;&gt;"-"</formula>
    </cfRule>
  </conditionalFormatting>
  <conditionalFormatting sqref="D295">
    <cfRule type="expression" dxfId="1307" priority="1560">
      <formula>$H295&lt;&gt;"-"</formula>
    </cfRule>
  </conditionalFormatting>
  <conditionalFormatting sqref="E295">
    <cfRule type="expression" dxfId="1306" priority="1559">
      <formula>$I295&lt;&gt;"-"</formula>
    </cfRule>
  </conditionalFormatting>
  <conditionalFormatting sqref="B296">
    <cfRule type="expression" dxfId="1305" priority="1556">
      <formula>AD296&lt;&gt;""</formula>
    </cfRule>
  </conditionalFormatting>
  <conditionalFormatting sqref="Z296">
    <cfRule type="cellIs" dxfId="1304" priority="1554" operator="greaterThan">
      <formula>0</formula>
    </cfRule>
    <cfRule type="cellIs" dxfId="1303" priority="1555" operator="lessThan">
      <formula>0</formula>
    </cfRule>
  </conditionalFormatting>
  <conditionalFormatting sqref="S296">
    <cfRule type="cellIs" dxfId="1302" priority="1553" operator="lessThan">
      <formula>0</formula>
    </cfRule>
  </conditionalFormatting>
  <conditionalFormatting sqref="P296">
    <cfRule type="cellIs" dxfId="1301" priority="1551" operator="equal">
      <formula>AS_DURATION_EFFORT</formula>
    </cfRule>
    <cfRule type="cellIs" dxfId="1300" priority="1552" operator="equal">
      <formula>AS_DEV_EFFORT</formula>
    </cfRule>
  </conditionalFormatting>
  <conditionalFormatting sqref="F296">
    <cfRule type="expression" dxfId="1299" priority="1550">
      <formula>$K296&lt;&gt;""</formula>
    </cfRule>
  </conditionalFormatting>
  <conditionalFormatting sqref="C296">
    <cfRule type="expression" dxfId="1298" priority="1549">
      <formula>$G296&lt;&gt;"-"</formula>
    </cfRule>
  </conditionalFormatting>
  <conditionalFormatting sqref="D296">
    <cfRule type="expression" dxfId="1297" priority="1548">
      <formula>$H296&lt;&gt;"-"</formula>
    </cfRule>
  </conditionalFormatting>
  <conditionalFormatting sqref="E296">
    <cfRule type="expression" dxfId="1296" priority="1547">
      <formula>$I296&lt;&gt;"-"</formula>
    </cfRule>
  </conditionalFormatting>
  <conditionalFormatting sqref="B305">
    <cfRule type="expression" dxfId="1295" priority="1543">
      <formula>AD305&lt;&gt;""</formula>
    </cfRule>
  </conditionalFormatting>
  <conditionalFormatting sqref="Z305">
    <cfRule type="cellIs" dxfId="1294" priority="1541" operator="greaterThan">
      <formula>0</formula>
    </cfRule>
    <cfRule type="cellIs" dxfId="1293" priority="1542" operator="lessThan">
      <formula>0</formula>
    </cfRule>
  </conditionalFormatting>
  <conditionalFormatting sqref="S305">
    <cfRule type="cellIs" dxfId="1292" priority="1540" operator="lessThan">
      <formula>0</formula>
    </cfRule>
  </conditionalFormatting>
  <conditionalFormatting sqref="T303:T304">
    <cfRule type="expression" dxfId="1291" priority="1544">
      <formula>#REF!="Yes"</formula>
    </cfRule>
  </conditionalFormatting>
  <conditionalFormatting sqref="P305">
    <cfRule type="cellIs" dxfId="1290" priority="1538" operator="equal">
      <formula>AS_DURATION_EFFORT</formula>
    </cfRule>
    <cfRule type="cellIs" dxfId="1289" priority="1539" operator="equal">
      <formula>AS_DEV_EFFORT</formula>
    </cfRule>
  </conditionalFormatting>
  <conditionalFormatting sqref="B303:B304">
    <cfRule type="expression" dxfId="1288" priority="1537">
      <formula>AD303&lt;&gt;""</formula>
    </cfRule>
  </conditionalFormatting>
  <conditionalFormatting sqref="F305">
    <cfRule type="expression" dxfId="1287" priority="1536">
      <formula>$K305&lt;&gt;""</formula>
    </cfRule>
  </conditionalFormatting>
  <conditionalFormatting sqref="C305">
    <cfRule type="expression" dxfId="1286" priority="1535">
      <formula>$G305&lt;&gt;"-"</formula>
    </cfRule>
  </conditionalFormatting>
  <conditionalFormatting sqref="D305">
    <cfRule type="expression" dxfId="1285" priority="1534">
      <formula>$H305&lt;&gt;"-"</formula>
    </cfRule>
  </conditionalFormatting>
  <conditionalFormatting sqref="E305">
    <cfRule type="expression" dxfId="1284" priority="1533">
      <formula>$I305&lt;&gt;"-"</formula>
    </cfRule>
  </conditionalFormatting>
  <conditionalFormatting sqref="B306">
    <cfRule type="expression" dxfId="1283" priority="1528">
      <formula>AD306&lt;&gt;""</formula>
    </cfRule>
  </conditionalFormatting>
  <conditionalFormatting sqref="Z306">
    <cfRule type="cellIs" dxfId="1282" priority="1526" operator="greaterThan">
      <formula>0</formula>
    </cfRule>
    <cfRule type="cellIs" dxfId="1281" priority="1527" operator="lessThan">
      <formula>0</formula>
    </cfRule>
  </conditionalFormatting>
  <conditionalFormatting sqref="S306">
    <cfRule type="cellIs" dxfId="1280" priority="1525" operator="lessThan">
      <formula>0</formula>
    </cfRule>
  </conditionalFormatting>
  <conditionalFormatting sqref="P306">
    <cfRule type="cellIs" dxfId="1279" priority="1523" operator="equal">
      <formula>AS_DURATION_EFFORT</formula>
    </cfRule>
    <cfRule type="cellIs" dxfId="1278" priority="1524" operator="equal">
      <formula>AS_DEV_EFFORT</formula>
    </cfRule>
  </conditionalFormatting>
  <conditionalFormatting sqref="F306">
    <cfRule type="expression" dxfId="1277" priority="1522">
      <formula>$K306&lt;&gt;""</formula>
    </cfRule>
  </conditionalFormatting>
  <conditionalFormatting sqref="C306">
    <cfRule type="expression" dxfId="1276" priority="1521">
      <formula>$G306&lt;&gt;"-"</formula>
    </cfRule>
  </conditionalFormatting>
  <conditionalFormatting sqref="D306">
    <cfRule type="expression" dxfId="1275" priority="1520">
      <formula>$H306&lt;&gt;"-"</formula>
    </cfRule>
  </conditionalFormatting>
  <conditionalFormatting sqref="E306">
    <cfRule type="expression" dxfId="1274" priority="1519">
      <formula>$I306&lt;&gt;"-"</formula>
    </cfRule>
  </conditionalFormatting>
  <conditionalFormatting sqref="B307">
    <cfRule type="expression" dxfId="1273" priority="1516">
      <formula>AD307&lt;&gt;""</formula>
    </cfRule>
  </conditionalFormatting>
  <conditionalFormatting sqref="Z307">
    <cfRule type="cellIs" dxfId="1272" priority="1514" operator="greaterThan">
      <formula>0</formula>
    </cfRule>
    <cfRule type="cellIs" dxfId="1271" priority="1515" operator="lessThan">
      <formula>0</formula>
    </cfRule>
  </conditionalFormatting>
  <conditionalFormatting sqref="S307">
    <cfRule type="cellIs" dxfId="1270" priority="1513" operator="lessThan">
      <formula>0</formula>
    </cfRule>
  </conditionalFormatting>
  <conditionalFormatting sqref="P307">
    <cfRule type="cellIs" dxfId="1269" priority="1511" operator="equal">
      <formula>AS_DURATION_EFFORT</formula>
    </cfRule>
    <cfRule type="cellIs" dxfId="1268" priority="1512" operator="equal">
      <formula>AS_DEV_EFFORT</formula>
    </cfRule>
  </conditionalFormatting>
  <conditionalFormatting sqref="F307">
    <cfRule type="expression" dxfId="1267" priority="1510">
      <formula>$K307&lt;&gt;""</formula>
    </cfRule>
  </conditionalFormatting>
  <conditionalFormatting sqref="C307">
    <cfRule type="expression" dxfId="1266" priority="1509">
      <formula>$G307&lt;&gt;"-"</formula>
    </cfRule>
  </conditionalFormatting>
  <conditionalFormatting sqref="D307">
    <cfRule type="expression" dxfId="1265" priority="1508">
      <formula>$H307&lt;&gt;"-"</formula>
    </cfRule>
  </conditionalFormatting>
  <conditionalFormatting sqref="E307">
    <cfRule type="expression" dxfId="1264" priority="1507">
      <formula>$I307&lt;&gt;"-"</formula>
    </cfRule>
  </conditionalFormatting>
  <conditionalFormatting sqref="B308">
    <cfRule type="expression" dxfId="1263" priority="1504">
      <formula>AD308&lt;&gt;""</formula>
    </cfRule>
  </conditionalFormatting>
  <conditionalFormatting sqref="Z308">
    <cfRule type="cellIs" dxfId="1262" priority="1502" operator="greaterThan">
      <formula>0</formula>
    </cfRule>
    <cfRule type="cellIs" dxfId="1261" priority="1503" operator="lessThan">
      <formula>0</formula>
    </cfRule>
  </conditionalFormatting>
  <conditionalFormatting sqref="S308">
    <cfRule type="cellIs" dxfId="1260" priority="1501" operator="lessThan">
      <formula>0</formula>
    </cfRule>
  </conditionalFormatting>
  <conditionalFormatting sqref="P308">
    <cfRule type="cellIs" dxfId="1259" priority="1499" operator="equal">
      <formula>AS_DURATION_EFFORT</formula>
    </cfRule>
    <cfRule type="cellIs" dxfId="1258" priority="1500" operator="equal">
      <formula>AS_DEV_EFFORT</formula>
    </cfRule>
  </conditionalFormatting>
  <conditionalFormatting sqref="F308">
    <cfRule type="expression" dxfId="1257" priority="1498">
      <formula>$K308&lt;&gt;""</formula>
    </cfRule>
  </conditionalFormatting>
  <conditionalFormatting sqref="C308">
    <cfRule type="expression" dxfId="1256" priority="1497">
      <formula>$G308&lt;&gt;"-"</formula>
    </cfRule>
  </conditionalFormatting>
  <conditionalFormatting sqref="D308">
    <cfRule type="expression" dxfId="1255" priority="1496">
      <formula>$H308&lt;&gt;"-"</formula>
    </cfRule>
  </conditionalFormatting>
  <conditionalFormatting sqref="E308">
    <cfRule type="expression" dxfId="1254" priority="1495">
      <formula>$I308&lt;&gt;"-"</formula>
    </cfRule>
  </conditionalFormatting>
  <conditionalFormatting sqref="B309">
    <cfRule type="expression" dxfId="1253" priority="1492">
      <formula>AD309&lt;&gt;""</formula>
    </cfRule>
  </conditionalFormatting>
  <conditionalFormatting sqref="Z309">
    <cfRule type="cellIs" dxfId="1252" priority="1490" operator="greaterThan">
      <formula>0</formula>
    </cfRule>
    <cfRule type="cellIs" dxfId="1251" priority="1491" operator="lessThan">
      <formula>0</formula>
    </cfRule>
  </conditionalFormatting>
  <conditionalFormatting sqref="S309">
    <cfRule type="cellIs" dxfId="1250" priority="1489" operator="lessThan">
      <formula>0</formula>
    </cfRule>
  </conditionalFormatting>
  <conditionalFormatting sqref="P309">
    <cfRule type="cellIs" dxfId="1249" priority="1487" operator="equal">
      <formula>AS_DURATION_EFFORT</formula>
    </cfRule>
    <cfRule type="cellIs" dxfId="1248" priority="1488" operator="equal">
      <formula>AS_DEV_EFFORT</formula>
    </cfRule>
  </conditionalFormatting>
  <conditionalFormatting sqref="F309">
    <cfRule type="expression" dxfId="1247" priority="1486">
      <formula>$K309&lt;&gt;""</formula>
    </cfRule>
  </conditionalFormatting>
  <conditionalFormatting sqref="C309">
    <cfRule type="expression" dxfId="1246" priority="1485">
      <formula>$G309&lt;&gt;"-"</formula>
    </cfRule>
  </conditionalFormatting>
  <conditionalFormatting sqref="D309">
    <cfRule type="expression" dxfId="1245" priority="1484">
      <formula>$H309&lt;&gt;"-"</formula>
    </cfRule>
  </conditionalFormatting>
  <conditionalFormatting sqref="E309">
    <cfRule type="expression" dxfId="1244" priority="1483">
      <formula>$I309&lt;&gt;"-"</formula>
    </cfRule>
  </conditionalFormatting>
  <conditionalFormatting sqref="B313">
    <cfRule type="expression" dxfId="1243" priority="1479">
      <formula>AD313&lt;&gt;""</formula>
    </cfRule>
  </conditionalFormatting>
  <conditionalFormatting sqref="Z313">
    <cfRule type="cellIs" dxfId="1242" priority="1477" operator="greaterThan">
      <formula>0</formula>
    </cfRule>
    <cfRule type="cellIs" dxfId="1241" priority="1478" operator="lessThan">
      <formula>0</formula>
    </cfRule>
  </conditionalFormatting>
  <conditionalFormatting sqref="S313">
    <cfRule type="cellIs" dxfId="1240" priority="1476" operator="lessThan">
      <formula>0</formula>
    </cfRule>
  </conditionalFormatting>
  <conditionalFormatting sqref="T311:T312">
    <cfRule type="expression" dxfId="1239" priority="1480">
      <formula>#REF!="Yes"</formula>
    </cfRule>
  </conditionalFormatting>
  <conditionalFormatting sqref="P313">
    <cfRule type="cellIs" dxfId="1238" priority="1474" operator="equal">
      <formula>AS_DURATION_EFFORT</formula>
    </cfRule>
    <cfRule type="cellIs" dxfId="1237" priority="1475" operator="equal">
      <formula>AS_DEV_EFFORT</formula>
    </cfRule>
  </conditionalFormatting>
  <conditionalFormatting sqref="B311:B312">
    <cfRule type="expression" dxfId="1236" priority="1473">
      <formula>AD311&lt;&gt;""</formula>
    </cfRule>
  </conditionalFormatting>
  <conditionalFormatting sqref="F313">
    <cfRule type="expression" dxfId="1235" priority="1472">
      <formula>$K313&lt;&gt;""</formula>
    </cfRule>
  </conditionalFormatting>
  <conditionalFormatting sqref="C313">
    <cfRule type="expression" dxfId="1234" priority="1471">
      <formula>$G313&lt;&gt;"-"</formula>
    </cfRule>
  </conditionalFormatting>
  <conditionalFormatting sqref="D313">
    <cfRule type="expression" dxfId="1233" priority="1470">
      <formula>$H313&lt;&gt;"-"</formula>
    </cfRule>
  </conditionalFormatting>
  <conditionalFormatting sqref="E313">
    <cfRule type="expression" dxfId="1232" priority="1469">
      <formula>$I313&lt;&gt;"-"</formula>
    </cfRule>
  </conditionalFormatting>
  <conditionalFormatting sqref="B314">
    <cfRule type="expression" dxfId="1231" priority="1466">
      <formula>AD314&lt;&gt;""</formula>
    </cfRule>
  </conditionalFormatting>
  <conditionalFormatting sqref="Z314">
    <cfRule type="cellIs" dxfId="1230" priority="1464" operator="greaterThan">
      <formula>0</formula>
    </cfRule>
    <cfRule type="cellIs" dxfId="1229" priority="1465" operator="lessThan">
      <formula>0</formula>
    </cfRule>
  </conditionalFormatting>
  <conditionalFormatting sqref="S314">
    <cfRule type="cellIs" dxfId="1228" priority="1463" operator="lessThan">
      <formula>0</formula>
    </cfRule>
  </conditionalFormatting>
  <conditionalFormatting sqref="P314">
    <cfRule type="cellIs" dxfId="1227" priority="1461" operator="equal">
      <formula>AS_DURATION_EFFORT</formula>
    </cfRule>
    <cfRule type="cellIs" dxfId="1226" priority="1462" operator="equal">
      <formula>AS_DEV_EFFORT</formula>
    </cfRule>
  </conditionalFormatting>
  <conditionalFormatting sqref="F314">
    <cfRule type="expression" dxfId="1225" priority="1460">
      <formula>$K314&lt;&gt;""</formula>
    </cfRule>
  </conditionalFormatting>
  <conditionalFormatting sqref="C314">
    <cfRule type="expression" dxfId="1224" priority="1459">
      <formula>$G314&lt;&gt;"-"</formula>
    </cfRule>
  </conditionalFormatting>
  <conditionalFormatting sqref="D314">
    <cfRule type="expression" dxfId="1223" priority="1458">
      <formula>$H314&lt;&gt;"-"</formula>
    </cfRule>
  </conditionalFormatting>
  <conditionalFormatting sqref="E314">
    <cfRule type="expression" dxfId="1222" priority="1457">
      <formula>$I314&lt;&gt;"-"</formula>
    </cfRule>
  </conditionalFormatting>
  <conditionalFormatting sqref="B315">
    <cfRule type="expression" dxfId="1221" priority="1442">
      <formula>AD315&lt;&gt;""</formula>
    </cfRule>
  </conditionalFormatting>
  <conditionalFormatting sqref="Z315">
    <cfRule type="cellIs" dxfId="1220" priority="1440" operator="greaterThan">
      <formula>0</formula>
    </cfRule>
    <cfRule type="cellIs" dxfId="1219" priority="1441" operator="lessThan">
      <formula>0</formula>
    </cfRule>
  </conditionalFormatting>
  <conditionalFormatting sqref="S315">
    <cfRule type="cellIs" dxfId="1218" priority="1439" operator="lessThan">
      <formula>0</formula>
    </cfRule>
  </conditionalFormatting>
  <conditionalFormatting sqref="P315">
    <cfRule type="cellIs" dxfId="1217" priority="1437" operator="equal">
      <formula>AS_DURATION_EFFORT</formula>
    </cfRule>
    <cfRule type="cellIs" dxfId="1216" priority="1438" operator="equal">
      <formula>AS_DEV_EFFORT</formula>
    </cfRule>
  </conditionalFormatting>
  <conditionalFormatting sqref="F315">
    <cfRule type="expression" dxfId="1215" priority="1436">
      <formula>$K315&lt;&gt;""</formula>
    </cfRule>
  </conditionalFormatting>
  <conditionalFormatting sqref="C315">
    <cfRule type="expression" dxfId="1214" priority="1435">
      <formula>$G315&lt;&gt;"-"</formula>
    </cfRule>
  </conditionalFormatting>
  <conditionalFormatting sqref="D315">
    <cfRule type="expression" dxfId="1213" priority="1434">
      <formula>$H315&lt;&gt;"-"</formula>
    </cfRule>
  </conditionalFormatting>
  <conditionalFormatting sqref="E315">
    <cfRule type="expression" dxfId="1212" priority="1433">
      <formula>$I315&lt;&gt;"-"</formula>
    </cfRule>
  </conditionalFormatting>
  <conditionalFormatting sqref="B321">
    <cfRule type="expression" dxfId="1211" priority="1429">
      <formula>AD321&lt;&gt;""</formula>
    </cfRule>
  </conditionalFormatting>
  <conditionalFormatting sqref="Z321">
    <cfRule type="cellIs" dxfId="1210" priority="1427" operator="greaterThan">
      <formula>0</formula>
    </cfRule>
    <cfRule type="cellIs" dxfId="1209" priority="1428" operator="lessThan">
      <formula>0</formula>
    </cfRule>
  </conditionalFormatting>
  <conditionalFormatting sqref="S321">
    <cfRule type="cellIs" dxfId="1208" priority="1426" operator="lessThan">
      <formula>0</formula>
    </cfRule>
  </conditionalFormatting>
  <conditionalFormatting sqref="T319:T320">
    <cfRule type="expression" dxfId="1207" priority="1430">
      <formula>#REF!="Yes"</formula>
    </cfRule>
  </conditionalFormatting>
  <conditionalFormatting sqref="P321">
    <cfRule type="cellIs" dxfId="1206" priority="1424" operator="equal">
      <formula>AS_DURATION_EFFORT</formula>
    </cfRule>
    <cfRule type="cellIs" dxfId="1205" priority="1425" operator="equal">
      <formula>AS_DEV_EFFORT</formula>
    </cfRule>
  </conditionalFormatting>
  <conditionalFormatting sqref="B319:B320">
    <cfRule type="expression" dxfId="1204" priority="1423">
      <formula>AD319&lt;&gt;""</formula>
    </cfRule>
  </conditionalFormatting>
  <conditionalFormatting sqref="F321">
    <cfRule type="expression" dxfId="1203" priority="1422">
      <formula>$K321&lt;&gt;""</formula>
    </cfRule>
  </conditionalFormatting>
  <conditionalFormatting sqref="C321">
    <cfRule type="expression" dxfId="1202" priority="1421">
      <formula>$G321&lt;&gt;"-"</formula>
    </cfRule>
  </conditionalFormatting>
  <conditionalFormatting sqref="D321">
    <cfRule type="expression" dxfId="1201" priority="1420">
      <formula>$H321&lt;&gt;"-"</formula>
    </cfRule>
  </conditionalFormatting>
  <conditionalFormatting sqref="E321">
    <cfRule type="expression" dxfId="1200" priority="1419">
      <formula>$I321&lt;&gt;"-"</formula>
    </cfRule>
  </conditionalFormatting>
  <conditionalFormatting sqref="B329">
    <cfRule type="expression" dxfId="1199" priority="1377">
      <formula>AD329&lt;&gt;""</formula>
    </cfRule>
  </conditionalFormatting>
  <conditionalFormatting sqref="Z329">
    <cfRule type="cellIs" dxfId="1198" priority="1375" operator="greaterThan">
      <formula>0</formula>
    </cfRule>
    <cfRule type="cellIs" dxfId="1197" priority="1376" operator="lessThan">
      <formula>0</formula>
    </cfRule>
  </conditionalFormatting>
  <conditionalFormatting sqref="S329">
    <cfRule type="cellIs" dxfId="1196" priority="1374" operator="lessThan">
      <formula>0</formula>
    </cfRule>
  </conditionalFormatting>
  <conditionalFormatting sqref="T327:T328">
    <cfRule type="expression" dxfId="1195" priority="1378">
      <formula>#REF!="Yes"</formula>
    </cfRule>
  </conditionalFormatting>
  <conditionalFormatting sqref="P329">
    <cfRule type="cellIs" dxfId="1194" priority="1372" operator="equal">
      <formula>AS_DURATION_EFFORT</formula>
    </cfRule>
    <cfRule type="cellIs" dxfId="1193" priority="1373" operator="equal">
      <formula>AS_DEV_EFFORT</formula>
    </cfRule>
  </conditionalFormatting>
  <conditionalFormatting sqref="B327:B328">
    <cfRule type="expression" dxfId="1192" priority="1371">
      <formula>AD327&lt;&gt;""</formula>
    </cfRule>
  </conditionalFormatting>
  <conditionalFormatting sqref="F329">
    <cfRule type="expression" dxfId="1191" priority="1370">
      <formula>$K329&lt;&gt;""</formula>
    </cfRule>
  </conditionalFormatting>
  <conditionalFormatting sqref="C329">
    <cfRule type="expression" dxfId="1190" priority="1369">
      <formula>$G329&lt;&gt;"-"</formula>
    </cfRule>
  </conditionalFormatting>
  <conditionalFormatting sqref="D329">
    <cfRule type="expression" dxfId="1189" priority="1368">
      <formula>$H329&lt;&gt;"-"</formula>
    </cfRule>
  </conditionalFormatting>
  <conditionalFormatting sqref="E329">
    <cfRule type="expression" dxfId="1188" priority="1367">
      <formula>$I329&lt;&gt;"-"</formula>
    </cfRule>
  </conditionalFormatting>
  <conditionalFormatting sqref="B330">
    <cfRule type="expression" dxfId="1187" priority="1364">
      <formula>AD330&lt;&gt;""</formula>
    </cfRule>
  </conditionalFormatting>
  <conditionalFormatting sqref="Z330">
    <cfRule type="cellIs" dxfId="1186" priority="1362" operator="greaterThan">
      <formula>0</formula>
    </cfRule>
    <cfRule type="cellIs" dxfId="1185" priority="1363" operator="lessThan">
      <formula>0</formula>
    </cfRule>
  </conditionalFormatting>
  <conditionalFormatting sqref="S330">
    <cfRule type="cellIs" dxfId="1184" priority="1361" operator="lessThan">
      <formula>0</formula>
    </cfRule>
  </conditionalFormatting>
  <conditionalFormatting sqref="P330">
    <cfRule type="cellIs" dxfId="1183" priority="1359" operator="equal">
      <formula>AS_DURATION_EFFORT</formula>
    </cfRule>
    <cfRule type="cellIs" dxfId="1182" priority="1360" operator="equal">
      <formula>AS_DEV_EFFORT</formula>
    </cfRule>
  </conditionalFormatting>
  <conditionalFormatting sqref="F330">
    <cfRule type="expression" dxfId="1181" priority="1358">
      <formula>$K330&lt;&gt;""</formula>
    </cfRule>
  </conditionalFormatting>
  <conditionalFormatting sqref="C330">
    <cfRule type="expression" dxfId="1180" priority="1357">
      <formula>$G330&lt;&gt;"-"</formula>
    </cfRule>
  </conditionalFormatting>
  <conditionalFormatting sqref="D330">
    <cfRule type="expression" dxfId="1179" priority="1356">
      <formula>$H330&lt;&gt;"-"</formula>
    </cfRule>
  </conditionalFormatting>
  <conditionalFormatting sqref="E330">
    <cfRule type="expression" dxfId="1178" priority="1355">
      <formula>$I330&lt;&gt;"-"</formula>
    </cfRule>
  </conditionalFormatting>
  <conditionalFormatting sqref="B331">
    <cfRule type="expression" dxfId="1177" priority="1352">
      <formula>AD331&lt;&gt;""</formula>
    </cfRule>
  </conditionalFormatting>
  <conditionalFormatting sqref="Z331">
    <cfRule type="cellIs" dxfId="1176" priority="1350" operator="greaterThan">
      <formula>0</formula>
    </cfRule>
    <cfRule type="cellIs" dxfId="1175" priority="1351" operator="lessThan">
      <formula>0</formula>
    </cfRule>
  </conditionalFormatting>
  <conditionalFormatting sqref="S331">
    <cfRule type="cellIs" dxfId="1174" priority="1349" operator="lessThan">
      <formula>0</formula>
    </cfRule>
  </conditionalFormatting>
  <conditionalFormatting sqref="P331">
    <cfRule type="cellIs" dxfId="1173" priority="1347" operator="equal">
      <formula>AS_DURATION_EFFORT</formula>
    </cfRule>
    <cfRule type="cellIs" dxfId="1172" priority="1348" operator="equal">
      <formula>AS_DEV_EFFORT</formula>
    </cfRule>
  </conditionalFormatting>
  <conditionalFormatting sqref="F331">
    <cfRule type="expression" dxfId="1171" priority="1346">
      <formula>$K331&lt;&gt;""</formula>
    </cfRule>
  </conditionalFormatting>
  <conditionalFormatting sqref="C331">
    <cfRule type="expression" dxfId="1170" priority="1345">
      <formula>$G331&lt;&gt;"-"</formula>
    </cfRule>
  </conditionalFormatting>
  <conditionalFormatting sqref="D331">
    <cfRule type="expression" dxfId="1169" priority="1344">
      <formula>$H331&lt;&gt;"-"</formula>
    </cfRule>
  </conditionalFormatting>
  <conditionalFormatting sqref="E331">
    <cfRule type="expression" dxfId="1168" priority="1343">
      <formula>$I331&lt;&gt;"-"</formula>
    </cfRule>
  </conditionalFormatting>
  <conditionalFormatting sqref="B335">
    <cfRule type="expression" dxfId="1167" priority="1315">
      <formula>AD335&lt;&gt;""</formula>
    </cfRule>
  </conditionalFormatting>
  <conditionalFormatting sqref="Z335">
    <cfRule type="cellIs" dxfId="1166" priority="1313" operator="greaterThan">
      <formula>0</formula>
    </cfRule>
    <cfRule type="cellIs" dxfId="1165" priority="1314" operator="lessThan">
      <formula>0</formula>
    </cfRule>
  </conditionalFormatting>
  <conditionalFormatting sqref="S335">
    <cfRule type="cellIs" dxfId="1164" priority="1312" operator="lessThan">
      <formula>0</formula>
    </cfRule>
  </conditionalFormatting>
  <conditionalFormatting sqref="T333:T334">
    <cfRule type="expression" dxfId="1163" priority="1316">
      <formula>#REF!="Yes"</formula>
    </cfRule>
  </conditionalFormatting>
  <conditionalFormatting sqref="P335">
    <cfRule type="cellIs" dxfId="1162" priority="1310" operator="equal">
      <formula>AS_DURATION_EFFORT</formula>
    </cfRule>
    <cfRule type="cellIs" dxfId="1161" priority="1311" operator="equal">
      <formula>AS_DEV_EFFORT</formula>
    </cfRule>
  </conditionalFormatting>
  <conditionalFormatting sqref="B333:B334">
    <cfRule type="expression" dxfId="1160" priority="1309">
      <formula>AD333&lt;&gt;""</formula>
    </cfRule>
  </conditionalFormatting>
  <conditionalFormatting sqref="F335">
    <cfRule type="expression" dxfId="1159" priority="1308">
      <formula>$K335&lt;&gt;""</formula>
    </cfRule>
  </conditionalFormatting>
  <conditionalFormatting sqref="C335">
    <cfRule type="expression" dxfId="1158" priority="1307">
      <formula>$G335&lt;&gt;"-"</formula>
    </cfRule>
  </conditionalFormatting>
  <conditionalFormatting sqref="D335">
    <cfRule type="expression" dxfId="1157" priority="1306">
      <formula>$H335&lt;&gt;"-"</formula>
    </cfRule>
  </conditionalFormatting>
  <conditionalFormatting sqref="E335">
    <cfRule type="expression" dxfId="1156" priority="1305">
      <formula>$I335&lt;&gt;"-"</formula>
    </cfRule>
  </conditionalFormatting>
  <conditionalFormatting sqref="B336">
    <cfRule type="expression" dxfId="1155" priority="1302">
      <formula>AD336&lt;&gt;""</formula>
    </cfRule>
  </conditionalFormatting>
  <conditionalFormatting sqref="Z336">
    <cfRule type="cellIs" dxfId="1154" priority="1300" operator="greaterThan">
      <formula>0</formula>
    </cfRule>
    <cfRule type="cellIs" dxfId="1153" priority="1301" operator="lessThan">
      <formula>0</formula>
    </cfRule>
  </conditionalFormatting>
  <conditionalFormatting sqref="S336">
    <cfRule type="cellIs" dxfId="1152" priority="1299" operator="lessThan">
      <formula>0</formula>
    </cfRule>
  </conditionalFormatting>
  <conditionalFormatting sqref="P336">
    <cfRule type="cellIs" dxfId="1151" priority="1297" operator="equal">
      <formula>AS_DURATION_EFFORT</formula>
    </cfRule>
    <cfRule type="cellIs" dxfId="1150" priority="1298" operator="equal">
      <formula>AS_DEV_EFFORT</formula>
    </cfRule>
  </conditionalFormatting>
  <conditionalFormatting sqref="F336">
    <cfRule type="expression" dxfId="1149" priority="1296">
      <formula>$K336&lt;&gt;""</formula>
    </cfRule>
  </conditionalFormatting>
  <conditionalFormatting sqref="C336">
    <cfRule type="expression" dxfId="1148" priority="1295">
      <formula>$G336&lt;&gt;"-"</formula>
    </cfRule>
  </conditionalFormatting>
  <conditionalFormatting sqref="D336">
    <cfRule type="expression" dxfId="1147" priority="1294">
      <formula>$H336&lt;&gt;"-"</formula>
    </cfRule>
  </conditionalFormatting>
  <conditionalFormatting sqref="E336">
    <cfRule type="expression" dxfId="1146" priority="1293">
      <formula>$I336&lt;&gt;"-"</formula>
    </cfRule>
  </conditionalFormatting>
  <conditionalFormatting sqref="B356">
    <cfRule type="expression" dxfId="1145" priority="1268">
      <formula>AD356&lt;&gt;""</formula>
    </cfRule>
  </conditionalFormatting>
  <conditionalFormatting sqref="Z356">
    <cfRule type="cellIs" dxfId="1144" priority="1266" operator="greaterThan">
      <formula>0</formula>
    </cfRule>
    <cfRule type="cellIs" dxfId="1143" priority="1267" operator="lessThan">
      <formula>0</formula>
    </cfRule>
  </conditionalFormatting>
  <conditionalFormatting sqref="S356">
    <cfRule type="cellIs" dxfId="1142" priority="1265" operator="lessThan">
      <formula>0</formula>
    </cfRule>
  </conditionalFormatting>
  <conditionalFormatting sqref="P356">
    <cfRule type="cellIs" dxfId="1141" priority="1263" operator="equal">
      <formula>AS_DURATION_EFFORT</formula>
    </cfRule>
    <cfRule type="cellIs" dxfId="1140" priority="1264" operator="equal">
      <formula>AS_DEV_EFFORT</formula>
    </cfRule>
  </conditionalFormatting>
  <conditionalFormatting sqref="F356">
    <cfRule type="expression" dxfId="1139" priority="1262">
      <formula>$K356&lt;&gt;""</formula>
    </cfRule>
  </conditionalFormatting>
  <conditionalFormatting sqref="C356">
    <cfRule type="expression" dxfId="1138" priority="1261">
      <formula>$G356&lt;&gt;"-"</formula>
    </cfRule>
  </conditionalFormatting>
  <conditionalFormatting sqref="D356">
    <cfRule type="expression" dxfId="1137" priority="1260">
      <formula>$H356&lt;&gt;"-"</formula>
    </cfRule>
  </conditionalFormatting>
  <conditionalFormatting sqref="E356">
    <cfRule type="expression" dxfId="1136" priority="1259">
      <formula>$I356&lt;&gt;"-"</formula>
    </cfRule>
  </conditionalFormatting>
  <conditionalFormatting sqref="B357">
    <cfRule type="expression" dxfId="1135" priority="1258">
      <formula>AD357&lt;&gt;""</formula>
    </cfRule>
  </conditionalFormatting>
  <conditionalFormatting sqref="Z357">
    <cfRule type="cellIs" dxfId="1134" priority="1256" operator="greaterThan">
      <formula>0</formula>
    </cfRule>
    <cfRule type="cellIs" dxfId="1133" priority="1257" operator="lessThan">
      <formula>0</formula>
    </cfRule>
  </conditionalFormatting>
  <conditionalFormatting sqref="S357">
    <cfRule type="cellIs" dxfId="1132" priority="1255" operator="lessThan">
      <formula>0</formula>
    </cfRule>
  </conditionalFormatting>
  <conditionalFormatting sqref="P357">
    <cfRule type="cellIs" dxfId="1131" priority="1253" operator="equal">
      <formula>AS_DURATION_EFFORT</formula>
    </cfRule>
    <cfRule type="cellIs" dxfId="1130" priority="1254" operator="equal">
      <formula>AS_DEV_EFFORT</formula>
    </cfRule>
  </conditionalFormatting>
  <conditionalFormatting sqref="F357">
    <cfRule type="expression" dxfId="1129" priority="1252">
      <formula>$K357&lt;&gt;""</formula>
    </cfRule>
  </conditionalFormatting>
  <conditionalFormatting sqref="C357">
    <cfRule type="expression" dxfId="1128" priority="1251">
      <formula>$G357&lt;&gt;"-"</formula>
    </cfRule>
  </conditionalFormatting>
  <conditionalFormatting sqref="D357">
    <cfRule type="expression" dxfId="1127" priority="1250">
      <formula>$H357&lt;&gt;"-"</formula>
    </cfRule>
  </conditionalFormatting>
  <conditionalFormatting sqref="E357">
    <cfRule type="expression" dxfId="1126" priority="1249">
      <formula>$I357&lt;&gt;"-"</formula>
    </cfRule>
  </conditionalFormatting>
  <conditionalFormatting sqref="B358">
    <cfRule type="expression" dxfId="1125" priority="1248">
      <formula>AD358&lt;&gt;""</formula>
    </cfRule>
  </conditionalFormatting>
  <conditionalFormatting sqref="Z358">
    <cfRule type="cellIs" dxfId="1124" priority="1246" operator="greaterThan">
      <formula>0</formula>
    </cfRule>
    <cfRule type="cellIs" dxfId="1123" priority="1247" operator="lessThan">
      <formula>0</formula>
    </cfRule>
  </conditionalFormatting>
  <conditionalFormatting sqref="S358">
    <cfRule type="cellIs" dxfId="1122" priority="1245" operator="lessThan">
      <formula>0</formula>
    </cfRule>
  </conditionalFormatting>
  <conditionalFormatting sqref="P358">
    <cfRule type="cellIs" dxfId="1121" priority="1243" operator="equal">
      <formula>AS_DURATION_EFFORT</formula>
    </cfRule>
    <cfRule type="cellIs" dxfId="1120" priority="1244" operator="equal">
      <formula>AS_DEV_EFFORT</formula>
    </cfRule>
  </conditionalFormatting>
  <conditionalFormatting sqref="F358">
    <cfRule type="expression" dxfId="1119" priority="1242">
      <formula>$K358&lt;&gt;""</formula>
    </cfRule>
  </conditionalFormatting>
  <conditionalFormatting sqref="C358">
    <cfRule type="expression" dxfId="1118" priority="1241">
      <formula>$G358&lt;&gt;"-"</formula>
    </cfRule>
  </conditionalFormatting>
  <conditionalFormatting sqref="D358">
    <cfRule type="expression" dxfId="1117" priority="1240">
      <formula>$H358&lt;&gt;"-"</formula>
    </cfRule>
  </conditionalFormatting>
  <conditionalFormatting sqref="E358">
    <cfRule type="expression" dxfId="1116" priority="1239">
      <formula>$I358&lt;&gt;"-"</formula>
    </cfRule>
  </conditionalFormatting>
  <conditionalFormatting sqref="B366">
    <cfRule type="expression" dxfId="1115" priority="1238">
      <formula>AD366&lt;&gt;""</formula>
    </cfRule>
  </conditionalFormatting>
  <conditionalFormatting sqref="Z366">
    <cfRule type="cellIs" dxfId="1114" priority="1236" operator="greaterThan">
      <formula>0</formula>
    </cfRule>
    <cfRule type="cellIs" dxfId="1113" priority="1237" operator="lessThan">
      <formula>0</formula>
    </cfRule>
  </conditionalFormatting>
  <conditionalFormatting sqref="S366">
    <cfRule type="cellIs" dxfId="1112" priority="1235" operator="lessThan">
      <formula>0</formula>
    </cfRule>
  </conditionalFormatting>
  <conditionalFormatting sqref="P366">
    <cfRule type="cellIs" dxfId="1111" priority="1233" operator="equal">
      <formula>AS_DURATION_EFFORT</formula>
    </cfRule>
    <cfRule type="cellIs" dxfId="1110" priority="1234" operator="equal">
      <formula>AS_DEV_EFFORT</formula>
    </cfRule>
  </conditionalFormatting>
  <conditionalFormatting sqref="F366">
    <cfRule type="expression" dxfId="1109" priority="1232">
      <formula>$K366&lt;&gt;""</formula>
    </cfRule>
  </conditionalFormatting>
  <conditionalFormatting sqref="C366">
    <cfRule type="expression" dxfId="1108" priority="1231">
      <formula>$G366&lt;&gt;"-"</formula>
    </cfRule>
  </conditionalFormatting>
  <conditionalFormatting sqref="D366">
    <cfRule type="expression" dxfId="1107" priority="1230">
      <formula>$H366&lt;&gt;"-"</formula>
    </cfRule>
  </conditionalFormatting>
  <conditionalFormatting sqref="E366">
    <cfRule type="expression" dxfId="1106" priority="1229">
      <formula>$I366&lt;&gt;"-"</formula>
    </cfRule>
  </conditionalFormatting>
  <conditionalFormatting sqref="B367">
    <cfRule type="expression" dxfId="1105" priority="1228">
      <formula>AD367&lt;&gt;""</formula>
    </cfRule>
  </conditionalFormatting>
  <conditionalFormatting sqref="Z367">
    <cfRule type="cellIs" dxfId="1104" priority="1226" operator="greaterThan">
      <formula>0</formula>
    </cfRule>
    <cfRule type="cellIs" dxfId="1103" priority="1227" operator="lessThan">
      <formula>0</formula>
    </cfRule>
  </conditionalFormatting>
  <conditionalFormatting sqref="S367">
    <cfRule type="cellIs" dxfId="1102" priority="1225" operator="lessThan">
      <formula>0</formula>
    </cfRule>
  </conditionalFormatting>
  <conditionalFormatting sqref="P367">
    <cfRule type="cellIs" dxfId="1101" priority="1223" operator="equal">
      <formula>AS_DURATION_EFFORT</formula>
    </cfRule>
    <cfRule type="cellIs" dxfId="1100" priority="1224" operator="equal">
      <formula>AS_DEV_EFFORT</formula>
    </cfRule>
  </conditionalFormatting>
  <conditionalFormatting sqref="F367">
    <cfRule type="expression" dxfId="1099" priority="1222">
      <formula>$K367&lt;&gt;""</formula>
    </cfRule>
  </conditionalFormatting>
  <conditionalFormatting sqref="C367">
    <cfRule type="expression" dxfId="1098" priority="1221">
      <formula>$G367&lt;&gt;"-"</formula>
    </cfRule>
  </conditionalFormatting>
  <conditionalFormatting sqref="D367">
    <cfRule type="expression" dxfId="1097" priority="1220">
      <formula>$H367&lt;&gt;"-"</formula>
    </cfRule>
  </conditionalFormatting>
  <conditionalFormatting sqref="E367">
    <cfRule type="expression" dxfId="1096" priority="1219">
      <formula>$I367&lt;&gt;"-"</formula>
    </cfRule>
  </conditionalFormatting>
  <conditionalFormatting sqref="B368">
    <cfRule type="expression" dxfId="1095" priority="1218">
      <formula>AD368&lt;&gt;""</formula>
    </cfRule>
  </conditionalFormatting>
  <conditionalFormatting sqref="Z368">
    <cfRule type="cellIs" dxfId="1094" priority="1216" operator="greaterThan">
      <formula>0</formula>
    </cfRule>
    <cfRule type="cellIs" dxfId="1093" priority="1217" operator="lessThan">
      <formula>0</formula>
    </cfRule>
  </conditionalFormatting>
  <conditionalFormatting sqref="S368">
    <cfRule type="cellIs" dxfId="1092" priority="1215" operator="lessThan">
      <formula>0</formula>
    </cfRule>
  </conditionalFormatting>
  <conditionalFormatting sqref="P368">
    <cfRule type="cellIs" dxfId="1091" priority="1213" operator="equal">
      <formula>AS_DURATION_EFFORT</formula>
    </cfRule>
    <cfRule type="cellIs" dxfId="1090" priority="1214" operator="equal">
      <formula>AS_DEV_EFFORT</formula>
    </cfRule>
  </conditionalFormatting>
  <conditionalFormatting sqref="F368">
    <cfRule type="expression" dxfId="1089" priority="1212">
      <formula>$K368&lt;&gt;""</formula>
    </cfRule>
  </conditionalFormatting>
  <conditionalFormatting sqref="C368">
    <cfRule type="expression" dxfId="1088" priority="1211">
      <formula>$G368&lt;&gt;"-"</formula>
    </cfRule>
  </conditionalFormatting>
  <conditionalFormatting sqref="D368">
    <cfRule type="expression" dxfId="1087" priority="1210">
      <formula>$H368&lt;&gt;"-"</formula>
    </cfRule>
  </conditionalFormatting>
  <conditionalFormatting sqref="E368">
    <cfRule type="expression" dxfId="1086" priority="1209">
      <formula>$I368&lt;&gt;"-"</formula>
    </cfRule>
  </conditionalFormatting>
  <conditionalFormatting sqref="B372">
    <cfRule type="expression" dxfId="1085" priority="1205">
      <formula>AD372&lt;&gt;""</formula>
    </cfRule>
  </conditionalFormatting>
  <conditionalFormatting sqref="Z372">
    <cfRule type="cellIs" dxfId="1084" priority="1203" operator="greaterThan">
      <formula>0</formula>
    </cfRule>
    <cfRule type="cellIs" dxfId="1083" priority="1204" operator="lessThan">
      <formula>0</formula>
    </cfRule>
  </conditionalFormatting>
  <conditionalFormatting sqref="S372">
    <cfRule type="cellIs" dxfId="1082" priority="1202" operator="lessThan">
      <formula>0</formula>
    </cfRule>
  </conditionalFormatting>
  <conditionalFormatting sqref="T370:T371">
    <cfRule type="expression" dxfId="1081" priority="1206">
      <formula>#REF!="Yes"</formula>
    </cfRule>
  </conditionalFormatting>
  <conditionalFormatting sqref="P372">
    <cfRule type="cellIs" dxfId="1080" priority="1200" operator="equal">
      <formula>AS_DURATION_EFFORT</formula>
    </cfRule>
    <cfRule type="cellIs" dxfId="1079" priority="1201" operator="equal">
      <formula>AS_DEV_EFFORT</formula>
    </cfRule>
  </conditionalFormatting>
  <conditionalFormatting sqref="B370:B371">
    <cfRule type="expression" dxfId="1078" priority="1199">
      <formula>AD370&lt;&gt;""</formula>
    </cfRule>
  </conditionalFormatting>
  <conditionalFormatting sqref="F372">
    <cfRule type="expression" dxfId="1077" priority="1198">
      <formula>$K372&lt;&gt;""</formula>
    </cfRule>
  </conditionalFormatting>
  <conditionalFormatting sqref="C372">
    <cfRule type="expression" dxfId="1076" priority="1197">
      <formula>$G372&lt;&gt;"-"</formula>
    </cfRule>
  </conditionalFormatting>
  <conditionalFormatting sqref="D372">
    <cfRule type="expression" dxfId="1075" priority="1196">
      <formula>$H372&lt;&gt;"-"</formula>
    </cfRule>
  </conditionalFormatting>
  <conditionalFormatting sqref="E372">
    <cfRule type="expression" dxfId="1074" priority="1195">
      <formula>$I372&lt;&gt;"-"</formula>
    </cfRule>
  </conditionalFormatting>
  <conditionalFormatting sqref="B373">
    <cfRule type="expression" dxfId="1073" priority="1192">
      <formula>AD373&lt;&gt;""</formula>
    </cfRule>
  </conditionalFormatting>
  <conditionalFormatting sqref="Z373">
    <cfRule type="cellIs" dxfId="1072" priority="1190" operator="greaterThan">
      <formula>0</formula>
    </cfRule>
    <cfRule type="cellIs" dxfId="1071" priority="1191" operator="lessThan">
      <formula>0</formula>
    </cfRule>
  </conditionalFormatting>
  <conditionalFormatting sqref="S373">
    <cfRule type="cellIs" dxfId="1070" priority="1189" operator="lessThan">
      <formula>0</formula>
    </cfRule>
  </conditionalFormatting>
  <conditionalFormatting sqref="P373">
    <cfRule type="cellIs" dxfId="1069" priority="1187" operator="equal">
      <formula>AS_DURATION_EFFORT</formula>
    </cfRule>
    <cfRule type="cellIs" dxfId="1068" priority="1188" operator="equal">
      <formula>AS_DEV_EFFORT</formula>
    </cfRule>
  </conditionalFormatting>
  <conditionalFormatting sqref="F373">
    <cfRule type="expression" dxfId="1067" priority="1186">
      <formula>$K373&lt;&gt;""</formula>
    </cfRule>
  </conditionalFormatting>
  <conditionalFormatting sqref="C373">
    <cfRule type="expression" dxfId="1066" priority="1185">
      <formula>$G373&lt;&gt;"-"</formula>
    </cfRule>
  </conditionalFormatting>
  <conditionalFormatting sqref="D373">
    <cfRule type="expression" dxfId="1065" priority="1184">
      <formula>$H373&lt;&gt;"-"</formula>
    </cfRule>
  </conditionalFormatting>
  <conditionalFormatting sqref="E373">
    <cfRule type="expression" dxfId="1064" priority="1183">
      <formula>$I373&lt;&gt;"-"</formula>
    </cfRule>
  </conditionalFormatting>
  <conditionalFormatting sqref="B374">
    <cfRule type="expression" dxfId="1063" priority="1180">
      <formula>AD374&lt;&gt;""</formula>
    </cfRule>
  </conditionalFormatting>
  <conditionalFormatting sqref="Z374">
    <cfRule type="cellIs" dxfId="1062" priority="1178" operator="greaterThan">
      <formula>0</formula>
    </cfRule>
    <cfRule type="cellIs" dxfId="1061" priority="1179" operator="lessThan">
      <formula>0</formula>
    </cfRule>
  </conditionalFormatting>
  <conditionalFormatting sqref="S374">
    <cfRule type="cellIs" dxfId="1060" priority="1177" operator="lessThan">
      <formula>0</formula>
    </cfRule>
  </conditionalFormatting>
  <conditionalFormatting sqref="P374">
    <cfRule type="cellIs" dxfId="1059" priority="1175" operator="equal">
      <formula>AS_DURATION_EFFORT</formula>
    </cfRule>
    <cfRule type="cellIs" dxfId="1058" priority="1176" operator="equal">
      <formula>AS_DEV_EFFORT</formula>
    </cfRule>
  </conditionalFormatting>
  <conditionalFormatting sqref="F374">
    <cfRule type="expression" dxfId="1057" priority="1174">
      <formula>$K374&lt;&gt;""</formula>
    </cfRule>
  </conditionalFormatting>
  <conditionalFormatting sqref="C374">
    <cfRule type="expression" dxfId="1056" priority="1173">
      <formula>$G374&lt;&gt;"-"</formula>
    </cfRule>
  </conditionalFormatting>
  <conditionalFormatting sqref="D374">
    <cfRule type="expression" dxfId="1055" priority="1172">
      <formula>$H374&lt;&gt;"-"</formula>
    </cfRule>
  </conditionalFormatting>
  <conditionalFormatting sqref="E374">
    <cfRule type="expression" dxfId="1054" priority="1171">
      <formula>$I374&lt;&gt;"-"</formula>
    </cfRule>
  </conditionalFormatting>
  <conditionalFormatting sqref="B375">
    <cfRule type="expression" dxfId="1053" priority="1168">
      <formula>AD375&lt;&gt;""</formula>
    </cfRule>
  </conditionalFormatting>
  <conditionalFormatting sqref="Z375">
    <cfRule type="cellIs" dxfId="1052" priority="1166" operator="greaterThan">
      <formula>0</formula>
    </cfRule>
    <cfRule type="cellIs" dxfId="1051" priority="1167" operator="lessThan">
      <formula>0</formula>
    </cfRule>
  </conditionalFormatting>
  <conditionalFormatting sqref="S375">
    <cfRule type="cellIs" dxfId="1050" priority="1165" operator="lessThan">
      <formula>0</formula>
    </cfRule>
  </conditionalFormatting>
  <conditionalFormatting sqref="P375">
    <cfRule type="cellIs" dxfId="1049" priority="1163" operator="equal">
      <formula>AS_DURATION_EFFORT</formula>
    </cfRule>
    <cfRule type="cellIs" dxfId="1048" priority="1164" operator="equal">
      <formula>AS_DEV_EFFORT</formula>
    </cfRule>
  </conditionalFormatting>
  <conditionalFormatting sqref="F375">
    <cfRule type="expression" dxfId="1047" priority="1162">
      <formula>$K375&lt;&gt;""</formula>
    </cfRule>
  </conditionalFormatting>
  <conditionalFormatting sqref="C375">
    <cfRule type="expression" dxfId="1046" priority="1161">
      <formula>$G375&lt;&gt;"-"</formula>
    </cfRule>
  </conditionalFormatting>
  <conditionalFormatting sqref="D375">
    <cfRule type="expression" dxfId="1045" priority="1160">
      <formula>$H375&lt;&gt;"-"</formula>
    </cfRule>
  </conditionalFormatting>
  <conditionalFormatting sqref="E375">
    <cfRule type="expression" dxfId="1044" priority="1159">
      <formula>$I375&lt;&gt;"-"</formula>
    </cfRule>
  </conditionalFormatting>
  <conditionalFormatting sqref="B376">
    <cfRule type="expression" dxfId="1043" priority="1156">
      <formula>AD376&lt;&gt;""</formula>
    </cfRule>
  </conditionalFormatting>
  <conditionalFormatting sqref="Z376">
    <cfRule type="cellIs" dxfId="1042" priority="1154" operator="greaterThan">
      <formula>0</formula>
    </cfRule>
    <cfRule type="cellIs" dxfId="1041" priority="1155" operator="lessThan">
      <formula>0</formula>
    </cfRule>
  </conditionalFormatting>
  <conditionalFormatting sqref="S376">
    <cfRule type="cellIs" dxfId="1040" priority="1153" operator="lessThan">
      <formula>0</formula>
    </cfRule>
  </conditionalFormatting>
  <conditionalFormatting sqref="P376">
    <cfRule type="cellIs" dxfId="1039" priority="1151" operator="equal">
      <formula>AS_DURATION_EFFORT</formula>
    </cfRule>
    <cfRule type="cellIs" dxfId="1038" priority="1152" operator="equal">
      <formula>AS_DEV_EFFORT</formula>
    </cfRule>
  </conditionalFormatting>
  <conditionalFormatting sqref="F376">
    <cfRule type="expression" dxfId="1037" priority="1150">
      <formula>$K376&lt;&gt;""</formula>
    </cfRule>
  </conditionalFormatting>
  <conditionalFormatting sqref="C376">
    <cfRule type="expression" dxfId="1036" priority="1149">
      <formula>$G376&lt;&gt;"-"</formula>
    </cfRule>
  </conditionalFormatting>
  <conditionalFormatting sqref="D376">
    <cfRule type="expression" dxfId="1035" priority="1148">
      <formula>$H376&lt;&gt;"-"</formula>
    </cfRule>
  </conditionalFormatting>
  <conditionalFormatting sqref="E376">
    <cfRule type="expression" dxfId="1034" priority="1147">
      <formula>$I376&lt;&gt;"-"</formula>
    </cfRule>
  </conditionalFormatting>
  <conditionalFormatting sqref="B377">
    <cfRule type="expression" dxfId="1033" priority="1144">
      <formula>AD377&lt;&gt;""</formula>
    </cfRule>
  </conditionalFormatting>
  <conditionalFormatting sqref="Z377">
    <cfRule type="cellIs" dxfId="1032" priority="1142" operator="greaterThan">
      <formula>0</formula>
    </cfRule>
    <cfRule type="cellIs" dxfId="1031" priority="1143" operator="lessThan">
      <formula>0</formula>
    </cfRule>
  </conditionalFormatting>
  <conditionalFormatting sqref="S377">
    <cfRule type="cellIs" dxfId="1030" priority="1141" operator="lessThan">
      <formula>0</formula>
    </cfRule>
  </conditionalFormatting>
  <conditionalFormatting sqref="P377">
    <cfRule type="cellIs" dxfId="1029" priority="1139" operator="equal">
      <formula>AS_DURATION_EFFORT</formula>
    </cfRule>
    <cfRule type="cellIs" dxfId="1028" priority="1140" operator="equal">
      <formula>AS_DEV_EFFORT</formula>
    </cfRule>
  </conditionalFormatting>
  <conditionalFormatting sqref="F377">
    <cfRule type="expression" dxfId="1027" priority="1138">
      <formula>$K377&lt;&gt;""</formula>
    </cfRule>
  </conditionalFormatting>
  <conditionalFormatting sqref="C377">
    <cfRule type="expression" dxfId="1026" priority="1137">
      <formula>$G377&lt;&gt;"-"</formula>
    </cfRule>
  </conditionalFormatting>
  <conditionalFormatting sqref="D377">
    <cfRule type="expression" dxfId="1025" priority="1136">
      <formula>$H377&lt;&gt;"-"</formula>
    </cfRule>
  </conditionalFormatting>
  <conditionalFormatting sqref="E377">
    <cfRule type="expression" dxfId="1024" priority="1135">
      <formula>$I377&lt;&gt;"-"</formula>
    </cfRule>
  </conditionalFormatting>
  <conditionalFormatting sqref="B378">
    <cfRule type="expression" dxfId="1023" priority="1132">
      <formula>AD378&lt;&gt;""</formula>
    </cfRule>
  </conditionalFormatting>
  <conditionalFormatting sqref="Z378">
    <cfRule type="cellIs" dxfId="1022" priority="1130" operator="greaterThan">
      <formula>0</formula>
    </cfRule>
    <cfRule type="cellIs" dxfId="1021" priority="1131" operator="lessThan">
      <formula>0</formula>
    </cfRule>
  </conditionalFormatting>
  <conditionalFormatting sqref="S378">
    <cfRule type="cellIs" dxfId="1020" priority="1129" operator="lessThan">
      <formula>0</formula>
    </cfRule>
  </conditionalFormatting>
  <conditionalFormatting sqref="P378">
    <cfRule type="cellIs" dxfId="1019" priority="1127" operator="equal">
      <formula>AS_DURATION_EFFORT</formula>
    </cfRule>
    <cfRule type="cellIs" dxfId="1018" priority="1128" operator="equal">
      <formula>AS_DEV_EFFORT</formula>
    </cfRule>
  </conditionalFormatting>
  <conditionalFormatting sqref="F378">
    <cfRule type="expression" dxfId="1017" priority="1126">
      <formula>$K378&lt;&gt;""</formula>
    </cfRule>
  </conditionalFormatting>
  <conditionalFormatting sqref="C378">
    <cfRule type="expression" dxfId="1016" priority="1125">
      <formula>$G378&lt;&gt;"-"</formula>
    </cfRule>
  </conditionalFormatting>
  <conditionalFormatting sqref="D378">
    <cfRule type="expression" dxfId="1015" priority="1124">
      <formula>$H378&lt;&gt;"-"</formula>
    </cfRule>
  </conditionalFormatting>
  <conditionalFormatting sqref="E378">
    <cfRule type="expression" dxfId="1014" priority="1123">
      <formula>$I378&lt;&gt;"-"</formula>
    </cfRule>
  </conditionalFormatting>
  <conditionalFormatting sqref="B379">
    <cfRule type="expression" dxfId="1013" priority="1120">
      <formula>AD379&lt;&gt;""</formula>
    </cfRule>
  </conditionalFormatting>
  <conditionalFormatting sqref="Z379">
    <cfRule type="cellIs" dxfId="1012" priority="1118" operator="greaterThan">
      <formula>0</formula>
    </cfRule>
    <cfRule type="cellIs" dxfId="1011" priority="1119" operator="lessThan">
      <formula>0</formula>
    </cfRule>
  </conditionalFormatting>
  <conditionalFormatting sqref="S379">
    <cfRule type="cellIs" dxfId="1010" priority="1117" operator="lessThan">
      <formula>0</formula>
    </cfRule>
  </conditionalFormatting>
  <conditionalFormatting sqref="P379">
    <cfRule type="cellIs" dxfId="1009" priority="1115" operator="equal">
      <formula>AS_DURATION_EFFORT</formula>
    </cfRule>
    <cfRule type="cellIs" dxfId="1008" priority="1116" operator="equal">
      <formula>AS_DEV_EFFORT</formula>
    </cfRule>
  </conditionalFormatting>
  <conditionalFormatting sqref="F379">
    <cfRule type="expression" dxfId="1007" priority="1114">
      <formula>$K379&lt;&gt;""</formula>
    </cfRule>
  </conditionalFormatting>
  <conditionalFormatting sqref="C379">
    <cfRule type="expression" dxfId="1006" priority="1113">
      <formula>$G379&lt;&gt;"-"</formula>
    </cfRule>
  </conditionalFormatting>
  <conditionalFormatting sqref="D379">
    <cfRule type="expression" dxfId="1005" priority="1112">
      <formula>$H379&lt;&gt;"-"</formula>
    </cfRule>
  </conditionalFormatting>
  <conditionalFormatting sqref="E379">
    <cfRule type="expression" dxfId="1004" priority="1111">
      <formula>$I379&lt;&gt;"-"</formula>
    </cfRule>
  </conditionalFormatting>
  <conditionalFormatting sqref="B380">
    <cfRule type="expression" dxfId="1003" priority="1108">
      <formula>AD380&lt;&gt;""</formula>
    </cfRule>
  </conditionalFormatting>
  <conditionalFormatting sqref="Z380">
    <cfRule type="cellIs" dxfId="1002" priority="1106" operator="greaterThan">
      <formula>0</formula>
    </cfRule>
    <cfRule type="cellIs" dxfId="1001" priority="1107" operator="lessThan">
      <formula>0</formula>
    </cfRule>
  </conditionalFormatting>
  <conditionalFormatting sqref="S380">
    <cfRule type="cellIs" dxfId="1000" priority="1105" operator="lessThan">
      <formula>0</formula>
    </cfRule>
  </conditionalFormatting>
  <conditionalFormatting sqref="P380">
    <cfRule type="cellIs" dxfId="999" priority="1103" operator="equal">
      <formula>AS_DURATION_EFFORT</formula>
    </cfRule>
    <cfRule type="cellIs" dxfId="998" priority="1104" operator="equal">
      <formula>AS_DEV_EFFORT</formula>
    </cfRule>
  </conditionalFormatting>
  <conditionalFormatting sqref="F380">
    <cfRule type="expression" dxfId="997" priority="1102">
      <formula>$K380&lt;&gt;""</formula>
    </cfRule>
  </conditionalFormatting>
  <conditionalFormatting sqref="C380">
    <cfRule type="expression" dxfId="996" priority="1101">
      <formula>$G380&lt;&gt;"-"</formula>
    </cfRule>
  </conditionalFormatting>
  <conditionalFormatting sqref="D380">
    <cfRule type="expression" dxfId="995" priority="1100">
      <formula>$H380&lt;&gt;"-"</formula>
    </cfRule>
  </conditionalFormatting>
  <conditionalFormatting sqref="E380">
    <cfRule type="expression" dxfId="994" priority="1099">
      <formula>$I380&lt;&gt;"-"</formula>
    </cfRule>
  </conditionalFormatting>
  <conditionalFormatting sqref="B381">
    <cfRule type="expression" dxfId="993" priority="1096">
      <formula>AD381&lt;&gt;""</formula>
    </cfRule>
  </conditionalFormatting>
  <conditionalFormatting sqref="Z381">
    <cfRule type="cellIs" dxfId="992" priority="1094" operator="greaterThan">
      <formula>0</formula>
    </cfRule>
    <cfRule type="cellIs" dxfId="991" priority="1095" operator="lessThan">
      <formula>0</formula>
    </cfRule>
  </conditionalFormatting>
  <conditionalFormatting sqref="S381">
    <cfRule type="cellIs" dxfId="990" priority="1093" operator="lessThan">
      <formula>0</formula>
    </cfRule>
  </conditionalFormatting>
  <conditionalFormatting sqref="P381">
    <cfRule type="cellIs" dxfId="989" priority="1091" operator="equal">
      <formula>AS_DURATION_EFFORT</formula>
    </cfRule>
    <cfRule type="cellIs" dxfId="988" priority="1092" operator="equal">
      <formula>AS_DEV_EFFORT</formula>
    </cfRule>
  </conditionalFormatting>
  <conditionalFormatting sqref="F381">
    <cfRule type="expression" dxfId="987" priority="1090">
      <formula>$K381&lt;&gt;""</formula>
    </cfRule>
  </conditionalFormatting>
  <conditionalFormatting sqref="C381">
    <cfRule type="expression" dxfId="986" priority="1089">
      <formula>$G381&lt;&gt;"-"</formula>
    </cfRule>
  </conditionalFormatting>
  <conditionalFormatting sqref="D381">
    <cfRule type="expression" dxfId="985" priority="1088">
      <formula>$H381&lt;&gt;"-"</formula>
    </cfRule>
  </conditionalFormatting>
  <conditionalFormatting sqref="E381">
    <cfRule type="expression" dxfId="984" priority="1087">
      <formula>$I381&lt;&gt;"-"</formula>
    </cfRule>
  </conditionalFormatting>
  <conditionalFormatting sqref="B386">
    <cfRule type="expression" dxfId="983" priority="1083">
      <formula>AD386&lt;&gt;""</formula>
    </cfRule>
  </conditionalFormatting>
  <conditionalFormatting sqref="Z386">
    <cfRule type="cellIs" dxfId="982" priority="1081" operator="greaterThan">
      <formula>0</formula>
    </cfRule>
    <cfRule type="cellIs" dxfId="981" priority="1082" operator="lessThan">
      <formula>0</formula>
    </cfRule>
  </conditionalFormatting>
  <conditionalFormatting sqref="S386">
    <cfRule type="cellIs" dxfId="980" priority="1080" operator="lessThan">
      <formula>0</formula>
    </cfRule>
  </conditionalFormatting>
  <conditionalFormatting sqref="T384:T385">
    <cfRule type="expression" dxfId="979" priority="1084">
      <formula>#REF!="Yes"</formula>
    </cfRule>
  </conditionalFormatting>
  <conditionalFormatting sqref="P386">
    <cfRule type="cellIs" dxfId="978" priority="1078" operator="equal">
      <formula>AS_DURATION_EFFORT</formula>
    </cfRule>
    <cfRule type="cellIs" dxfId="977" priority="1079" operator="equal">
      <formula>AS_DEV_EFFORT</formula>
    </cfRule>
  </conditionalFormatting>
  <conditionalFormatting sqref="B384:B385">
    <cfRule type="expression" dxfId="976" priority="1077">
      <formula>AD384&lt;&gt;""</formula>
    </cfRule>
  </conditionalFormatting>
  <conditionalFormatting sqref="F386">
    <cfRule type="expression" dxfId="975" priority="1076">
      <formula>$K386&lt;&gt;""</formula>
    </cfRule>
  </conditionalFormatting>
  <conditionalFormatting sqref="C386">
    <cfRule type="expression" dxfId="974" priority="1075">
      <formula>$G386&lt;&gt;"-"</formula>
    </cfRule>
  </conditionalFormatting>
  <conditionalFormatting sqref="D386">
    <cfRule type="expression" dxfId="973" priority="1074">
      <formula>$H386&lt;&gt;"-"</formula>
    </cfRule>
  </conditionalFormatting>
  <conditionalFormatting sqref="E386">
    <cfRule type="expression" dxfId="972" priority="1073">
      <formula>$I386&lt;&gt;"-"</formula>
    </cfRule>
  </conditionalFormatting>
  <conditionalFormatting sqref="B387">
    <cfRule type="expression" dxfId="971" priority="1070">
      <formula>AD387&lt;&gt;""</formula>
    </cfRule>
  </conditionalFormatting>
  <conditionalFormatting sqref="Z387">
    <cfRule type="cellIs" dxfId="970" priority="1068" operator="greaterThan">
      <formula>0</formula>
    </cfRule>
    <cfRule type="cellIs" dxfId="969" priority="1069" operator="lessThan">
      <formula>0</formula>
    </cfRule>
  </conditionalFormatting>
  <conditionalFormatting sqref="S387">
    <cfRule type="cellIs" dxfId="968" priority="1067" operator="lessThan">
      <formula>0</formula>
    </cfRule>
  </conditionalFormatting>
  <conditionalFormatting sqref="P387">
    <cfRule type="cellIs" dxfId="967" priority="1065" operator="equal">
      <formula>AS_DURATION_EFFORT</formula>
    </cfRule>
    <cfRule type="cellIs" dxfId="966" priority="1066" operator="equal">
      <formula>AS_DEV_EFFORT</formula>
    </cfRule>
  </conditionalFormatting>
  <conditionalFormatting sqref="F387">
    <cfRule type="expression" dxfId="965" priority="1064">
      <formula>$K387&lt;&gt;""</formula>
    </cfRule>
  </conditionalFormatting>
  <conditionalFormatting sqref="C387">
    <cfRule type="expression" dxfId="964" priority="1063">
      <formula>$G387&lt;&gt;"-"</formula>
    </cfRule>
  </conditionalFormatting>
  <conditionalFormatting sqref="D387">
    <cfRule type="expression" dxfId="963" priority="1062">
      <formula>$H387&lt;&gt;"-"</formula>
    </cfRule>
  </conditionalFormatting>
  <conditionalFormatting sqref="E387">
    <cfRule type="expression" dxfId="962" priority="1061">
      <formula>$I387&lt;&gt;"-"</formula>
    </cfRule>
  </conditionalFormatting>
  <conditionalFormatting sqref="B388">
    <cfRule type="expression" dxfId="961" priority="1058">
      <formula>AD388&lt;&gt;""</formula>
    </cfRule>
  </conditionalFormatting>
  <conditionalFormatting sqref="Z388">
    <cfRule type="cellIs" dxfId="960" priority="1056" operator="greaterThan">
      <formula>0</formula>
    </cfRule>
    <cfRule type="cellIs" dxfId="959" priority="1057" operator="lessThan">
      <formula>0</formula>
    </cfRule>
  </conditionalFormatting>
  <conditionalFormatting sqref="S388">
    <cfRule type="cellIs" dxfId="958" priority="1055" operator="lessThan">
      <formula>0</formula>
    </cfRule>
  </conditionalFormatting>
  <conditionalFormatting sqref="P388">
    <cfRule type="cellIs" dxfId="957" priority="1053" operator="equal">
      <formula>AS_DURATION_EFFORT</formula>
    </cfRule>
    <cfRule type="cellIs" dxfId="956" priority="1054" operator="equal">
      <formula>AS_DEV_EFFORT</formula>
    </cfRule>
  </conditionalFormatting>
  <conditionalFormatting sqref="F388">
    <cfRule type="expression" dxfId="955" priority="1052">
      <formula>$K388&lt;&gt;""</formula>
    </cfRule>
  </conditionalFormatting>
  <conditionalFormatting sqref="C388">
    <cfRule type="expression" dxfId="954" priority="1051">
      <formula>$G388&lt;&gt;"-"</formula>
    </cfRule>
  </conditionalFormatting>
  <conditionalFormatting sqref="D388">
    <cfRule type="expression" dxfId="953" priority="1050">
      <formula>$H388&lt;&gt;"-"</formula>
    </cfRule>
  </conditionalFormatting>
  <conditionalFormatting sqref="E388">
    <cfRule type="expression" dxfId="952" priority="1049">
      <formula>$I388&lt;&gt;"-"</formula>
    </cfRule>
  </conditionalFormatting>
  <conditionalFormatting sqref="B389">
    <cfRule type="expression" dxfId="951" priority="1046">
      <formula>AD389&lt;&gt;""</formula>
    </cfRule>
  </conditionalFormatting>
  <conditionalFormatting sqref="Z389">
    <cfRule type="cellIs" dxfId="950" priority="1044" operator="greaterThan">
      <formula>0</formula>
    </cfRule>
    <cfRule type="cellIs" dxfId="949" priority="1045" operator="lessThan">
      <formula>0</formula>
    </cfRule>
  </conditionalFormatting>
  <conditionalFormatting sqref="S389">
    <cfRule type="cellIs" dxfId="948" priority="1043" operator="lessThan">
      <formula>0</formula>
    </cfRule>
  </conditionalFormatting>
  <conditionalFormatting sqref="P389">
    <cfRule type="cellIs" dxfId="947" priority="1041" operator="equal">
      <formula>AS_DURATION_EFFORT</formula>
    </cfRule>
    <cfRule type="cellIs" dxfId="946" priority="1042" operator="equal">
      <formula>AS_DEV_EFFORT</formula>
    </cfRule>
  </conditionalFormatting>
  <conditionalFormatting sqref="F389">
    <cfRule type="expression" dxfId="945" priority="1040">
      <formula>$K389&lt;&gt;""</formula>
    </cfRule>
  </conditionalFormatting>
  <conditionalFormatting sqref="C389">
    <cfRule type="expression" dxfId="944" priority="1039">
      <formula>$G389&lt;&gt;"-"</formula>
    </cfRule>
  </conditionalFormatting>
  <conditionalFormatting sqref="D389">
    <cfRule type="expression" dxfId="943" priority="1038">
      <formula>$H389&lt;&gt;"-"</formula>
    </cfRule>
  </conditionalFormatting>
  <conditionalFormatting sqref="E389">
    <cfRule type="expression" dxfId="942" priority="1037">
      <formula>$I389&lt;&gt;"-"</formula>
    </cfRule>
  </conditionalFormatting>
  <conditionalFormatting sqref="B390">
    <cfRule type="expression" dxfId="941" priority="1034">
      <formula>AD390&lt;&gt;""</formula>
    </cfRule>
  </conditionalFormatting>
  <conditionalFormatting sqref="Z390">
    <cfRule type="cellIs" dxfId="940" priority="1032" operator="greaterThan">
      <formula>0</formula>
    </cfRule>
    <cfRule type="cellIs" dxfId="939" priority="1033" operator="lessThan">
      <formula>0</formula>
    </cfRule>
  </conditionalFormatting>
  <conditionalFormatting sqref="S390">
    <cfRule type="cellIs" dxfId="938" priority="1031" operator="lessThan">
      <formula>0</formula>
    </cfRule>
  </conditionalFormatting>
  <conditionalFormatting sqref="P390">
    <cfRule type="cellIs" dxfId="937" priority="1029" operator="equal">
      <formula>AS_DURATION_EFFORT</formula>
    </cfRule>
    <cfRule type="cellIs" dxfId="936" priority="1030" operator="equal">
      <formula>AS_DEV_EFFORT</formula>
    </cfRule>
  </conditionalFormatting>
  <conditionalFormatting sqref="F390">
    <cfRule type="expression" dxfId="935" priority="1028">
      <formula>$K390&lt;&gt;""</formula>
    </cfRule>
  </conditionalFormatting>
  <conditionalFormatting sqref="C390">
    <cfRule type="expression" dxfId="934" priority="1027">
      <formula>$G390&lt;&gt;"-"</formula>
    </cfRule>
  </conditionalFormatting>
  <conditionalFormatting sqref="D390">
    <cfRule type="expression" dxfId="933" priority="1026">
      <formula>$H390&lt;&gt;"-"</formula>
    </cfRule>
  </conditionalFormatting>
  <conditionalFormatting sqref="E390">
    <cfRule type="expression" dxfId="932" priority="1025">
      <formula>$I390&lt;&gt;"-"</formula>
    </cfRule>
  </conditionalFormatting>
  <conditionalFormatting sqref="B391">
    <cfRule type="expression" dxfId="931" priority="1022">
      <formula>AD391&lt;&gt;""</formula>
    </cfRule>
  </conditionalFormatting>
  <conditionalFormatting sqref="Z391">
    <cfRule type="cellIs" dxfId="930" priority="1020" operator="greaterThan">
      <formula>0</formula>
    </cfRule>
    <cfRule type="cellIs" dxfId="929" priority="1021" operator="lessThan">
      <formula>0</formula>
    </cfRule>
  </conditionalFormatting>
  <conditionalFormatting sqref="S391">
    <cfRule type="cellIs" dxfId="928" priority="1019" operator="lessThan">
      <formula>0</formula>
    </cfRule>
  </conditionalFormatting>
  <conditionalFormatting sqref="P391">
    <cfRule type="cellIs" dxfId="927" priority="1017" operator="equal">
      <formula>AS_DURATION_EFFORT</formula>
    </cfRule>
    <cfRule type="cellIs" dxfId="926" priority="1018" operator="equal">
      <formula>AS_DEV_EFFORT</formula>
    </cfRule>
  </conditionalFormatting>
  <conditionalFormatting sqref="F391">
    <cfRule type="expression" dxfId="925" priority="1016">
      <formula>$K391&lt;&gt;""</formula>
    </cfRule>
  </conditionalFormatting>
  <conditionalFormatting sqref="C391">
    <cfRule type="expression" dxfId="924" priority="1015">
      <formula>$G391&lt;&gt;"-"</formula>
    </cfRule>
  </conditionalFormatting>
  <conditionalFormatting sqref="D391">
    <cfRule type="expression" dxfId="923" priority="1014">
      <formula>$H391&lt;&gt;"-"</formula>
    </cfRule>
  </conditionalFormatting>
  <conditionalFormatting sqref="E391">
    <cfRule type="expression" dxfId="922" priority="1013">
      <formula>$I391&lt;&gt;"-"</formula>
    </cfRule>
  </conditionalFormatting>
  <conditionalFormatting sqref="B392">
    <cfRule type="expression" dxfId="921" priority="1010">
      <formula>AD392&lt;&gt;""</formula>
    </cfRule>
  </conditionalFormatting>
  <conditionalFormatting sqref="Z392">
    <cfRule type="cellIs" dxfId="920" priority="1008" operator="greaterThan">
      <formula>0</formula>
    </cfRule>
    <cfRule type="cellIs" dxfId="919" priority="1009" operator="lessThan">
      <formula>0</formula>
    </cfRule>
  </conditionalFormatting>
  <conditionalFormatting sqref="S392">
    <cfRule type="cellIs" dxfId="918" priority="1007" operator="lessThan">
      <formula>0</formula>
    </cfRule>
  </conditionalFormatting>
  <conditionalFormatting sqref="P392">
    <cfRule type="cellIs" dxfId="917" priority="1005" operator="equal">
      <formula>AS_DURATION_EFFORT</formula>
    </cfRule>
    <cfRule type="cellIs" dxfId="916" priority="1006" operator="equal">
      <formula>AS_DEV_EFFORT</formula>
    </cfRule>
  </conditionalFormatting>
  <conditionalFormatting sqref="F392">
    <cfRule type="expression" dxfId="915" priority="1004">
      <formula>$K392&lt;&gt;""</formula>
    </cfRule>
  </conditionalFormatting>
  <conditionalFormatting sqref="C392">
    <cfRule type="expression" dxfId="914" priority="1003">
      <formula>$G392&lt;&gt;"-"</formula>
    </cfRule>
  </conditionalFormatting>
  <conditionalFormatting sqref="D392">
    <cfRule type="expression" dxfId="913" priority="1002">
      <formula>$H392&lt;&gt;"-"</formula>
    </cfRule>
  </conditionalFormatting>
  <conditionalFormatting sqref="E392">
    <cfRule type="expression" dxfId="912" priority="1001">
      <formula>$I392&lt;&gt;"-"</formula>
    </cfRule>
  </conditionalFormatting>
  <conditionalFormatting sqref="B393">
    <cfRule type="expression" dxfId="911" priority="998">
      <formula>AD393&lt;&gt;""</formula>
    </cfRule>
  </conditionalFormatting>
  <conditionalFormatting sqref="Z393">
    <cfRule type="cellIs" dxfId="910" priority="996" operator="greaterThan">
      <formula>0</formula>
    </cfRule>
    <cfRule type="cellIs" dxfId="909" priority="997" operator="lessThan">
      <formula>0</formula>
    </cfRule>
  </conditionalFormatting>
  <conditionalFormatting sqref="S393">
    <cfRule type="cellIs" dxfId="908" priority="995" operator="lessThan">
      <formula>0</formula>
    </cfRule>
  </conditionalFormatting>
  <conditionalFormatting sqref="P393">
    <cfRule type="cellIs" dxfId="907" priority="993" operator="equal">
      <formula>AS_DURATION_EFFORT</formula>
    </cfRule>
    <cfRule type="cellIs" dxfId="906" priority="994" operator="equal">
      <formula>AS_DEV_EFFORT</formula>
    </cfRule>
  </conditionalFormatting>
  <conditionalFormatting sqref="F393">
    <cfRule type="expression" dxfId="905" priority="992">
      <formula>$K393&lt;&gt;""</formula>
    </cfRule>
  </conditionalFormatting>
  <conditionalFormatting sqref="C393">
    <cfRule type="expression" dxfId="904" priority="991">
      <formula>$G393&lt;&gt;"-"</formula>
    </cfRule>
  </conditionalFormatting>
  <conditionalFormatting sqref="D393">
    <cfRule type="expression" dxfId="903" priority="990">
      <formula>$H393&lt;&gt;"-"</formula>
    </cfRule>
  </conditionalFormatting>
  <conditionalFormatting sqref="E393">
    <cfRule type="expression" dxfId="902" priority="989">
      <formula>$I393&lt;&gt;"-"</formula>
    </cfRule>
  </conditionalFormatting>
  <conditionalFormatting sqref="B397">
    <cfRule type="expression" dxfId="901" priority="985">
      <formula>AD397&lt;&gt;""</formula>
    </cfRule>
  </conditionalFormatting>
  <conditionalFormatting sqref="Z397">
    <cfRule type="cellIs" dxfId="900" priority="983" operator="greaterThan">
      <formula>0</formula>
    </cfRule>
    <cfRule type="cellIs" dxfId="899" priority="984" operator="lessThan">
      <formula>0</formula>
    </cfRule>
  </conditionalFormatting>
  <conditionalFormatting sqref="S397">
    <cfRule type="cellIs" dxfId="898" priority="982" operator="lessThan">
      <formula>0</formula>
    </cfRule>
  </conditionalFormatting>
  <conditionalFormatting sqref="T395:T396">
    <cfRule type="expression" dxfId="897" priority="986">
      <formula>#REF!="Yes"</formula>
    </cfRule>
  </conditionalFormatting>
  <conditionalFormatting sqref="P397">
    <cfRule type="cellIs" dxfId="896" priority="980" operator="equal">
      <formula>AS_DURATION_EFFORT</formula>
    </cfRule>
    <cfRule type="cellIs" dxfId="895" priority="981" operator="equal">
      <formula>AS_DEV_EFFORT</formula>
    </cfRule>
  </conditionalFormatting>
  <conditionalFormatting sqref="B395:B396">
    <cfRule type="expression" dxfId="894" priority="979">
      <formula>AD395&lt;&gt;""</formula>
    </cfRule>
  </conditionalFormatting>
  <conditionalFormatting sqref="F397">
    <cfRule type="expression" dxfId="893" priority="978">
      <formula>$K397&lt;&gt;""</formula>
    </cfRule>
  </conditionalFormatting>
  <conditionalFormatting sqref="C397">
    <cfRule type="expression" dxfId="892" priority="977">
      <formula>$G397&lt;&gt;"-"</formula>
    </cfRule>
  </conditionalFormatting>
  <conditionalFormatting sqref="D397">
    <cfRule type="expression" dxfId="891" priority="976">
      <formula>$H397&lt;&gt;"-"</formula>
    </cfRule>
  </conditionalFormatting>
  <conditionalFormatting sqref="E397">
    <cfRule type="expression" dxfId="890" priority="975">
      <formula>$I397&lt;&gt;"-"</formula>
    </cfRule>
  </conditionalFormatting>
  <conditionalFormatting sqref="B398">
    <cfRule type="expression" dxfId="889" priority="972">
      <formula>AD398&lt;&gt;""</formula>
    </cfRule>
  </conditionalFormatting>
  <conditionalFormatting sqref="Z398">
    <cfRule type="cellIs" dxfId="888" priority="970" operator="greaterThan">
      <formula>0</formula>
    </cfRule>
    <cfRule type="cellIs" dxfId="887" priority="971" operator="lessThan">
      <formula>0</formula>
    </cfRule>
  </conditionalFormatting>
  <conditionalFormatting sqref="S398">
    <cfRule type="cellIs" dxfId="886" priority="969" operator="lessThan">
      <formula>0</formula>
    </cfRule>
  </conditionalFormatting>
  <conditionalFormatting sqref="P398">
    <cfRule type="cellIs" dxfId="885" priority="967" operator="equal">
      <formula>AS_DURATION_EFFORT</formula>
    </cfRule>
    <cfRule type="cellIs" dxfId="884" priority="968" operator="equal">
      <formula>AS_DEV_EFFORT</formula>
    </cfRule>
  </conditionalFormatting>
  <conditionalFormatting sqref="F398">
    <cfRule type="expression" dxfId="883" priority="966">
      <formula>$K398&lt;&gt;""</formula>
    </cfRule>
  </conditionalFormatting>
  <conditionalFormatting sqref="C398">
    <cfRule type="expression" dxfId="882" priority="965">
      <formula>$G398&lt;&gt;"-"</formula>
    </cfRule>
  </conditionalFormatting>
  <conditionalFormatting sqref="D398">
    <cfRule type="expression" dxfId="881" priority="964">
      <formula>$H398&lt;&gt;"-"</formula>
    </cfRule>
  </conditionalFormatting>
  <conditionalFormatting sqref="E398">
    <cfRule type="expression" dxfId="880" priority="963">
      <formula>$I398&lt;&gt;"-"</formula>
    </cfRule>
  </conditionalFormatting>
  <conditionalFormatting sqref="B399">
    <cfRule type="expression" dxfId="879" priority="960">
      <formula>AD399&lt;&gt;""</formula>
    </cfRule>
  </conditionalFormatting>
  <conditionalFormatting sqref="Z399">
    <cfRule type="cellIs" dxfId="878" priority="958" operator="greaterThan">
      <formula>0</formula>
    </cfRule>
    <cfRule type="cellIs" dxfId="877" priority="959" operator="lessThan">
      <formula>0</formula>
    </cfRule>
  </conditionalFormatting>
  <conditionalFormatting sqref="S399">
    <cfRule type="cellIs" dxfId="876" priority="957" operator="lessThan">
      <formula>0</formula>
    </cfRule>
  </conditionalFormatting>
  <conditionalFormatting sqref="P399">
    <cfRule type="cellIs" dxfId="875" priority="955" operator="equal">
      <formula>AS_DURATION_EFFORT</formula>
    </cfRule>
    <cfRule type="cellIs" dxfId="874" priority="956" operator="equal">
      <formula>AS_DEV_EFFORT</formula>
    </cfRule>
  </conditionalFormatting>
  <conditionalFormatting sqref="F399">
    <cfRule type="expression" dxfId="873" priority="954">
      <formula>$K399&lt;&gt;""</formula>
    </cfRule>
  </conditionalFormatting>
  <conditionalFormatting sqref="C399">
    <cfRule type="expression" dxfId="872" priority="953">
      <formula>$G399&lt;&gt;"-"</formula>
    </cfRule>
  </conditionalFormatting>
  <conditionalFormatting sqref="D399">
    <cfRule type="expression" dxfId="871" priority="952">
      <formula>$H399&lt;&gt;"-"</formula>
    </cfRule>
  </conditionalFormatting>
  <conditionalFormatting sqref="E399">
    <cfRule type="expression" dxfId="870" priority="951">
      <formula>$I399&lt;&gt;"-"</formula>
    </cfRule>
  </conditionalFormatting>
  <conditionalFormatting sqref="B400">
    <cfRule type="expression" dxfId="869" priority="948">
      <formula>AD400&lt;&gt;""</formula>
    </cfRule>
  </conditionalFormatting>
  <conditionalFormatting sqref="Z400">
    <cfRule type="cellIs" dxfId="868" priority="946" operator="greaterThan">
      <formula>0</formula>
    </cfRule>
    <cfRule type="cellIs" dxfId="867" priority="947" operator="lessThan">
      <formula>0</formula>
    </cfRule>
  </conditionalFormatting>
  <conditionalFormatting sqref="S400">
    <cfRule type="cellIs" dxfId="866" priority="945" operator="lessThan">
      <formula>0</formula>
    </cfRule>
  </conditionalFormatting>
  <conditionalFormatting sqref="P400">
    <cfRule type="cellIs" dxfId="865" priority="943" operator="equal">
      <formula>AS_DURATION_EFFORT</formula>
    </cfRule>
    <cfRule type="cellIs" dxfId="864" priority="944" operator="equal">
      <formula>AS_DEV_EFFORT</formula>
    </cfRule>
  </conditionalFormatting>
  <conditionalFormatting sqref="F400">
    <cfRule type="expression" dxfId="863" priority="942">
      <formula>$K400&lt;&gt;""</formula>
    </cfRule>
  </conditionalFormatting>
  <conditionalFormatting sqref="C400">
    <cfRule type="expression" dxfId="862" priority="941">
      <formula>$G400&lt;&gt;"-"</formula>
    </cfRule>
  </conditionalFormatting>
  <conditionalFormatting sqref="D400">
    <cfRule type="expression" dxfId="861" priority="940">
      <formula>$H400&lt;&gt;"-"</formula>
    </cfRule>
  </conditionalFormatting>
  <conditionalFormatting sqref="E400">
    <cfRule type="expression" dxfId="860" priority="939">
      <formula>$I400&lt;&gt;"-"</formula>
    </cfRule>
  </conditionalFormatting>
  <conditionalFormatting sqref="B401">
    <cfRule type="expression" dxfId="859" priority="936">
      <formula>AD401&lt;&gt;""</formula>
    </cfRule>
  </conditionalFormatting>
  <conditionalFormatting sqref="Z401">
    <cfRule type="cellIs" dxfId="858" priority="934" operator="greaterThan">
      <formula>0</formula>
    </cfRule>
    <cfRule type="cellIs" dxfId="857" priority="935" operator="lessThan">
      <formula>0</formula>
    </cfRule>
  </conditionalFormatting>
  <conditionalFormatting sqref="S401">
    <cfRule type="cellIs" dxfId="856" priority="933" operator="lessThan">
      <formula>0</formula>
    </cfRule>
  </conditionalFormatting>
  <conditionalFormatting sqref="P401">
    <cfRule type="cellIs" dxfId="855" priority="931" operator="equal">
      <formula>AS_DURATION_EFFORT</formula>
    </cfRule>
    <cfRule type="cellIs" dxfId="854" priority="932" operator="equal">
      <formula>AS_DEV_EFFORT</formula>
    </cfRule>
  </conditionalFormatting>
  <conditionalFormatting sqref="F401">
    <cfRule type="expression" dxfId="853" priority="930">
      <formula>$K401&lt;&gt;""</formula>
    </cfRule>
  </conditionalFormatting>
  <conditionalFormatting sqref="C401">
    <cfRule type="expression" dxfId="852" priority="929">
      <formula>$G401&lt;&gt;"-"</formula>
    </cfRule>
  </conditionalFormatting>
  <conditionalFormatting sqref="D401">
    <cfRule type="expression" dxfId="851" priority="928">
      <formula>$H401&lt;&gt;"-"</formula>
    </cfRule>
  </conditionalFormatting>
  <conditionalFormatting sqref="E401">
    <cfRule type="expression" dxfId="850" priority="927">
      <formula>$I401&lt;&gt;"-"</formula>
    </cfRule>
  </conditionalFormatting>
  <conditionalFormatting sqref="B402">
    <cfRule type="expression" dxfId="849" priority="924">
      <formula>AD402&lt;&gt;""</formula>
    </cfRule>
  </conditionalFormatting>
  <conditionalFormatting sqref="Z402">
    <cfRule type="cellIs" dxfId="848" priority="922" operator="greaterThan">
      <formula>0</formula>
    </cfRule>
    <cfRule type="cellIs" dxfId="847" priority="923" operator="lessThan">
      <formula>0</formula>
    </cfRule>
  </conditionalFormatting>
  <conditionalFormatting sqref="S402">
    <cfRule type="cellIs" dxfId="846" priority="921" operator="lessThan">
      <formula>0</formula>
    </cfRule>
  </conditionalFormatting>
  <conditionalFormatting sqref="P402">
    <cfRule type="cellIs" dxfId="845" priority="919" operator="equal">
      <formula>AS_DURATION_EFFORT</formula>
    </cfRule>
    <cfRule type="cellIs" dxfId="844" priority="920" operator="equal">
      <formula>AS_DEV_EFFORT</formula>
    </cfRule>
  </conditionalFormatting>
  <conditionalFormatting sqref="F402">
    <cfRule type="expression" dxfId="843" priority="918">
      <formula>$K402&lt;&gt;""</formula>
    </cfRule>
  </conditionalFormatting>
  <conditionalFormatting sqref="C402">
    <cfRule type="expression" dxfId="842" priority="917">
      <formula>$G402&lt;&gt;"-"</formula>
    </cfRule>
  </conditionalFormatting>
  <conditionalFormatting sqref="D402">
    <cfRule type="expression" dxfId="841" priority="916">
      <formula>$H402&lt;&gt;"-"</formula>
    </cfRule>
  </conditionalFormatting>
  <conditionalFormatting sqref="E402">
    <cfRule type="expression" dxfId="840" priority="915">
      <formula>$I402&lt;&gt;"-"</formula>
    </cfRule>
  </conditionalFormatting>
  <conditionalFormatting sqref="B409">
    <cfRule type="expression" dxfId="839" priority="911">
      <formula>AD409&lt;&gt;""</formula>
    </cfRule>
  </conditionalFormatting>
  <conditionalFormatting sqref="Z409">
    <cfRule type="cellIs" dxfId="838" priority="909" operator="greaterThan">
      <formula>0</formula>
    </cfRule>
    <cfRule type="cellIs" dxfId="837" priority="910" operator="lessThan">
      <formula>0</formula>
    </cfRule>
  </conditionalFormatting>
  <conditionalFormatting sqref="S409">
    <cfRule type="cellIs" dxfId="836" priority="908" operator="lessThan">
      <formula>0</formula>
    </cfRule>
  </conditionalFormatting>
  <conditionalFormatting sqref="T407:T408">
    <cfRule type="expression" dxfId="835" priority="912">
      <formula>#REF!="Yes"</formula>
    </cfRule>
  </conditionalFormatting>
  <conditionalFormatting sqref="P409">
    <cfRule type="cellIs" dxfId="834" priority="906" operator="equal">
      <formula>AS_DURATION_EFFORT</formula>
    </cfRule>
    <cfRule type="cellIs" dxfId="833" priority="907" operator="equal">
      <formula>AS_DEV_EFFORT</formula>
    </cfRule>
  </conditionalFormatting>
  <conditionalFormatting sqref="B407:B408">
    <cfRule type="expression" dxfId="832" priority="905">
      <formula>AD407&lt;&gt;""</formula>
    </cfRule>
  </conditionalFormatting>
  <conditionalFormatting sqref="F409">
    <cfRule type="expression" dxfId="831" priority="904">
      <formula>$K409&lt;&gt;""</formula>
    </cfRule>
  </conditionalFormatting>
  <conditionalFormatting sqref="C409">
    <cfRule type="expression" dxfId="830" priority="903">
      <formula>$G409&lt;&gt;"-"</formula>
    </cfRule>
  </conditionalFormatting>
  <conditionalFormatting sqref="D409">
    <cfRule type="expression" dxfId="829" priority="902">
      <formula>$H409&lt;&gt;"-"</formula>
    </cfRule>
  </conditionalFormatting>
  <conditionalFormatting sqref="E409">
    <cfRule type="expression" dxfId="828" priority="901">
      <formula>$I409&lt;&gt;"-"</formula>
    </cfRule>
  </conditionalFormatting>
  <conditionalFormatting sqref="B410">
    <cfRule type="expression" dxfId="827" priority="898">
      <formula>AD410&lt;&gt;""</formula>
    </cfRule>
  </conditionalFormatting>
  <conditionalFormatting sqref="Z410">
    <cfRule type="cellIs" dxfId="826" priority="896" operator="greaterThan">
      <formula>0</formula>
    </cfRule>
    <cfRule type="cellIs" dxfId="825" priority="897" operator="lessThan">
      <formula>0</formula>
    </cfRule>
  </conditionalFormatting>
  <conditionalFormatting sqref="S410">
    <cfRule type="cellIs" dxfId="824" priority="895" operator="lessThan">
      <formula>0</formula>
    </cfRule>
  </conditionalFormatting>
  <conditionalFormatting sqref="P410">
    <cfRule type="cellIs" dxfId="823" priority="893" operator="equal">
      <formula>AS_DURATION_EFFORT</formula>
    </cfRule>
    <cfRule type="cellIs" dxfId="822" priority="894" operator="equal">
      <formula>AS_DEV_EFFORT</formula>
    </cfRule>
  </conditionalFormatting>
  <conditionalFormatting sqref="F410">
    <cfRule type="expression" dxfId="821" priority="892">
      <formula>$K410&lt;&gt;""</formula>
    </cfRule>
  </conditionalFormatting>
  <conditionalFormatting sqref="C410">
    <cfRule type="expression" dxfId="820" priority="891">
      <formula>$G410&lt;&gt;"-"</formula>
    </cfRule>
  </conditionalFormatting>
  <conditionalFormatting sqref="D410">
    <cfRule type="expression" dxfId="819" priority="890">
      <formula>$H410&lt;&gt;"-"</formula>
    </cfRule>
  </conditionalFormatting>
  <conditionalFormatting sqref="E410">
    <cfRule type="expression" dxfId="818" priority="889">
      <formula>$I410&lt;&gt;"-"</formula>
    </cfRule>
  </conditionalFormatting>
  <conditionalFormatting sqref="B411">
    <cfRule type="expression" dxfId="817" priority="886">
      <formula>AD411&lt;&gt;""</formula>
    </cfRule>
  </conditionalFormatting>
  <conditionalFormatting sqref="Z411">
    <cfRule type="cellIs" dxfId="816" priority="884" operator="greaterThan">
      <formula>0</formula>
    </cfRule>
    <cfRule type="cellIs" dxfId="815" priority="885" operator="lessThan">
      <formula>0</formula>
    </cfRule>
  </conditionalFormatting>
  <conditionalFormatting sqref="S411">
    <cfRule type="cellIs" dxfId="814" priority="883" operator="lessThan">
      <formula>0</formula>
    </cfRule>
  </conditionalFormatting>
  <conditionalFormatting sqref="P411">
    <cfRule type="cellIs" dxfId="813" priority="881" operator="equal">
      <formula>AS_DURATION_EFFORT</formula>
    </cfRule>
    <cfRule type="cellIs" dxfId="812" priority="882" operator="equal">
      <formula>AS_DEV_EFFORT</formula>
    </cfRule>
  </conditionalFormatting>
  <conditionalFormatting sqref="F411">
    <cfRule type="expression" dxfId="811" priority="880">
      <formula>$K411&lt;&gt;""</formula>
    </cfRule>
  </conditionalFormatting>
  <conditionalFormatting sqref="C411">
    <cfRule type="expression" dxfId="810" priority="879">
      <formula>$G411&lt;&gt;"-"</formula>
    </cfRule>
  </conditionalFormatting>
  <conditionalFormatting sqref="D411">
    <cfRule type="expression" dxfId="809" priority="878">
      <formula>$H411&lt;&gt;"-"</formula>
    </cfRule>
  </conditionalFormatting>
  <conditionalFormatting sqref="E411">
    <cfRule type="expression" dxfId="808" priority="877">
      <formula>$I411&lt;&gt;"-"</formula>
    </cfRule>
  </conditionalFormatting>
  <conditionalFormatting sqref="B412">
    <cfRule type="expression" dxfId="807" priority="874">
      <formula>AD412&lt;&gt;""</formula>
    </cfRule>
  </conditionalFormatting>
  <conditionalFormatting sqref="Z412">
    <cfRule type="cellIs" dxfId="806" priority="872" operator="greaterThan">
      <formula>0</formula>
    </cfRule>
    <cfRule type="cellIs" dxfId="805" priority="873" operator="lessThan">
      <formula>0</formula>
    </cfRule>
  </conditionalFormatting>
  <conditionalFormatting sqref="S412">
    <cfRule type="cellIs" dxfId="804" priority="871" operator="lessThan">
      <formula>0</formula>
    </cfRule>
  </conditionalFormatting>
  <conditionalFormatting sqref="P412">
    <cfRule type="cellIs" dxfId="803" priority="869" operator="equal">
      <formula>AS_DURATION_EFFORT</formula>
    </cfRule>
    <cfRule type="cellIs" dxfId="802" priority="870" operator="equal">
      <formula>AS_DEV_EFFORT</formula>
    </cfRule>
  </conditionalFormatting>
  <conditionalFormatting sqref="F412">
    <cfRule type="expression" dxfId="801" priority="868">
      <formula>$K412&lt;&gt;""</formula>
    </cfRule>
  </conditionalFormatting>
  <conditionalFormatting sqref="C412">
    <cfRule type="expression" dxfId="800" priority="867">
      <formula>$G412&lt;&gt;"-"</formula>
    </cfRule>
  </conditionalFormatting>
  <conditionalFormatting sqref="D412">
    <cfRule type="expression" dxfId="799" priority="866">
      <formula>$H412&lt;&gt;"-"</formula>
    </cfRule>
  </conditionalFormatting>
  <conditionalFormatting sqref="E412">
    <cfRule type="expression" dxfId="798" priority="865">
      <formula>$I412&lt;&gt;"-"</formula>
    </cfRule>
  </conditionalFormatting>
  <conditionalFormatting sqref="B413">
    <cfRule type="expression" dxfId="797" priority="862">
      <formula>AD413&lt;&gt;""</formula>
    </cfRule>
  </conditionalFormatting>
  <conditionalFormatting sqref="Z413">
    <cfRule type="cellIs" dxfId="796" priority="860" operator="greaterThan">
      <formula>0</formula>
    </cfRule>
    <cfRule type="cellIs" dxfId="795" priority="861" operator="lessThan">
      <formula>0</formula>
    </cfRule>
  </conditionalFormatting>
  <conditionalFormatting sqref="S413">
    <cfRule type="cellIs" dxfId="794" priority="859" operator="lessThan">
      <formula>0</formula>
    </cfRule>
  </conditionalFormatting>
  <conditionalFormatting sqref="P413">
    <cfRule type="cellIs" dxfId="793" priority="857" operator="equal">
      <formula>AS_DURATION_EFFORT</formula>
    </cfRule>
    <cfRule type="cellIs" dxfId="792" priority="858" operator="equal">
      <formula>AS_DEV_EFFORT</formula>
    </cfRule>
  </conditionalFormatting>
  <conditionalFormatting sqref="F413">
    <cfRule type="expression" dxfId="791" priority="856">
      <formula>$K413&lt;&gt;""</formula>
    </cfRule>
  </conditionalFormatting>
  <conditionalFormatting sqref="C413">
    <cfRule type="expression" dxfId="790" priority="855">
      <formula>$G413&lt;&gt;"-"</formula>
    </cfRule>
  </conditionalFormatting>
  <conditionalFormatting sqref="D413">
    <cfRule type="expression" dxfId="789" priority="854">
      <formula>$H413&lt;&gt;"-"</formula>
    </cfRule>
  </conditionalFormatting>
  <conditionalFormatting sqref="E413">
    <cfRule type="expression" dxfId="788" priority="853">
      <formula>$I413&lt;&gt;"-"</formula>
    </cfRule>
  </conditionalFormatting>
  <conditionalFormatting sqref="B417">
    <cfRule type="expression" dxfId="787" priority="849">
      <formula>AD417&lt;&gt;""</formula>
    </cfRule>
  </conditionalFormatting>
  <conditionalFormatting sqref="Z417">
    <cfRule type="cellIs" dxfId="786" priority="847" operator="greaterThan">
      <formula>0</formula>
    </cfRule>
    <cfRule type="cellIs" dxfId="785" priority="848" operator="lessThan">
      <formula>0</formula>
    </cfRule>
  </conditionalFormatting>
  <conditionalFormatting sqref="S417">
    <cfRule type="cellIs" dxfId="784" priority="846" operator="lessThan">
      <formula>0</formula>
    </cfRule>
  </conditionalFormatting>
  <conditionalFormatting sqref="T415:T416">
    <cfRule type="expression" dxfId="783" priority="850">
      <formula>#REF!="Yes"</formula>
    </cfRule>
  </conditionalFormatting>
  <conditionalFormatting sqref="P417">
    <cfRule type="cellIs" dxfId="782" priority="844" operator="equal">
      <formula>AS_DURATION_EFFORT</formula>
    </cfRule>
    <cfRule type="cellIs" dxfId="781" priority="845" operator="equal">
      <formula>AS_DEV_EFFORT</formula>
    </cfRule>
  </conditionalFormatting>
  <conditionalFormatting sqref="B415:B416">
    <cfRule type="expression" dxfId="780" priority="843">
      <formula>AD415&lt;&gt;""</formula>
    </cfRule>
  </conditionalFormatting>
  <conditionalFormatting sqref="F417">
    <cfRule type="expression" dxfId="779" priority="842">
      <formula>$K417&lt;&gt;""</formula>
    </cfRule>
  </conditionalFormatting>
  <conditionalFormatting sqref="C417">
    <cfRule type="expression" dxfId="778" priority="841">
      <formula>$G417&lt;&gt;"-"</formula>
    </cfRule>
  </conditionalFormatting>
  <conditionalFormatting sqref="D417">
    <cfRule type="expression" dxfId="777" priority="840">
      <formula>$H417&lt;&gt;"-"</formula>
    </cfRule>
  </conditionalFormatting>
  <conditionalFormatting sqref="E417">
    <cfRule type="expression" dxfId="776" priority="839">
      <formula>$I417&lt;&gt;"-"</formula>
    </cfRule>
  </conditionalFormatting>
  <conditionalFormatting sqref="B418">
    <cfRule type="expression" dxfId="775" priority="836">
      <formula>AD418&lt;&gt;""</formula>
    </cfRule>
  </conditionalFormatting>
  <conditionalFormatting sqref="Z418">
    <cfRule type="cellIs" dxfId="774" priority="834" operator="greaterThan">
      <formula>0</formula>
    </cfRule>
    <cfRule type="cellIs" dxfId="773" priority="835" operator="lessThan">
      <formula>0</formula>
    </cfRule>
  </conditionalFormatting>
  <conditionalFormatting sqref="S418">
    <cfRule type="cellIs" dxfId="772" priority="833" operator="lessThan">
      <formula>0</formula>
    </cfRule>
  </conditionalFormatting>
  <conditionalFormatting sqref="P418">
    <cfRule type="cellIs" dxfId="771" priority="831" operator="equal">
      <formula>AS_DURATION_EFFORT</formula>
    </cfRule>
    <cfRule type="cellIs" dxfId="770" priority="832" operator="equal">
      <formula>AS_DEV_EFFORT</formula>
    </cfRule>
  </conditionalFormatting>
  <conditionalFormatting sqref="F418">
    <cfRule type="expression" dxfId="769" priority="830">
      <formula>$K418&lt;&gt;""</formula>
    </cfRule>
  </conditionalFormatting>
  <conditionalFormatting sqref="C418">
    <cfRule type="expression" dxfId="768" priority="829">
      <formula>$G418&lt;&gt;"-"</formula>
    </cfRule>
  </conditionalFormatting>
  <conditionalFormatting sqref="D418">
    <cfRule type="expression" dxfId="767" priority="828">
      <formula>$H418&lt;&gt;"-"</formula>
    </cfRule>
  </conditionalFormatting>
  <conditionalFormatting sqref="E418">
    <cfRule type="expression" dxfId="766" priority="827">
      <formula>$I418&lt;&gt;"-"</formula>
    </cfRule>
  </conditionalFormatting>
  <conditionalFormatting sqref="B419">
    <cfRule type="expression" dxfId="765" priority="824">
      <formula>AD419&lt;&gt;""</formula>
    </cfRule>
  </conditionalFormatting>
  <conditionalFormatting sqref="Z419">
    <cfRule type="cellIs" dxfId="764" priority="822" operator="greaterThan">
      <formula>0</formula>
    </cfRule>
    <cfRule type="cellIs" dxfId="763" priority="823" operator="lessThan">
      <formula>0</formula>
    </cfRule>
  </conditionalFormatting>
  <conditionalFormatting sqref="S419">
    <cfRule type="cellIs" dxfId="762" priority="821" operator="lessThan">
      <formula>0</formula>
    </cfRule>
  </conditionalFormatting>
  <conditionalFormatting sqref="P419">
    <cfRule type="cellIs" dxfId="761" priority="819" operator="equal">
      <formula>AS_DURATION_EFFORT</formula>
    </cfRule>
    <cfRule type="cellIs" dxfId="760" priority="820" operator="equal">
      <formula>AS_DEV_EFFORT</formula>
    </cfRule>
  </conditionalFormatting>
  <conditionalFormatting sqref="F419">
    <cfRule type="expression" dxfId="759" priority="818">
      <formula>$K419&lt;&gt;""</formula>
    </cfRule>
  </conditionalFormatting>
  <conditionalFormatting sqref="C419">
    <cfRule type="expression" dxfId="758" priority="817">
      <formula>$G419&lt;&gt;"-"</formula>
    </cfRule>
  </conditionalFormatting>
  <conditionalFormatting sqref="D419">
    <cfRule type="expression" dxfId="757" priority="816">
      <formula>$H419&lt;&gt;"-"</formula>
    </cfRule>
  </conditionalFormatting>
  <conditionalFormatting sqref="E419">
    <cfRule type="expression" dxfId="756" priority="815">
      <formula>$I419&lt;&gt;"-"</formula>
    </cfRule>
  </conditionalFormatting>
  <conditionalFormatting sqref="B420">
    <cfRule type="expression" dxfId="755" priority="812">
      <formula>AD420&lt;&gt;""</formula>
    </cfRule>
  </conditionalFormatting>
  <conditionalFormatting sqref="Z420">
    <cfRule type="cellIs" dxfId="754" priority="810" operator="greaterThan">
      <formula>0</formula>
    </cfRule>
    <cfRule type="cellIs" dxfId="753" priority="811" operator="lessThan">
      <formula>0</formula>
    </cfRule>
  </conditionalFormatting>
  <conditionalFormatting sqref="S420">
    <cfRule type="cellIs" dxfId="752" priority="809" operator="lessThan">
      <formula>0</formula>
    </cfRule>
  </conditionalFormatting>
  <conditionalFormatting sqref="P420">
    <cfRule type="cellIs" dxfId="751" priority="807" operator="equal">
      <formula>AS_DURATION_EFFORT</formula>
    </cfRule>
    <cfRule type="cellIs" dxfId="750" priority="808" operator="equal">
      <formula>AS_DEV_EFFORT</formula>
    </cfRule>
  </conditionalFormatting>
  <conditionalFormatting sqref="F420">
    <cfRule type="expression" dxfId="749" priority="806">
      <formula>$K420&lt;&gt;""</formula>
    </cfRule>
  </conditionalFormatting>
  <conditionalFormatting sqref="C420">
    <cfRule type="expression" dxfId="748" priority="805">
      <formula>$G420&lt;&gt;"-"</formula>
    </cfRule>
  </conditionalFormatting>
  <conditionalFormatting sqref="D420">
    <cfRule type="expression" dxfId="747" priority="804">
      <formula>$H420&lt;&gt;"-"</formula>
    </cfRule>
  </conditionalFormatting>
  <conditionalFormatting sqref="E420">
    <cfRule type="expression" dxfId="746" priority="803">
      <formula>$I420&lt;&gt;"-"</formula>
    </cfRule>
  </conditionalFormatting>
  <conditionalFormatting sqref="B421">
    <cfRule type="expression" dxfId="745" priority="800">
      <formula>AD421&lt;&gt;""</formula>
    </cfRule>
  </conditionalFormatting>
  <conditionalFormatting sqref="Z421">
    <cfRule type="cellIs" dxfId="744" priority="798" operator="greaterThan">
      <formula>0</formula>
    </cfRule>
    <cfRule type="cellIs" dxfId="743" priority="799" operator="lessThan">
      <formula>0</formula>
    </cfRule>
  </conditionalFormatting>
  <conditionalFormatting sqref="S421">
    <cfRule type="cellIs" dxfId="742" priority="797" operator="lessThan">
      <formula>0</formula>
    </cfRule>
  </conditionalFormatting>
  <conditionalFormatting sqref="P421">
    <cfRule type="cellIs" dxfId="741" priority="795" operator="equal">
      <formula>AS_DURATION_EFFORT</formula>
    </cfRule>
    <cfRule type="cellIs" dxfId="740" priority="796" operator="equal">
      <formula>AS_DEV_EFFORT</formula>
    </cfRule>
  </conditionalFormatting>
  <conditionalFormatting sqref="F421">
    <cfRule type="expression" dxfId="739" priority="794">
      <formula>$K421&lt;&gt;""</formula>
    </cfRule>
  </conditionalFormatting>
  <conditionalFormatting sqref="C421">
    <cfRule type="expression" dxfId="738" priority="793">
      <formula>$G421&lt;&gt;"-"</formula>
    </cfRule>
  </conditionalFormatting>
  <conditionalFormatting sqref="D421">
    <cfRule type="expression" dxfId="737" priority="792">
      <formula>$H421&lt;&gt;"-"</formula>
    </cfRule>
  </conditionalFormatting>
  <conditionalFormatting sqref="E421">
    <cfRule type="expression" dxfId="736" priority="791">
      <formula>$I421&lt;&gt;"-"</formula>
    </cfRule>
  </conditionalFormatting>
  <conditionalFormatting sqref="B422">
    <cfRule type="expression" dxfId="735" priority="788">
      <formula>AD422&lt;&gt;""</formula>
    </cfRule>
  </conditionalFormatting>
  <conditionalFormatting sqref="Z422">
    <cfRule type="cellIs" dxfId="734" priority="786" operator="greaterThan">
      <formula>0</formula>
    </cfRule>
    <cfRule type="cellIs" dxfId="733" priority="787" operator="lessThan">
      <formula>0</formula>
    </cfRule>
  </conditionalFormatting>
  <conditionalFormatting sqref="S422">
    <cfRule type="cellIs" dxfId="732" priority="785" operator="lessThan">
      <formula>0</formula>
    </cfRule>
  </conditionalFormatting>
  <conditionalFormatting sqref="P422">
    <cfRule type="cellIs" dxfId="731" priority="783" operator="equal">
      <formula>AS_DURATION_EFFORT</formula>
    </cfRule>
    <cfRule type="cellIs" dxfId="730" priority="784" operator="equal">
      <formula>AS_DEV_EFFORT</formula>
    </cfRule>
  </conditionalFormatting>
  <conditionalFormatting sqref="F422">
    <cfRule type="expression" dxfId="729" priority="782">
      <formula>$K422&lt;&gt;""</formula>
    </cfRule>
  </conditionalFormatting>
  <conditionalFormatting sqref="C422">
    <cfRule type="expression" dxfId="728" priority="781">
      <formula>$G422&lt;&gt;"-"</formula>
    </cfRule>
  </conditionalFormatting>
  <conditionalFormatting sqref="D422">
    <cfRule type="expression" dxfId="727" priority="780">
      <formula>$H422&lt;&gt;"-"</formula>
    </cfRule>
  </conditionalFormatting>
  <conditionalFormatting sqref="E422">
    <cfRule type="expression" dxfId="726" priority="779">
      <formula>$I422&lt;&gt;"-"</formula>
    </cfRule>
  </conditionalFormatting>
  <conditionalFormatting sqref="B423">
    <cfRule type="expression" dxfId="725" priority="776">
      <formula>AD423&lt;&gt;""</formula>
    </cfRule>
  </conditionalFormatting>
  <conditionalFormatting sqref="Z423">
    <cfRule type="cellIs" dxfId="724" priority="774" operator="greaterThan">
      <formula>0</formula>
    </cfRule>
    <cfRule type="cellIs" dxfId="723" priority="775" operator="lessThan">
      <formula>0</formula>
    </cfRule>
  </conditionalFormatting>
  <conditionalFormatting sqref="S423">
    <cfRule type="cellIs" dxfId="722" priority="773" operator="lessThan">
      <formula>0</formula>
    </cfRule>
  </conditionalFormatting>
  <conditionalFormatting sqref="P423">
    <cfRule type="cellIs" dxfId="721" priority="771" operator="equal">
      <formula>AS_DURATION_EFFORT</formula>
    </cfRule>
    <cfRule type="cellIs" dxfId="720" priority="772" operator="equal">
      <formula>AS_DEV_EFFORT</formula>
    </cfRule>
  </conditionalFormatting>
  <conditionalFormatting sqref="F423">
    <cfRule type="expression" dxfId="719" priority="770">
      <formula>$K423&lt;&gt;""</formula>
    </cfRule>
  </conditionalFormatting>
  <conditionalFormatting sqref="C423">
    <cfRule type="expression" dxfId="718" priority="769">
      <formula>$G423&lt;&gt;"-"</formula>
    </cfRule>
  </conditionalFormatting>
  <conditionalFormatting sqref="D423">
    <cfRule type="expression" dxfId="717" priority="768">
      <formula>$H423&lt;&gt;"-"</formula>
    </cfRule>
  </conditionalFormatting>
  <conditionalFormatting sqref="E423">
    <cfRule type="expression" dxfId="716" priority="767">
      <formula>$I423&lt;&gt;"-"</formula>
    </cfRule>
  </conditionalFormatting>
  <conditionalFormatting sqref="B322">
    <cfRule type="expression" dxfId="715" priority="750">
      <formula>AD322&lt;&gt;""</formula>
    </cfRule>
  </conditionalFormatting>
  <conditionalFormatting sqref="Z322">
    <cfRule type="cellIs" dxfId="714" priority="748" operator="greaterThan">
      <formula>0</formula>
    </cfRule>
    <cfRule type="cellIs" dxfId="713" priority="749" operator="lessThan">
      <formula>0</formula>
    </cfRule>
  </conditionalFormatting>
  <conditionalFormatting sqref="S322">
    <cfRule type="cellIs" dxfId="712" priority="747" operator="lessThan">
      <formula>0</formula>
    </cfRule>
  </conditionalFormatting>
  <conditionalFormatting sqref="P322">
    <cfRule type="cellIs" dxfId="711" priority="745" operator="equal">
      <formula>AS_DURATION_EFFORT</formula>
    </cfRule>
    <cfRule type="cellIs" dxfId="710" priority="746" operator="equal">
      <formula>AS_DEV_EFFORT</formula>
    </cfRule>
  </conditionalFormatting>
  <conditionalFormatting sqref="F322">
    <cfRule type="expression" dxfId="709" priority="744">
      <formula>$K322&lt;&gt;""</formula>
    </cfRule>
  </conditionalFormatting>
  <conditionalFormatting sqref="C322">
    <cfRule type="expression" dxfId="708" priority="743">
      <formula>$G322&lt;&gt;"-"</formula>
    </cfRule>
  </conditionalFormatting>
  <conditionalFormatting sqref="D322">
    <cfRule type="expression" dxfId="707" priority="742">
      <formula>$H322&lt;&gt;"-"</formula>
    </cfRule>
  </conditionalFormatting>
  <conditionalFormatting sqref="E322">
    <cfRule type="expression" dxfId="706" priority="741">
      <formula>$I322&lt;&gt;"-"</formula>
    </cfRule>
  </conditionalFormatting>
  <conditionalFormatting sqref="B323">
    <cfRule type="expression" dxfId="705" priority="738">
      <formula>AD323&lt;&gt;""</formula>
    </cfRule>
  </conditionalFormatting>
  <conditionalFormatting sqref="Z323">
    <cfRule type="cellIs" dxfId="704" priority="736" operator="greaterThan">
      <formula>0</formula>
    </cfRule>
    <cfRule type="cellIs" dxfId="703" priority="737" operator="lessThan">
      <formula>0</formula>
    </cfRule>
  </conditionalFormatting>
  <conditionalFormatting sqref="S323">
    <cfRule type="cellIs" dxfId="702" priority="735" operator="lessThan">
      <formula>0</formula>
    </cfRule>
  </conditionalFormatting>
  <conditionalFormatting sqref="P323">
    <cfRule type="cellIs" dxfId="701" priority="733" operator="equal">
      <formula>AS_DURATION_EFFORT</formula>
    </cfRule>
    <cfRule type="cellIs" dxfId="700" priority="734" operator="equal">
      <formula>AS_DEV_EFFORT</formula>
    </cfRule>
  </conditionalFormatting>
  <conditionalFormatting sqref="F323">
    <cfRule type="expression" dxfId="699" priority="732">
      <formula>$K323&lt;&gt;""</formula>
    </cfRule>
  </conditionalFormatting>
  <conditionalFormatting sqref="C323">
    <cfRule type="expression" dxfId="698" priority="731">
      <formula>$G323&lt;&gt;"-"</formula>
    </cfRule>
  </conditionalFormatting>
  <conditionalFormatting sqref="D323">
    <cfRule type="expression" dxfId="697" priority="730">
      <formula>$H323&lt;&gt;"-"</formula>
    </cfRule>
  </conditionalFormatting>
  <conditionalFormatting sqref="E323">
    <cfRule type="expression" dxfId="696" priority="729">
      <formula>$I323&lt;&gt;"-"</formula>
    </cfRule>
  </conditionalFormatting>
  <conditionalFormatting sqref="B324">
    <cfRule type="expression" dxfId="695" priority="726">
      <formula>AD324&lt;&gt;""</formula>
    </cfRule>
  </conditionalFormatting>
  <conditionalFormatting sqref="Z324">
    <cfRule type="cellIs" dxfId="694" priority="724" operator="greaterThan">
      <formula>0</formula>
    </cfRule>
    <cfRule type="cellIs" dxfId="693" priority="725" operator="lessThan">
      <formula>0</formula>
    </cfRule>
  </conditionalFormatting>
  <conditionalFormatting sqref="S324">
    <cfRule type="cellIs" dxfId="692" priority="723" operator="lessThan">
      <formula>0</formula>
    </cfRule>
  </conditionalFormatting>
  <conditionalFormatting sqref="P324">
    <cfRule type="cellIs" dxfId="691" priority="721" operator="equal">
      <formula>AS_DURATION_EFFORT</formula>
    </cfRule>
    <cfRule type="cellIs" dxfId="690" priority="722" operator="equal">
      <formula>AS_DEV_EFFORT</formula>
    </cfRule>
  </conditionalFormatting>
  <conditionalFormatting sqref="F324">
    <cfRule type="expression" dxfId="689" priority="720">
      <formula>$K324&lt;&gt;""</formula>
    </cfRule>
  </conditionalFormatting>
  <conditionalFormatting sqref="C324">
    <cfRule type="expression" dxfId="688" priority="719">
      <formula>$G324&lt;&gt;"-"</formula>
    </cfRule>
  </conditionalFormatting>
  <conditionalFormatting sqref="D324">
    <cfRule type="expression" dxfId="687" priority="718">
      <formula>$H324&lt;&gt;"-"</formula>
    </cfRule>
  </conditionalFormatting>
  <conditionalFormatting sqref="E324">
    <cfRule type="expression" dxfId="686" priority="717">
      <formula>$I324&lt;&gt;"-"</formula>
    </cfRule>
  </conditionalFormatting>
  <conditionalFormatting sqref="B325">
    <cfRule type="expression" dxfId="685" priority="714">
      <formula>AD325&lt;&gt;""</formula>
    </cfRule>
  </conditionalFormatting>
  <conditionalFormatting sqref="Z325">
    <cfRule type="cellIs" dxfId="684" priority="712" operator="greaterThan">
      <formula>0</formula>
    </cfRule>
    <cfRule type="cellIs" dxfId="683" priority="713" operator="lessThan">
      <formula>0</formula>
    </cfRule>
  </conditionalFormatting>
  <conditionalFormatting sqref="S325">
    <cfRule type="cellIs" dxfId="682" priority="711" operator="lessThan">
      <formula>0</formula>
    </cfRule>
  </conditionalFormatting>
  <conditionalFormatting sqref="P325">
    <cfRule type="cellIs" dxfId="681" priority="709" operator="equal">
      <formula>AS_DURATION_EFFORT</formula>
    </cfRule>
    <cfRule type="cellIs" dxfId="680" priority="710" operator="equal">
      <formula>AS_DEV_EFFORT</formula>
    </cfRule>
  </conditionalFormatting>
  <conditionalFormatting sqref="F325">
    <cfRule type="expression" dxfId="679" priority="708">
      <formula>$K325&lt;&gt;""</formula>
    </cfRule>
  </conditionalFormatting>
  <conditionalFormatting sqref="C325">
    <cfRule type="expression" dxfId="678" priority="707">
      <formula>$G325&lt;&gt;"-"</formula>
    </cfRule>
  </conditionalFormatting>
  <conditionalFormatting sqref="D325">
    <cfRule type="expression" dxfId="677" priority="706">
      <formula>$H325&lt;&gt;"-"</formula>
    </cfRule>
  </conditionalFormatting>
  <conditionalFormatting sqref="E325">
    <cfRule type="expression" dxfId="676" priority="705">
      <formula>$I325&lt;&gt;"-"</formula>
    </cfRule>
  </conditionalFormatting>
  <conditionalFormatting sqref="B341">
    <cfRule type="expression" dxfId="675" priority="701">
      <formula>AD341&lt;&gt;""</formula>
    </cfRule>
  </conditionalFormatting>
  <conditionalFormatting sqref="Z341">
    <cfRule type="cellIs" dxfId="674" priority="699" operator="greaterThan">
      <formula>0</formula>
    </cfRule>
    <cfRule type="cellIs" dxfId="673" priority="700" operator="lessThan">
      <formula>0</formula>
    </cfRule>
  </conditionalFormatting>
  <conditionalFormatting sqref="S341">
    <cfRule type="cellIs" dxfId="672" priority="698" operator="lessThan">
      <formula>0</formula>
    </cfRule>
  </conditionalFormatting>
  <conditionalFormatting sqref="T339:T340">
    <cfRule type="expression" dxfId="671" priority="702">
      <formula>#REF!="Yes"</formula>
    </cfRule>
  </conditionalFormatting>
  <conditionalFormatting sqref="P341">
    <cfRule type="cellIs" dxfId="670" priority="696" operator="equal">
      <formula>AS_DURATION_EFFORT</formula>
    </cfRule>
    <cfRule type="cellIs" dxfId="669" priority="697" operator="equal">
      <formula>AS_DEV_EFFORT</formula>
    </cfRule>
  </conditionalFormatting>
  <conditionalFormatting sqref="B339:B340">
    <cfRule type="expression" dxfId="668" priority="695">
      <formula>AD339&lt;&gt;""</formula>
    </cfRule>
  </conditionalFormatting>
  <conditionalFormatting sqref="F341">
    <cfRule type="expression" dxfId="667" priority="694">
      <formula>$K341&lt;&gt;""</formula>
    </cfRule>
  </conditionalFormatting>
  <conditionalFormatting sqref="C341">
    <cfRule type="expression" dxfId="666" priority="693">
      <formula>$G341&lt;&gt;"-"</formula>
    </cfRule>
  </conditionalFormatting>
  <conditionalFormatting sqref="D341">
    <cfRule type="expression" dxfId="665" priority="692">
      <formula>$H341&lt;&gt;"-"</formula>
    </cfRule>
  </conditionalFormatting>
  <conditionalFormatting sqref="E341">
    <cfRule type="expression" dxfId="664" priority="691">
      <formula>$I341&lt;&gt;"-"</formula>
    </cfRule>
  </conditionalFormatting>
  <conditionalFormatting sqref="B342">
    <cfRule type="expression" dxfId="663" priority="688">
      <formula>AD342&lt;&gt;""</formula>
    </cfRule>
  </conditionalFormatting>
  <conditionalFormatting sqref="Z342">
    <cfRule type="cellIs" dxfId="662" priority="686" operator="greaterThan">
      <formula>0</formula>
    </cfRule>
    <cfRule type="cellIs" dxfId="661" priority="687" operator="lessThan">
      <formula>0</formula>
    </cfRule>
  </conditionalFormatting>
  <conditionalFormatting sqref="S342">
    <cfRule type="cellIs" dxfId="660" priority="685" operator="lessThan">
      <formula>0</formula>
    </cfRule>
  </conditionalFormatting>
  <conditionalFormatting sqref="P342">
    <cfRule type="cellIs" dxfId="659" priority="683" operator="equal">
      <formula>AS_DURATION_EFFORT</formula>
    </cfRule>
    <cfRule type="cellIs" dxfId="658" priority="684" operator="equal">
      <formula>AS_DEV_EFFORT</formula>
    </cfRule>
  </conditionalFormatting>
  <conditionalFormatting sqref="F342">
    <cfRule type="expression" dxfId="657" priority="682">
      <formula>$K342&lt;&gt;""</formula>
    </cfRule>
  </conditionalFormatting>
  <conditionalFormatting sqref="C342">
    <cfRule type="expression" dxfId="656" priority="681">
      <formula>$G342&lt;&gt;"-"</formula>
    </cfRule>
  </conditionalFormatting>
  <conditionalFormatting sqref="D342">
    <cfRule type="expression" dxfId="655" priority="680">
      <formula>$H342&lt;&gt;"-"</formula>
    </cfRule>
  </conditionalFormatting>
  <conditionalFormatting sqref="E342">
    <cfRule type="expression" dxfId="654" priority="679">
      <formula>$I342&lt;&gt;"-"</formula>
    </cfRule>
  </conditionalFormatting>
  <conditionalFormatting sqref="B346">
    <cfRule type="expression" dxfId="653" priority="675">
      <formula>AD346&lt;&gt;""</formula>
    </cfRule>
  </conditionalFormatting>
  <conditionalFormatting sqref="Z346">
    <cfRule type="cellIs" dxfId="652" priority="673" operator="greaterThan">
      <formula>0</formula>
    </cfRule>
    <cfRule type="cellIs" dxfId="651" priority="674" operator="lessThan">
      <formula>0</formula>
    </cfRule>
  </conditionalFormatting>
  <conditionalFormatting sqref="S346">
    <cfRule type="cellIs" dxfId="650" priority="672" operator="lessThan">
      <formula>0</formula>
    </cfRule>
  </conditionalFormatting>
  <conditionalFormatting sqref="T344:T345">
    <cfRule type="expression" dxfId="649" priority="676">
      <formula>#REF!="Yes"</formula>
    </cfRule>
  </conditionalFormatting>
  <conditionalFormatting sqref="P346">
    <cfRule type="cellIs" dxfId="648" priority="670" operator="equal">
      <formula>AS_DURATION_EFFORT</formula>
    </cfRule>
    <cfRule type="cellIs" dxfId="647" priority="671" operator="equal">
      <formula>AS_DEV_EFFORT</formula>
    </cfRule>
  </conditionalFormatting>
  <conditionalFormatting sqref="B344:B345">
    <cfRule type="expression" dxfId="646" priority="669">
      <formula>AD344&lt;&gt;""</formula>
    </cfRule>
  </conditionalFormatting>
  <conditionalFormatting sqref="F346">
    <cfRule type="expression" dxfId="645" priority="668">
      <formula>$K346&lt;&gt;""</formula>
    </cfRule>
  </conditionalFormatting>
  <conditionalFormatting sqref="C346">
    <cfRule type="expression" dxfId="644" priority="667">
      <formula>$G346&lt;&gt;"-"</formula>
    </cfRule>
  </conditionalFormatting>
  <conditionalFormatting sqref="D346">
    <cfRule type="expression" dxfId="643" priority="666">
      <formula>$H346&lt;&gt;"-"</formula>
    </cfRule>
  </conditionalFormatting>
  <conditionalFormatting sqref="E346">
    <cfRule type="expression" dxfId="642" priority="665">
      <formula>$I346&lt;&gt;"-"</formula>
    </cfRule>
  </conditionalFormatting>
  <conditionalFormatting sqref="B347">
    <cfRule type="expression" dxfId="641" priority="662">
      <formula>AD347&lt;&gt;""</formula>
    </cfRule>
  </conditionalFormatting>
  <conditionalFormatting sqref="Z347">
    <cfRule type="cellIs" dxfId="640" priority="660" operator="greaterThan">
      <formula>0</formula>
    </cfRule>
    <cfRule type="cellIs" dxfId="639" priority="661" operator="lessThan">
      <formula>0</formula>
    </cfRule>
  </conditionalFormatting>
  <conditionalFormatting sqref="S347">
    <cfRule type="cellIs" dxfId="638" priority="659" operator="lessThan">
      <formula>0</formula>
    </cfRule>
  </conditionalFormatting>
  <conditionalFormatting sqref="P347">
    <cfRule type="cellIs" dxfId="637" priority="657" operator="equal">
      <formula>AS_DURATION_EFFORT</formula>
    </cfRule>
    <cfRule type="cellIs" dxfId="636" priority="658" operator="equal">
      <formula>AS_DEV_EFFORT</formula>
    </cfRule>
  </conditionalFormatting>
  <conditionalFormatting sqref="F347">
    <cfRule type="expression" dxfId="635" priority="656">
      <formula>$K347&lt;&gt;""</formula>
    </cfRule>
  </conditionalFormatting>
  <conditionalFormatting sqref="C347">
    <cfRule type="expression" dxfId="634" priority="655">
      <formula>$G347&lt;&gt;"-"</formula>
    </cfRule>
  </conditionalFormatting>
  <conditionalFormatting sqref="D347">
    <cfRule type="expression" dxfId="633" priority="654">
      <formula>$H347&lt;&gt;"-"</formula>
    </cfRule>
  </conditionalFormatting>
  <conditionalFormatting sqref="E347">
    <cfRule type="expression" dxfId="632" priority="653">
      <formula>$I347&lt;&gt;"-"</formula>
    </cfRule>
  </conditionalFormatting>
  <conditionalFormatting sqref="B430">
    <cfRule type="expression" dxfId="631" priority="652">
      <formula>AD430&lt;&gt;""</formula>
    </cfRule>
  </conditionalFormatting>
  <conditionalFormatting sqref="Z430">
    <cfRule type="cellIs" dxfId="630" priority="650" operator="greaterThan">
      <formula>0</formula>
    </cfRule>
    <cfRule type="cellIs" dxfId="629" priority="651" operator="lessThan">
      <formula>0</formula>
    </cfRule>
  </conditionalFormatting>
  <conditionalFormatting sqref="S430">
    <cfRule type="cellIs" dxfId="628" priority="649" operator="lessThan">
      <formula>0</formula>
    </cfRule>
  </conditionalFormatting>
  <conditionalFormatting sqref="P430">
    <cfRule type="cellIs" dxfId="627" priority="647" operator="equal">
      <formula>AS_DURATION_EFFORT</formula>
    </cfRule>
    <cfRule type="cellIs" dxfId="626" priority="648" operator="equal">
      <formula>AS_DEV_EFFORT</formula>
    </cfRule>
  </conditionalFormatting>
  <conditionalFormatting sqref="F430">
    <cfRule type="expression" dxfId="625" priority="646">
      <formula>$K430&lt;&gt;""</formula>
    </cfRule>
  </conditionalFormatting>
  <conditionalFormatting sqref="C430">
    <cfRule type="expression" dxfId="624" priority="645">
      <formula>$G430&lt;&gt;"-"</formula>
    </cfRule>
  </conditionalFormatting>
  <conditionalFormatting sqref="D430">
    <cfRule type="expression" dxfId="623" priority="644">
      <formula>$H430&lt;&gt;"-"</formula>
    </cfRule>
  </conditionalFormatting>
  <conditionalFormatting sqref="E430">
    <cfRule type="expression" dxfId="622" priority="643">
      <formula>$I430&lt;&gt;"-"</formula>
    </cfRule>
  </conditionalFormatting>
  <conditionalFormatting sqref="S168">
    <cfRule type="expression" dxfId="621" priority="642">
      <formula>#REF!="Yes"</formula>
    </cfRule>
  </conditionalFormatting>
  <conditionalFormatting sqref="B168">
    <cfRule type="expression" dxfId="620" priority="641">
      <formula>AD168&lt;&gt;""</formula>
    </cfRule>
  </conditionalFormatting>
  <conditionalFormatting sqref="S217">
    <cfRule type="expression" dxfId="619" priority="640">
      <formula>#REF!="Yes"</formula>
    </cfRule>
  </conditionalFormatting>
  <conditionalFormatting sqref="B217">
    <cfRule type="expression" dxfId="618" priority="639">
      <formula>AD217&lt;&gt;""</formula>
    </cfRule>
  </conditionalFormatting>
  <conditionalFormatting sqref="S259">
    <cfRule type="expression" dxfId="617" priority="638">
      <formula>#REF!="Yes"</formula>
    </cfRule>
  </conditionalFormatting>
  <conditionalFormatting sqref="B259">
    <cfRule type="expression" dxfId="616" priority="637">
      <formula>AD259&lt;&gt;""</formula>
    </cfRule>
  </conditionalFormatting>
  <conditionalFormatting sqref="S302">
    <cfRule type="expression" dxfId="615" priority="636">
      <formula>#REF!="Yes"</formula>
    </cfRule>
  </conditionalFormatting>
  <conditionalFormatting sqref="B302">
    <cfRule type="expression" dxfId="614" priority="635">
      <formula>AD302&lt;&gt;""</formula>
    </cfRule>
  </conditionalFormatting>
  <conditionalFormatting sqref="S349">
    <cfRule type="expression" dxfId="613" priority="632">
      <formula>#REF!="Yes"</formula>
    </cfRule>
  </conditionalFormatting>
  <conditionalFormatting sqref="B349">
    <cfRule type="expression" dxfId="612" priority="631">
      <formula>AD349&lt;&gt;""</formula>
    </cfRule>
  </conditionalFormatting>
  <conditionalFormatting sqref="S318">
    <cfRule type="expression" dxfId="611" priority="626">
      <formula>#REF!="Yes"</formula>
    </cfRule>
  </conditionalFormatting>
  <conditionalFormatting sqref="B318">
    <cfRule type="expression" dxfId="610" priority="625">
      <formula>AD318&lt;&gt;""</formula>
    </cfRule>
  </conditionalFormatting>
  <conditionalFormatting sqref="S425">
    <cfRule type="expression" dxfId="609" priority="624">
      <formula>#REF!="Yes"</formula>
    </cfRule>
  </conditionalFormatting>
  <conditionalFormatting sqref="B425">
    <cfRule type="expression" dxfId="608" priority="623">
      <formula>AD425&lt;&gt;""</formula>
    </cfRule>
  </conditionalFormatting>
  <conditionalFormatting sqref="S435">
    <cfRule type="expression" dxfId="607" priority="608">
      <formula>#REF!="Yes"</formula>
    </cfRule>
  </conditionalFormatting>
  <conditionalFormatting sqref="B435">
    <cfRule type="expression" dxfId="606" priority="607">
      <formula>AD435&lt;&gt;""</formula>
    </cfRule>
  </conditionalFormatting>
  <conditionalFormatting sqref="S441">
    <cfRule type="expression" dxfId="605" priority="606">
      <formula>#REF!="Yes"</formula>
    </cfRule>
  </conditionalFormatting>
  <conditionalFormatting sqref="B441">
    <cfRule type="expression" dxfId="604" priority="605">
      <formula>AD441&lt;&gt;""</formula>
    </cfRule>
  </conditionalFormatting>
  <conditionalFormatting sqref="B481">
    <cfRule type="expression" dxfId="603" priority="604">
      <formula>AD481&lt;&gt;""</formula>
    </cfRule>
  </conditionalFormatting>
  <conditionalFormatting sqref="Z481">
    <cfRule type="cellIs" dxfId="602" priority="602" operator="greaterThan">
      <formula>0</formula>
    </cfRule>
    <cfRule type="cellIs" dxfId="601" priority="603" operator="lessThan">
      <formula>0</formula>
    </cfRule>
  </conditionalFormatting>
  <conditionalFormatting sqref="S481">
    <cfRule type="cellIs" dxfId="600" priority="601" operator="lessThan">
      <formula>0</formula>
    </cfRule>
  </conditionalFormatting>
  <conditionalFormatting sqref="P481">
    <cfRule type="cellIs" dxfId="599" priority="599" operator="equal">
      <formula>AS_DURATION_EFFORT</formula>
    </cfRule>
    <cfRule type="cellIs" dxfId="598" priority="600" operator="equal">
      <formula>AS_DEV_EFFORT</formula>
    </cfRule>
  </conditionalFormatting>
  <conditionalFormatting sqref="F481">
    <cfRule type="expression" dxfId="597" priority="598">
      <formula>$K481&lt;&gt;""</formula>
    </cfRule>
  </conditionalFormatting>
  <conditionalFormatting sqref="C481">
    <cfRule type="expression" dxfId="596" priority="597">
      <formula>$G481&lt;&gt;"-"</formula>
    </cfRule>
  </conditionalFormatting>
  <conditionalFormatting sqref="D481">
    <cfRule type="expression" dxfId="595" priority="596">
      <formula>$H481&lt;&gt;"-"</formula>
    </cfRule>
  </conditionalFormatting>
  <conditionalFormatting sqref="E481">
    <cfRule type="expression" dxfId="594" priority="595">
      <formula>$I481&lt;&gt;"-"</formula>
    </cfRule>
  </conditionalFormatting>
  <conditionalFormatting sqref="B482">
    <cfRule type="expression" dxfId="593" priority="594">
      <formula>AD482&lt;&gt;""</formula>
    </cfRule>
  </conditionalFormatting>
  <conditionalFormatting sqref="Z482">
    <cfRule type="cellIs" dxfId="592" priority="592" operator="greaterThan">
      <formula>0</formula>
    </cfRule>
    <cfRule type="cellIs" dxfId="591" priority="593" operator="lessThan">
      <formula>0</formula>
    </cfRule>
  </conditionalFormatting>
  <conditionalFormatting sqref="S482">
    <cfRule type="cellIs" dxfId="590" priority="591" operator="lessThan">
      <formula>0</formula>
    </cfRule>
  </conditionalFormatting>
  <conditionalFormatting sqref="P482">
    <cfRule type="cellIs" dxfId="589" priority="589" operator="equal">
      <formula>AS_DURATION_EFFORT</formula>
    </cfRule>
    <cfRule type="cellIs" dxfId="588" priority="590" operator="equal">
      <formula>AS_DEV_EFFORT</formula>
    </cfRule>
  </conditionalFormatting>
  <conditionalFormatting sqref="F482">
    <cfRule type="expression" dxfId="587" priority="588">
      <formula>$K482&lt;&gt;""</formula>
    </cfRule>
  </conditionalFormatting>
  <conditionalFormatting sqref="C482">
    <cfRule type="expression" dxfId="586" priority="587">
      <formula>$G482&lt;&gt;"-"</formula>
    </cfRule>
  </conditionalFormatting>
  <conditionalFormatting sqref="D482">
    <cfRule type="expression" dxfId="585" priority="586">
      <formula>$H482&lt;&gt;"-"</formula>
    </cfRule>
  </conditionalFormatting>
  <conditionalFormatting sqref="E482">
    <cfRule type="expression" dxfId="584" priority="585">
      <formula>$I482&lt;&gt;"-"</formula>
    </cfRule>
  </conditionalFormatting>
  <conditionalFormatting sqref="B486">
    <cfRule type="expression" dxfId="583" priority="582">
      <formula>AD486&lt;&gt;""</formula>
    </cfRule>
  </conditionalFormatting>
  <conditionalFormatting sqref="Z486">
    <cfRule type="cellIs" dxfId="582" priority="580" operator="greaterThan">
      <formula>0</formula>
    </cfRule>
    <cfRule type="cellIs" dxfId="581" priority="581" operator="lessThan">
      <formula>0</formula>
    </cfRule>
  </conditionalFormatting>
  <conditionalFormatting sqref="S486">
    <cfRule type="cellIs" dxfId="580" priority="579" operator="lessThan">
      <formula>0</formula>
    </cfRule>
  </conditionalFormatting>
  <conditionalFormatting sqref="P486">
    <cfRule type="cellIs" dxfId="579" priority="577" operator="equal">
      <formula>AS_DURATION_EFFORT</formula>
    </cfRule>
    <cfRule type="cellIs" dxfId="578" priority="578" operator="equal">
      <formula>AS_DEV_EFFORT</formula>
    </cfRule>
  </conditionalFormatting>
  <conditionalFormatting sqref="L486:AC486">
    <cfRule type="expression" dxfId="577" priority="583">
      <formula>AND($G486="Yes", $S$6="Exclude")</formula>
    </cfRule>
    <cfRule type="expression" dxfId="576" priority="584">
      <formula>$J486="Yes"</formula>
    </cfRule>
  </conditionalFormatting>
  <conditionalFormatting sqref="F486">
    <cfRule type="expression" dxfId="575" priority="576">
      <formula>$K486&lt;&gt;""</formula>
    </cfRule>
  </conditionalFormatting>
  <conditionalFormatting sqref="C486">
    <cfRule type="expression" dxfId="574" priority="575">
      <formula>$G486&lt;&gt;"-"</formula>
    </cfRule>
  </conditionalFormatting>
  <conditionalFormatting sqref="D486">
    <cfRule type="expression" dxfId="573" priority="574">
      <formula>$H486&lt;&gt;"-"</formula>
    </cfRule>
  </conditionalFormatting>
  <conditionalFormatting sqref="E486">
    <cfRule type="expression" dxfId="572" priority="573">
      <formula>$I486&lt;&gt;"-"</formula>
    </cfRule>
  </conditionalFormatting>
  <conditionalFormatting sqref="B489">
    <cfRule type="expression" dxfId="571" priority="572">
      <formula>AD489&lt;&gt;""</formula>
    </cfRule>
  </conditionalFormatting>
  <conditionalFormatting sqref="Z489">
    <cfRule type="cellIs" dxfId="570" priority="570" operator="greaterThan">
      <formula>0</formula>
    </cfRule>
    <cfRule type="cellIs" dxfId="569" priority="571" operator="lessThan">
      <formula>0</formula>
    </cfRule>
  </conditionalFormatting>
  <conditionalFormatting sqref="S489">
    <cfRule type="cellIs" dxfId="568" priority="569" operator="lessThan">
      <formula>0</formula>
    </cfRule>
  </conditionalFormatting>
  <conditionalFormatting sqref="P489">
    <cfRule type="cellIs" dxfId="567" priority="567" operator="equal">
      <formula>AS_DURATION_EFFORT</formula>
    </cfRule>
    <cfRule type="cellIs" dxfId="566" priority="568" operator="equal">
      <formula>AS_DEV_EFFORT</formula>
    </cfRule>
  </conditionalFormatting>
  <conditionalFormatting sqref="F489">
    <cfRule type="expression" dxfId="565" priority="566">
      <formula>$K489&lt;&gt;""</formula>
    </cfRule>
  </conditionalFormatting>
  <conditionalFormatting sqref="C489">
    <cfRule type="expression" dxfId="564" priority="565">
      <formula>$G489&lt;&gt;"-"</formula>
    </cfRule>
  </conditionalFormatting>
  <conditionalFormatting sqref="D489">
    <cfRule type="expression" dxfId="563" priority="564">
      <formula>$H489&lt;&gt;"-"</formula>
    </cfRule>
  </conditionalFormatting>
  <conditionalFormatting sqref="E489">
    <cfRule type="expression" dxfId="562" priority="563">
      <formula>$I489&lt;&gt;"-"</formula>
    </cfRule>
  </conditionalFormatting>
  <conditionalFormatting sqref="B487">
    <cfRule type="expression" dxfId="561" priority="560">
      <formula>AD487&lt;&gt;""</formula>
    </cfRule>
  </conditionalFormatting>
  <conditionalFormatting sqref="Z487">
    <cfRule type="cellIs" dxfId="560" priority="558" operator="greaterThan">
      <formula>0</formula>
    </cfRule>
    <cfRule type="cellIs" dxfId="559" priority="559" operator="lessThan">
      <formula>0</formula>
    </cfRule>
  </conditionalFormatting>
  <conditionalFormatting sqref="S487">
    <cfRule type="cellIs" dxfId="558" priority="557" operator="lessThan">
      <formula>0</formula>
    </cfRule>
  </conditionalFormatting>
  <conditionalFormatting sqref="P487">
    <cfRule type="cellIs" dxfId="557" priority="555" operator="equal">
      <formula>AS_DURATION_EFFORT</formula>
    </cfRule>
    <cfRule type="cellIs" dxfId="556" priority="556" operator="equal">
      <formula>AS_DEV_EFFORT</formula>
    </cfRule>
  </conditionalFormatting>
  <conditionalFormatting sqref="L487:AC487">
    <cfRule type="expression" dxfId="555" priority="561">
      <formula>AND($G487="Yes", $S$6="Exclude")</formula>
    </cfRule>
    <cfRule type="expression" dxfId="554" priority="562">
      <formula>$J487="Yes"</formula>
    </cfRule>
  </conditionalFormatting>
  <conditionalFormatting sqref="F487">
    <cfRule type="expression" dxfId="553" priority="554">
      <formula>$K487&lt;&gt;""</formula>
    </cfRule>
  </conditionalFormatting>
  <conditionalFormatting sqref="C487">
    <cfRule type="expression" dxfId="552" priority="553">
      <formula>$G487&lt;&gt;"-"</formula>
    </cfRule>
  </conditionalFormatting>
  <conditionalFormatting sqref="D487">
    <cfRule type="expression" dxfId="551" priority="552">
      <formula>$H487&lt;&gt;"-"</formula>
    </cfRule>
  </conditionalFormatting>
  <conditionalFormatting sqref="E487">
    <cfRule type="expression" dxfId="550" priority="551">
      <formula>$I487&lt;&gt;"-"</formula>
    </cfRule>
  </conditionalFormatting>
  <conditionalFormatting sqref="B467">
    <cfRule type="expression" dxfId="549" priority="550">
      <formula>AD467&lt;&gt;""</formula>
    </cfRule>
  </conditionalFormatting>
  <conditionalFormatting sqref="Z467">
    <cfRule type="cellIs" dxfId="548" priority="548" operator="greaterThan">
      <formula>0</formula>
    </cfRule>
    <cfRule type="cellIs" dxfId="547" priority="549" operator="lessThan">
      <formula>0</formula>
    </cfRule>
  </conditionalFormatting>
  <conditionalFormatting sqref="S467">
    <cfRule type="cellIs" dxfId="546" priority="547" operator="lessThan">
      <formula>0</formula>
    </cfRule>
  </conditionalFormatting>
  <conditionalFormatting sqref="P467">
    <cfRule type="cellIs" dxfId="545" priority="545" operator="equal">
      <formula>AS_DURATION_EFFORT</formula>
    </cfRule>
    <cfRule type="cellIs" dxfId="544" priority="546" operator="equal">
      <formula>AS_DEV_EFFORT</formula>
    </cfRule>
  </conditionalFormatting>
  <conditionalFormatting sqref="F467">
    <cfRule type="expression" dxfId="543" priority="544">
      <formula>$K467&lt;&gt;""</formula>
    </cfRule>
  </conditionalFormatting>
  <conditionalFormatting sqref="C467">
    <cfRule type="expression" dxfId="542" priority="543">
      <formula>$G467&lt;&gt;"-"</formula>
    </cfRule>
  </conditionalFormatting>
  <conditionalFormatting sqref="D467">
    <cfRule type="expression" dxfId="541" priority="542">
      <formula>$H467&lt;&gt;"-"</formula>
    </cfRule>
  </conditionalFormatting>
  <conditionalFormatting sqref="E467">
    <cfRule type="expression" dxfId="540" priority="541">
      <formula>$I467&lt;&gt;"-"</formula>
    </cfRule>
  </conditionalFormatting>
  <conditionalFormatting sqref="B153">
    <cfRule type="expression" dxfId="539" priority="537">
      <formula>AD153&lt;&gt;""</formula>
    </cfRule>
  </conditionalFormatting>
  <conditionalFormatting sqref="Z153">
    <cfRule type="cellIs" dxfId="538" priority="535" operator="greaterThan">
      <formula>0</formula>
    </cfRule>
    <cfRule type="cellIs" dxfId="537" priority="536" operator="lessThan">
      <formula>0</formula>
    </cfRule>
  </conditionalFormatting>
  <conditionalFormatting sqref="S153">
    <cfRule type="cellIs" dxfId="536" priority="534" operator="lessThan">
      <formula>0</formula>
    </cfRule>
  </conditionalFormatting>
  <conditionalFormatting sqref="T151:T152">
    <cfRule type="expression" dxfId="535" priority="538">
      <formula>#REF!="Yes"</formula>
    </cfRule>
  </conditionalFormatting>
  <conditionalFormatting sqref="P153">
    <cfRule type="cellIs" dxfId="534" priority="532" operator="equal">
      <formula>AS_DURATION_EFFORT</formula>
    </cfRule>
    <cfRule type="cellIs" dxfId="533" priority="533" operator="equal">
      <formula>AS_DEV_EFFORT</formula>
    </cfRule>
  </conditionalFormatting>
  <conditionalFormatting sqref="B151:B152">
    <cfRule type="expression" dxfId="532" priority="531">
      <formula>AD151&lt;&gt;""</formula>
    </cfRule>
  </conditionalFormatting>
  <conditionalFormatting sqref="L153:AC153">
    <cfRule type="expression" dxfId="531" priority="539">
      <formula>AND($G153="Yes", $S$6="Exclude")</formula>
    </cfRule>
    <cfRule type="expression" dxfId="530" priority="540">
      <formula>$J153="Yes"</formula>
    </cfRule>
  </conditionalFormatting>
  <conditionalFormatting sqref="F153">
    <cfRule type="expression" dxfId="529" priority="530">
      <formula>$K153&lt;&gt;""</formula>
    </cfRule>
  </conditionalFormatting>
  <conditionalFormatting sqref="C153">
    <cfRule type="expression" dxfId="528" priority="529">
      <formula>$G153&lt;&gt;"-"</formula>
    </cfRule>
  </conditionalFormatting>
  <conditionalFormatting sqref="D153">
    <cfRule type="expression" dxfId="527" priority="528">
      <formula>$H153&lt;&gt;"-"</formula>
    </cfRule>
  </conditionalFormatting>
  <conditionalFormatting sqref="E153">
    <cfRule type="expression" dxfId="526" priority="527">
      <formula>$I153&lt;&gt;"-"</formula>
    </cfRule>
  </conditionalFormatting>
  <conditionalFormatting sqref="B158">
    <cfRule type="expression" dxfId="525" priority="524">
      <formula>AD158&lt;&gt;""</formula>
    </cfRule>
  </conditionalFormatting>
  <conditionalFormatting sqref="Z158">
    <cfRule type="cellIs" dxfId="524" priority="522" operator="greaterThan">
      <formula>0</formula>
    </cfRule>
    <cfRule type="cellIs" dxfId="523" priority="523" operator="lessThan">
      <formula>0</formula>
    </cfRule>
  </conditionalFormatting>
  <conditionalFormatting sqref="S158">
    <cfRule type="cellIs" dxfId="522" priority="521" operator="lessThan">
      <formula>0</formula>
    </cfRule>
  </conditionalFormatting>
  <conditionalFormatting sqref="P158">
    <cfRule type="cellIs" dxfId="521" priority="519" operator="equal">
      <formula>AS_DURATION_EFFORT</formula>
    </cfRule>
    <cfRule type="cellIs" dxfId="520" priority="520" operator="equal">
      <formula>AS_DEV_EFFORT</formula>
    </cfRule>
  </conditionalFormatting>
  <conditionalFormatting sqref="L158:AC158">
    <cfRule type="expression" dxfId="519" priority="525">
      <formula>AND($G158="Yes", $S$6="Exclude")</formula>
    </cfRule>
    <cfRule type="expression" dxfId="518" priority="526">
      <formula>$J158="Yes"</formula>
    </cfRule>
  </conditionalFormatting>
  <conditionalFormatting sqref="F158">
    <cfRule type="expression" dxfId="517" priority="518">
      <formula>$K158&lt;&gt;""</formula>
    </cfRule>
  </conditionalFormatting>
  <conditionalFormatting sqref="C158">
    <cfRule type="expression" dxfId="516" priority="517">
      <formula>$G158&lt;&gt;"-"</formula>
    </cfRule>
  </conditionalFormatting>
  <conditionalFormatting sqref="D158">
    <cfRule type="expression" dxfId="515" priority="516">
      <formula>$H158&lt;&gt;"-"</formula>
    </cfRule>
  </conditionalFormatting>
  <conditionalFormatting sqref="E158">
    <cfRule type="expression" dxfId="514" priority="515">
      <formula>$I158&lt;&gt;"-"</formula>
    </cfRule>
  </conditionalFormatting>
  <conditionalFormatting sqref="B157">
    <cfRule type="expression" dxfId="513" priority="512">
      <formula>AD157&lt;&gt;""</formula>
    </cfRule>
  </conditionalFormatting>
  <conditionalFormatting sqref="Z157">
    <cfRule type="cellIs" dxfId="512" priority="510" operator="greaterThan">
      <formula>0</formula>
    </cfRule>
    <cfRule type="cellIs" dxfId="511" priority="511" operator="lessThan">
      <formula>0</formula>
    </cfRule>
  </conditionalFormatting>
  <conditionalFormatting sqref="S157">
    <cfRule type="cellIs" dxfId="510" priority="509" operator="lessThan">
      <formula>0</formula>
    </cfRule>
  </conditionalFormatting>
  <conditionalFormatting sqref="P157">
    <cfRule type="cellIs" dxfId="509" priority="507" operator="equal">
      <formula>AS_DURATION_EFFORT</formula>
    </cfRule>
    <cfRule type="cellIs" dxfId="508" priority="508" operator="equal">
      <formula>AS_DEV_EFFORT</formula>
    </cfRule>
  </conditionalFormatting>
  <conditionalFormatting sqref="L157:AC157">
    <cfRule type="expression" dxfId="507" priority="513">
      <formula>AND($G157="Yes", $S$6="Exclude")</formula>
    </cfRule>
    <cfRule type="expression" dxfId="506" priority="514">
      <formula>$J157="Yes"</formula>
    </cfRule>
  </conditionalFormatting>
  <conditionalFormatting sqref="F157">
    <cfRule type="expression" dxfId="505" priority="506">
      <formula>$K157&lt;&gt;""</formula>
    </cfRule>
  </conditionalFormatting>
  <conditionalFormatting sqref="C157">
    <cfRule type="expression" dxfId="504" priority="505">
      <formula>$G157&lt;&gt;"-"</formula>
    </cfRule>
  </conditionalFormatting>
  <conditionalFormatting sqref="D157">
    <cfRule type="expression" dxfId="503" priority="504">
      <formula>$H157&lt;&gt;"-"</formula>
    </cfRule>
  </conditionalFormatting>
  <conditionalFormatting sqref="E157">
    <cfRule type="expression" dxfId="502" priority="503">
      <formula>$I157&lt;&gt;"-"</formula>
    </cfRule>
  </conditionalFormatting>
  <conditionalFormatting sqref="B156">
    <cfRule type="expression" dxfId="501" priority="500">
      <formula>AD156&lt;&gt;""</formula>
    </cfRule>
  </conditionalFormatting>
  <conditionalFormatting sqref="Z156">
    <cfRule type="cellIs" dxfId="500" priority="498" operator="greaterThan">
      <formula>0</formula>
    </cfRule>
    <cfRule type="cellIs" dxfId="499" priority="499" operator="lessThan">
      <formula>0</formula>
    </cfRule>
  </conditionalFormatting>
  <conditionalFormatting sqref="S156">
    <cfRule type="cellIs" dxfId="498" priority="497" operator="lessThan">
      <formula>0</formula>
    </cfRule>
  </conditionalFormatting>
  <conditionalFormatting sqref="P156">
    <cfRule type="cellIs" dxfId="497" priority="495" operator="equal">
      <formula>AS_DURATION_EFFORT</formula>
    </cfRule>
    <cfRule type="cellIs" dxfId="496" priority="496" operator="equal">
      <formula>AS_DEV_EFFORT</formula>
    </cfRule>
  </conditionalFormatting>
  <conditionalFormatting sqref="L156:AC156">
    <cfRule type="expression" dxfId="495" priority="501">
      <formula>AND($G156="Yes", $S$6="Exclude")</formula>
    </cfRule>
    <cfRule type="expression" dxfId="494" priority="502">
      <formula>$J156="Yes"</formula>
    </cfRule>
  </conditionalFormatting>
  <conditionalFormatting sqref="F156">
    <cfRule type="expression" dxfId="493" priority="494">
      <formula>$K156&lt;&gt;""</formula>
    </cfRule>
  </conditionalFormatting>
  <conditionalFormatting sqref="C156">
    <cfRule type="expression" dxfId="492" priority="493">
      <formula>$G156&lt;&gt;"-"</formula>
    </cfRule>
  </conditionalFormatting>
  <conditionalFormatting sqref="D156">
    <cfRule type="expression" dxfId="491" priority="492">
      <formula>$H156&lt;&gt;"-"</formula>
    </cfRule>
  </conditionalFormatting>
  <conditionalFormatting sqref="E156">
    <cfRule type="expression" dxfId="490" priority="491">
      <formula>$I156&lt;&gt;"-"</formula>
    </cfRule>
  </conditionalFormatting>
  <conditionalFormatting sqref="B155">
    <cfRule type="expression" dxfId="489" priority="488">
      <formula>AD155&lt;&gt;""</formula>
    </cfRule>
  </conditionalFormatting>
  <conditionalFormatting sqref="Z155">
    <cfRule type="cellIs" dxfId="488" priority="486" operator="greaterThan">
      <formula>0</formula>
    </cfRule>
    <cfRule type="cellIs" dxfId="487" priority="487" operator="lessThan">
      <formula>0</formula>
    </cfRule>
  </conditionalFormatting>
  <conditionalFormatting sqref="S155">
    <cfRule type="cellIs" dxfId="486" priority="485" operator="lessThan">
      <formula>0</formula>
    </cfRule>
  </conditionalFormatting>
  <conditionalFormatting sqref="P155">
    <cfRule type="cellIs" dxfId="485" priority="483" operator="equal">
      <formula>AS_DURATION_EFFORT</formula>
    </cfRule>
    <cfRule type="cellIs" dxfId="484" priority="484" operator="equal">
      <formula>AS_DEV_EFFORT</formula>
    </cfRule>
  </conditionalFormatting>
  <conditionalFormatting sqref="L155:AC155">
    <cfRule type="expression" dxfId="483" priority="489">
      <formula>AND($G155="Yes", $S$6="Exclude")</formula>
    </cfRule>
    <cfRule type="expression" dxfId="482" priority="490">
      <formula>$J155="Yes"</formula>
    </cfRule>
  </conditionalFormatting>
  <conditionalFormatting sqref="F155">
    <cfRule type="expression" dxfId="481" priority="482">
      <formula>$K155&lt;&gt;""</formula>
    </cfRule>
  </conditionalFormatting>
  <conditionalFormatting sqref="C155">
    <cfRule type="expression" dxfId="480" priority="481">
      <formula>$G155&lt;&gt;"-"</formula>
    </cfRule>
  </conditionalFormatting>
  <conditionalFormatting sqref="D155">
    <cfRule type="expression" dxfId="479" priority="480">
      <formula>$H155&lt;&gt;"-"</formula>
    </cfRule>
  </conditionalFormatting>
  <conditionalFormatting sqref="E155">
    <cfRule type="expression" dxfId="478" priority="479">
      <formula>$I155&lt;&gt;"-"</formula>
    </cfRule>
  </conditionalFormatting>
  <conditionalFormatting sqref="B154">
    <cfRule type="expression" dxfId="477" priority="476">
      <formula>AD154&lt;&gt;""</formula>
    </cfRule>
  </conditionalFormatting>
  <conditionalFormatting sqref="Z154">
    <cfRule type="cellIs" dxfId="476" priority="474" operator="greaterThan">
      <formula>0</formula>
    </cfRule>
    <cfRule type="cellIs" dxfId="475" priority="475" operator="lessThan">
      <formula>0</formula>
    </cfRule>
  </conditionalFormatting>
  <conditionalFormatting sqref="S154">
    <cfRule type="cellIs" dxfId="474" priority="473" operator="lessThan">
      <formula>0</formula>
    </cfRule>
  </conditionalFormatting>
  <conditionalFormatting sqref="P154">
    <cfRule type="cellIs" dxfId="473" priority="471" operator="equal">
      <formula>AS_DURATION_EFFORT</formula>
    </cfRule>
    <cfRule type="cellIs" dxfId="472" priority="472" operator="equal">
      <formula>AS_DEV_EFFORT</formula>
    </cfRule>
  </conditionalFormatting>
  <conditionalFormatting sqref="L154:AC154">
    <cfRule type="expression" dxfId="471" priority="477">
      <formula>AND($G154="Yes", $S$6="Exclude")</formula>
    </cfRule>
    <cfRule type="expression" dxfId="470" priority="478">
      <formula>$J154="Yes"</formula>
    </cfRule>
  </conditionalFormatting>
  <conditionalFormatting sqref="F154">
    <cfRule type="expression" dxfId="469" priority="470">
      <formula>$K154&lt;&gt;""</formula>
    </cfRule>
  </conditionalFormatting>
  <conditionalFormatting sqref="C154">
    <cfRule type="expression" dxfId="468" priority="469">
      <formula>$G154&lt;&gt;"-"</formula>
    </cfRule>
  </conditionalFormatting>
  <conditionalFormatting sqref="D154">
    <cfRule type="expression" dxfId="467" priority="468">
      <formula>$H154&lt;&gt;"-"</formula>
    </cfRule>
  </conditionalFormatting>
  <conditionalFormatting sqref="E154">
    <cfRule type="expression" dxfId="466" priority="467">
      <formula>$I154&lt;&gt;"-"</formula>
    </cfRule>
  </conditionalFormatting>
  <conditionalFormatting sqref="B468">
    <cfRule type="expression" dxfId="465" priority="466">
      <formula>AD468&lt;&gt;""</formula>
    </cfRule>
  </conditionalFormatting>
  <conditionalFormatting sqref="Z468">
    <cfRule type="cellIs" dxfId="464" priority="464" operator="greaterThan">
      <formula>0</formula>
    </cfRule>
    <cfRule type="cellIs" dxfId="463" priority="465" operator="lessThan">
      <formula>0</formula>
    </cfRule>
  </conditionalFormatting>
  <conditionalFormatting sqref="S468">
    <cfRule type="cellIs" dxfId="462" priority="463" operator="lessThan">
      <formula>0</formula>
    </cfRule>
  </conditionalFormatting>
  <conditionalFormatting sqref="P468">
    <cfRule type="cellIs" dxfId="461" priority="461" operator="equal">
      <formula>AS_DURATION_EFFORT</formula>
    </cfRule>
    <cfRule type="cellIs" dxfId="460" priority="462" operator="equal">
      <formula>AS_DEV_EFFORT</formula>
    </cfRule>
  </conditionalFormatting>
  <conditionalFormatting sqref="F468">
    <cfRule type="expression" dxfId="459" priority="460">
      <formula>$K468&lt;&gt;""</formula>
    </cfRule>
  </conditionalFormatting>
  <conditionalFormatting sqref="C468">
    <cfRule type="expression" dxfId="458" priority="459">
      <formula>$G468&lt;&gt;"-"</formula>
    </cfRule>
  </conditionalFormatting>
  <conditionalFormatting sqref="D468">
    <cfRule type="expression" dxfId="457" priority="458">
      <formula>$H468&lt;&gt;"-"</formula>
    </cfRule>
  </conditionalFormatting>
  <conditionalFormatting sqref="E468">
    <cfRule type="expression" dxfId="456" priority="457">
      <formula>$I468&lt;&gt;"-"</formula>
    </cfRule>
  </conditionalFormatting>
  <conditionalFormatting sqref="B405">
    <cfRule type="expression" dxfId="455" priority="456">
      <formula>AD405&lt;&gt;""</formula>
    </cfRule>
  </conditionalFormatting>
  <conditionalFormatting sqref="Z405">
    <cfRule type="cellIs" dxfId="454" priority="454" operator="greaterThan">
      <formula>0</formula>
    </cfRule>
    <cfRule type="cellIs" dxfId="453" priority="455" operator="lessThan">
      <formula>0</formula>
    </cfRule>
  </conditionalFormatting>
  <conditionalFormatting sqref="S405">
    <cfRule type="cellIs" dxfId="452" priority="453" operator="lessThan">
      <formula>0</formula>
    </cfRule>
  </conditionalFormatting>
  <conditionalFormatting sqref="P405">
    <cfRule type="cellIs" dxfId="451" priority="451" operator="equal">
      <formula>AS_DURATION_EFFORT</formula>
    </cfRule>
    <cfRule type="cellIs" dxfId="450" priority="452" operator="equal">
      <formula>AS_DEV_EFFORT</formula>
    </cfRule>
  </conditionalFormatting>
  <conditionalFormatting sqref="F405">
    <cfRule type="expression" dxfId="449" priority="450">
      <formula>$K405&lt;&gt;""</formula>
    </cfRule>
  </conditionalFormatting>
  <conditionalFormatting sqref="C405">
    <cfRule type="expression" dxfId="448" priority="449">
      <formula>$G405&lt;&gt;"-"</formula>
    </cfRule>
  </conditionalFormatting>
  <conditionalFormatting sqref="D405">
    <cfRule type="expression" dxfId="447" priority="448">
      <formula>$H405&lt;&gt;"-"</formula>
    </cfRule>
  </conditionalFormatting>
  <conditionalFormatting sqref="E405">
    <cfRule type="expression" dxfId="446" priority="447">
      <formula>$I405&lt;&gt;"-"</formula>
    </cfRule>
  </conditionalFormatting>
  <conditionalFormatting sqref="B404">
    <cfRule type="expression" dxfId="445" priority="446">
      <formula>AD404&lt;&gt;""</formula>
    </cfRule>
  </conditionalFormatting>
  <conditionalFormatting sqref="Z404">
    <cfRule type="cellIs" dxfId="444" priority="444" operator="greaterThan">
      <formula>0</formula>
    </cfRule>
    <cfRule type="cellIs" dxfId="443" priority="445" operator="lessThan">
      <formula>0</formula>
    </cfRule>
  </conditionalFormatting>
  <conditionalFormatting sqref="S404">
    <cfRule type="cellIs" dxfId="442" priority="443" operator="lessThan">
      <formula>0</formula>
    </cfRule>
  </conditionalFormatting>
  <conditionalFormatting sqref="P404">
    <cfRule type="cellIs" dxfId="441" priority="441" operator="equal">
      <formula>AS_DURATION_EFFORT</formula>
    </cfRule>
    <cfRule type="cellIs" dxfId="440" priority="442" operator="equal">
      <formula>AS_DEV_EFFORT</formula>
    </cfRule>
  </conditionalFormatting>
  <conditionalFormatting sqref="F404">
    <cfRule type="expression" dxfId="439" priority="440">
      <formula>$K404&lt;&gt;""</formula>
    </cfRule>
  </conditionalFormatting>
  <conditionalFormatting sqref="C404">
    <cfRule type="expression" dxfId="438" priority="439">
      <formula>$G404&lt;&gt;"-"</formula>
    </cfRule>
  </conditionalFormatting>
  <conditionalFormatting sqref="D404">
    <cfRule type="expression" dxfId="437" priority="438">
      <formula>$H404&lt;&gt;"-"</formula>
    </cfRule>
  </conditionalFormatting>
  <conditionalFormatting sqref="E404">
    <cfRule type="expression" dxfId="436" priority="437">
      <formula>$I404&lt;&gt;"-"</formula>
    </cfRule>
  </conditionalFormatting>
  <conditionalFormatting sqref="B403">
    <cfRule type="expression" dxfId="435" priority="436">
      <formula>AD403&lt;&gt;""</formula>
    </cfRule>
  </conditionalFormatting>
  <conditionalFormatting sqref="Z403">
    <cfRule type="cellIs" dxfId="434" priority="434" operator="greaterThan">
      <formula>0</formula>
    </cfRule>
    <cfRule type="cellIs" dxfId="433" priority="435" operator="lessThan">
      <formula>0</formula>
    </cfRule>
  </conditionalFormatting>
  <conditionalFormatting sqref="S403">
    <cfRule type="cellIs" dxfId="432" priority="433" operator="lessThan">
      <formula>0</formula>
    </cfRule>
  </conditionalFormatting>
  <conditionalFormatting sqref="P403">
    <cfRule type="cellIs" dxfId="431" priority="431" operator="equal">
      <formula>AS_DURATION_EFFORT</formula>
    </cfRule>
    <cfRule type="cellIs" dxfId="430" priority="432" operator="equal">
      <formula>AS_DEV_EFFORT</formula>
    </cfRule>
  </conditionalFormatting>
  <conditionalFormatting sqref="F403">
    <cfRule type="expression" dxfId="429" priority="430">
      <formula>$K403&lt;&gt;""</formula>
    </cfRule>
  </conditionalFormatting>
  <conditionalFormatting sqref="C403">
    <cfRule type="expression" dxfId="428" priority="429">
      <formula>$G403&lt;&gt;"-"</formula>
    </cfRule>
  </conditionalFormatting>
  <conditionalFormatting sqref="D403">
    <cfRule type="expression" dxfId="427" priority="428">
      <formula>$H403&lt;&gt;"-"</formula>
    </cfRule>
  </conditionalFormatting>
  <conditionalFormatting sqref="E403">
    <cfRule type="expression" dxfId="426" priority="427">
      <formula>$I403&lt;&gt;"-"</formula>
    </cfRule>
  </conditionalFormatting>
  <conditionalFormatting sqref="B382">
    <cfRule type="expression" dxfId="425" priority="426">
      <formula>AD382&lt;&gt;""</formula>
    </cfRule>
  </conditionalFormatting>
  <conditionalFormatting sqref="Z382">
    <cfRule type="cellIs" dxfId="424" priority="424" operator="greaterThan">
      <formula>0</formula>
    </cfRule>
    <cfRule type="cellIs" dxfId="423" priority="425" operator="lessThan">
      <formula>0</formula>
    </cfRule>
  </conditionalFormatting>
  <conditionalFormatting sqref="S382">
    <cfRule type="cellIs" dxfId="422" priority="423" operator="lessThan">
      <formula>0</formula>
    </cfRule>
  </conditionalFormatting>
  <conditionalFormatting sqref="P382">
    <cfRule type="cellIs" dxfId="421" priority="421" operator="equal">
      <formula>AS_DURATION_EFFORT</formula>
    </cfRule>
    <cfRule type="cellIs" dxfId="420" priority="422" operator="equal">
      <formula>AS_DEV_EFFORT</formula>
    </cfRule>
  </conditionalFormatting>
  <conditionalFormatting sqref="F382">
    <cfRule type="expression" dxfId="419" priority="420">
      <formula>$K382&lt;&gt;""</formula>
    </cfRule>
  </conditionalFormatting>
  <conditionalFormatting sqref="C382">
    <cfRule type="expression" dxfId="418" priority="419">
      <formula>$G382&lt;&gt;"-"</formula>
    </cfRule>
  </conditionalFormatting>
  <conditionalFormatting sqref="D382">
    <cfRule type="expression" dxfId="417" priority="418">
      <formula>$H382&lt;&gt;"-"</formula>
    </cfRule>
  </conditionalFormatting>
  <conditionalFormatting sqref="E382">
    <cfRule type="expression" dxfId="416" priority="417">
      <formula>$I382&lt;&gt;"-"</formula>
    </cfRule>
  </conditionalFormatting>
  <conditionalFormatting sqref="B337">
    <cfRule type="expression" dxfId="415" priority="416">
      <formula>AD337&lt;&gt;""</formula>
    </cfRule>
  </conditionalFormatting>
  <conditionalFormatting sqref="Z337">
    <cfRule type="cellIs" dxfId="414" priority="414" operator="greaterThan">
      <formula>0</formula>
    </cfRule>
    <cfRule type="cellIs" dxfId="413" priority="415" operator="lessThan">
      <formula>0</formula>
    </cfRule>
  </conditionalFormatting>
  <conditionalFormatting sqref="S337">
    <cfRule type="cellIs" dxfId="412" priority="413" operator="lessThan">
      <formula>0</formula>
    </cfRule>
  </conditionalFormatting>
  <conditionalFormatting sqref="P337">
    <cfRule type="cellIs" dxfId="411" priority="411" operator="equal">
      <formula>AS_DURATION_EFFORT</formula>
    </cfRule>
    <cfRule type="cellIs" dxfId="410" priority="412" operator="equal">
      <formula>AS_DEV_EFFORT</formula>
    </cfRule>
  </conditionalFormatting>
  <conditionalFormatting sqref="F337">
    <cfRule type="expression" dxfId="409" priority="410">
      <formula>$K337&lt;&gt;""</formula>
    </cfRule>
  </conditionalFormatting>
  <conditionalFormatting sqref="C337">
    <cfRule type="expression" dxfId="408" priority="409">
      <formula>$G337&lt;&gt;"-"</formula>
    </cfRule>
  </conditionalFormatting>
  <conditionalFormatting sqref="D337">
    <cfRule type="expression" dxfId="407" priority="408">
      <formula>$H337&lt;&gt;"-"</formula>
    </cfRule>
  </conditionalFormatting>
  <conditionalFormatting sqref="E337">
    <cfRule type="expression" dxfId="406" priority="407">
      <formula>$I337&lt;&gt;"-"</formula>
    </cfRule>
  </conditionalFormatting>
  <conditionalFormatting sqref="B316">
    <cfRule type="expression" dxfId="405" priority="406">
      <formula>AD316&lt;&gt;""</formula>
    </cfRule>
  </conditionalFormatting>
  <conditionalFormatting sqref="Z316">
    <cfRule type="cellIs" dxfId="404" priority="404" operator="greaterThan">
      <formula>0</formula>
    </cfRule>
    <cfRule type="cellIs" dxfId="403" priority="405" operator="lessThan">
      <formula>0</formula>
    </cfRule>
  </conditionalFormatting>
  <conditionalFormatting sqref="S316">
    <cfRule type="cellIs" dxfId="402" priority="403" operator="lessThan">
      <formula>0</formula>
    </cfRule>
  </conditionalFormatting>
  <conditionalFormatting sqref="P316">
    <cfRule type="cellIs" dxfId="401" priority="401" operator="equal">
      <formula>AS_DURATION_EFFORT</formula>
    </cfRule>
    <cfRule type="cellIs" dxfId="400" priority="402" operator="equal">
      <formula>AS_DEV_EFFORT</formula>
    </cfRule>
  </conditionalFormatting>
  <conditionalFormatting sqref="F316">
    <cfRule type="expression" dxfId="399" priority="400">
      <formula>$K316&lt;&gt;""</formula>
    </cfRule>
  </conditionalFormatting>
  <conditionalFormatting sqref="C316">
    <cfRule type="expression" dxfId="398" priority="399">
      <formula>$G316&lt;&gt;"-"</formula>
    </cfRule>
  </conditionalFormatting>
  <conditionalFormatting sqref="D316">
    <cfRule type="expression" dxfId="397" priority="398">
      <formula>$H316&lt;&gt;"-"</formula>
    </cfRule>
  </conditionalFormatting>
  <conditionalFormatting sqref="E316">
    <cfRule type="expression" dxfId="396" priority="397">
      <formula>$I316&lt;&gt;"-"</formula>
    </cfRule>
  </conditionalFormatting>
  <conditionalFormatting sqref="B300">
    <cfRule type="expression" dxfId="395" priority="396">
      <formula>AD300&lt;&gt;""</formula>
    </cfRule>
  </conditionalFormatting>
  <conditionalFormatting sqref="Z300">
    <cfRule type="cellIs" dxfId="394" priority="394" operator="greaterThan">
      <formula>0</formula>
    </cfRule>
    <cfRule type="cellIs" dxfId="393" priority="395" operator="lessThan">
      <formula>0</formula>
    </cfRule>
  </conditionalFormatting>
  <conditionalFormatting sqref="S300">
    <cfRule type="cellIs" dxfId="392" priority="393" operator="lessThan">
      <formula>0</formula>
    </cfRule>
  </conditionalFormatting>
  <conditionalFormatting sqref="P300">
    <cfRule type="cellIs" dxfId="391" priority="391" operator="equal">
      <formula>AS_DURATION_EFFORT</formula>
    </cfRule>
    <cfRule type="cellIs" dxfId="390" priority="392" operator="equal">
      <formula>AS_DEV_EFFORT</formula>
    </cfRule>
  </conditionalFormatting>
  <conditionalFormatting sqref="F300">
    <cfRule type="expression" dxfId="389" priority="390">
      <formula>$K300&lt;&gt;""</formula>
    </cfRule>
  </conditionalFormatting>
  <conditionalFormatting sqref="C300">
    <cfRule type="expression" dxfId="388" priority="389">
      <formula>$G300&lt;&gt;"-"</formula>
    </cfRule>
  </conditionalFormatting>
  <conditionalFormatting sqref="D300">
    <cfRule type="expression" dxfId="387" priority="388">
      <formula>$H300&lt;&gt;"-"</formula>
    </cfRule>
  </conditionalFormatting>
  <conditionalFormatting sqref="E300">
    <cfRule type="expression" dxfId="386" priority="387">
      <formula>$I300&lt;&gt;"-"</formula>
    </cfRule>
  </conditionalFormatting>
  <conditionalFormatting sqref="B299">
    <cfRule type="expression" dxfId="385" priority="386">
      <formula>AD299&lt;&gt;""</formula>
    </cfRule>
  </conditionalFormatting>
  <conditionalFormatting sqref="Z299">
    <cfRule type="cellIs" dxfId="384" priority="384" operator="greaterThan">
      <formula>0</formula>
    </cfRule>
    <cfRule type="cellIs" dxfId="383" priority="385" operator="lessThan">
      <formula>0</formula>
    </cfRule>
  </conditionalFormatting>
  <conditionalFormatting sqref="S299">
    <cfRule type="cellIs" dxfId="382" priority="383" operator="lessThan">
      <formula>0</formula>
    </cfRule>
  </conditionalFormatting>
  <conditionalFormatting sqref="P299">
    <cfRule type="cellIs" dxfId="381" priority="381" operator="equal">
      <formula>AS_DURATION_EFFORT</formula>
    </cfRule>
    <cfRule type="cellIs" dxfId="380" priority="382" operator="equal">
      <formula>AS_DEV_EFFORT</formula>
    </cfRule>
  </conditionalFormatting>
  <conditionalFormatting sqref="F299">
    <cfRule type="expression" dxfId="379" priority="380">
      <formula>$K299&lt;&gt;""</formula>
    </cfRule>
  </conditionalFormatting>
  <conditionalFormatting sqref="C299">
    <cfRule type="expression" dxfId="378" priority="379">
      <formula>$G299&lt;&gt;"-"</formula>
    </cfRule>
  </conditionalFormatting>
  <conditionalFormatting sqref="D299">
    <cfRule type="expression" dxfId="377" priority="378">
      <formula>$H299&lt;&gt;"-"</formula>
    </cfRule>
  </conditionalFormatting>
  <conditionalFormatting sqref="E299">
    <cfRule type="expression" dxfId="376" priority="377">
      <formula>$I299&lt;&gt;"-"</formula>
    </cfRule>
  </conditionalFormatting>
  <conditionalFormatting sqref="B298">
    <cfRule type="expression" dxfId="375" priority="376">
      <formula>AD298&lt;&gt;""</formula>
    </cfRule>
  </conditionalFormatting>
  <conditionalFormatting sqref="Z298">
    <cfRule type="cellIs" dxfId="374" priority="374" operator="greaterThan">
      <formula>0</formula>
    </cfRule>
    <cfRule type="cellIs" dxfId="373" priority="375" operator="lessThan">
      <formula>0</formula>
    </cfRule>
  </conditionalFormatting>
  <conditionalFormatting sqref="S298">
    <cfRule type="cellIs" dxfId="372" priority="373" operator="lessThan">
      <formula>0</formula>
    </cfRule>
  </conditionalFormatting>
  <conditionalFormatting sqref="P298">
    <cfRule type="cellIs" dxfId="371" priority="371" operator="equal">
      <formula>AS_DURATION_EFFORT</formula>
    </cfRule>
    <cfRule type="cellIs" dxfId="370" priority="372" operator="equal">
      <formula>AS_DEV_EFFORT</formula>
    </cfRule>
  </conditionalFormatting>
  <conditionalFormatting sqref="F298">
    <cfRule type="expression" dxfId="369" priority="370">
      <formula>$K298&lt;&gt;""</formula>
    </cfRule>
  </conditionalFormatting>
  <conditionalFormatting sqref="C298">
    <cfRule type="expression" dxfId="368" priority="369">
      <formula>$G298&lt;&gt;"-"</formula>
    </cfRule>
  </conditionalFormatting>
  <conditionalFormatting sqref="D298">
    <cfRule type="expression" dxfId="367" priority="368">
      <formula>$H298&lt;&gt;"-"</formula>
    </cfRule>
  </conditionalFormatting>
  <conditionalFormatting sqref="E298">
    <cfRule type="expression" dxfId="366" priority="367">
      <formula>$I298&lt;&gt;"-"</formula>
    </cfRule>
  </conditionalFormatting>
  <conditionalFormatting sqref="B297">
    <cfRule type="expression" dxfId="365" priority="366">
      <formula>AD297&lt;&gt;""</formula>
    </cfRule>
  </conditionalFormatting>
  <conditionalFormatting sqref="Z297">
    <cfRule type="cellIs" dxfId="364" priority="364" operator="greaterThan">
      <formula>0</formula>
    </cfRule>
    <cfRule type="cellIs" dxfId="363" priority="365" operator="lessThan">
      <formula>0</formula>
    </cfRule>
  </conditionalFormatting>
  <conditionalFormatting sqref="S297">
    <cfRule type="cellIs" dxfId="362" priority="363" operator="lessThan">
      <formula>0</formula>
    </cfRule>
  </conditionalFormatting>
  <conditionalFormatting sqref="P297">
    <cfRule type="cellIs" dxfId="361" priority="361" operator="equal">
      <formula>AS_DURATION_EFFORT</formula>
    </cfRule>
    <cfRule type="cellIs" dxfId="360" priority="362" operator="equal">
      <formula>AS_DEV_EFFORT</formula>
    </cfRule>
  </conditionalFormatting>
  <conditionalFormatting sqref="F297">
    <cfRule type="expression" dxfId="359" priority="360">
      <formula>$K297&lt;&gt;""</formula>
    </cfRule>
  </conditionalFormatting>
  <conditionalFormatting sqref="C297">
    <cfRule type="expression" dxfId="358" priority="359">
      <formula>$G297&lt;&gt;"-"</formula>
    </cfRule>
  </conditionalFormatting>
  <conditionalFormatting sqref="D297">
    <cfRule type="expression" dxfId="357" priority="358">
      <formula>$H297&lt;&gt;"-"</formula>
    </cfRule>
  </conditionalFormatting>
  <conditionalFormatting sqref="E297">
    <cfRule type="expression" dxfId="356" priority="357">
      <formula>$I297&lt;&gt;"-"</formula>
    </cfRule>
  </conditionalFormatting>
  <conditionalFormatting sqref="B288">
    <cfRule type="expression" dxfId="355" priority="356">
      <formula>AD288&lt;&gt;""</formula>
    </cfRule>
  </conditionalFormatting>
  <conditionalFormatting sqref="Z288">
    <cfRule type="cellIs" dxfId="354" priority="354" operator="greaterThan">
      <formula>0</formula>
    </cfRule>
    <cfRule type="cellIs" dxfId="353" priority="355" operator="lessThan">
      <formula>0</formula>
    </cfRule>
  </conditionalFormatting>
  <conditionalFormatting sqref="S288">
    <cfRule type="cellIs" dxfId="352" priority="353" operator="lessThan">
      <formula>0</formula>
    </cfRule>
  </conditionalFormatting>
  <conditionalFormatting sqref="P288">
    <cfRule type="cellIs" dxfId="351" priority="351" operator="equal">
      <formula>AS_DURATION_EFFORT</formula>
    </cfRule>
    <cfRule type="cellIs" dxfId="350" priority="352" operator="equal">
      <formula>AS_DEV_EFFORT</formula>
    </cfRule>
  </conditionalFormatting>
  <conditionalFormatting sqref="F288">
    <cfRule type="expression" dxfId="349" priority="350">
      <formula>$K288&lt;&gt;""</formula>
    </cfRule>
  </conditionalFormatting>
  <conditionalFormatting sqref="C288">
    <cfRule type="expression" dxfId="348" priority="349">
      <formula>$G288&lt;&gt;"-"</formula>
    </cfRule>
  </conditionalFormatting>
  <conditionalFormatting sqref="D288">
    <cfRule type="expression" dxfId="347" priority="348">
      <formula>$H288&lt;&gt;"-"</formula>
    </cfRule>
  </conditionalFormatting>
  <conditionalFormatting sqref="E288">
    <cfRule type="expression" dxfId="346" priority="347">
      <formula>$I288&lt;&gt;"-"</formula>
    </cfRule>
  </conditionalFormatting>
  <conditionalFormatting sqref="B287">
    <cfRule type="expression" dxfId="345" priority="346">
      <formula>AD287&lt;&gt;""</formula>
    </cfRule>
  </conditionalFormatting>
  <conditionalFormatting sqref="Z287">
    <cfRule type="cellIs" dxfId="344" priority="344" operator="greaterThan">
      <formula>0</formula>
    </cfRule>
    <cfRule type="cellIs" dxfId="343" priority="345" operator="lessThan">
      <formula>0</formula>
    </cfRule>
  </conditionalFormatting>
  <conditionalFormatting sqref="S287">
    <cfRule type="cellIs" dxfId="342" priority="343" operator="lessThan">
      <formula>0</formula>
    </cfRule>
  </conditionalFormatting>
  <conditionalFormatting sqref="P287">
    <cfRule type="cellIs" dxfId="341" priority="341" operator="equal">
      <formula>AS_DURATION_EFFORT</formula>
    </cfRule>
    <cfRule type="cellIs" dxfId="340" priority="342" operator="equal">
      <formula>AS_DEV_EFFORT</formula>
    </cfRule>
  </conditionalFormatting>
  <conditionalFormatting sqref="F287">
    <cfRule type="expression" dxfId="339" priority="340">
      <formula>$K287&lt;&gt;""</formula>
    </cfRule>
  </conditionalFormatting>
  <conditionalFormatting sqref="C287">
    <cfRule type="expression" dxfId="338" priority="339">
      <formula>$G287&lt;&gt;"-"</formula>
    </cfRule>
  </conditionalFormatting>
  <conditionalFormatting sqref="D287">
    <cfRule type="expression" dxfId="337" priority="338">
      <formula>$H287&lt;&gt;"-"</formula>
    </cfRule>
  </conditionalFormatting>
  <conditionalFormatting sqref="E287">
    <cfRule type="expression" dxfId="336" priority="337">
      <formula>$I287&lt;&gt;"-"</formula>
    </cfRule>
  </conditionalFormatting>
  <conditionalFormatting sqref="B286">
    <cfRule type="expression" dxfId="335" priority="336">
      <formula>AD286&lt;&gt;""</formula>
    </cfRule>
  </conditionalFormatting>
  <conditionalFormatting sqref="Z286">
    <cfRule type="cellIs" dxfId="334" priority="334" operator="greaterThan">
      <formula>0</formula>
    </cfRule>
    <cfRule type="cellIs" dxfId="333" priority="335" operator="lessThan">
      <formula>0</formula>
    </cfRule>
  </conditionalFormatting>
  <conditionalFormatting sqref="S286">
    <cfRule type="cellIs" dxfId="332" priority="333" operator="lessThan">
      <formula>0</formula>
    </cfRule>
  </conditionalFormatting>
  <conditionalFormatting sqref="P286">
    <cfRule type="cellIs" dxfId="331" priority="331" operator="equal">
      <formula>AS_DURATION_EFFORT</formula>
    </cfRule>
    <cfRule type="cellIs" dxfId="330" priority="332" operator="equal">
      <formula>AS_DEV_EFFORT</formula>
    </cfRule>
  </conditionalFormatting>
  <conditionalFormatting sqref="F286">
    <cfRule type="expression" dxfId="329" priority="330">
      <formula>$K286&lt;&gt;""</formula>
    </cfRule>
  </conditionalFormatting>
  <conditionalFormatting sqref="C286">
    <cfRule type="expression" dxfId="328" priority="329">
      <formula>$G286&lt;&gt;"-"</formula>
    </cfRule>
  </conditionalFormatting>
  <conditionalFormatting sqref="D286">
    <cfRule type="expression" dxfId="327" priority="328">
      <formula>$H286&lt;&gt;"-"</formula>
    </cfRule>
  </conditionalFormatting>
  <conditionalFormatting sqref="E286">
    <cfRule type="expression" dxfId="326" priority="327">
      <formula>$I286&lt;&gt;"-"</formula>
    </cfRule>
  </conditionalFormatting>
  <conditionalFormatting sqref="B269">
    <cfRule type="expression" dxfId="325" priority="326">
      <formula>AD269&lt;&gt;""</formula>
    </cfRule>
  </conditionalFormatting>
  <conditionalFormatting sqref="Z269">
    <cfRule type="cellIs" dxfId="324" priority="324" operator="greaterThan">
      <formula>0</formula>
    </cfRule>
    <cfRule type="cellIs" dxfId="323" priority="325" operator="lessThan">
      <formula>0</formula>
    </cfRule>
  </conditionalFormatting>
  <conditionalFormatting sqref="S269">
    <cfRule type="cellIs" dxfId="322" priority="323" operator="lessThan">
      <formula>0</formula>
    </cfRule>
  </conditionalFormatting>
  <conditionalFormatting sqref="P269">
    <cfRule type="cellIs" dxfId="321" priority="321" operator="equal">
      <formula>AS_DURATION_EFFORT</formula>
    </cfRule>
    <cfRule type="cellIs" dxfId="320" priority="322" operator="equal">
      <formula>AS_DEV_EFFORT</formula>
    </cfRule>
  </conditionalFormatting>
  <conditionalFormatting sqref="F269">
    <cfRule type="expression" dxfId="319" priority="320">
      <formula>$K269&lt;&gt;""</formula>
    </cfRule>
  </conditionalFormatting>
  <conditionalFormatting sqref="C269">
    <cfRule type="expression" dxfId="318" priority="319">
      <formula>$G269&lt;&gt;"-"</formula>
    </cfRule>
  </conditionalFormatting>
  <conditionalFormatting sqref="D269">
    <cfRule type="expression" dxfId="317" priority="318">
      <formula>$H269&lt;&gt;"-"</formula>
    </cfRule>
  </conditionalFormatting>
  <conditionalFormatting sqref="E269">
    <cfRule type="expression" dxfId="316" priority="317">
      <formula>$I269&lt;&gt;"-"</formula>
    </cfRule>
  </conditionalFormatting>
  <conditionalFormatting sqref="B268">
    <cfRule type="expression" dxfId="315" priority="316">
      <formula>AD268&lt;&gt;""</formula>
    </cfRule>
  </conditionalFormatting>
  <conditionalFormatting sqref="Z268">
    <cfRule type="cellIs" dxfId="314" priority="314" operator="greaterThan">
      <formula>0</formula>
    </cfRule>
    <cfRule type="cellIs" dxfId="313" priority="315" operator="lessThan">
      <formula>0</formula>
    </cfRule>
  </conditionalFormatting>
  <conditionalFormatting sqref="S268">
    <cfRule type="cellIs" dxfId="312" priority="313" operator="lessThan">
      <formula>0</formula>
    </cfRule>
  </conditionalFormatting>
  <conditionalFormatting sqref="P268">
    <cfRule type="cellIs" dxfId="311" priority="311" operator="equal">
      <formula>AS_DURATION_EFFORT</formula>
    </cfRule>
    <cfRule type="cellIs" dxfId="310" priority="312" operator="equal">
      <formula>AS_DEV_EFFORT</formula>
    </cfRule>
  </conditionalFormatting>
  <conditionalFormatting sqref="F268">
    <cfRule type="expression" dxfId="309" priority="310">
      <formula>$K268&lt;&gt;""</formula>
    </cfRule>
  </conditionalFormatting>
  <conditionalFormatting sqref="C268">
    <cfRule type="expression" dxfId="308" priority="309">
      <formula>$G268&lt;&gt;"-"</formula>
    </cfRule>
  </conditionalFormatting>
  <conditionalFormatting sqref="D268">
    <cfRule type="expression" dxfId="307" priority="308">
      <formula>$H268&lt;&gt;"-"</formula>
    </cfRule>
  </conditionalFormatting>
  <conditionalFormatting sqref="E268">
    <cfRule type="expression" dxfId="306" priority="307">
      <formula>$I268&lt;&gt;"-"</formula>
    </cfRule>
  </conditionalFormatting>
  <conditionalFormatting sqref="B267">
    <cfRule type="expression" dxfId="305" priority="306">
      <formula>AD267&lt;&gt;""</formula>
    </cfRule>
  </conditionalFormatting>
  <conditionalFormatting sqref="Z267">
    <cfRule type="cellIs" dxfId="304" priority="304" operator="greaterThan">
      <formula>0</formula>
    </cfRule>
    <cfRule type="cellIs" dxfId="303" priority="305" operator="lessThan">
      <formula>0</formula>
    </cfRule>
  </conditionalFormatting>
  <conditionalFormatting sqref="S267">
    <cfRule type="cellIs" dxfId="302" priority="303" operator="lessThan">
      <formula>0</formula>
    </cfRule>
  </conditionalFormatting>
  <conditionalFormatting sqref="P267">
    <cfRule type="cellIs" dxfId="301" priority="301" operator="equal">
      <formula>AS_DURATION_EFFORT</formula>
    </cfRule>
    <cfRule type="cellIs" dxfId="300" priority="302" operator="equal">
      <formula>AS_DEV_EFFORT</formula>
    </cfRule>
  </conditionalFormatting>
  <conditionalFormatting sqref="F267">
    <cfRule type="expression" dxfId="299" priority="300">
      <formula>$K267&lt;&gt;""</formula>
    </cfRule>
  </conditionalFormatting>
  <conditionalFormatting sqref="C267">
    <cfRule type="expression" dxfId="298" priority="299">
      <formula>$G267&lt;&gt;"-"</formula>
    </cfRule>
  </conditionalFormatting>
  <conditionalFormatting sqref="D267">
    <cfRule type="expression" dxfId="297" priority="298">
      <formula>$H267&lt;&gt;"-"</formula>
    </cfRule>
  </conditionalFormatting>
  <conditionalFormatting sqref="E267">
    <cfRule type="expression" dxfId="296" priority="297">
      <formula>$I267&lt;&gt;"-"</formula>
    </cfRule>
  </conditionalFormatting>
  <conditionalFormatting sqref="B254">
    <cfRule type="expression" dxfId="295" priority="293">
      <formula>AD254&lt;&gt;""</formula>
    </cfRule>
  </conditionalFormatting>
  <conditionalFormatting sqref="Z254">
    <cfRule type="cellIs" dxfId="294" priority="291" operator="greaterThan">
      <formula>0</formula>
    </cfRule>
    <cfRule type="cellIs" dxfId="293" priority="292" operator="lessThan">
      <formula>0</formula>
    </cfRule>
  </conditionalFormatting>
  <conditionalFormatting sqref="S254">
    <cfRule type="cellIs" dxfId="292" priority="290" operator="lessThan">
      <formula>0</formula>
    </cfRule>
  </conditionalFormatting>
  <conditionalFormatting sqref="T252:T253">
    <cfRule type="expression" dxfId="291" priority="294">
      <formula>#REF!="Yes"</formula>
    </cfRule>
  </conditionalFormatting>
  <conditionalFormatting sqref="P254">
    <cfRule type="cellIs" dxfId="290" priority="288" operator="equal">
      <formula>AS_DURATION_EFFORT</formula>
    </cfRule>
    <cfRule type="cellIs" dxfId="289" priority="289" operator="equal">
      <formula>AS_DEV_EFFORT</formula>
    </cfRule>
  </conditionalFormatting>
  <conditionalFormatting sqref="B252:B253">
    <cfRule type="expression" dxfId="288" priority="287">
      <formula>AD252&lt;&gt;""</formula>
    </cfRule>
  </conditionalFormatting>
  <conditionalFormatting sqref="L254:AC254">
    <cfRule type="expression" dxfId="287" priority="295">
      <formula>AND($G254="Yes", $S$6="Exclude")</formula>
    </cfRule>
    <cfRule type="expression" dxfId="286" priority="296">
      <formula>$J254="Yes"</formula>
    </cfRule>
  </conditionalFormatting>
  <conditionalFormatting sqref="F254">
    <cfRule type="expression" dxfId="285" priority="286">
      <formula>$K254&lt;&gt;""</formula>
    </cfRule>
  </conditionalFormatting>
  <conditionalFormatting sqref="C254">
    <cfRule type="expression" dxfId="284" priority="285">
      <formula>$G254&lt;&gt;"-"</formula>
    </cfRule>
  </conditionalFormatting>
  <conditionalFormatting sqref="D254">
    <cfRule type="expression" dxfId="283" priority="284">
      <formula>$H254&lt;&gt;"-"</formula>
    </cfRule>
  </conditionalFormatting>
  <conditionalFormatting sqref="E254">
    <cfRule type="expression" dxfId="282" priority="283">
      <formula>$I254&lt;&gt;"-"</formula>
    </cfRule>
  </conditionalFormatting>
  <conditionalFormatting sqref="B246">
    <cfRule type="expression" dxfId="281" priority="279">
      <formula>AD246&lt;&gt;""</formula>
    </cfRule>
  </conditionalFormatting>
  <conditionalFormatting sqref="Z246">
    <cfRule type="cellIs" dxfId="280" priority="277" operator="greaterThan">
      <formula>0</formula>
    </cfRule>
    <cfRule type="cellIs" dxfId="279" priority="278" operator="lessThan">
      <formula>0</formula>
    </cfRule>
  </conditionalFormatting>
  <conditionalFormatting sqref="S246">
    <cfRule type="cellIs" dxfId="278" priority="276" operator="lessThan">
      <formula>0</formula>
    </cfRule>
  </conditionalFormatting>
  <conditionalFormatting sqref="T244:T245">
    <cfRule type="expression" dxfId="277" priority="280">
      <formula>#REF!="Yes"</formula>
    </cfRule>
  </conditionalFormatting>
  <conditionalFormatting sqref="P246">
    <cfRule type="cellIs" dxfId="276" priority="274" operator="equal">
      <formula>AS_DURATION_EFFORT</formula>
    </cfRule>
    <cfRule type="cellIs" dxfId="275" priority="275" operator="equal">
      <formula>AS_DEV_EFFORT</formula>
    </cfRule>
  </conditionalFormatting>
  <conditionalFormatting sqref="B244:B245">
    <cfRule type="expression" dxfId="274" priority="273">
      <formula>AD244&lt;&gt;""</formula>
    </cfRule>
  </conditionalFormatting>
  <conditionalFormatting sqref="L246:AC246">
    <cfRule type="expression" dxfId="273" priority="281">
      <formula>AND($G246="Yes", $S$6="Exclude")</formula>
    </cfRule>
    <cfRule type="expression" dxfId="272" priority="282">
      <formula>$J246="Yes"</formula>
    </cfRule>
  </conditionalFormatting>
  <conditionalFormatting sqref="F246">
    <cfRule type="expression" dxfId="271" priority="272">
      <formula>$K246&lt;&gt;""</formula>
    </cfRule>
  </conditionalFormatting>
  <conditionalFormatting sqref="C246">
    <cfRule type="expression" dxfId="270" priority="271">
      <formula>$G246&lt;&gt;"-"</formula>
    </cfRule>
  </conditionalFormatting>
  <conditionalFormatting sqref="D246">
    <cfRule type="expression" dxfId="269" priority="270">
      <formula>$H246&lt;&gt;"-"</formula>
    </cfRule>
  </conditionalFormatting>
  <conditionalFormatting sqref="E246">
    <cfRule type="expression" dxfId="268" priority="269">
      <formula>$I246&lt;&gt;"-"</formula>
    </cfRule>
  </conditionalFormatting>
  <conditionalFormatting sqref="B250">
    <cfRule type="expression" dxfId="267" priority="266">
      <formula>AD250&lt;&gt;""</formula>
    </cfRule>
  </conditionalFormatting>
  <conditionalFormatting sqref="Z250">
    <cfRule type="cellIs" dxfId="266" priority="264" operator="greaterThan">
      <formula>0</formula>
    </cfRule>
    <cfRule type="cellIs" dxfId="265" priority="265" operator="lessThan">
      <formula>0</formula>
    </cfRule>
  </conditionalFormatting>
  <conditionalFormatting sqref="S250">
    <cfRule type="cellIs" dxfId="264" priority="263" operator="lessThan">
      <formula>0</formula>
    </cfRule>
  </conditionalFormatting>
  <conditionalFormatting sqref="P250">
    <cfRule type="cellIs" dxfId="263" priority="261" operator="equal">
      <formula>AS_DURATION_EFFORT</formula>
    </cfRule>
    <cfRule type="cellIs" dxfId="262" priority="262" operator="equal">
      <formula>AS_DEV_EFFORT</formula>
    </cfRule>
  </conditionalFormatting>
  <conditionalFormatting sqref="L250:AC250">
    <cfRule type="expression" dxfId="261" priority="267">
      <formula>AND($G250="Yes", $S$6="Exclude")</formula>
    </cfRule>
    <cfRule type="expression" dxfId="260" priority="268">
      <formula>$J250="Yes"</formula>
    </cfRule>
  </conditionalFormatting>
  <conditionalFormatting sqref="F250">
    <cfRule type="expression" dxfId="259" priority="260">
      <formula>$K250&lt;&gt;""</formula>
    </cfRule>
  </conditionalFormatting>
  <conditionalFormatting sqref="C250">
    <cfRule type="expression" dxfId="258" priority="259">
      <formula>$G250&lt;&gt;"-"</formula>
    </cfRule>
  </conditionalFormatting>
  <conditionalFormatting sqref="D250">
    <cfRule type="expression" dxfId="257" priority="258">
      <formula>$H250&lt;&gt;"-"</formula>
    </cfRule>
  </conditionalFormatting>
  <conditionalFormatting sqref="E250">
    <cfRule type="expression" dxfId="256" priority="257">
      <formula>$I250&lt;&gt;"-"</formula>
    </cfRule>
  </conditionalFormatting>
  <conditionalFormatting sqref="B249">
    <cfRule type="expression" dxfId="255" priority="254">
      <formula>AD249&lt;&gt;""</formula>
    </cfRule>
  </conditionalFormatting>
  <conditionalFormatting sqref="Z249">
    <cfRule type="cellIs" dxfId="254" priority="252" operator="greaterThan">
      <formula>0</formula>
    </cfRule>
    <cfRule type="cellIs" dxfId="253" priority="253" operator="lessThan">
      <formula>0</formula>
    </cfRule>
  </conditionalFormatting>
  <conditionalFormatting sqref="S249">
    <cfRule type="cellIs" dxfId="252" priority="251" operator="lessThan">
      <formula>0</formula>
    </cfRule>
  </conditionalFormatting>
  <conditionalFormatting sqref="P249">
    <cfRule type="cellIs" dxfId="251" priority="249" operator="equal">
      <formula>AS_DURATION_EFFORT</formula>
    </cfRule>
    <cfRule type="cellIs" dxfId="250" priority="250" operator="equal">
      <formula>AS_DEV_EFFORT</formula>
    </cfRule>
  </conditionalFormatting>
  <conditionalFormatting sqref="L249:AC249">
    <cfRule type="expression" dxfId="249" priority="255">
      <formula>AND($G249="Yes", $S$6="Exclude")</formula>
    </cfRule>
    <cfRule type="expression" dxfId="248" priority="256">
      <formula>$J249="Yes"</formula>
    </cfRule>
  </conditionalFormatting>
  <conditionalFormatting sqref="F249">
    <cfRule type="expression" dxfId="247" priority="248">
      <formula>$K249&lt;&gt;""</formula>
    </cfRule>
  </conditionalFormatting>
  <conditionalFormatting sqref="C249">
    <cfRule type="expression" dxfId="246" priority="247">
      <formula>$G249&lt;&gt;"-"</formula>
    </cfRule>
  </conditionalFormatting>
  <conditionalFormatting sqref="D249">
    <cfRule type="expression" dxfId="245" priority="246">
      <formula>$H249&lt;&gt;"-"</formula>
    </cfRule>
  </conditionalFormatting>
  <conditionalFormatting sqref="E249">
    <cfRule type="expression" dxfId="244" priority="245">
      <formula>$I249&lt;&gt;"-"</formula>
    </cfRule>
  </conditionalFormatting>
  <conditionalFormatting sqref="B248">
    <cfRule type="expression" dxfId="243" priority="242">
      <formula>AD248&lt;&gt;""</formula>
    </cfRule>
  </conditionalFormatting>
  <conditionalFormatting sqref="Z248">
    <cfRule type="cellIs" dxfId="242" priority="240" operator="greaterThan">
      <formula>0</formula>
    </cfRule>
    <cfRule type="cellIs" dxfId="241" priority="241" operator="lessThan">
      <formula>0</formula>
    </cfRule>
  </conditionalFormatting>
  <conditionalFormatting sqref="S248">
    <cfRule type="cellIs" dxfId="240" priority="239" operator="lessThan">
      <formula>0</formula>
    </cfRule>
  </conditionalFormatting>
  <conditionalFormatting sqref="P248">
    <cfRule type="cellIs" dxfId="239" priority="237" operator="equal">
      <formula>AS_DURATION_EFFORT</formula>
    </cfRule>
    <cfRule type="cellIs" dxfId="238" priority="238" operator="equal">
      <formula>AS_DEV_EFFORT</formula>
    </cfRule>
  </conditionalFormatting>
  <conditionalFormatting sqref="L248:AC248">
    <cfRule type="expression" dxfId="237" priority="243">
      <formula>AND($G248="Yes", $S$6="Exclude")</formula>
    </cfRule>
    <cfRule type="expression" dxfId="236" priority="244">
      <formula>$J248="Yes"</formula>
    </cfRule>
  </conditionalFormatting>
  <conditionalFormatting sqref="F248">
    <cfRule type="expression" dxfId="235" priority="236">
      <formula>$K248&lt;&gt;""</formula>
    </cfRule>
  </conditionalFormatting>
  <conditionalFormatting sqref="C248">
    <cfRule type="expression" dxfId="234" priority="235">
      <formula>$G248&lt;&gt;"-"</formula>
    </cfRule>
  </conditionalFormatting>
  <conditionalFormatting sqref="D248">
    <cfRule type="expression" dxfId="233" priority="234">
      <formula>$H248&lt;&gt;"-"</formula>
    </cfRule>
  </conditionalFormatting>
  <conditionalFormatting sqref="E248">
    <cfRule type="expression" dxfId="232" priority="233">
      <formula>$I248&lt;&gt;"-"</formula>
    </cfRule>
  </conditionalFormatting>
  <conditionalFormatting sqref="B247">
    <cfRule type="expression" dxfId="231" priority="230">
      <formula>AD247&lt;&gt;""</formula>
    </cfRule>
  </conditionalFormatting>
  <conditionalFormatting sqref="Z247">
    <cfRule type="cellIs" dxfId="230" priority="228" operator="greaterThan">
      <formula>0</formula>
    </cfRule>
    <cfRule type="cellIs" dxfId="229" priority="229" operator="lessThan">
      <formula>0</formula>
    </cfRule>
  </conditionalFormatting>
  <conditionalFormatting sqref="S247">
    <cfRule type="cellIs" dxfId="228" priority="227" operator="lessThan">
      <formula>0</formula>
    </cfRule>
  </conditionalFormatting>
  <conditionalFormatting sqref="P247">
    <cfRule type="cellIs" dxfId="227" priority="225" operator="equal">
      <formula>AS_DURATION_EFFORT</formula>
    </cfRule>
    <cfRule type="cellIs" dxfId="226" priority="226" operator="equal">
      <formula>AS_DEV_EFFORT</formula>
    </cfRule>
  </conditionalFormatting>
  <conditionalFormatting sqref="L247:AC247">
    <cfRule type="expression" dxfId="225" priority="231">
      <formula>AND($G247="Yes", $S$6="Exclude")</formula>
    </cfRule>
    <cfRule type="expression" dxfId="224" priority="232">
      <formula>$J247="Yes"</formula>
    </cfRule>
  </conditionalFormatting>
  <conditionalFormatting sqref="F247">
    <cfRule type="expression" dxfId="223" priority="224">
      <formula>$K247&lt;&gt;""</formula>
    </cfRule>
  </conditionalFormatting>
  <conditionalFormatting sqref="C247">
    <cfRule type="expression" dxfId="222" priority="223">
      <formula>$G247&lt;&gt;"-"</formula>
    </cfRule>
  </conditionalFormatting>
  <conditionalFormatting sqref="D247">
    <cfRule type="expression" dxfId="221" priority="222">
      <formula>$H247&lt;&gt;"-"</formula>
    </cfRule>
  </conditionalFormatting>
  <conditionalFormatting sqref="E247">
    <cfRule type="expression" dxfId="220" priority="221">
      <formula>$I247&lt;&gt;"-"</formula>
    </cfRule>
  </conditionalFormatting>
  <conditionalFormatting sqref="B257">
    <cfRule type="expression" dxfId="219" priority="218">
      <formula>AD257&lt;&gt;""</formula>
    </cfRule>
  </conditionalFormatting>
  <conditionalFormatting sqref="Z257">
    <cfRule type="cellIs" dxfId="218" priority="216" operator="greaterThan">
      <formula>0</formula>
    </cfRule>
    <cfRule type="cellIs" dxfId="217" priority="217" operator="lessThan">
      <formula>0</formula>
    </cfRule>
  </conditionalFormatting>
  <conditionalFormatting sqref="S257">
    <cfRule type="cellIs" dxfId="216" priority="215" operator="lessThan">
      <formula>0</formula>
    </cfRule>
  </conditionalFormatting>
  <conditionalFormatting sqref="P257">
    <cfRule type="cellIs" dxfId="215" priority="213" operator="equal">
      <formula>AS_DURATION_EFFORT</formula>
    </cfRule>
    <cfRule type="cellIs" dxfId="214" priority="214" operator="equal">
      <formula>AS_DEV_EFFORT</formula>
    </cfRule>
  </conditionalFormatting>
  <conditionalFormatting sqref="L257:AC257">
    <cfRule type="expression" dxfId="213" priority="219">
      <formula>AND($G257="Yes", $S$6="Exclude")</formula>
    </cfRule>
    <cfRule type="expression" dxfId="212" priority="220">
      <formula>$J257="Yes"</formula>
    </cfRule>
  </conditionalFormatting>
  <conditionalFormatting sqref="F257">
    <cfRule type="expression" dxfId="211" priority="212">
      <formula>$K257&lt;&gt;""</formula>
    </cfRule>
  </conditionalFormatting>
  <conditionalFormatting sqref="C257">
    <cfRule type="expression" dxfId="210" priority="211">
      <formula>$G257&lt;&gt;"-"</formula>
    </cfRule>
  </conditionalFormatting>
  <conditionalFormatting sqref="D257">
    <cfRule type="expression" dxfId="209" priority="210">
      <formula>$H257&lt;&gt;"-"</formula>
    </cfRule>
  </conditionalFormatting>
  <conditionalFormatting sqref="E257">
    <cfRule type="expression" dxfId="208" priority="209">
      <formula>$I257&lt;&gt;"-"</formula>
    </cfRule>
  </conditionalFormatting>
  <conditionalFormatting sqref="B256">
    <cfRule type="expression" dxfId="207" priority="206">
      <formula>AD256&lt;&gt;""</formula>
    </cfRule>
  </conditionalFormatting>
  <conditionalFormatting sqref="Z256">
    <cfRule type="cellIs" dxfId="206" priority="204" operator="greaterThan">
      <formula>0</formula>
    </cfRule>
    <cfRule type="cellIs" dxfId="205" priority="205" operator="lessThan">
      <formula>0</formula>
    </cfRule>
  </conditionalFormatting>
  <conditionalFormatting sqref="S256">
    <cfRule type="cellIs" dxfId="204" priority="203" operator="lessThan">
      <formula>0</formula>
    </cfRule>
  </conditionalFormatting>
  <conditionalFormatting sqref="P256">
    <cfRule type="cellIs" dxfId="203" priority="201" operator="equal">
      <formula>AS_DURATION_EFFORT</formula>
    </cfRule>
    <cfRule type="cellIs" dxfId="202" priority="202" operator="equal">
      <formula>AS_DEV_EFFORT</formula>
    </cfRule>
  </conditionalFormatting>
  <conditionalFormatting sqref="L256:AC256">
    <cfRule type="expression" dxfId="201" priority="207">
      <formula>AND($G256="Yes", $S$6="Exclude")</formula>
    </cfRule>
    <cfRule type="expression" dxfId="200" priority="208">
      <formula>$J256="Yes"</formula>
    </cfRule>
  </conditionalFormatting>
  <conditionalFormatting sqref="F256">
    <cfRule type="expression" dxfId="199" priority="200">
      <formula>$K256&lt;&gt;""</formula>
    </cfRule>
  </conditionalFormatting>
  <conditionalFormatting sqref="C256">
    <cfRule type="expression" dxfId="198" priority="199">
      <formula>$G256&lt;&gt;"-"</formula>
    </cfRule>
  </conditionalFormatting>
  <conditionalFormatting sqref="D256">
    <cfRule type="expression" dxfId="197" priority="198">
      <formula>$H256&lt;&gt;"-"</formula>
    </cfRule>
  </conditionalFormatting>
  <conditionalFormatting sqref="E256">
    <cfRule type="expression" dxfId="196" priority="197">
      <formula>$I256&lt;&gt;"-"</formula>
    </cfRule>
  </conditionalFormatting>
  <conditionalFormatting sqref="B255">
    <cfRule type="expression" dxfId="195" priority="194">
      <formula>AD255&lt;&gt;""</formula>
    </cfRule>
  </conditionalFormatting>
  <conditionalFormatting sqref="Z255">
    <cfRule type="cellIs" dxfId="194" priority="192" operator="greaterThan">
      <formula>0</formula>
    </cfRule>
    <cfRule type="cellIs" dxfId="193" priority="193" operator="lessThan">
      <formula>0</formula>
    </cfRule>
  </conditionalFormatting>
  <conditionalFormatting sqref="S255">
    <cfRule type="cellIs" dxfId="192" priority="191" operator="lessThan">
      <formula>0</formula>
    </cfRule>
  </conditionalFormatting>
  <conditionalFormatting sqref="P255">
    <cfRule type="cellIs" dxfId="191" priority="189" operator="equal">
      <formula>AS_DURATION_EFFORT</formula>
    </cfRule>
    <cfRule type="cellIs" dxfId="190" priority="190" operator="equal">
      <formula>AS_DEV_EFFORT</formula>
    </cfRule>
  </conditionalFormatting>
  <conditionalFormatting sqref="L255:AC255">
    <cfRule type="expression" dxfId="189" priority="195">
      <formula>AND($G255="Yes", $S$6="Exclude")</formula>
    </cfRule>
    <cfRule type="expression" dxfId="188" priority="196">
      <formula>$J255="Yes"</formula>
    </cfRule>
  </conditionalFormatting>
  <conditionalFormatting sqref="F255">
    <cfRule type="expression" dxfId="187" priority="188">
      <formula>$K255&lt;&gt;""</formula>
    </cfRule>
  </conditionalFormatting>
  <conditionalFormatting sqref="C255">
    <cfRule type="expression" dxfId="186" priority="187">
      <formula>$G255&lt;&gt;"-"</formula>
    </cfRule>
  </conditionalFormatting>
  <conditionalFormatting sqref="D255">
    <cfRule type="expression" dxfId="185" priority="186">
      <formula>$H255&lt;&gt;"-"</formula>
    </cfRule>
  </conditionalFormatting>
  <conditionalFormatting sqref="E255">
    <cfRule type="expression" dxfId="184" priority="185">
      <formula>$I255&lt;&gt;"-"</formula>
    </cfRule>
  </conditionalFormatting>
  <conditionalFormatting sqref="B210">
    <cfRule type="expression" dxfId="183" priority="181">
      <formula>AD210&lt;&gt;""</formula>
    </cfRule>
  </conditionalFormatting>
  <conditionalFormatting sqref="Z210">
    <cfRule type="cellIs" dxfId="182" priority="179" operator="greaterThan">
      <formula>0</formula>
    </cfRule>
    <cfRule type="cellIs" dxfId="181" priority="180" operator="lessThan">
      <formula>0</formula>
    </cfRule>
  </conditionalFormatting>
  <conditionalFormatting sqref="S210">
    <cfRule type="cellIs" dxfId="180" priority="178" operator="lessThan">
      <formula>0</formula>
    </cfRule>
  </conditionalFormatting>
  <conditionalFormatting sqref="T208:T209">
    <cfRule type="expression" dxfId="179" priority="182">
      <formula>#REF!="Yes"</formula>
    </cfRule>
  </conditionalFormatting>
  <conditionalFormatting sqref="P210">
    <cfRule type="cellIs" dxfId="178" priority="176" operator="equal">
      <formula>AS_DURATION_EFFORT</formula>
    </cfRule>
    <cfRule type="cellIs" dxfId="177" priority="177" operator="equal">
      <formula>AS_DEV_EFFORT</formula>
    </cfRule>
  </conditionalFormatting>
  <conditionalFormatting sqref="B208:B209">
    <cfRule type="expression" dxfId="176" priority="175">
      <formula>AD208&lt;&gt;""</formula>
    </cfRule>
  </conditionalFormatting>
  <conditionalFormatting sqref="L210:AC210">
    <cfRule type="expression" dxfId="175" priority="183">
      <formula>AND($G210="Yes", $S$6="Exclude")</formula>
    </cfRule>
    <cfRule type="expression" dxfId="174" priority="184">
      <formula>$J210="Yes"</formula>
    </cfRule>
  </conditionalFormatting>
  <conditionalFormatting sqref="F210">
    <cfRule type="expression" dxfId="173" priority="174">
      <formula>$K210&lt;&gt;""</formula>
    </cfRule>
  </conditionalFormatting>
  <conditionalFormatting sqref="C210">
    <cfRule type="expression" dxfId="172" priority="173">
      <formula>$G210&lt;&gt;"-"</formula>
    </cfRule>
  </conditionalFormatting>
  <conditionalFormatting sqref="D210">
    <cfRule type="expression" dxfId="171" priority="172">
      <formula>$H210&lt;&gt;"-"</formula>
    </cfRule>
  </conditionalFormatting>
  <conditionalFormatting sqref="E210">
    <cfRule type="expression" dxfId="170" priority="171">
      <formula>$I210&lt;&gt;"-"</formula>
    </cfRule>
  </conditionalFormatting>
  <conditionalFormatting sqref="B215">
    <cfRule type="expression" dxfId="169" priority="168">
      <formula>AD215&lt;&gt;""</formula>
    </cfRule>
  </conditionalFormatting>
  <conditionalFormatting sqref="Z215">
    <cfRule type="cellIs" dxfId="168" priority="166" operator="greaterThan">
      <formula>0</formula>
    </cfRule>
    <cfRule type="cellIs" dxfId="167" priority="167" operator="lessThan">
      <formula>0</formula>
    </cfRule>
  </conditionalFormatting>
  <conditionalFormatting sqref="S215">
    <cfRule type="cellIs" dxfId="166" priority="165" operator="lessThan">
      <formula>0</formula>
    </cfRule>
  </conditionalFormatting>
  <conditionalFormatting sqref="P215">
    <cfRule type="cellIs" dxfId="165" priority="163" operator="equal">
      <formula>AS_DURATION_EFFORT</formula>
    </cfRule>
    <cfRule type="cellIs" dxfId="164" priority="164" operator="equal">
      <formula>AS_DEV_EFFORT</formula>
    </cfRule>
  </conditionalFormatting>
  <conditionalFormatting sqref="L215:AC215">
    <cfRule type="expression" dxfId="163" priority="169">
      <formula>AND($G215="Yes", $S$6="Exclude")</formula>
    </cfRule>
    <cfRule type="expression" dxfId="162" priority="170">
      <formula>$J215="Yes"</formula>
    </cfRule>
  </conditionalFormatting>
  <conditionalFormatting sqref="F215">
    <cfRule type="expression" dxfId="161" priority="162">
      <formula>$K215&lt;&gt;""</formula>
    </cfRule>
  </conditionalFormatting>
  <conditionalFormatting sqref="C215">
    <cfRule type="expression" dxfId="160" priority="161">
      <formula>$G215&lt;&gt;"-"</formula>
    </cfRule>
  </conditionalFormatting>
  <conditionalFormatting sqref="D215">
    <cfRule type="expression" dxfId="159" priority="160">
      <formula>$H215&lt;&gt;"-"</formula>
    </cfRule>
  </conditionalFormatting>
  <conditionalFormatting sqref="E215">
    <cfRule type="expression" dxfId="158" priority="159">
      <formula>$I215&lt;&gt;"-"</formula>
    </cfRule>
  </conditionalFormatting>
  <conditionalFormatting sqref="B214">
    <cfRule type="expression" dxfId="157" priority="156">
      <formula>AD214&lt;&gt;""</formula>
    </cfRule>
  </conditionalFormatting>
  <conditionalFormatting sqref="Z214">
    <cfRule type="cellIs" dxfId="156" priority="154" operator="greaterThan">
      <formula>0</formula>
    </cfRule>
    <cfRule type="cellIs" dxfId="155" priority="155" operator="lessThan">
      <formula>0</formula>
    </cfRule>
  </conditionalFormatting>
  <conditionalFormatting sqref="S214">
    <cfRule type="cellIs" dxfId="154" priority="153" operator="lessThan">
      <formula>0</formula>
    </cfRule>
  </conditionalFormatting>
  <conditionalFormatting sqref="P214">
    <cfRule type="cellIs" dxfId="153" priority="151" operator="equal">
      <formula>AS_DURATION_EFFORT</formula>
    </cfRule>
    <cfRule type="cellIs" dxfId="152" priority="152" operator="equal">
      <formula>AS_DEV_EFFORT</formula>
    </cfRule>
  </conditionalFormatting>
  <conditionalFormatting sqref="L214:AC214">
    <cfRule type="expression" dxfId="151" priority="157">
      <formula>AND($G214="Yes", $S$6="Exclude")</formula>
    </cfRule>
    <cfRule type="expression" dxfId="150" priority="158">
      <formula>$J214="Yes"</formula>
    </cfRule>
  </conditionalFormatting>
  <conditionalFormatting sqref="F214">
    <cfRule type="expression" dxfId="149" priority="150">
      <formula>$K214&lt;&gt;""</formula>
    </cfRule>
  </conditionalFormatting>
  <conditionalFormatting sqref="C214">
    <cfRule type="expression" dxfId="148" priority="149">
      <formula>$G214&lt;&gt;"-"</formula>
    </cfRule>
  </conditionalFormatting>
  <conditionalFormatting sqref="D214">
    <cfRule type="expression" dxfId="147" priority="148">
      <formula>$H214&lt;&gt;"-"</formula>
    </cfRule>
  </conditionalFormatting>
  <conditionalFormatting sqref="E214">
    <cfRule type="expression" dxfId="146" priority="147">
      <formula>$I214&lt;&gt;"-"</formula>
    </cfRule>
  </conditionalFormatting>
  <conditionalFormatting sqref="B213">
    <cfRule type="expression" dxfId="145" priority="144">
      <formula>AD213&lt;&gt;""</formula>
    </cfRule>
  </conditionalFormatting>
  <conditionalFormatting sqref="Z213">
    <cfRule type="cellIs" dxfId="144" priority="142" operator="greaterThan">
      <formula>0</formula>
    </cfRule>
    <cfRule type="cellIs" dxfId="143" priority="143" operator="lessThan">
      <formula>0</formula>
    </cfRule>
  </conditionalFormatting>
  <conditionalFormatting sqref="S213">
    <cfRule type="cellIs" dxfId="142" priority="141" operator="lessThan">
      <formula>0</formula>
    </cfRule>
  </conditionalFormatting>
  <conditionalFormatting sqref="P213">
    <cfRule type="cellIs" dxfId="141" priority="139" operator="equal">
      <formula>AS_DURATION_EFFORT</formula>
    </cfRule>
    <cfRule type="cellIs" dxfId="140" priority="140" operator="equal">
      <formula>AS_DEV_EFFORT</formula>
    </cfRule>
  </conditionalFormatting>
  <conditionalFormatting sqref="L213:AC213">
    <cfRule type="expression" dxfId="139" priority="145">
      <formula>AND($G213="Yes", $S$6="Exclude")</formula>
    </cfRule>
    <cfRule type="expression" dxfId="138" priority="146">
      <formula>$J213="Yes"</formula>
    </cfRule>
  </conditionalFormatting>
  <conditionalFormatting sqref="F213">
    <cfRule type="expression" dxfId="137" priority="138">
      <formula>$K213&lt;&gt;""</formula>
    </cfRule>
  </conditionalFormatting>
  <conditionalFormatting sqref="C213">
    <cfRule type="expression" dxfId="136" priority="137">
      <formula>$G213&lt;&gt;"-"</formula>
    </cfRule>
  </conditionalFormatting>
  <conditionalFormatting sqref="D213">
    <cfRule type="expression" dxfId="135" priority="136">
      <formula>$H213&lt;&gt;"-"</formula>
    </cfRule>
  </conditionalFormatting>
  <conditionalFormatting sqref="E213">
    <cfRule type="expression" dxfId="134" priority="135">
      <formula>$I213&lt;&gt;"-"</formula>
    </cfRule>
  </conditionalFormatting>
  <conditionalFormatting sqref="B212">
    <cfRule type="expression" dxfId="133" priority="132">
      <formula>AD212&lt;&gt;""</formula>
    </cfRule>
  </conditionalFormatting>
  <conditionalFormatting sqref="Z212">
    <cfRule type="cellIs" dxfId="132" priority="130" operator="greaterThan">
      <formula>0</formula>
    </cfRule>
    <cfRule type="cellIs" dxfId="131" priority="131" operator="lessThan">
      <formula>0</formula>
    </cfRule>
  </conditionalFormatting>
  <conditionalFormatting sqref="S212">
    <cfRule type="cellIs" dxfId="130" priority="129" operator="lessThan">
      <formula>0</formula>
    </cfRule>
  </conditionalFormatting>
  <conditionalFormatting sqref="P212">
    <cfRule type="cellIs" dxfId="129" priority="127" operator="equal">
      <formula>AS_DURATION_EFFORT</formula>
    </cfRule>
    <cfRule type="cellIs" dxfId="128" priority="128" operator="equal">
      <formula>AS_DEV_EFFORT</formula>
    </cfRule>
  </conditionalFormatting>
  <conditionalFormatting sqref="L212:AC212">
    <cfRule type="expression" dxfId="127" priority="133">
      <formula>AND($G212="Yes", $S$6="Exclude")</formula>
    </cfRule>
    <cfRule type="expression" dxfId="126" priority="134">
      <formula>$J212="Yes"</formula>
    </cfRule>
  </conditionalFormatting>
  <conditionalFormatting sqref="F212">
    <cfRule type="expression" dxfId="125" priority="126">
      <formula>$K212&lt;&gt;""</formula>
    </cfRule>
  </conditionalFormatting>
  <conditionalFormatting sqref="C212">
    <cfRule type="expression" dxfId="124" priority="125">
      <formula>$G212&lt;&gt;"-"</formula>
    </cfRule>
  </conditionalFormatting>
  <conditionalFormatting sqref="D212">
    <cfRule type="expression" dxfId="123" priority="124">
      <formula>$H212&lt;&gt;"-"</formula>
    </cfRule>
  </conditionalFormatting>
  <conditionalFormatting sqref="E212">
    <cfRule type="expression" dxfId="122" priority="123">
      <formula>$I212&lt;&gt;"-"</formula>
    </cfRule>
  </conditionalFormatting>
  <conditionalFormatting sqref="B211">
    <cfRule type="expression" dxfId="121" priority="120">
      <formula>AD211&lt;&gt;""</formula>
    </cfRule>
  </conditionalFormatting>
  <conditionalFormatting sqref="Z211">
    <cfRule type="cellIs" dxfId="120" priority="118" operator="greaterThan">
      <formula>0</formula>
    </cfRule>
    <cfRule type="cellIs" dxfId="119" priority="119" operator="lessThan">
      <formula>0</formula>
    </cfRule>
  </conditionalFormatting>
  <conditionalFormatting sqref="S211">
    <cfRule type="cellIs" dxfId="118" priority="117" operator="lessThan">
      <formula>0</formula>
    </cfRule>
  </conditionalFormatting>
  <conditionalFormatting sqref="P211">
    <cfRule type="cellIs" dxfId="117" priority="115" operator="equal">
      <formula>AS_DURATION_EFFORT</formula>
    </cfRule>
    <cfRule type="cellIs" dxfId="116" priority="116" operator="equal">
      <formula>AS_DEV_EFFORT</formula>
    </cfRule>
  </conditionalFormatting>
  <conditionalFormatting sqref="L211:AC211">
    <cfRule type="expression" dxfId="115" priority="121">
      <formula>AND($G211="Yes", $S$6="Exclude")</formula>
    </cfRule>
    <cfRule type="expression" dxfId="114" priority="122">
      <formula>$J211="Yes"</formula>
    </cfRule>
  </conditionalFormatting>
  <conditionalFormatting sqref="F211">
    <cfRule type="expression" dxfId="113" priority="114">
      <formula>$K211&lt;&gt;""</formula>
    </cfRule>
  </conditionalFormatting>
  <conditionalFormatting sqref="C211">
    <cfRule type="expression" dxfId="112" priority="113">
      <formula>$G211&lt;&gt;"-"</formula>
    </cfRule>
  </conditionalFormatting>
  <conditionalFormatting sqref="D211">
    <cfRule type="expression" dxfId="111" priority="112">
      <formula>$H211&lt;&gt;"-"</formula>
    </cfRule>
  </conditionalFormatting>
  <conditionalFormatting sqref="E211">
    <cfRule type="expression" dxfId="110" priority="111">
      <formula>$I211&lt;&gt;"-"</formula>
    </cfRule>
  </conditionalFormatting>
  <conditionalFormatting sqref="B162">
    <cfRule type="expression" dxfId="109" priority="107">
      <formula>AD162&lt;&gt;""</formula>
    </cfRule>
  </conditionalFormatting>
  <conditionalFormatting sqref="Z162">
    <cfRule type="cellIs" dxfId="108" priority="105" operator="greaterThan">
      <formula>0</formula>
    </cfRule>
    <cfRule type="cellIs" dxfId="107" priority="106" operator="lessThan">
      <formula>0</formula>
    </cfRule>
  </conditionalFormatting>
  <conditionalFormatting sqref="S162">
    <cfRule type="cellIs" dxfId="106" priority="104" operator="lessThan">
      <formula>0</formula>
    </cfRule>
  </conditionalFormatting>
  <conditionalFormatting sqref="T160:T161">
    <cfRule type="expression" dxfId="105" priority="108">
      <formula>#REF!="Yes"</formula>
    </cfRule>
  </conditionalFormatting>
  <conditionalFormatting sqref="P162">
    <cfRule type="cellIs" dxfId="104" priority="102" operator="equal">
      <formula>AS_DURATION_EFFORT</formula>
    </cfRule>
    <cfRule type="cellIs" dxfId="103" priority="103" operator="equal">
      <formula>AS_DEV_EFFORT</formula>
    </cfRule>
  </conditionalFormatting>
  <conditionalFormatting sqref="B160:B161">
    <cfRule type="expression" dxfId="102" priority="101">
      <formula>AD160&lt;&gt;""</formula>
    </cfRule>
  </conditionalFormatting>
  <conditionalFormatting sqref="L162:AC162">
    <cfRule type="expression" dxfId="101" priority="109">
      <formula>AND($G162="Yes", $S$6="Exclude")</formula>
    </cfRule>
    <cfRule type="expression" dxfId="100" priority="110">
      <formula>$J162="Yes"</formula>
    </cfRule>
  </conditionalFormatting>
  <conditionalFormatting sqref="F162">
    <cfRule type="expression" dxfId="99" priority="100">
      <formula>$K162&lt;&gt;""</formula>
    </cfRule>
  </conditionalFormatting>
  <conditionalFormatting sqref="C162">
    <cfRule type="expression" dxfId="98" priority="99">
      <formula>$G162&lt;&gt;"-"</formula>
    </cfRule>
  </conditionalFormatting>
  <conditionalFormatting sqref="D162">
    <cfRule type="expression" dxfId="97" priority="98">
      <formula>$H162&lt;&gt;"-"</formula>
    </cfRule>
  </conditionalFormatting>
  <conditionalFormatting sqref="E162">
    <cfRule type="expression" dxfId="96" priority="97">
      <formula>$I162&lt;&gt;"-"</formula>
    </cfRule>
  </conditionalFormatting>
  <conditionalFormatting sqref="B166">
    <cfRule type="expression" dxfId="95" priority="94">
      <formula>AD166&lt;&gt;""</formula>
    </cfRule>
  </conditionalFormatting>
  <conditionalFormatting sqref="Z166">
    <cfRule type="cellIs" dxfId="94" priority="92" operator="greaterThan">
      <formula>0</formula>
    </cfRule>
    <cfRule type="cellIs" dxfId="93" priority="93" operator="lessThan">
      <formula>0</formula>
    </cfRule>
  </conditionalFormatting>
  <conditionalFormatting sqref="S166">
    <cfRule type="cellIs" dxfId="92" priority="91" operator="lessThan">
      <formula>0</formula>
    </cfRule>
  </conditionalFormatting>
  <conditionalFormatting sqref="P166">
    <cfRule type="cellIs" dxfId="91" priority="89" operator="equal">
      <formula>AS_DURATION_EFFORT</formula>
    </cfRule>
    <cfRule type="cellIs" dxfId="90" priority="90" operator="equal">
      <formula>AS_DEV_EFFORT</formula>
    </cfRule>
  </conditionalFormatting>
  <conditionalFormatting sqref="L166:AC166">
    <cfRule type="expression" dxfId="89" priority="95">
      <formula>AND($G166="Yes", $S$6="Exclude")</formula>
    </cfRule>
    <cfRule type="expression" dxfId="88" priority="96">
      <formula>$J166="Yes"</formula>
    </cfRule>
  </conditionalFormatting>
  <conditionalFormatting sqref="F166">
    <cfRule type="expression" dxfId="87" priority="88">
      <formula>$K166&lt;&gt;""</formula>
    </cfRule>
  </conditionalFormatting>
  <conditionalFormatting sqref="C166">
    <cfRule type="expression" dxfId="86" priority="87">
      <formula>$G166&lt;&gt;"-"</formula>
    </cfRule>
  </conditionalFormatting>
  <conditionalFormatting sqref="D166">
    <cfRule type="expression" dxfId="85" priority="86">
      <formula>$H166&lt;&gt;"-"</formula>
    </cfRule>
  </conditionalFormatting>
  <conditionalFormatting sqref="E166">
    <cfRule type="expression" dxfId="84" priority="85">
      <formula>$I166&lt;&gt;"-"</formula>
    </cfRule>
  </conditionalFormatting>
  <conditionalFormatting sqref="B165">
    <cfRule type="expression" dxfId="83" priority="82">
      <formula>AD165&lt;&gt;""</formula>
    </cfRule>
  </conditionalFormatting>
  <conditionalFormatting sqref="Z165">
    <cfRule type="cellIs" dxfId="82" priority="80" operator="greaterThan">
      <formula>0</formula>
    </cfRule>
    <cfRule type="cellIs" dxfId="81" priority="81" operator="lessThan">
      <formula>0</formula>
    </cfRule>
  </conditionalFormatting>
  <conditionalFormatting sqref="S165">
    <cfRule type="cellIs" dxfId="80" priority="79" operator="lessThan">
      <formula>0</formula>
    </cfRule>
  </conditionalFormatting>
  <conditionalFormatting sqref="P165">
    <cfRule type="cellIs" dxfId="79" priority="77" operator="equal">
      <formula>AS_DURATION_EFFORT</formula>
    </cfRule>
    <cfRule type="cellIs" dxfId="78" priority="78" operator="equal">
      <formula>AS_DEV_EFFORT</formula>
    </cfRule>
  </conditionalFormatting>
  <conditionalFormatting sqref="L165:AC165">
    <cfRule type="expression" dxfId="77" priority="83">
      <formula>AND($G165="Yes", $S$6="Exclude")</formula>
    </cfRule>
    <cfRule type="expression" dxfId="76" priority="84">
      <formula>$J165="Yes"</formula>
    </cfRule>
  </conditionalFormatting>
  <conditionalFormatting sqref="F165">
    <cfRule type="expression" dxfId="75" priority="76">
      <formula>$K165&lt;&gt;""</formula>
    </cfRule>
  </conditionalFormatting>
  <conditionalFormatting sqref="C165">
    <cfRule type="expression" dxfId="74" priority="75">
      <formula>$G165&lt;&gt;"-"</formula>
    </cfRule>
  </conditionalFormatting>
  <conditionalFormatting sqref="D165">
    <cfRule type="expression" dxfId="73" priority="74">
      <formula>$H165&lt;&gt;"-"</formula>
    </cfRule>
  </conditionalFormatting>
  <conditionalFormatting sqref="E165">
    <cfRule type="expression" dxfId="72" priority="73">
      <formula>$I165&lt;&gt;"-"</formula>
    </cfRule>
  </conditionalFormatting>
  <conditionalFormatting sqref="B164">
    <cfRule type="expression" dxfId="71" priority="70">
      <formula>AD164&lt;&gt;""</formula>
    </cfRule>
  </conditionalFormatting>
  <conditionalFormatting sqref="Z164">
    <cfRule type="cellIs" dxfId="70" priority="68" operator="greaterThan">
      <formula>0</formula>
    </cfRule>
    <cfRule type="cellIs" dxfId="69" priority="69" operator="lessThan">
      <formula>0</formula>
    </cfRule>
  </conditionalFormatting>
  <conditionalFormatting sqref="S164">
    <cfRule type="cellIs" dxfId="68" priority="67" operator="lessThan">
      <formula>0</formula>
    </cfRule>
  </conditionalFormatting>
  <conditionalFormatting sqref="P164">
    <cfRule type="cellIs" dxfId="67" priority="65" operator="equal">
      <formula>AS_DURATION_EFFORT</formula>
    </cfRule>
    <cfRule type="cellIs" dxfId="66" priority="66" operator="equal">
      <formula>AS_DEV_EFFORT</formula>
    </cfRule>
  </conditionalFormatting>
  <conditionalFormatting sqref="L164:AC164">
    <cfRule type="expression" dxfId="65" priority="71">
      <formula>AND($G164="Yes", $S$6="Exclude")</formula>
    </cfRule>
    <cfRule type="expression" dxfId="64" priority="72">
      <formula>$J164="Yes"</formula>
    </cfRule>
  </conditionalFormatting>
  <conditionalFormatting sqref="F164">
    <cfRule type="expression" dxfId="63" priority="64">
      <formula>$K164&lt;&gt;""</formula>
    </cfRule>
  </conditionalFormatting>
  <conditionalFormatting sqref="C164">
    <cfRule type="expression" dxfId="62" priority="63">
      <formula>$G164&lt;&gt;"-"</formula>
    </cfRule>
  </conditionalFormatting>
  <conditionalFormatting sqref="D164">
    <cfRule type="expression" dxfId="61" priority="62">
      <formula>$H164&lt;&gt;"-"</formula>
    </cfRule>
  </conditionalFormatting>
  <conditionalFormatting sqref="E164">
    <cfRule type="expression" dxfId="60" priority="61">
      <formula>$I164&lt;&gt;"-"</formula>
    </cfRule>
  </conditionalFormatting>
  <conditionalFormatting sqref="B163">
    <cfRule type="expression" dxfId="59" priority="58">
      <formula>AD163&lt;&gt;""</formula>
    </cfRule>
  </conditionalFormatting>
  <conditionalFormatting sqref="Z163">
    <cfRule type="cellIs" dxfId="58" priority="56" operator="greaterThan">
      <formula>0</formula>
    </cfRule>
    <cfRule type="cellIs" dxfId="57" priority="57" operator="lessThan">
      <formula>0</formula>
    </cfRule>
  </conditionalFormatting>
  <conditionalFormatting sqref="S163">
    <cfRule type="cellIs" dxfId="56" priority="55" operator="lessThan">
      <formula>0</formula>
    </cfRule>
  </conditionalFormatting>
  <conditionalFormatting sqref="P163">
    <cfRule type="cellIs" dxfId="55" priority="53" operator="equal">
      <formula>AS_DURATION_EFFORT</formula>
    </cfRule>
    <cfRule type="cellIs" dxfId="54" priority="54" operator="equal">
      <formula>AS_DEV_EFFORT</formula>
    </cfRule>
  </conditionalFormatting>
  <conditionalFormatting sqref="L163:AC163">
    <cfRule type="expression" dxfId="53" priority="59">
      <formula>AND($G163="Yes", $S$6="Exclude")</formula>
    </cfRule>
    <cfRule type="expression" dxfId="52" priority="60">
      <formula>$J163="Yes"</formula>
    </cfRule>
  </conditionalFormatting>
  <conditionalFormatting sqref="F163">
    <cfRule type="expression" dxfId="51" priority="52">
      <formula>$K163&lt;&gt;""</formula>
    </cfRule>
  </conditionalFormatting>
  <conditionalFormatting sqref="C163">
    <cfRule type="expression" dxfId="50" priority="51">
      <formula>$G163&lt;&gt;"-"</formula>
    </cfRule>
  </conditionalFormatting>
  <conditionalFormatting sqref="D163">
    <cfRule type="expression" dxfId="49" priority="50">
      <formula>$H163&lt;&gt;"-"</formula>
    </cfRule>
  </conditionalFormatting>
  <conditionalFormatting sqref="E163">
    <cfRule type="expression" dxfId="48" priority="49">
      <formula>$I163&lt;&gt;"-"</formula>
    </cfRule>
  </conditionalFormatting>
  <conditionalFormatting sqref="B149">
    <cfRule type="expression" dxfId="47" priority="46">
      <formula>AD149&lt;&gt;""</formula>
    </cfRule>
  </conditionalFormatting>
  <conditionalFormatting sqref="Z149">
    <cfRule type="cellIs" dxfId="46" priority="44" operator="greaterThan">
      <formula>0</formula>
    </cfRule>
    <cfRule type="cellIs" dxfId="45" priority="45" operator="lessThan">
      <formula>0</formula>
    </cfRule>
  </conditionalFormatting>
  <conditionalFormatting sqref="S149">
    <cfRule type="cellIs" dxfId="44" priority="43" operator="lessThan">
      <formula>0</formula>
    </cfRule>
  </conditionalFormatting>
  <conditionalFormatting sqref="P149">
    <cfRule type="cellIs" dxfId="43" priority="41" operator="equal">
      <formula>AS_DURATION_EFFORT</formula>
    </cfRule>
    <cfRule type="cellIs" dxfId="42" priority="42" operator="equal">
      <formula>AS_DEV_EFFORT</formula>
    </cfRule>
  </conditionalFormatting>
  <conditionalFormatting sqref="L149:AC149">
    <cfRule type="expression" dxfId="41" priority="47">
      <formula>AND($G149="Yes", $S$6="Exclude")</formula>
    </cfRule>
    <cfRule type="expression" dxfId="40" priority="48">
      <formula>$J149="Yes"</formula>
    </cfRule>
  </conditionalFormatting>
  <conditionalFormatting sqref="F149">
    <cfRule type="expression" dxfId="39" priority="40">
      <formula>$K149&lt;&gt;""</formula>
    </cfRule>
  </conditionalFormatting>
  <conditionalFormatting sqref="C149">
    <cfRule type="expression" dxfId="38" priority="39">
      <formula>$G149&lt;&gt;"-"</formula>
    </cfRule>
  </conditionalFormatting>
  <conditionalFormatting sqref="D149">
    <cfRule type="expression" dxfId="37" priority="38">
      <formula>$H149&lt;&gt;"-"</formula>
    </cfRule>
  </conditionalFormatting>
  <conditionalFormatting sqref="E149">
    <cfRule type="expression" dxfId="36" priority="37">
      <formula>$I149&lt;&gt;"-"</formula>
    </cfRule>
  </conditionalFormatting>
  <conditionalFormatting sqref="B124">
    <cfRule type="expression" dxfId="35" priority="34">
      <formula>AD124&lt;&gt;""</formula>
    </cfRule>
  </conditionalFormatting>
  <conditionalFormatting sqref="Z124">
    <cfRule type="cellIs" dxfId="34" priority="32" operator="greaterThan">
      <formula>0</formula>
    </cfRule>
    <cfRule type="cellIs" dxfId="33" priority="33" operator="lessThan">
      <formula>0</formula>
    </cfRule>
  </conditionalFormatting>
  <conditionalFormatting sqref="S124">
    <cfRule type="cellIs" dxfId="32" priority="31" operator="lessThan">
      <formula>0</formula>
    </cfRule>
  </conditionalFormatting>
  <conditionalFormatting sqref="P124">
    <cfRule type="cellIs" dxfId="31" priority="29" operator="equal">
      <formula>AS_DURATION_EFFORT</formula>
    </cfRule>
    <cfRule type="cellIs" dxfId="30" priority="30" operator="equal">
      <formula>AS_DEV_EFFORT</formula>
    </cfRule>
  </conditionalFormatting>
  <conditionalFormatting sqref="L124:AC124">
    <cfRule type="expression" dxfId="29" priority="35">
      <formula>AND($G124="Yes", $S$6="Exclude")</formula>
    </cfRule>
    <cfRule type="expression" dxfId="28" priority="36">
      <formula>$J124="Yes"</formula>
    </cfRule>
  </conditionalFormatting>
  <conditionalFormatting sqref="F124">
    <cfRule type="expression" dxfId="27" priority="28">
      <formula>$K124&lt;&gt;""</formula>
    </cfRule>
  </conditionalFormatting>
  <conditionalFormatting sqref="C124">
    <cfRule type="expression" dxfId="26" priority="27">
      <formula>$G124&lt;&gt;"-"</formula>
    </cfRule>
  </conditionalFormatting>
  <conditionalFormatting sqref="D124">
    <cfRule type="expression" dxfId="25" priority="26">
      <formula>$H124&lt;&gt;"-"</formula>
    </cfRule>
  </conditionalFormatting>
  <conditionalFormatting sqref="E124">
    <cfRule type="expression" dxfId="24" priority="25">
      <formula>$I124&lt;&gt;"-"</formula>
    </cfRule>
  </conditionalFormatting>
  <conditionalFormatting sqref="B123">
    <cfRule type="expression" dxfId="23" priority="22">
      <formula>AD123&lt;&gt;""</formula>
    </cfRule>
  </conditionalFormatting>
  <conditionalFormatting sqref="Z123">
    <cfRule type="cellIs" dxfId="22" priority="20" operator="greaterThan">
      <formula>0</formula>
    </cfRule>
    <cfRule type="cellIs" dxfId="21" priority="21" operator="lessThan">
      <formula>0</formula>
    </cfRule>
  </conditionalFormatting>
  <conditionalFormatting sqref="S123">
    <cfRule type="cellIs" dxfId="20" priority="19" operator="lessThan">
      <formula>0</formula>
    </cfRule>
  </conditionalFormatting>
  <conditionalFormatting sqref="P123">
    <cfRule type="cellIs" dxfId="19" priority="17" operator="equal">
      <formula>AS_DURATION_EFFORT</formula>
    </cfRule>
    <cfRule type="cellIs" dxfId="18" priority="18" operator="equal">
      <formula>AS_DEV_EFFORT</formula>
    </cfRule>
  </conditionalFormatting>
  <conditionalFormatting sqref="L123:AC123">
    <cfRule type="expression" dxfId="17" priority="23">
      <formula>AND($G123="Yes", $S$6="Exclude")</formula>
    </cfRule>
    <cfRule type="expression" dxfId="16" priority="24">
      <formula>$J123="Yes"</formula>
    </cfRule>
  </conditionalFormatting>
  <conditionalFormatting sqref="F123">
    <cfRule type="expression" dxfId="15" priority="16">
      <formula>$K123&lt;&gt;""</formula>
    </cfRule>
  </conditionalFormatting>
  <conditionalFormatting sqref="C123">
    <cfRule type="expression" dxfId="14" priority="15">
      <formula>$G123&lt;&gt;"-"</formula>
    </cfRule>
  </conditionalFormatting>
  <conditionalFormatting sqref="D123">
    <cfRule type="expression" dxfId="13" priority="14">
      <formula>$H123&lt;&gt;"-"</formula>
    </cfRule>
  </conditionalFormatting>
  <conditionalFormatting sqref="E123">
    <cfRule type="expression" dxfId="12" priority="13">
      <formula>$I123&lt;&gt;"-"</formula>
    </cfRule>
  </conditionalFormatting>
  <conditionalFormatting sqref="B122">
    <cfRule type="expression" dxfId="11" priority="10">
      <formula>AD122&lt;&gt;""</formula>
    </cfRule>
  </conditionalFormatting>
  <conditionalFormatting sqref="Z122">
    <cfRule type="cellIs" dxfId="10" priority="8" operator="greaterThan">
      <formula>0</formula>
    </cfRule>
    <cfRule type="cellIs" dxfId="9" priority="9" operator="lessThan">
      <formula>0</formula>
    </cfRule>
  </conditionalFormatting>
  <conditionalFormatting sqref="S122">
    <cfRule type="cellIs" dxfId="8" priority="7" operator="lessThan">
      <formula>0</formula>
    </cfRule>
  </conditionalFormatting>
  <conditionalFormatting sqref="P122">
    <cfRule type="cellIs" dxfId="7" priority="5" operator="equal">
      <formula>AS_DURATION_EFFORT</formula>
    </cfRule>
    <cfRule type="cellIs" dxfId="6" priority="6" operator="equal">
      <formula>AS_DEV_EFFORT</formula>
    </cfRule>
  </conditionalFormatting>
  <conditionalFormatting sqref="L122:AC122">
    <cfRule type="expression" dxfId="5" priority="11">
      <formula>AND($G122="Yes", $S$6="Exclude")</formula>
    </cfRule>
    <cfRule type="expression" dxfId="4" priority="12">
      <formula>$J122="Yes"</formula>
    </cfRule>
  </conditionalFormatting>
  <conditionalFormatting sqref="F122">
    <cfRule type="expression" dxfId="3" priority="4">
      <formula>$K122&lt;&gt;""</formula>
    </cfRule>
  </conditionalFormatting>
  <conditionalFormatting sqref="C122">
    <cfRule type="expression" dxfId="2" priority="3">
      <formula>$G122&lt;&gt;"-"</formula>
    </cfRule>
  </conditionalFormatting>
  <conditionalFormatting sqref="D122">
    <cfRule type="expression" dxfId="1" priority="2">
      <formula>$H122&lt;&gt;"-"</formula>
    </cfRule>
  </conditionalFormatting>
  <conditionalFormatting sqref="E122">
    <cfRule type="expression" dxfId="0" priority="1">
      <formula>$I122&lt;&gt;"-"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600" xr:uid="{00000000-0002-0000-0100-000002000000}">
      <formula1>YES_NO_LIST</formula1>
    </dataValidation>
    <dataValidation type="list" allowBlank="1" showInputMessage="1" showErrorMessage="1" sqref="O597" xr:uid="{00000000-0002-0000-0100-000003000000}">
      <formula1>PLATFORMS_LIST</formula1>
    </dataValidation>
    <dataValidation type="list" allowBlank="1" showInputMessage="1" showErrorMessage="1" sqref="O598" xr:uid="{00000000-0002-0000-0100-000004000000}">
      <formula1>PROJECT_TYPES_LIST</formula1>
    </dataValidation>
    <dataValidation type="list" allowBlank="1" showInputMessage="1" showErrorMessage="1" sqref="O602" xr:uid="{00000000-0002-0000-0100-000005000000}">
      <formula1>CURRENCIES_LIST</formula1>
    </dataValidation>
    <dataValidation type="list" allowBlank="1" showInputMessage="1" showErrorMessage="1" sqref="O601" xr:uid="{00000000-0002-0000-0100-000006000000}">
      <formula1>REGIONS_LIST</formula1>
    </dataValidation>
    <dataValidation type="list" showInputMessage="1" showErrorMessage="1" sqref="G718 J718 G16:G18 J68:J69 G98:G100 J503 G73 J73 J77:J80 G68:G69 G77:G80 J84:J91 G84:G91 J98:J100 J451:J452 G451:G452 J456:J459 G456:G459 G438:G439 J475:J476 G475:G476 G480:G482 G463:G468 J480:J482 J493:J496 G493:G496 G503 J16:J18 J22:J24 G28:G31 J35:J39 J43:J45 G49:G54 G22:G24 J28:J31 G35:G39 G43:G45 J49:J54 G428:G430 G346:G347 G444:G447 J444:J447 J438:J439 J58:J61 G58:G61 J362:J368 J352:J358 G171:G175 G105:G111 G229:G234 J105:J111 G128:G132 G144:G149 J144:J149 J136:J140 J162:J166 J171:J175 J195:J198 G195:G198 G202:G206 J187:J191 J220:J225 J202:J206 G220:G225 J128:J132 G136:G140 G179:G183 J179:J183 G187:G191 J229:J234 G238:G242 J238:J242 G281:G288 G273:G277 J273:J277 J292:J300 G313:G316 G305:G309 J305:J309 G352:G358 G362:G368 G372:G382 J397:J405 J386:J393 G386:G393 J463:J468 G409:G413 J409:J413 G417:G423 J417:J423 G321:G325 J321:J325 J329:J331 G329:G331 J335:J337 J372:J382 J341:J342 G341:G342 J346:J347 J428:J430 J313:J316 G335:G337 G486:G489 J486:J489 G153:G158 J153:J158 G397:G405 G292:G300 J281:J288 J262:J269 G262:G269 J246:J250 G246:G250 J254:J257 G254:G257 J210:J215 G210:G215 G162:G166 G115:G124 J115:J124" xr:uid="{00000000-0002-0000-0100-000007000000}">
      <formula1>YES_NO_LIST</formula1>
    </dataValidation>
    <dataValidation type="list" showInputMessage="1" showErrorMessage="1" sqref="I718 I98:I100 I503 I73 I68:I69 I77:I80 I84:I91 I451:I452 I456:I459 I438:I439 I475:I476 I486:I489 I480:I482 I493:I496 I16:I18 I22:I24 I28:I31 I35:I39 I43:I45 I49:I54 I346:I347 I444:I447 I58:I61 I352:I358 I162:I166 I220:I225 I105:I111 I144:I149 I136:I140 I171:I175 I195:I198 I187:I191 I202:I206 I128:I132 I179:I183 I229:I234 I238:I242 I281:I288 I273:I277 I292:I300 I313:I316 I305:I309 I362:I368 I397:I405 I386:I393 I463:I468 I409:I413 I417:I423 I321:I325 I329:I331 I372:I382 I341:I342 I428:I430 I335:I337 I153:I158 I262:I269 I246:I250 I254:I257 I210:I215 I115:I124" xr:uid="{00000000-0002-0000-0100-000008000000}">
      <formula1>EXTRAS_LIST</formula1>
    </dataValidation>
    <dataValidation type="list" showInputMessage="1" showErrorMessage="1" sqref="H718 H98:H100 H503 H73 H68:H69 H77:H80 H84:H91 H451:H452 H456:H459 H438:H439 H475:H476 H486:H489 H480:H482 H493:H496 H16:H18 H22:H24 H28:H31 H35:H39 H43:H45 H49:H54 H346:H347 H444:H447 H58:H61 H352:H358 H162:H166 H220:H225 H105:H111 H144:H149 H136:H140 H171:H175 H195:H198 H187:H191 H202:H206 H128:H132 H179:H183 H229:H234 H238:H242 H281:H288 H273:H277 H292:H300 H313:H316 H305:H309 H362:H368 H397:H405 H386:H393 H463:H468 H409:H413 H417:H423 H321:H325 H329:H331 H372:H382 H341:H342 H428:H430 H335:H337 H153:H158 H262:H269 H246:H250 H254:H257 H210:H215 H115:H124" xr:uid="{00000000-0002-0000-0100-000009000000}">
      <formula1>BUFFER_TYPES_LIST</formula1>
    </dataValidation>
    <dataValidation type="list" showInputMessage="1" showErrorMessage="1" sqref="S513" xr:uid="{00000000-0002-0000-0100-00000A000000}">
      <formula1>"Default, Extended"</formula1>
    </dataValidation>
  </dataValidations>
  <hyperlinks>
    <hyperlink ref="T588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513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25400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825500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863600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3135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39"/>
  <sheetViews>
    <sheetView topLeftCell="B1" zoomScaleNormal="100" workbookViewId="0">
      <selection activeCell="B19" sqref="B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64" t="s">
        <v>91</v>
      </c>
      <c r="C1" s="295">
        <f>START_DATE</f>
        <v>46328</v>
      </c>
      <c r="D1" s="295"/>
      <c r="E1" s="295"/>
      <c r="F1" s="295"/>
      <c r="I1" s="1" t="s">
        <v>95</v>
      </c>
      <c r="L1" s="296">
        <f>WORKDAY(START_DATE,174)</f>
        <v>46570</v>
      </c>
      <c r="M1" s="296"/>
      <c r="N1" s="296"/>
      <c r="O1" s="296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</row>
    <row r="2" spans="2:38" x14ac:dyDescent="0.35">
      <c r="B2" s="125" t="s">
        <v>122</v>
      </c>
      <c r="C2" s="126" t="s">
        <v>123</v>
      </c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</row>
    <row r="3" spans="2:38" x14ac:dyDescent="0.35">
      <c r="B3" s="64" t="s">
        <v>93</v>
      </c>
      <c r="C3" s="293">
        <v>1</v>
      </c>
      <c r="D3" s="294"/>
      <c r="E3" s="294"/>
      <c r="F3" s="297"/>
      <c r="G3" s="293">
        <f>C3+1</f>
        <v>2</v>
      </c>
      <c r="H3" s="294"/>
      <c r="I3" s="294"/>
      <c r="J3" s="294"/>
      <c r="K3" s="293">
        <f>G3+1</f>
        <v>3</v>
      </c>
      <c r="L3" s="294"/>
      <c r="M3" s="294"/>
      <c r="N3" s="294"/>
      <c r="O3" s="293">
        <f>K3+1</f>
        <v>4</v>
      </c>
      <c r="P3" s="294"/>
      <c r="Q3" s="294"/>
      <c r="R3" s="294"/>
      <c r="S3" s="293">
        <f>O3+1</f>
        <v>5</v>
      </c>
      <c r="T3" s="294"/>
      <c r="U3" s="294"/>
      <c r="V3" s="294"/>
      <c r="W3" s="293">
        <f>S3+1</f>
        <v>6</v>
      </c>
      <c r="X3" s="294"/>
      <c r="Y3" s="294"/>
      <c r="Z3" s="294"/>
      <c r="AA3" s="293">
        <f>W3+1</f>
        <v>7</v>
      </c>
      <c r="AB3" s="294"/>
      <c r="AC3" s="294"/>
      <c r="AD3" s="294"/>
      <c r="AE3" s="293">
        <f>AA3+1</f>
        <v>8</v>
      </c>
      <c r="AF3" s="294"/>
      <c r="AG3" s="294"/>
      <c r="AH3" s="294"/>
      <c r="AI3" s="293">
        <f>AE3+1</f>
        <v>9</v>
      </c>
      <c r="AJ3" s="294"/>
      <c r="AK3" s="294"/>
      <c r="AL3" s="294"/>
    </row>
    <row r="4" spans="2:38" ht="45.75" customHeight="1" x14ac:dyDescent="0.35">
      <c r="B4" s="65" t="s">
        <v>94</v>
      </c>
      <c r="C4" s="66">
        <f>START_DATE</f>
        <v>46328</v>
      </c>
      <c r="D4" s="67">
        <f t="shared" ref="D4:AL4" si="0">WORKDAY(C4,5)</f>
        <v>46335</v>
      </c>
      <c r="E4" s="67">
        <f t="shared" si="0"/>
        <v>46342</v>
      </c>
      <c r="F4" s="68">
        <f t="shared" si="0"/>
        <v>46349</v>
      </c>
      <c r="G4" s="66">
        <f t="shared" si="0"/>
        <v>46356</v>
      </c>
      <c r="H4" s="67">
        <f t="shared" si="0"/>
        <v>46363</v>
      </c>
      <c r="I4" s="67">
        <f t="shared" si="0"/>
        <v>46370</v>
      </c>
      <c r="J4" s="67">
        <f t="shared" si="0"/>
        <v>46377</v>
      </c>
      <c r="K4" s="66">
        <f t="shared" si="0"/>
        <v>46384</v>
      </c>
      <c r="L4" s="67">
        <f t="shared" si="0"/>
        <v>46391</v>
      </c>
      <c r="M4" s="67">
        <f t="shared" si="0"/>
        <v>46398</v>
      </c>
      <c r="N4" s="67">
        <f t="shared" si="0"/>
        <v>46405</v>
      </c>
      <c r="O4" s="66">
        <f t="shared" si="0"/>
        <v>46412</v>
      </c>
      <c r="P4" s="67">
        <f t="shared" si="0"/>
        <v>46419</v>
      </c>
      <c r="Q4" s="67">
        <f t="shared" si="0"/>
        <v>46426</v>
      </c>
      <c r="R4" s="67">
        <f t="shared" si="0"/>
        <v>46433</v>
      </c>
      <c r="S4" s="66">
        <f t="shared" si="0"/>
        <v>46440</v>
      </c>
      <c r="T4" s="67">
        <f t="shared" si="0"/>
        <v>46447</v>
      </c>
      <c r="U4" s="67">
        <f t="shared" si="0"/>
        <v>46454</v>
      </c>
      <c r="V4" s="67">
        <f t="shared" si="0"/>
        <v>46461</v>
      </c>
      <c r="W4" s="66">
        <f t="shared" si="0"/>
        <v>46468</v>
      </c>
      <c r="X4" s="67">
        <f t="shared" si="0"/>
        <v>46475</v>
      </c>
      <c r="Y4" s="67">
        <f t="shared" si="0"/>
        <v>46482</v>
      </c>
      <c r="Z4" s="67">
        <f t="shared" si="0"/>
        <v>46489</v>
      </c>
      <c r="AA4" s="66">
        <f t="shared" si="0"/>
        <v>46496</v>
      </c>
      <c r="AB4" s="67">
        <f t="shared" si="0"/>
        <v>46503</v>
      </c>
      <c r="AC4" s="67">
        <f t="shared" si="0"/>
        <v>46510</v>
      </c>
      <c r="AD4" s="67">
        <f t="shared" si="0"/>
        <v>46517</v>
      </c>
      <c r="AE4" s="66">
        <f t="shared" si="0"/>
        <v>46524</v>
      </c>
      <c r="AF4" s="67">
        <f t="shared" si="0"/>
        <v>46531</v>
      </c>
      <c r="AG4" s="67">
        <f t="shared" si="0"/>
        <v>46538</v>
      </c>
      <c r="AH4" s="67">
        <f t="shared" si="0"/>
        <v>46545</v>
      </c>
      <c r="AI4" s="66">
        <f t="shared" si="0"/>
        <v>46552</v>
      </c>
      <c r="AJ4" s="67">
        <f t="shared" si="0"/>
        <v>46559</v>
      </c>
      <c r="AK4" s="67">
        <f t="shared" si="0"/>
        <v>46566</v>
      </c>
      <c r="AL4" s="67">
        <f t="shared" si="0"/>
        <v>46573</v>
      </c>
    </row>
    <row r="5" spans="2:38" x14ac:dyDescent="0.35">
      <c r="B5" s="117" t="s">
        <v>120</v>
      </c>
      <c r="C5" s="116" t="s">
        <v>1167</v>
      </c>
      <c r="D5" s="116"/>
      <c r="E5" s="116"/>
      <c r="F5" s="116"/>
      <c r="G5" s="116" t="s">
        <v>1167</v>
      </c>
      <c r="H5" s="116"/>
      <c r="I5" s="116" t="s">
        <v>1167</v>
      </c>
      <c r="J5" s="116"/>
      <c r="K5" s="116"/>
      <c r="L5" s="116"/>
      <c r="M5" s="116" t="s">
        <v>1167</v>
      </c>
      <c r="N5" s="116"/>
      <c r="O5" s="116"/>
      <c r="P5" s="116"/>
      <c r="Q5" s="116" t="s">
        <v>1167</v>
      </c>
      <c r="R5" s="116"/>
      <c r="S5" s="116"/>
      <c r="T5" s="116"/>
      <c r="U5" s="116" t="s">
        <v>1167</v>
      </c>
      <c r="V5" s="116"/>
      <c r="W5" s="116"/>
      <c r="X5" s="116"/>
      <c r="Y5" s="116" t="s">
        <v>1167</v>
      </c>
      <c r="Z5" s="116"/>
      <c r="AA5" s="116"/>
      <c r="AB5" s="116"/>
      <c r="AC5" s="116" t="s">
        <v>1167</v>
      </c>
      <c r="AD5" s="116"/>
      <c r="AE5" s="116"/>
      <c r="AF5" s="116"/>
      <c r="AG5" s="116" t="s">
        <v>1167</v>
      </c>
      <c r="AH5" s="116"/>
      <c r="AI5" s="116"/>
      <c r="AJ5" s="116" t="s">
        <v>1167</v>
      </c>
      <c r="AK5" s="116"/>
      <c r="AL5" s="116" t="s">
        <v>1167</v>
      </c>
    </row>
    <row r="6" spans="2:38" x14ac:dyDescent="0.35">
      <c r="B6" s="115" t="str">
        <f>Estimation!N579</f>
        <v>Discovery / Requirement Analysis</v>
      </c>
      <c r="C6" s="119"/>
      <c r="D6" s="119"/>
      <c r="E6" s="119"/>
      <c r="F6" s="119"/>
    </row>
    <row r="7" spans="2:38" x14ac:dyDescent="0.35">
      <c r="B7" s="115" t="str">
        <f>Estimation!N580</f>
        <v>System Design, Framework and Test Cases</v>
      </c>
      <c r="C7" s="120"/>
      <c r="D7" s="120"/>
      <c r="E7" s="120"/>
      <c r="F7" s="120"/>
    </row>
    <row r="8" spans="2:38" x14ac:dyDescent="0.35">
      <c r="B8" s="115" t="str">
        <f>Estimation!N581</f>
        <v>Development and Unit Testing</v>
      </c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</row>
    <row r="9" spans="2:38" x14ac:dyDescent="0.35">
      <c r="B9" s="115" t="str">
        <f>Estimation!N582</f>
        <v>System Testing and Stabilization</v>
      </c>
      <c r="W9" s="122"/>
      <c r="X9" s="122"/>
      <c r="Y9" s="122"/>
      <c r="Z9" s="122"/>
      <c r="AA9" s="122"/>
      <c r="AB9" s="122"/>
    </row>
    <row r="10" spans="2:38" x14ac:dyDescent="0.35">
      <c r="B10" s="115" t="str">
        <f>Estimation!N583</f>
        <v>Deployment, UAT and Documentation</v>
      </c>
      <c r="Y10" s="123"/>
      <c r="Z10" s="123"/>
      <c r="AA10" s="123"/>
      <c r="AB10" s="123"/>
      <c r="AC10" s="123"/>
      <c r="AD10" s="123"/>
      <c r="AE10" s="123"/>
      <c r="AF10" s="123"/>
      <c r="AG10" s="123"/>
      <c r="AH10" s="123"/>
      <c r="AI10" s="123"/>
      <c r="AJ10" s="123"/>
      <c r="AK10" s="123"/>
    </row>
    <row r="11" spans="2:38" x14ac:dyDescent="0.35">
      <c r="B11" s="115" t="str">
        <f>Estimation!N584</f>
        <v>Others</v>
      </c>
      <c r="C11" s="91"/>
      <c r="D11" s="91"/>
      <c r="E11" s="91"/>
      <c r="F11" s="91"/>
      <c r="G11" s="91"/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  <c r="AG11" s="91"/>
      <c r="AH11" s="91"/>
      <c r="AI11" s="91"/>
      <c r="AJ11" s="91"/>
      <c r="AK11" s="91"/>
    </row>
    <row r="12" spans="2:38" x14ac:dyDescent="0.35">
      <c r="B12" s="117" t="s">
        <v>121</v>
      </c>
      <c r="C12" s="116"/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F12" s="116"/>
      <c r="AG12" s="116"/>
      <c r="AH12" s="116"/>
      <c r="AI12" s="116"/>
      <c r="AJ12" s="116"/>
      <c r="AK12" s="116"/>
      <c r="AL12" s="116"/>
    </row>
    <row r="13" spans="2:38" x14ac:dyDescent="0.35">
      <c r="B13" s="115" t="s">
        <v>8</v>
      </c>
      <c r="C13" s="118">
        <v>1</v>
      </c>
      <c r="D13" s="118">
        <v>1</v>
      </c>
      <c r="E13" s="118">
        <v>1</v>
      </c>
      <c r="F13" s="118">
        <v>1</v>
      </c>
      <c r="G13" s="118">
        <v>0.5</v>
      </c>
      <c r="H13" s="118">
        <v>0.5</v>
      </c>
      <c r="I13" s="118">
        <v>0.5</v>
      </c>
      <c r="J13" s="118">
        <v>0.5</v>
      </c>
      <c r="K13" s="118">
        <v>0.5</v>
      </c>
      <c r="L13" s="118">
        <v>0.5</v>
      </c>
      <c r="M13" s="118">
        <v>0.5</v>
      </c>
      <c r="N13" s="118">
        <v>0.5</v>
      </c>
      <c r="O13" s="118">
        <v>0.2</v>
      </c>
      <c r="P13" s="118">
        <v>0.2</v>
      </c>
      <c r="Q13" s="118">
        <v>0.2</v>
      </c>
      <c r="R13" s="118">
        <v>0.2</v>
      </c>
      <c r="S13" s="118">
        <v>0.2</v>
      </c>
      <c r="T13" s="118">
        <v>0.2</v>
      </c>
      <c r="U13" s="118">
        <v>0.2</v>
      </c>
      <c r="V13" s="118">
        <v>0.2</v>
      </c>
      <c r="W13" s="118">
        <v>0.3</v>
      </c>
      <c r="X13" s="118">
        <v>0.3</v>
      </c>
      <c r="Y13" s="118">
        <v>0.5</v>
      </c>
      <c r="Z13" s="118">
        <v>0.5</v>
      </c>
      <c r="AA13" s="118">
        <v>0.4</v>
      </c>
      <c r="AB13" s="118">
        <v>0.4</v>
      </c>
      <c r="AC13" s="118">
        <v>0.7</v>
      </c>
      <c r="AD13" s="118">
        <v>0.7</v>
      </c>
      <c r="AE13" s="118">
        <v>0.7</v>
      </c>
      <c r="AF13" s="118">
        <v>0.7</v>
      </c>
      <c r="AG13" s="118">
        <v>0.6</v>
      </c>
      <c r="AH13" s="118">
        <v>0.6</v>
      </c>
      <c r="AI13" s="118">
        <v>0.6</v>
      </c>
      <c r="AJ13" s="118">
        <v>0.2</v>
      </c>
      <c r="AK13" s="118">
        <v>0.2</v>
      </c>
      <c r="AL13" s="118"/>
    </row>
    <row r="14" spans="2:38" x14ac:dyDescent="0.35">
      <c r="B14" s="115" t="s">
        <v>9</v>
      </c>
      <c r="C14" s="118">
        <v>1</v>
      </c>
      <c r="D14" s="118">
        <v>1</v>
      </c>
      <c r="E14" s="118">
        <v>1</v>
      </c>
      <c r="F14" s="118">
        <v>1</v>
      </c>
      <c r="G14" s="118">
        <v>0.6</v>
      </c>
      <c r="H14" s="118">
        <v>0.6</v>
      </c>
      <c r="I14" s="118">
        <v>0.6</v>
      </c>
      <c r="J14" s="118">
        <v>0.6</v>
      </c>
      <c r="K14" s="118">
        <v>0.6</v>
      </c>
      <c r="L14" s="118">
        <v>0.6</v>
      </c>
      <c r="M14" s="118">
        <v>0.6</v>
      </c>
      <c r="N14" s="118">
        <v>0.6</v>
      </c>
      <c r="O14" s="118">
        <v>0.6</v>
      </c>
      <c r="P14" s="118">
        <v>0.6</v>
      </c>
      <c r="Q14" s="118">
        <v>0.6</v>
      </c>
      <c r="R14" s="118">
        <v>0.6</v>
      </c>
      <c r="S14" s="118">
        <v>0.6</v>
      </c>
      <c r="T14" s="118">
        <v>0.6</v>
      </c>
      <c r="U14" s="118">
        <v>0.6</v>
      </c>
      <c r="V14" s="118">
        <v>0.6</v>
      </c>
      <c r="W14" s="118">
        <v>0.8</v>
      </c>
      <c r="X14" s="118">
        <v>0.8</v>
      </c>
      <c r="Y14" s="118">
        <v>0.8</v>
      </c>
      <c r="Z14" s="118">
        <v>0.8</v>
      </c>
      <c r="AA14" s="118">
        <v>0.4</v>
      </c>
      <c r="AB14" s="118">
        <v>0.4</v>
      </c>
      <c r="AC14" s="118">
        <v>0.1</v>
      </c>
      <c r="AD14" s="118">
        <v>0.1</v>
      </c>
      <c r="AE14" s="118">
        <v>0.1</v>
      </c>
      <c r="AF14" s="118">
        <v>0.1</v>
      </c>
      <c r="AG14" s="118">
        <v>0.4</v>
      </c>
      <c r="AH14" s="118">
        <v>0.4</v>
      </c>
      <c r="AI14" s="118">
        <v>0.4</v>
      </c>
      <c r="AJ14" s="118">
        <v>0.3</v>
      </c>
      <c r="AK14" s="118">
        <v>0.3</v>
      </c>
      <c r="AL14" s="118"/>
    </row>
    <row r="15" spans="2:38" x14ac:dyDescent="0.35">
      <c r="B15" s="115" t="s">
        <v>10</v>
      </c>
      <c r="C15" s="118">
        <v>1</v>
      </c>
      <c r="D15" s="118">
        <v>1</v>
      </c>
      <c r="E15" s="118">
        <v>1</v>
      </c>
      <c r="F15" s="118">
        <v>1</v>
      </c>
      <c r="G15" s="118">
        <v>0.6</v>
      </c>
      <c r="H15" s="118">
        <v>0.6</v>
      </c>
      <c r="I15" s="118">
        <v>0.6</v>
      </c>
      <c r="J15" s="118">
        <v>0.6</v>
      </c>
      <c r="K15" s="118">
        <v>0.6</v>
      </c>
      <c r="L15" s="118">
        <v>0.6</v>
      </c>
      <c r="M15" s="118">
        <v>0.6</v>
      </c>
      <c r="N15" s="118">
        <v>0.6</v>
      </c>
      <c r="O15" s="118">
        <v>0.6</v>
      </c>
      <c r="P15" s="118">
        <v>0.6</v>
      </c>
      <c r="Q15" s="118">
        <v>0.7</v>
      </c>
      <c r="R15" s="118">
        <v>0.7</v>
      </c>
      <c r="S15" s="118">
        <v>0.7</v>
      </c>
      <c r="T15" s="118">
        <v>0.7</v>
      </c>
      <c r="U15" s="118">
        <v>0.6</v>
      </c>
      <c r="V15" s="118">
        <v>0.6</v>
      </c>
      <c r="W15" s="118">
        <v>0.8</v>
      </c>
      <c r="X15" s="118">
        <v>0.8</v>
      </c>
      <c r="Y15" s="118">
        <v>1</v>
      </c>
      <c r="Z15" s="118">
        <v>1</v>
      </c>
      <c r="AA15" s="118">
        <v>0.7</v>
      </c>
      <c r="AB15" s="118">
        <v>0.7</v>
      </c>
      <c r="AC15" s="118">
        <v>0.5</v>
      </c>
      <c r="AD15" s="118">
        <v>0.5</v>
      </c>
      <c r="AE15" s="118">
        <v>0.5</v>
      </c>
      <c r="AF15" s="118">
        <v>0.5</v>
      </c>
      <c r="AG15" s="118">
        <v>0.5</v>
      </c>
      <c r="AH15" s="118">
        <v>0.5</v>
      </c>
      <c r="AI15" s="118">
        <v>0.5</v>
      </c>
      <c r="AJ15" s="118">
        <v>0.5</v>
      </c>
      <c r="AK15" s="118">
        <v>0.5</v>
      </c>
      <c r="AL15" s="118"/>
    </row>
    <row r="16" spans="2:38" x14ac:dyDescent="0.35">
      <c r="B16" s="115" t="s">
        <v>12</v>
      </c>
      <c r="C16" s="118">
        <v>4</v>
      </c>
      <c r="D16" s="118">
        <v>4</v>
      </c>
      <c r="E16" s="118">
        <v>4</v>
      </c>
      <c r="F16" s="118">
        <v>4</v>
      </c>
      <c r="G16" s="118">
        <v>3.5</v>
      </c>
      <c r="H16" s="118">
        <v>3.5</v>
      </c>
      <c r="I16" s="118">
        <v>3.5</v>
      </c>
      <c r="J16" s="118">
        <v>3.5</v>
      </c>
      <c r="K16" s="118">
        <v>3.5</v>
      </c>
      <c r="L16" s="118">
        <v>3.5</v>
      </c>
      <c r="M16" s="118">
        <v>3.5</v>
      </c>
      <c r="N16" s="118">
        <v>3.5</v>
      </c>
      <c r="O16" s="118">
        <v>4.5</v>
      </c>
      <c r="P16" s="118">
        <v>4.5</v>
      </c>
      <c r="Q16" s="118">
        <v>5</v>
      </c>
      <c r="R16" s="118">
        <v>5</v>
      </c>
      <c r="S16" s="118">
        <v>5</v>
      </c>
      <c r="T16" s="118">
        <v>5</v>
      </c>
      <c r="U16" s="118">
        <v>5</v>
      </c>
      <c r="V16" s="118">
        <v>5</v>
      </c>
      <c r="W16" s="118">
        <v>5</v>
      </c>
      <c r="X16" s="118">
        <v>5</v>
      </c>
      <c r="Y16" s="118">
        <v>5</v>
      </c>
      <c r="Z16" s="118">
        <v>5</v>
      </c>
      <c r="AA16" s="118">
        <v>2.8</v>
      </c>
      <c r="AB16" s="118">
        <v>2.8</v>
      </c>
      <c r="AC16" s="118">
        <v>1</v>
      </c>
      <c r="AD16" s="118">
        <v>1</v>
      </c>
      <c r="AE16" s="118">
        <v>1</v>
      </c>
      <c r="AF16" s="118">
        <v>1</v>
      </c>
      <c r="AG16" s="118">
        <v>1.2</v>
      </c>
      <c r="AH16" s="118">
        <v>1.4</v>
      </c>
      <c r="AI16" s="118">
        <v>1.4</v>
      </c>
      <c r="AJ16" s="118">
        <v>0.5</v>
      </c>
      <c r="AK16" s="118">
        <v>0.5</v>
      </c>
      <c r="AL16" s="118"/>
    </row>
    <row r="17" spans="2:38" x14ac:dyDescent="0.35">
      <c r="B17" s="115" t="s">
        <v>11</v>
      </c>
      <c r="C17" s="118">
        <v>0.5</v>
      </c>
      <c r="D17" s="118">
        <v>0.5</v>
      </c>
      <c r="E17" s="118">
        <v>0.5</v>
      </c>
      <c r="F17" s="118">
        <v>0.5</v>
      </c>
      <c r="G17" s="118">
        <v>0.2</v>
      </c>
      <c r="H17" s="118">
        <v>0.2</v>
      </c>
      <c r="I17" s="118">
        <v>0.2</v>
      </c>
      <c r="J17" s="118">
        <v>0.2</v>
      </c>
      <c r="K17" s="118">
        <v>0.2</v>
      </c>
      <c r="L17" s="118">
        <v>0.2</v>
      </c>
      <c r="M17" s="118">
        <v>0.2</v>
      </c>
      <c r="N17" s="118">
        <v>0.2</v>
      </c>
      <c r="O17" s="118">
        <v>0.5</v>
      </c>
      <c r="P17" s="118">
        <v>0.5</v>
      </c>
      <c r="Q17" s="118">
        <v>0.5</v>
      </c>
      <c r="R17" s="118">
        <v>0.5</v>
      </c>
      <c r="S17" s="118">
        <v>0.5</v>
      </c>
      <c r="T17" s="118">
        <v>0.5</v>
      </c>
      <c r="U17" s="118">
        <v>0.5</v>
      </c>
      <c r="V17" s="118">
        <v>0.5</v>
      </c>
      <c r="W17" s="118">
        <v>1</v>
      </c>
      <c r="X17" s="118">
        <v>1</v>
      </c>
      <c r="Y17" s="118">
        <v>1</v>
      </c>
      <c r="Z17" s="118">
        <v>1</v>
      </c>
      <c r="AA17" s="118">
        <v>1</v>
      </c>
      <c r="AB17" s="118">
        <v>1</v>
      </c>
      <c r="AC17" s="118">
        <v>0.7</v>
      </c>
      <c r="AD17" s="118">
        <v>0.7</v>
      </c>
      <c r="AE17" s="118">
        <v>0.7</v>
      </c>
      <c r="AF17" s="118">
        <v>0.7</v>
      </c>
      <c r="AG17" s="118">
        <v>0.3</v>
      </c>
      <c r="AH17" s="118">
        <v>0.3</v>
      </c>
      <c r="AI17" s="118">
        <v>0.3</v>
      </c>
      <c r="AJ17" s="118"/>
      <c r="AK17" s="118"/>
      <c r="AL17" s="118"/>
    </row>
    <row r="18" spans="2:38" x14ac:dyDescent="0.35">
      <c r="B18" s="115" t="s">
        <v>13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</row>
    <row r="19" spans="2:38" x14ac:dyDescent="0.35">
      <c r="B19" s="115" t="s">
        <v>1168</v>
      </c>
      <c r="C19" s="118">
        <f t="shared" ref="C19:AL19" si="1">SUM(C13:C18)</f>
        <v>7.5</v>
      </c>
      <c r="D19" s="118">
        <f t="shared" si="1"/>
        <v>7.5</v>
      </c>
      <c r="E19" s="118">
        <f t="shared" si="1"/>
        <v>7.5</v>
      </c>
      <c r="F19" s="118">
        <f t="shared" si="1"/>
        <v>7.5</v>
      </c>
      <c r="G19" s="118">
        <f t="shared" si="1"/>
        <v>5.4</v>
      </c>
      <c r="H19" s="118">
        <f t="shared" si="1"/>
        <v>5.4</v>
      </c>
      <c r="I19" s="118">
        <f t="shared" si="1"/>
        <v>5.4</v>
      </c>
      <c r="J19" s="118">
        <f t="shared" si="1"/>
        <v>5.4</v>
      </c>
      <c r="K19" s="118">
        <f t="shared" si="1"/>
        <v>5.4</v>
      </c>
      <c r="L19" s="118">
        <f t="shared" si="1"/>
        <v>5.4</v>
      </c>
      <c r="M19" s="118">
        <f t="shared" si="1"/>
        <v>5.4</v>
      </c>
      <c r="N19" s="118">
        <f t="shared" si="1"/>
        <v>5.4</v>
      </c>
      <c r="O19" s="118">
        <f t="shared" si="1"/>
        <v>6.4</v>
      </c>
      <c r="P19" s="118">
        <f t="shared" si="1"/>
        <v>6.4</v>
      </c>
      <c r="Q19" s="118">
        <f t="shared" si="1"/>
        <v>7</v>
      </c>
      <c r="R19" s="118">
        <f t="shared" si="1"/>
        <v>7</v>
      </c>
      <c r="S19" s="118">
        <f t="shared" si="1"/>
        <v>7</v>
      </c>
      <c r="T19" s="118">
        <f t="shared" si="1"/>
        <v>7</v>
      </c>
      <c r="U19" s="118">
        <f t="shared" si="1"/>
        <v>6.9</v>
      </c>
      <c r="V19" s="118">
        <f t="shared" si="1"/>
        <v>6.9</v>
      </c>
      <c r="W19" s="118">
        <f t="shared" si="1"/>
        <v>7.9</v>
      </c>
      <c r="X19" s="118">
        <f t="shared" si="1"/>
        <v>7.9</v>
      </c>
      <c r="Y19" s="118">
        <f t="shared" si="1"/>
        <v>8.3000000000000007</v>
      </c>
      <c r="Z19" s="118">
        <f t="shared" si="1"/>
        <v>8.3000000000000007</v>
      </c>
      <c r="AA19" s="118">
        <f t="shared" si="1"/>
        <v>5.3</v>
      </c>
      <c r="AB19" s="118">
        <f t="shared" si="1"/>
        <v>5.3</v>
      </c>
      <c r="AC19" s="118">
        <f t="shared" si="1"/>
        <v>3</v>
      </c>
      <c r="AD19" s="118">
        <f t="shared" si="1"/>
        <v>3</v>
      </c>
      <c r="AE19" s="118">
        <f t="shared" si="1"/>
        <v>3</v>
      </c>
      <c r="AF19" s="118">
        <f t="shared" si="1"/>
        <v>3</v>
      </c>
      <c r="AG19" s="118">
        <f t="shared" si="1"/>
        <v>3</v>
      </c>
      <c r="AH19" s="118">
        <f t="shared" si="1"/>
        <v>3.1999999999999997</v>
      </c>
      <c r="AI19" s="118">
        <f t="shared" si="1"/>
        <v>3.1999999999999997</v>
      </c>
      <c r="AJ19" s="118">
        <f t="shared" si="1"/>
        <v>1.5</v>
      </c>
      <c r="AK19" s="118">
        <f t="shared" si="1"/>
        <v>1.5</v>
      </c>
      <c r="AL19" s="118">
        <f t="shared" si="1"/>
        <v>0</v>
      </c>
    </row>
    <row r="20" spans="2:38" x14ac:dyDescent="0.35">
      <c r="B20" s="115" t="s">
        <v>1169</v>
      </c>
      <c r="C20" s="298">
        <f>SUM(C13:AL18)*5</f>
        <v>975.99999999999977</v>
      </c>
      <c r="D20" s="299"/>
      <c r="E20" s="299"/>
      <c r="F20" s="299"/>
      <c r="G20" s="298">
        <f>TOTAL_EFFORT</f>
        <v>977</v>
      </c>
      <c r="H20" s="299"/>
      <c r="I20" s="299"/>
      <c r="J20" s="299"/>
    </row>
    <row r="21" spans="2:38" x14ac:dyDescent="0.35">
      <c r="B21" s="1" t="s">
        <v>1170</v>
      </c>
    </row>
    <row r="22" spans="2:38" x14ac:dyDescent="0.35">
      <c r="B22" s="117" t="s">
        <v>1171</v>
      </c>
      <c r="C22" s="300" t="s">
        <v>1172</v>
      </c>
      <c r="D22" s="299"/>
      <c r="E22" s="299"/>
      <c r="F22" s="299"/>
      <c r="G22" s="300" t="s">
        <v>25</v>
      </c>
      <c r="H22" s="299"/>
      <c r="I22" s="299"/>
      <c r="J22" s="299"/>
      <c r="K22" s="299"/>
      <c r="L22" s="299"/>
      <c r="M22" s="300" t="s">
        <v>1173</v>
      </c>
      <c r="N22" s="299"/>
      <c r="O22" s="299"/>
      <c r="P22" s="299"/>
      <c r="Q22" s="300" t="s">
        <v>1174</v>
      </c>
      <c r="R22" s="299"/>
      <c r="S22" s="299"/>
      <c r="T22" s="299"/>
      <c r="U22" s="299"/>
      <c r="V22" s="299"/>
      <c r="W22" s="299"/>
      <c r="X22" s="299"/>
      <c r="Y22" s="299"/>
      <c r="Z22" s="299"/>
      <c r="AA22" s="299"/>
      <c r="AB22" s="299"/>
      <c r="AC22" s="299"/>
      <c r="AD22" s="299"/>
      <c r="AE22" s="299"/>
      <c r="AF22" s="299"/>
      <c r="AG22" s="299"/>
      <c r="AH22" s="299"/>
      <c r="AI22" s="299"/>
      <c r="AJ22" s="299"/>
      <c r="AK22" s="299"/>
      <c r="AL22" s="299"/>
    </row>
    <row r="23" spans="2:38" x14ac:dyDescent="0.35">
      <c r="B23" t="s">
        <v>1175</v>
      </c>
      <c r="C23" s="298">
        <f>REQ_EFFORT+DESIGN_EFFORT</f>
        <v>143</v>
      </c>
      <c r="D23" s="299"/>
      <c r="E23" s="299"/>
      <c r="F23" s="299"/>
      <c r="G23" s="301">
        <f>REQ_COST+DESIGN_COST</f>
        <v>32032</v>
      </c>
      <c r="H23" s="299"/>
      <c r="I23" s="299"/>
      <c r="J23" s="299"/>
      <c r="K23" s="299"/>
      <c r="L23" s="299"/>
      <c r="M23" s="302">
        <f t="shared" ref="M23:M28" si="2">C23/$C$29</f>
        <v>0.14636642784032752</v>
      </c>
      <c r="N23" s="299"/>
      <c r="O23" s="299"/>
      <c r="P23" s="299"/>
      <c r="Q23" s="299" t="s">
        <v>1176</v>
      </c>
      <c r="R23" s="299"/>
      <c r="S23" s="299"/>
      <c r="T23" s="299"/>
      <c r="U23" s="299"/>
      <c r="V23" s="299"/>
      <c r="W23" s="299"/>
      <c r="X23" s="299"/>
      <c r="Y23" s="299"/>
      <c r="Z23" s="299"/>
      <c r="AA23" s="299"/>
      <c r="AB23" s="299"/>
      <c r="AC23" s="299"/>
      <c r="AD23" s="299"/>
      <c r="AE23" s="299"/>
      <c r="AF23" s="299"/>
      <c r="AG23" s="299"/>
      <c r="AH23" s="299"/>
      <c r="AI23" s="299"/>
      <c r="AJ23" s="299"/>
      <c r="AK23" s="299"/>
      <c r="AL23" s="299"/>
    </row>
    <row r="24" spans="2:38" x14ac:dyDescent="0.35">
      <c r="B24" t="s">
        <v>1177</v>
      </c>
      <c r="C24" s="298">
        <f>DEV_EFFORT</f>
        <v>540</v>
      </c>
      <c r="D24" s="299"/>
      <c r="E24" s="299"/>
      <c r="F24" s="299"/>
      <c r="G24" s="301">
        <f>DEV_COST</f>
        <v>120960</v>
      </c>
      <c r="H24" s="299"/>
      <c r="I24" s="299"/>
      <c r="J24" s="299"/>
      <c r="K24" s="299"/>
      <c r="L24" s="299"/>
      <c r="M24" s="302">
        <f t="shared" si="2"/>
        <v>0.55271238485158647</v>
      </c>
      <c r="N24" s="299"/>
      <c r="O24" s="299"/>
      <c r="P24" s="299"/>
      <c r="Q24" s="299" t="s">
        <v>1206</v>
      </c>
      <c r="R24" s="299"/>
      <c r="S24" s="299"/>
      <c r="T24" s="299"/>
      <c r="U24" s="299"/>
      <c r="V24" s="299"/>
      <c r="W24" s="299"/>
      <c r="X24" s="299"/>
      <c r="Y24" s="299"/>
      <c r="Z24" s="299"/>
      <c r="AA24" s="299"/>
      <c r="AB24" s="299"/>
      <c r="AC24" s="299"/>
      <c r="AD24" s="299"/>
      <c r="AE24" s="299"/>
      <c r="AF24" s="299"/>
      <c r="AG24" s="299"/>
      <c r="AH24" s="299"/>
      <c r="AI24" s="299"/>
      <c r="AJ24" s="299"/>
      <c r="AK24" s="299"/>
      <c r="AL24" s="299"/>
    </row>
    <row r="25" spans="2:38" x14ac:dyDescent="0.35">
      <c r="B25" t="s">
        <v>1178</v>
      </c>
      <c r="C25" s="298">
        <f>QA_EFFORT</f>
        <v>100</v>
      </c>
      <c r="D25" s="299"/>
      <c r="E25" s="299"/>
      <c r="F25" s="299"/>
      <c r="G25" s="301">
        <f>QA_COST</f>
        <v>22400</v>
      </c>
      <c r="H25" s="299"/>
      <c r="I25" s="299"/>
      <c r="J25" s="299"/>
      <c r="K25" s="299"/>
      <c r="L25" s="299"/>
      <c r="M25" s="302">
        <f t="shared" si="2"/>
        <v>0.10235414534288639</v>
      </c>
      <c r="N25" s="299"/>
      <c r="O25" s="299"/>
      <c r="P25" s="299"/>
      <c r="Q25" s="299" t="s">
        <v>1207</v>
      </c>
      <c r="R25" s="299"/>
      <c r="S25" s="299"/>
      <c r="T25" s="299"/>
      <c r="U25" s="299"/>
      <c r="V25" s="299"/>
      <c r="W25" s="299"/>
      <c r="X25" s="299"/>
      <c r="Y25" s="299"/>
      <c r="Z25" s="299"/>
      <c r="AA25" s="299"/>
      <c r="AB25" s="299"/>
      <c r="AC25" s="299"/>
      <c r="AD25" s="299"/>
      <c r="AE25" s="299"/>
      <c r="AF25" s="299"/>
      <c r="AG25" s="299"/>
      <c r="AH25" s="299"/>
      <c r="AI25" s="299"/>
      <c r="AJ25" s="299"/>
      <c r="AK25" s="299"/>
      <c r="AL25" s="299"/>
    </row>
    <row r="26" spans="2:38" x14ac:dyDescent="0.35">
      <c r="B26" t="s">
        <v>1179</v>
      </c>
      <c r="C26" s="298">
        <f>Estimation!T473+Estimation!T478</f>
        <v>70</v>
      </c>
      <c r="D26" s="299"/>
      <c r="E26" s="299"/>
      <c r="F26" s="299"/>
      <c r="G26" s="301">
        <f>UAT_COST*C26/UAT_EFFORT</f>
        <v>15680.000000000002</v>
      </c>
      <c r="H26" s="299"/>
      <c r="I26" s="299"/>
      <c r="J26" s="299"/>
      <c r="K26" s="299"/>
      <c r="L26" s="299"/>
      <c r="M26" s="302">
        <f t="shared" si="2"/>
        <v>7.1647901740020475E-2</v>
      </c>
      <c r="N26" s="299"/>
      <c r="O26" s="299"/>
      <c r="P26" s="299"/>
      <c r="Q26" s="299" t="s">
        <v>1180</v>
      </c>
      <c r="R26" s="299"/>
      <c r="S26" s="299"/>
      <c r="T26" s="299"/>
      <c r="U26" s="299"/>
      <c r="V26" s="299"/>
      <c r="W26" s="299"/>
      <c r="X26" s="299"/>
      <c r="Y26" s="299"/>
      <c r="Z26" s="299"/>
      <c r="AA26" s="299"/>
      <c r="AB26" s="299"/>
      <c r="AC26" s="299"/>
      <c r="AD26" s="299"/>
      <c r="AE26" s="299"/>
      <c r="AF26" s="299"/>
      <c r="AG26" s="299"/>
      <c r="AH26" s="299"/>
      <c r="AI26" s="299"/>
      <c r="AJ26" s="299"/>
      <c r="AK26" s="299"/>
      <c r="AL26" s="299"/>
    </row>
    <row r="27" spans="2:38" x14ac:dyDescent="0.35">
      <c r="B27" t="s">
        <v>1181</v>
      </c>
      <c r="C27" s="298">
        <f>Estimation!T484+Estimation!T491</f>
        <v>52</v>
      </c>
      <c r="D27" s="299"/>
      <c r="E27" s="299"/>
      <c r="F27" s="299"/>
      <c r="G27" s="301">
        <f>UAT_COST*C27/UAT_EFFORT</f>
        <v>11648.000000000002</v>
      </c>
      <c r="H27" s="299"/>
      <c r="I27" s="299"/>
      <c r="J27" s="299"/>
      <c r="K27" s="299"/>
      <c r="L27" s="299"/>
      <c r="M27" s="302">
        <f t="shared" si="2"/>
        <v>5.3224155578300923E-2</v>
      </c>
      <c r="N27" s="299"/>
      <c r="O27" s="299"/>
      <c r="P27" s="299"/>
      <c r="Q27" s="299" t="s">
        <v>1208</v>
      </c>
      <c r="R27" s="299"/>
      <c r="S27" s="299"/>
      <c r="T27" s="299"/>
      <c r="U27" s="299"/>
      <c r="V27" s="299"/>
      <c r="W27" s="299"/>
      <c r="X27" s="299"/>
      <c r="Y27" s="299"/>
      <c r="Z27" s="299"/>
      <c r="AA27" s="299"/>
      <c r="AB27" s="299"/>
      <c r="AC27" s="299"/>
      <c r="AD27" s="299"/>
      <c r="AE27" s="299"/>
      <c r="AF27" s="299"/>
      <c r="AG27" s="299"/>
      <c r="AH27" s="299"/>
      <c r="AI27" s="299"/>
      <c r="AJ27" s="299"/>
      <c r="AK27" s="299"/>
      <c r="AL27" s="299"/>
    </row>
    <row r="28" spans="2:38" x14ac:dyDescent="0.35">
      <c r="B28" t="s">
        <v>1182</v>
      </c>
      <c r="C28" s="298">
        <f>OTHER_EFFORT</f>
        <v>72</v>
      </c>
      <c r="D28" s="299"/>
      <c r="E28" s="299"/>
      <c r="F28" s="299"/>
      <c r="G28" s="301">
        <f>OTHER_COST</f>
        <v>16128</v>
      </c>
      <c r="H28" s="299"/>
      <c r="I28" s="299"/>
      <c r="J28" s="299"/>
      <c r="K28" s="299"/>
      <c r="L28" s="299"/>
      <c r="M28" s="302">
        <f t="shared" si="2"/>
        <v>7.3694984646878195E-2</v>
      </c>
      <c r="N28" s="299"/>
      <c r="O28" s="299"/>
      <c r="P28" s="299"/>
      <c r="Q28" s="299" t="s">
        <v>1183</v>
      </c>
      <c r="R28" s="299"/>
      <c r="S28" s="299"/>
      <c r="T28" s="299"/>
      <c r="U28" s="299"/>
      <c r="V28" s="299"/>
      <c r="W28" s="299"/>
      <c r="X28" s="299"/>
      <c r="Y28" s="299"/>
      <c r="Z28" s="299"/>
      <c r="AA28" s="299"/>
      <c r="AB28" s="299"/>
      <c r="AC28" s="299"/>
      <c r="AD28" s="299"/>
      <c r="AE28" s="299"/>
      <c r="AF28" s="299"/>
      <c r="AG28" s="299"/>
      <c r="AH28" s="299"/>
      <c r="AI28" s="299"/>
      <c r="AJ28" s="299"/>
      <c r="AK28" s="299"/>
      <c r="AL28" s="299"/>
    </row>
    <row r="29" spans="2:38" x14ac:dyDescent="0.35">
      <c r="B29" s="1" t="s">
        <v>1184</v>
      </c>
      <c r="C29" s="303">
        <f>SUM(C23:C28)</f>
        <v>977</v>
      </c>
      <c r="D29" s="299"/>
      <c r="E29" s="299"/>
      <c r="F29" s="299"/>
      <c r="G29" s="304">
        <f>SUM(G23:G28)</f>
        <v>218848</v>
      </c>
      <c r="H29" s="299"/>
      <c r="I29" s="299"/>
      <c r="J29" s="299"/>
      <c r="K29" s="299"/>
      <c r="L29" s="299"/>
      <c r="M29" s="305">
        <f>SUM(M23:M28)</f>
        <v>0.99999999999999989</v>
      </c>
      <c r="N29" s="299"/>
      <c r="O29" s="299"/>
      <c r="P29" s="299"/>
      <c r="Q29" s="306" t="str">
        <f>IF(AND(C29=TOTAL_EFFORT,ROUND(G29,0)=ROUND(TOTAL_COST,0)),"Ties to Estimation totals (TOTAL_EFFORT / TOTAL_COST)","CHECK: does not tie to TOTAL_EFFORT / TOTAL_COST")</f>
        <v>Ties to Estimation totals (TOTAL_EFFORT / TOTAL_COST)</v>
      </c>
      <c r="R29" s="299"/>
      <c r="S29" s="299"/>
      <c r="T29" s="299"/>
      <c r="U29" s="299"/>
      <c r="V29" s="299"/>
      <c r="W29" s="299"/>
      <c r="X29" s="299"/>
      <c r="Y29" s="299"/>
      <c r="Z29" s="299"/>
      <c r="AA29" s="299"/>
      <c r="AB29" s="299"/>
      <c r="AC29" s="299"/>
      <c r="AD29" s="299"/>
      <c r="AE29" s="299"/>
      <c r="AF29" s="299"/>
      <c r="AG29" s="299"/>
      <c r="AH29" s="299"/>
      <c r="AI29" s="299"/>
      <c r="AJ29" s="299"/>
      <c r="AK29" s="299"/>
      <c r="AL29" s="299"/>
    </row>
    <row r="31" spans="2:38" x14ac:dyDescent="0.35">
      <c r="B31" s="1" t="s">
        <v>1185</v>
      </c>
    </row>
    <row r="32" spans="2:38" x14ac:dyDescent="0.35">
      <c r="B32" t="s">
        <v>1186</v>
      </c>
    </row>
    <row r="33" spans="2:2" x14ac:dyDescent="0.35">
      <c r="B33" t="s">
        <v>1187</v>
      </c>
    </row>
    <row r="34" spans="2:2" x14ac:dyDescent="0.35">
      <c r="B34" t="str">
        <f>"2. Estimate excludes contingency; a +15% management reserve is recommended ("&amp;TEXT(ROUND(TOTAL_EFFORT*0.15,0),"0")&amp;" PD / "&amp;CHOSEN_CURRENCY&amp;" "&amp;TEXT(ROUND(TOTAL_COST*0.15,0),"#,##0")&amp;"). Buffer is '-' on every activity."</f>
        <v>2. Estimate excludes contingency; a +15% management reserve is recommended (147 PD / USD 32,827). Buffer is '-' on every activity.</v>
      </c>
    </row>
    <row r="35" spans="2:2" x14ac:dyDescent="0.35">
      <c r="B35" t="s">
        <v>1188</v>
      </c>
    </row>
    <row r="36" spans="2:2" x14ac:dyDescent="0.35">
      <c r="B36" t="s">
        <v>1209</v>
      </c>
    </row>
    <row r="37" spans="2:2" x14ac:dyDescent="0.35">
      <c r="B37" t="s">
        <v>1189</v>
      </c>
    </row>
    <row r="38" spans="2:2" x14ac:dyDescent="0.35">
      <c r="B38" t="s">
        <v>1210</v>
      </c>
    </row>
    <row r="39" spans="2:2" x14ac:dyDescent="0.35">
      <c r="B39" t="s">
        <v>1211</v>
      </c>
    </row>
  </sheetData>
  <mergeCells count="45">
    <mergeCell ref="C28:F28"/>
    <mergeCell ref="G28:L28"/>
    <mergeCell ref="M28:P28"/>
    <mergeCell ref="Q28:AL28"/>
    <mergeCell ref="C29:F29"/>
    <mergeCell ref="G29:L29"/>
    <mergeCell ref="M29:P29"/>
    <mergeCell ref="Q29:AL29"/>
    <mergeCell ref="C26:F26"/>
    <mergeCell ref="G26:L26"/>
    <mergeCell ref="M26:P26"/>
    <mergeCell ref="Q26:AL26"/>
    <mergeCell ref="C27:F27"/>
    <mergeCell ref="G27:L27"/>
    <mergeCell ref="M27:P27"/>
    <mergeCell ref="Q27:AL27"/>
    <mergeCell ref="C24:F24"/>
    <mergeCell ref="G24:L24"/>
    <mergeCell ref="M24:P24"/>
    <mergeCell ref="Q24:AL24"/>
    <mergeCell ref="C25:F25"/>
    <mergeCell ref="G25:L25"/>
    <mergeCell ref="M25:P25"/>
    <mergeCell ref="Q25:AL25"/>
    <mergeCell ref="Q22:AL22"/>
    <mergeCell ref="C23:F23"/>
    <mergeCell ref="G23:L23"/>
    <mergeCell ref="M23:P23"/>
    <mergeCell ref="Q23:AL23"/>
    <mergeCell ref="C20:F20"/>
    <mergeCell ref="G20:J20"/>
    <mergeCell ref="C22:F22"/>
    <mergeCell ref="G22:L22"/>
    <mergeCell ref="M22:P22"/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:H101"/>
  <sheetViews>
    <sheetView tabSelected="1" topLeftCell="A34" workbookViewId="0">
      <selection activeCell="B55" sqref="B55"/>
    </sheetView>
  </sheetViews>
  <sheetFormatPr defaultColWidth="25.6328125" defaultRowHeight="14.5" x14ac:dyDescent="0.35"/>
  <cols>
    <col min="1" max="1" width="7.08984375" customWidth="1"/>
    <col min="2" max="2" width="20.90625" bestFit="1" customWidth="1"/>
    <col min="3" max="3" width="41.6328125" customWidth="1"/>
    <col min="4" max="4" width="12.6328125" customWidth="1"/>
    <col min="5" max="5" width="46.453125" customWidth="1"/>
    <col min="6" max="6" width="21.6328125" customWidth="1"/>
    <col min="7" max="7" width="16.36328125" customWidth="1"/>
    <col min="8" max="8" width="37.90625" customWidth="1"/>
    <col min="9" max="9" width="18.6328125" customWidth="1"/>
  </cols>
  <sheetData>
    <row r="1" spans="1:8" x14ac:dyDescent="0.35">
      <c r="A1" s="274" t="s">
        <v>495</v>
      </c>
      <c r="B1" s="275" t="s">
        <v>496</v>
      </c>
      <c r="C1" s="275" t="s">
        <v>497</v>
      </c>
      <c r="D1" s="279" t="s">
        <v>766</v>
      </c>
      <c r="E1" s="279" t="s">
        <v>602</v>
      </c>
      <c r="F1" s="279" t="s">
        <v>603</v>
      </c>
      <c r="H1" t="s">
        <v>868</v>
      </c>
    </row>
    <row r="2" spans="1:8" x14ac:dyDescent="0.35">
      <c r="A2" s="276" t="s">
        <v>498</v>
      </c>
      <c r="B2" s="277" t="s">
        <v>499</v>
      </c>
      <c r="C2" s="277" t="s">
        <v>500</v>
      </c>
      <c r="D2" s="280" t="s">
        <v>604</v>
      </c>
      <c r="E2" s="280" t="s">
        <v>767</v>
      </c>
      <c r="F2" s="280" t="s">
        <v>499</v>
      </c>
      <c r="H2" t="s">
        <v>846</v>
      </c>
    </row>
    <row r="3" spans="1:8" x14ac:dyDescent="0.35">
      <c r="A3" s="276" t="s">
        <v>501</v>
      </c>
      <c r="B3" s="277" t="s">
        <v>499</v>
      </c>
      <c r="C3" s="277" t="s">
        <v>502</v>
      </c>
      <c r="D3" s="280" t="s">
        <v>605</v>
      </c>
      <c r="E3" s="280" t="s">
        <v>768</v>
      </c>
      <c r="F3" s="280" t="s">
        <v>499</v>
      </c>
      <c r="H3" t="s">
        <v>847</v>
      </c>
    </row>
    <row r="4" spans="1:8" x14ac:dyDescent="0.35">
      <c r="A4" s="276" t="s">
        <v>503</v>
      </c>
      <c r="B4" s="277" t="s">
        <v>499</v>
      </c>
      <c r="C4" s="277" t="s">
        <v>504</v>
      </c>
      <c r="D4" s="280" t="s">
        <v>606</v>
      </c>
      <c r="E4" s="280" t="s">
        <v>769</v>
      </c>
      <c r="F4" s="280" t="s">
        <v>499</v>
      </c>
      <c r="H4" t="s">
        <v>848</v>
      </c>
    </row>
    <row r="5" spans="1:8" x14ac:dyDescent="0.35">
      <c r="A5" s="276" t="s">
        <v>505</v>
      </c>
      <c r="B5" s="277" t="s">
        <v>499</v>
      </c>
      <c r="C5" s="277" t="s">
        <v>506</v>
      </c>
      <c r="D5" s="280" t="s">
        <v>608</v>
      </c>
      <c r="E5" s="280" t="s">
        <v>607</v>
      </c>
      <c r="F5" s="280" t="s">
        <v>499</v>
      </c>
      <c r="H5" t="s">
        <v>849</v>
      </c>
    </row>
    <row r="6" spans="1:8" x14ac:dyDescent="0.35">
      <c r="A6" s="276" t="s">
        <v>507</v>
      </c>
      <c r="B6" s="277" t="s">
        <v>499</v>
      </c>
      <c r="C6" s="277" t="s">
        <v>508</v>
      </c>
      <c r="D6" s="280" t="s">
        <v>609</v>
      </c>
      <c r="E6" s="280" t="s">
        <v>770</v>
      </c>
      <c r="F6" s="280" t="s">
        <v>499</v>
      </c>
      <c r="H6" t="s">
        <v>499</v>
      </c>
    </row>
    <row r="7" spans="1:8" x14ac:dyDescent="0.35">
      <c r="A7" s="276" t="s">
        <v>509</v>
      </c>
      <c r="B7" s="277" t="s">
        <v>499</v>
      </c>
      <c r="C7" s="277" t="s">
        <v>510</v>
      </c>
      <c r="D7" s="280" t="s">
        <v>611</v>
      </c>
      <c r="E7" s="280" t="s">
        <v>771</v>
      </c>
      <c r="F7" s="280" t="s">
        <v>499</v>
      </c>
      <c r="H7" t="s">
        <v>850</v>
      </c>
    </row>
    <row r="8" spans="1:8" x14ac:dyDescent="0.35">
      <c r="A8" s="276" t="s">
        <v>511</v>
      </c>
      <c r="B8" s="277" t="s">
        <v>499</v>
      </c>
      <c r="C8" s="277" t="s">
        <v>512</v>
      </c>
      <c r="D8" s="280" t="s">
        <v>613</v>
      </c>
      <c r="E8" s="280" t="s">
        <v>610</v>
      </c>
      <c r="F8" s="280" t="s">
        <v>499</v>
      </c>
      <c r="H8" t="s">
        <v>612</v>
      </c>
    </row>
    <row r="9" spans="1:8" x14ac:dyDescent="0.35">
      <c r="A9" s="276" t="s">
        <v>513</v>
      </c>
      <c r="B9" s="277" t="s">
        <v>499</v>
      </c>
      <c r="C9" s="277" t="s">
        <v>514</v>
      </c>
      <c r="D9" s="280" t="s">
        <v>616</v>
      </c>
      <c r="E9" s="280" t="s">
        <v>772</v>
      </c>
      <c r="F9" s="280" t="s">
        <v>499</v>
      </c>
      <c r="H9" t="s">
        <v>851</v>
      </c>
    </row>
    <row r="10" spans="1:8" x14ac:dyDescent="0.35">
      <c r="A10" s="276" t="s">
        <v>515</v>
      </c>
      <c r="B10" s="277" t="s">
        <v>499</v>
      </c>
      <c r="C10" s="277" t="s">
        <v>516</v>
      </c>
      <c r="D10" s="280" t="s">
        <v>618</v>
      </c>
      <c r="E10" s="280" t="s">
        <v>773</v>
      </c>
      <c r="F10" s="280" t="s">
        <v>520</v>
      </c>
      <c r="H10" t="s">
        <v>852</v>
      </c>
    </row>
    <row r="11" spans="1:8" x14ac:dyDescent="0.35">
      <c r="A11" s="276" t="s">
        <v>517</v>
      </c>
      <c r="B11" s="277" t="s">
        <v>499</v>
      </c>
      <c r="C11" s="277" t="s">
        <v>518</v>
      </c>
      <c r="D11" s="280" t="s">
        <v>619</v>
      </c>
      <c r="E11" s="280" t="s">
        <v>774</v>
      </c>
      <c r="F11" s="280" t="s">
        <v>520</v>
      </c>
      <c r="H11" t="s">
        <v>853</v>
      </c>
    </row>
    <row r="12" spans="1:8" x14ac:dyDescent="0.35">
      <c r="A12" s="276" t="s">
        <v>519</v>
      </c>
      <c r="B12" s="277" t="s">
        <v>520</v>
      </c>
      <c r="C12" s="277" t="s">
        <v>521</v>
      </c>
      <c r="D12" s="280" t="s">
        <v>620</v>
      </c>
      <c r="E12" s="280" t="s">
        <v>775</v>
      </c>
      <c r="F12" s="280" t="s">
        <v>520</v>
      </c>
      <c r="H12" t="s">
        <v>854</v>
      </c>
    </row>
    <row r="13" spans="1:8" x14ac:dyDescent="0.35">
      <c r="A13" s="276" t="s">
        <v>522</v>
      </c>
      <c r="B13" s="277" t="s">
        <v>520</v>
      </c>
      <c r="C13" s="277" t="s">
        <v>523</v>
      </c>
      <c r="D13" s="280" t="s">
        <v>622</v>
      </c>
      <c r="E13" s="280" t="s">
        <v>776</v>
      </c>
      <c r="F13" s="280" t="s">
        <v>520</v>
      </c>
      <c r="H13" t="s">
        <v>855</v>
      </c>
    </row>
    <row r="14" spans="1:8" x14ac:dyDescent="0.35">
      <c r="A14" s="276" t="s">
        <v>524</v>
      </c>
      <c r="B14" s="277" t="s">
        <v>520</v>
      </c>
      <c r="C14" s="277" t="s">
        <v>525</v>
      </c>
      <c r="D14" s="280" t="s">
        <v>623</v>
      </c>
      <c r="E14" s="280" t="s">
        <v>777</v>
      </c>
      <c r="F14" s="280" t="s">
        <v>520</v>
      </c>
      <c r="H14" t="s">
        <v>856</v>
      </c>
    </row>
    <row r="15" spans="1:8" x14ac:dyDescent="0.35">
      <c r="A15" s="276" t="s">
        <v>526</v>
      </c>
      <c r="B15" s="277" t="s">
        <v>520</v>
      </c>
      <c r="C15" s="277" t="s">
        <v>527</v>
      </c>
      <c r="D15" s="280" t="s">
        <v>625</v>
      </c>
      <c r="E15" s="280" t="s">
        <v>778</v>
      </c>
      <c r="F15" s="280" t="s">
        <v>520</v>
      </c>
      <c r="H15" t="s">
        <v>857</v>
      </c>
    </row>
    <row r="16" spans="1:8" x14ac:dyDescent="0.35">
      <c r="A16" s="276" t="s">
        <v>528</v>
      </c>
      <c r="B16" s="277" t="s">
        <v>520</v>
      </c>
      <c r="C16" s="277" t="s">
        <v>529</v>
      </c>
      <c r="D16" s="280" t="s">
        <v>779</v>
      </c>
      <c r="E16" s="280" t="s">
        <v>780</v>
      </c>
      <c r="F16" s="280" t="s">
        <v>781</v>
      </c>
      <c r="H16" t="s">
        <v>858</v>
      </c>
    </row>
    <row r="17" spans="1:8" x14ac:dyDescent="0.35">
      <c r="A17" s="276" t="s">
        <v>530</v>
      </c>
      <c r="B17" s="277" t="s">
        <v>520</v>
      </c>
      <c r="C17" s="277" t="s">
        <v>531</v>
      </c>
      <c r="D17" s="280" t="s">
        <v>782</v>
      </c>
      <c r="E17" s="280" t="s">
        <v>783</v>
      </c>
      <c r="F17" s="280" t="s">
        <v>781</v>
      </c>
      <c r="H17" t="s">
        <v>859</v>
      </c>
    </row>
    <row r="18" spans="1:8" x14ac:dyDescent="0.35">
      <c r="A18" s="276" t="s">
        <v>532</v>
      </c>
      <c r="B18" s="277" t="s">
        <v>520</v>
      </c>
      <c r="C18" s="277" t="s">
        <v>533</v>
      </c>
      <c r="D18" s="280" t="s">
        <v>784</v>
      </c>
      <c r="E18" s="280" t="s">
        <v>614</v>
      </c>
      <c r="F18" s="280" t="s">
        <v>781</v>
      </c>
      <c r="H18" t="s">
        <v>860</v>
      </c>
    </row>
    <row r="19" spans="1:8" x14ac:dyDescent="0.35">
      <c r="A19" s="276" t="s">
        <v>534</v>
      </c>
      <c r="B19" s="277" t="s">
        <v>535</v>
      </c>
      <c r="C19" s="277" t="s">
        <v>536</v>
      </c>
      <c r="D19" s="280" t="s">
        <v>785</v>
      </c>
      <c r="E19" s="280" t="s">
        <v>786</v>
      </c>
      <c r="F19" s="280" t="s">
        <v>781</v>
      </c>
      <c r="H19" t="s">
        <v>861</v>
      </c>
    </row>
    <row r="20" spans="1:8" x14ac:dyDescent="0.35">
      <c r="A20" s="276" t="s">
        <v>537</v>
      </c>
      <c r="B20" s="277" t="s">
        <v>535</v>
      </c>
      <c r="C20" s="277" t="s">
        <v>538</v>
      </c>
      <c r="D20" s="280" t="s">
        <v>787</v>
      </c>
      <c r="E20" s="280" t="s">
        <v>788</v>
      </c>
      <c r="F20" s="280" t="s">
        <v>781</v>
      </c>
      <c r="H20" t="s">
        <v>862</v>
      </c>
    </row>
    <row r="21" spans="1:8" x14ac:dyDescent="0.35">
      <c r="A21" s="276" t="s">
        <v>539</v>
      </c>
      <c r="B21" s="277" t="s">
        <v>535</v>
      </c>
      <c r="C21" s="277" t="s">
        <v>540</v>
      </c>
      <c r="D21" s="280" t="s">
        <v>789</v>
      </c>
      <c r="E21" s="280" t="s">
        <v>790</v>
      </c>
      <c r="F21" s="280" t="s">
        <v>621</v>
      </c>
      <c r="H21" t="s">
        <v>863</v>
      </c>
    </row>
    <row r="22" spans="1:8" x14ac:dyDescent="0.35">
      <c r="A22" s="276" t="s">
        <v>541</v>
      </c>
      <c r="B22" s="277" t="s">
        <v>535</v>
      </c>
      <c r="C22" s="277" t="s">
        <v>542</v>
      </c>
      <c r="D22" s="280" t="s">
        <v>791</v>
      </c>
      <c r="E22" s="280" t="s">
        <v>792</v>
      </c>
      <c r="F22" s="280" t="s">
        <v>621</v>
      </c>
      <c r="H22" t="s">
        <v>864</v>
      </c>
    </row>
    <row r="23" spans="1:8" x14ac:dyDescent="0.35">
      <c r="A23" s="276" t="s">
        <v>543</v>
      </c>
      <c r="B23" s="277" t="s">
        <v>535</v>
      </c>
      <c r="C23" s="277" t="s">
        <v>544</v>
      </c>
      <c r="D23" s="280" t="s">
        <v>793</v>
      </c>
      <c r="E23" s="280" t="s">
        <v>794</v>
      </c>
      <c r="F23" s="280" t="s">
        <v>621</v>
      </c>
      <c r="H23" t="s">
        <v>865</v>
      </c>
    </row>
    <row r="24" spans="1:8" x14ac:dyDescent="0.35">
      <c r="A24" s="276" t="s">
        <v>545</v>
      </c>
      <c r="B24" s="277" t="s">
        <v>535</v>
      </c>
      <c r="C24" s="277" t="s">
        <v>546</v>
      </c>
      <c r="D24" s="280" t="s">
        <v>795</v>
      </c>
      <c r="E24" s="280" t="s">
        <v>796</v>
      </c>
      <c r="F24" s="280" t="s">
        <v>621</v>
      </c>
      <c r="H24" t="s">
        <v>866</v>
      </c>
    </row>
    <row r="25" spans="1:8" x14ac:dyDescent="0.35">
      <c r="A25" s="276" t="s">
        <v>547</v>
      </c>
      <c r="B25" s="277" t="s">
        <v>535</v>
      </c>
      <c r="C25" s="277" t="s">
        <v>548</v>
      </c>
      <c r="D25" s="280" t="s">
        <v>797</v>
      </c>
      <c r="E25" s="280" t="s">
        <v>798</v>
      </c>
      <c r="F25" s="280" t="s">
        <v>621</v>
      </c>
      <c r="H25" t="s">
        <v>867</v>
      </c>
    </row>
    <row r="26" spans="1:8" x14ac:dyDescent="0.35">
      <c r="A26" s="276" t="s">
        <v>549</v>
      </c>
      <c r="B26" s="277" t="s">
        <v>535</v>
      </c>
      <c r="C26" s="277" t="s">
        <v>550</v>
      </c>
    </row>
    <row r="27" spans="1:8" x14ac:dyDescent="0.35">
      <c r="A27" s="276" t="s">
        <v>551</v>
      </c>
      <c r="B27" s="277" t="s">
        <v>535</v>
      </c>
      <c r="C27" s="277" t="s">
        <v>552</v>
      </c>
    </row>
    <row r="28" spans="1:8" x14ac:dyDescent="0.35">
      <c r="A28" s="276" t="s">
        <v>553</v>
      </c>
      <c r="B28" s="277" t="s">
        <v>535</v>
      </c>
      <c r="C28" s="277" t="s">
        <v>554</v>
      </c>
    </row>
    <row r="29" spans="1:8" x14ac:dyDescent="0.35">
      <c r="A29" s="276" t="s">
        <v>555</v>
      </c>
      <c r="B29" s="277" t="s">
        <v>535</v>
      </c>
      <c r="C29" s="277" t="s">
        <v>556</v>
      </c>
    </row>
    <row r="30" spans="1:8" x14ac:dyDescent="0.35">
      <c r="A30" s="276" t="s">
        <v>557</v>
      </c>
      <c r="B30" s="277" t="s">
        <v>535</v>
      </c>
      <c r="C30" s="277" t="s">
        <v>558</v>
      </c>
    </row>
    <row r="31" spans="1:8" ht="29" x14ac:dyDescent="0.35">
      <c r="A31" s="276" t="s">
        <v>559</v>
      </c>
      <c r="B31" s="277" t="s">
        <v>560</v>
      </c>
      <c r="C31" s="277" t="s">
        <v>561</v>
      </c>
    </row>
    <row r="32" spans="1:8" x14ac:dyDescent="0.35">
      <c r="A32" s="276" t="s">
        <v>562</v>
      </c>
      <c r="B32" s="277" t="s">
        <v>560</v>
      </c>
      <c r="C32" s="277" t="s">
        <v>563</v>
      </c>
    </row>
    <row r="33" spans="1:3" x14ac:dyDescent="0.35">
      <c r="A33" s="276" t="s">
        <v>564</v>
      </c>
      <c r="B33" s="277" t="s">
        <v>560</v>
      </c>
      <c r="C33" s="277" t="s">
        <v>565</v>
      </c>
    </row>
    <row r="34" spans="1:3" x14ac:dyDescent="0.35">
      <c r="A34" s="276" t="s">
        <v>566</v>
      </c>
      <c r="B34" s="277" t="s">
        <v>560</v>
      </c>
      <c r="C34" s="277" t="s">
        <v>567</v>
      </c>
    </row>
    <row r="35" spans="1:3" x14ac:dyDescent="0.35">
      <c r="A35" s="276" t="s">
        <v>568</v>
      </c>
      <c r="B35" s="277" t="s">
        <v>569</v>
      </c>
      <c r="C35" s="277" t="s">
        <v>570</v>
      </c>
    </row>
    <row r="36" spans="1:3" x14ac:dyDescent="0.35">
      <c r="A36" s="276" t="s">
        <v>571</v>
      </c>
      <c r="B36" s="277" t="s">
        <v>569</v>
      </c>
      <c r="C36" s="277" t="s">
        <v>572</v>
      </c>
    </row>
    <row r="37" spans="1:3" x14ac:dyDescent="0.35">
      <c r="A37" s="276" t="s">
        <v>573</v>
      </c>
      <c r="B37" s="277" t="s">
        <v>569</v>
      </c>
      <c r="C37" s="277" t="s">
        <v>574</v>
      </c>
    </row>
    <row r="38" spans="1:3" x14ac:dyDescent="0.35">
      <c r="A38" s="276" t="s">
        <v>575</v>
      </c>
      <c r="B38" s="277" t="s">
        <v>569</v>
      </c>
      <c r="C38" s="277" t="s">
        <v>576</v>
      </c>
    </row>
    <row r="39" spans="1:3" x14ac:dyDescent="0.35">
      <c r="A39" s="276" t="s">
        <v>577</v>
      </c>
      <c r="B39" s="277" t="s">
        <v>569</v>
      </c>
      <c r="C39" s="277" t="s">
        <v>578</v>
      </c>
    </row>
    <row r="40" spans="1:3" x14ac:dyDescent="0.35">
      <c r="A40" s="276" t="s">
        <v>579</v>
      </c>
      <c r="B40" s="277" t="s">
        <v>569</v>
      </c>
      <c r="C40" s="277" t="s">
        <v>580</v>
      </c>
    </row>
    <row r="41" spans="1:3" x14ac:dyDescent="0.35">
      <c r="A41" s="276" t="s">
        <v>581</v>
      </c>
      <c r="B41" s="277" t="s">
        <v>569</v>
      </c>
      <c r="C41" s="277" t="s">
        <v>582</v>
      </c>
    </row>
    <row r="42" spans="1:3" ht="29" x14ac:dyDescent="0.35">
      <c r="A42" s="276" t="s">
        <v>583</v>
      </c>
      <c r="B42" s="277" t="s">
        <v>584</v>
      </c>
      <c r="C42" s="277" t="s">
        <v>585</v>
      </c>
    </row>
    <row r="43" spans="1:3" ht="29" x14ac:dyDescent="0.35">
      <c r="A43" s="276" t="s">
        <v>586</v>
      </c>
      <c r="B43" s="277" t="s">
        <v>584</v>
      </c>
      <c r="C43" s="277" t="s">
        <v>587</v>
      </c>
    </row>
    <row r="44" spans="1:3" ht="29" x14ac:dyDescent="0.35">
      <c r="A44" s="276" t="s">
        <v>588</v>
      </c>
      <c r="B44" s="277" t="s">
        <v>584</v>
      </c>
      <c r="C44" s="277" t="s">
        <v>589</v>
      </c>
    </row>
    <row r="45" spans="1:3" ht="29" x14ac:dyDescent="0.35">
      <c r="A45" s="276" t="s">
        <v>590</v>
      </c>
      <c r="B45" s="277" t="s">
        <v>584</v>
      </c>
      <c r="C45" s="277" t="s">
        <v>591</v>
      </c>
    </row>
    <row r="46" spans="1:3" x14ac:dyDescent="0.35">
      <c r="A46" s="276" t="s">
        <v>592</v>
      </c>
      <c r="B46" s="277" t="s">
        <v>593</v>
      </c>
      <c r="C46" s="277" t="s">
        <v>594</v>
      </c>
    </row>
    <row r="47" spans="1:3" x14ac:dyDescent="0.35">
      <c r="A47" s="276" t="s">
        <v>595</v>
      </c>
      <c r="B47" s="277" t="s">
        <v>593</v>
      </c>
      <c r="C47" s="277" t="s">
        <v>596</v>
      </c>
    </row>
    <row r="48" spans="1:3" x14ac:dyDescent="0.35">
      <c r="A48" s="276" t="s">
        <v>597</v>
      </c>
      <c r="B48" s="277" t="s">
        <v>593</v>
      </c>
      <c r="C48" s="277" t="s">
        <v>598</v>
      </c>
    </row>
    <row r="49" spans="1:8" x14ac:dyDescent="0.35">
      <c r="A49" s="276" t="s">
        <v>599</v>
      </c>
      <c r="B49" s="277" t="s">
        <v>593</v>
      </c>
      <c r="C49" s="277" t="s">
        <v>600</v>
      </c>
    </row>
    <row r="50" spans="1:8" x14ac:dyDescent="0.35">
      <c r="A50" s="276"/>
      <c r="B50" s="277"/>
      <c r="C50" s="277"/>
    </row>
    <row r="51" spans="1:8" x14ac:dyDescent="0.35">
      <c r="A51" s="276"/>
      <c r="B51" s="277"/>
      <c r="C51" s="277"/>
    </row>
    <row r="52" spans="1:8" x14ac:dyDescent="0.35">
      <c r="A52" s="276"/>
      <c r="B52" s="277"/>
      <c r="C52" s="277"/>
    </row>
    <row r="53" spans="1:8" x14ac:dyDescent="0.35">
      <c r="A53" s="276"/>
      <c r="B53" s="277"/>
      <c r="C53" s="277"/>
    </row>
    <row r="54" spans="1:8" x14ac:dyDescent="0.35">
      <c r="A54" s="276"/>
      <c r="B54" s="277"/>
      <c r="C54" s="277"/>
    </row>
    <row r="55" spans="1:8" x14ac:dyDescent="0.35">
      <c r="A55" s="276"/>
      <c r="B55" s="277"/>
      <c r="C55" s="277"/>
    </row>
    <row r="58" spans="1:8" x14ac:dyDescent="0.35">
      <c r="A58" s="274" t="s">
        <v>495</v>
      </c>
      <c r="B58" s="1" t="s">
        <v>761</v>
      </c>
      <c r="C58" s="275" t="s">
        <v>648</v>
      </c>
      <c r="D58" s="274" t="s">
        <v>601</v>
      </c>
      <c r="E58" s="275" t="s">
        <v>602</v>
      </c>
      <c r="F58" s="275" t="s">
        <v>603</v>
      </c>
      <c r="G58" s="275" t="s">
        <v>649</v>
      </c>
      <c r="H58" s="275" t="s">
        <v>650</v>
      </c>
    </row>
    <row r="59" spans="1:8" x14ac:dyDescent="0.35">
      <c r="A59" s="276" t="s">
        <v>498</v>
      </c>
      <c r="B59" s="278" t="s">
        <v>499</v>
      </c>
      <c r="C59" s="277" t="s">
        <v>651</v>
      </c>
      <c r="D59" s="276" t="s">
        <v>652</v>
      </c>
      <c r="E59" s="277" t="s">
        <v>653</v>
      </c>
      <c r="F59" s="277" t="s">
        <v>499</v>
      </c>
      <c r="G59" s="277" t="s">
        <v>654</v>
      </c>
      <c r="H59" s="277" t="s">
        <v>107</v>
      </c>
    </row>
    <row r="60" spans="1:8" x14ac:dyDescent="0.35">
      <c r="A60" s="276" t="s">
        <v>498</v>
      </c>
      <c r="B60" s="278" t="s">
        <v>499</v>
      </c>
      <c r="C60" s="277" t="s">
        <v>651</v>
      </c>
      <c r="D60" s="276" t="s">
        <v>655</v>
      </c>
      <c r="E60" s="277" t="s">
        <v>656</v>
      </c>
      <c r="F60" s="277" t="s">
        <v>499</v>
      </c>
      <c r="G60" s="277" t="s">
        <v>657</v>
      </c>
      <c r="H60" s="277" t="s">
        <v>658</v>
      </c>
    </row>
    <row r="61" spans="1:8" x14ac:dyDescent="0.35">
      <c r="A61" s="276" t="s">
        <v>498</v>
      </c>
      <c r="B61" s="278" t="s">
        <v>499</v>
      </c>
      <c r="C61" s="277" t="s">
        <v>651</v>
      </c>
      <c r="D61" s="276" t="s">
        <v>659</v>
      </c>
      <c r="E61" s="277" t="s">
        <v>660</v>
      </c>
      <c r="F61" s="277" t="s">
        <v>621</v>
      </c>
      <c r="G61" s="277" t="s">
        <v>657</v>
      </c>
      <c r="H61" s="277" t="s">
        <v>107</v>
      </c>
    </row>
    <row r="62" spans="1:8" x14ac:dyDescent="0.35">
      <c r="A62" s="276" t="s">
        <v>501</v>
      </c>
      <c r="B62" s="278" t="s">
        <v>499</v>
      </c>
      <c r="C62" s="277" t="s">
        <v>502</v>
      </c>
      <c r="D62" s="276" t="s">
        <v>661</v>
      </c>
      <c r="E62" s="277" t="s">
        <v>662</v>
      </c>
      <c r="F62" s="277" t="s">
        <v>499</v>
      </c>
      <c r="G62" s="277" t="s">
        <v>654</v>
      </c>
      <c r="H62" s="277" t="s">
        <v>47</v>
      </c>
    </row>
    <row r="63" spans="1:8" x14ac:dyDescent="0.35">
      <c r="A63" s="276" t="s">
        <v>501</v>
      </c>
      <c r="B63" s="278" t="s">
        <v>499</v>
      </c>
      <c r="C63" s="277" t="s">
        <v>502</v>
      </c>
      <c r="D63" s="276" t="s">
        <v>663</v>
      </c>
      <c r="E63" s="277" t="s">
        <v>664</v>
      </c>
      <c r="F63" s="277" t="s">
        <v>499</v>
      </c>
      <c r="G63" s="277" t="s">
        <v>665</v>
      </c>
      <c r="H63" s="277" t="s">
        <v>107</v>
      </c>
    </row>
    <row r="64" spans="1:8" x14ac:dyDescent="0.35">
      <c r="A64" s="276" t="s">
        <v>501</v>
      </c>
      <c r="B64" s="278" t="s">
        <v>499</v>
      </c>
      <c r="C64" s="277" t="s">
        <v>502</v>
      </c>
      <c r="D64" s="276" t="s">
        <v>666</v>
      </c>
      <c r="E64" s="277" t="s">
        <v>667</v>
      </c>
      <c r="F64" s="277" t="s">
        <v>621</v>
      </c>
      <c r="G64" s="277" t="s">
        <v>657</v>
      </c>
      <c r="H64" s="277" t="s">
        <v>107</v>
      </c>
    </row>
    <row r="65" spans="1:8" x14ac:dyDescent="0.35">
      <c r="A65" s="276" t="s">
        <v>503</v>
      </c>
      <c r="B65" s="278" t="s">
        <v>499</v>
      </c>
      <c r="C65" s="277" t="s">
        <v>504</v>
      </c>
      <c r="D65" s="276" t="s">
        <v>668</v>
      </c>
      <c r="E65" s="277" t="s">
        <v>669</v>
      </c>
      <c r="F65" s="277" t="s">
        <v>499</v>
      </c>
      <c r="G65" s="277" t="s">
        <v>654</v>
      </c>
      <c r="H65" s="277" t="s">
        <v>107</v>
      </c>
    </row>
    <row r="66" spans="1:8" x14ac:dyDescent="0.35">
      <c r="A66" s="276" t="s">
        <v>503</v>
      </c>
      <c r="B66" s="278" t="s">
        <v>499</v>
      </c>
      <c r="C66" s="277" t="s">
        <v>504</v>
      </c>
      <c r="D66" s="276" t="s">
        <v>670</v>
      </c>
      <c r="E66" s="277" t="s">
        <v>671</v>
      </c>
      <c r="F66" s="277" t="s">
        <v>499</v>
      </c>
      <c r="G66" s="277" t="s">
        <v>665</v>
      </c>
      <c r="H66" s="277" t="s">
        <v>107</v>
      </c>
    </row>
    <row r="67" spans="1:8" x14ac:dyDescent="0.35">
      <c r="A67" s="276" t="s">
        <v>503</v>
      </c>
      <c r="B67" s="278" t="s">
        <v>499</v>
      </c>
      <c r="C67" s="277" t="s">
        <v>504</v>
      </c>
      <c r="D67" s="276" t="s">
        <v>672</v>
      </c>
      <c r="E67" s="277" t="s">
        <v>673</v>
      </c>
      <c r="F67" s="277" t="s">
        <v>621</v>
      </c>
      <c r="G67" s="277" t="s">
        <v>657</v>
      </c>
      <c r="H67" s="277" t="s">
        <v>658</v>
      </c>
    </row>
    <row r="68" spans="1:8" x14ac:dyDescent="0.35">
      <c r="A68" s="276" t="s">
        <v>505</v>
      </c>
      <c r="B68" s="278" t="s">
        <v>499</v>
      </c>
      <c r="C68" s="277" t="s">
        <v>674</v>
      </c>
      <c r="D68" s="276" t="s">
        <v>675</v>
      </c>
      <c r="E68" s="277" t="s">
        <v>676</v>
      </c>
      <c r="F68" s="277" t="s">
        <v>621</v>
      </c>
      <c r="G68" s="277" t="s">
        <v>654</v>
      </c>
      <c r="H68" s="277" t="s">
        <v>107</v>
      </c>
    </row>
    <row r="69" spans="1:8" x14ac:dyDescent="0.35">
      <c r="A69" s="276" t="s">
        <v>505</v>
      </c>
      <c r="B69" s="278" t="s">
        <v>499</v>
      </c>
      <c r="C69" s="277" t="s">
        <v>674</v>
      </c>
      <c r="D69" s="276" t="s">
        <v>677</v>
      </c>
      <c r="E69" s="277" t="s">
        <v>678</v>
      </c>
      <c r="F69" s="277" t="s">
        <v>621</v>
      </c>
      <c r="G69" s="277" t="s">
        <v>657</v>
      </c>
      <c r="H69" s="277" t="s">
        <v>658</v>
      </c>
    </row>
    <row r="70" spans="1:8" x14ac:dyDescent="0.35">
      <c r="A70" s="276" t="s">
        <v>507</v>
      </c>
      <c r="B70" s="278" t="s">
        <v>499</v>
      </c>
      <c r="C70" s="277" t="s">
        <v>679</v>
      </c>
      <c r="D70" s="276" t="s">
        <v>680</v>
      </c>
      <c r="E70" s="277" t="s">
        <v>681</v>
      </c>
      <c r="F70" s="277" t="s">
        <v>499</v>
      </c>
      <c r="G70" s="277" t="s">
        <v>654</v>
      </c>
      <c r="H70" s="277" t="s">
        <v>658</v>
      </c>
    </row>
    <row r="71" spans="1:8" x14ac:dyDescent="0.35">
      <c r="A71" s="276" t="s">
        <v>507</v>
      </c>
      <c r="B71" s="278" t="s">
        <v>499</v>
      </c>
      <c r="C71" s="277" t="s">
        <v>679</v>
      </c>
      <c r="D71" s="276" t="s">
        <v>682</v>
      </c>
      <c r="E71" s="277" t="s">
        <v>683</v>
      </c>
      <c r="F71" s="277" t="s">
        <v>499</v>
      </c>
      <c r="G71" s="277" t="s">
        <v>665</v>
      </c>
      <c r="H71" s="277" t="s">
        <v>658</v>
      </c>
    </row>
    <row r="72" spans="1:8" x14ac:dyDescent="0.35">
      <c r="A72" s="276" t="s">
        <v>509</v>
      </c>
      <c r="B72" s="278" t="s">
        <v>757</v>
      </c>
      <c r="C72" s="277" t="s">
        <v>684</v>
      </c>
      <c r="D72" s="276" t="s">
        <v>685</v>
      </c>
      <c r="E72" s="277" t="s">
        <v>686</v>
      </c>
      <c r="F72" s="277" t="s">
        <v>499</v>
      </c>
      <c r="G72" s="277" t="s">
        <v>654</v>
      </c>
      <c r="H72" s="277" t="s">
        <v>107</v>
      </c>
    </row>
    <row r="73" spans="1:8" x14ac:dyDescent="0.35">
      <c r="A73" s="276" t="s">
        <v>509</v>
      </c>
      <c r="B73" s="278" t="s">
        <v>757</v>
      </c>
      <c r="C73" s="277" t="s">
        <v>684</v>
      </c>
      <c r="D73" s="276" t="s">
        <v>687</v>
      </c>
      <c r="E73" s="277" t="s">
        <v>688</v>
      </c>
      <c r="F73" s="277" t="s">
        <v>499</v>
      </c>
      <c r="G73" s="277" t="s">
        <v>665</v>
      </c>
      <c r="H73" s="277" t="s">
        <v>658</v>
      </c>
    </row>
    <row r="74" spans="1:8" x14ac:dyDescent="0.35">
      <c r="A74" s="276" t="s">
        <v>511</v>
      </c>
      <c r="B74" s="278" t="s">
        <v>757</v>
      </c>
      <c r="C74" s="277" t="s">
        <v>689</v>
      </c>
      <c r="D74" s="276" t="s">
        <v>690</v>
      </c>
      <c r="E74" s="277" t="s">
        <v>691</v>
      </c>
      <c r="F74" s="277" t="s">
        <v>499</v>
      </c>
      <c r="G74" s="277" t="s">
        <v>654</v>
      </c>
      <c r="H74" s="277" t="s">
        <v>658</v>
      </c>
    </row>
    <row r="75" spans="1:8" x14ac:dyDescent="0.35">
      <c r="A75" s="276" t="s">
        <v>511</v>
      </c>
      <c r="B75" s="278" t="s">
        <v>757</v>
      </c>
      <c r="C75" s="277" t="s">
        <v>689</v>
      </c>
      <c r="D75" s="276" t="s">
        <v>692</v>
      </c>
      <c r="E75" s="277" t="s">
        <v>693</v>
      </c>
      <c r="F75" s="277" t="s">
        <v>499</v>
      </c>
      <c r="G75" s="277" t="s">
        <v>665</v>
      </c>
      <c r="H75" s="277" t="s">
        <v>107</v>
      </c>
    </row>
    <row r="76" spans="1:8" x14ac:dyDescent="0.35">
      <c r="A76" s="276" t="s">
        <v>513</v>
      </c>
      <c r="B76" s="278" t="s">
        <v>757</v>
      </c>
      <c r="C76" s="277" t="s">
        <v>694</v>
      </c>
      <c r="D76" s="276" t="s">
        <v>695</v>
      </c>
      <c r="E76" s="277" t="s">
        <v>696</v>
      </c>
      <c r="F76" s="277" t="s">
        <v>499</v>
      </c>
      <c r="G76" s="277" t="s">
        <v>654</v>
      </c>
      <c r="H76" s="277" t="s">
        <v>107</v>
      </c>
    </row>
    <row r="77" spans="1:8" x14ac:dyDescent="0.35">
      <c r="A77" s="276" t="s">
        <v>513</v>
      </c>
      <c r="B77" s="278" t="s">
        <v>757</v>
      </c>
      <c r="C77" s="277" t="s">
        <v>694</v>
      </c>
      <c r="D77" s="276" t="s">
        <v>697</v>
      </c>
      <c r="E77" s="277" t="s">
        <v>698</v>
      </c>
      <c r="F77" s="277" t="s">
        <v>499</v>
      </c>
      <c r="G77" s="277" t="s">
        <v>665</v>
      </c>
      <c r="H77" s="277" t="s">
        <v>107</v>
      </c>
    </row>
    <row r="78" spans="1:8" x14ac:dyDescent="0.35">
      <c r="A78" s="276" t="s">
        <v>515</v>
      </c>
      <c r="B78" s="278" t="s">
        <v>757</v>
      </c>
      <c r="C78" s="277" t="s">
        <v>699</v>
      </c>
      <c r="D78" s="276" t="s">
        <v>700</v>
      </c>
      <c r="E78" s="277" t="s">
        <v>701</v>
      </c>
      <c r="F78" s="277" t="s">
        <v>499</v>
      </c>
      <c r="G78" s="277" t="s">
        <v>654</v>
      </c>
      <c r="H78" s="277" t="s">
        <v>107</v>
      </c>
    </row>
    <row r="79" spans="1:8" x14ac:dyDescent="0.35">
      <c r="A79" s="276" t="s">
        <v>515</v>
      </c>
      <c r="B79" s="278" t="s">
        <v>757</v>
      </c>
      <c r="C79" s="277" t="s">
        <v>699</v>
      </c>
      <c r="D79" s="276" t="s">
        <v>702</v>
      </c>
      <c r="E79" s="277" t="s">
        <v>703</v>
      </c>
      <c r="F79" s="277" t="s">
        <v>621</v>
      </c>
      <c r="G79" s="277" t="s">
        <v>657</v>
      </c>
      <c r="H79" s="277" t="s">
        <v>658</v>
      </c>
    </row>
    <row r="80" spans="1:8" x14ac:dyDescent="0.35">
      <c r="A80" s="276" t="s">
        <v>534</v>
      </c>
      <c r="B80" s="278" t="s">
        <v>758</v>
      </c>
      <c r="C80" s="277" t="s">
        <v>704</v>
      </c>
      <c r="D80" s="276" t="s">
        <v>705</v>
      </c>
      <c r="E80" s="277" t="s">
        <v>706</v>
      </c>
      <c r="F80" s="277" t="s">
        <v>621</v>
      </c>
      <c r="G80" s="277" t="s">
        <v>654</v>
      </c>
      <c r="H80" s="277" t="s">
        <v>107</v>
      </c>
    </row>
    <row r="81" spans="1:8" x14ac:dyDescent="0.35">
      <c r="A81" s="276" t="s">
        <v>534</v>
      </c>
      <c r="B81" s="278" t="s">
        <v>758</v>
      </c>
      <c r="C81" s="277" t="s">
        <v>704</v>
      </c>
      <c r="D81" s="276" t="s">
        <v>707</v>
      </c>
      <c r="E81" s="277" t="s">
        <v>708</v>
      </c>
      <c r="F81" s="277" t="s">
        <v>617</v>
      </c>
      <c r="G81" s="277" t="s">
        <v>665</v>
      </c>
      <c r="H81" s="277" t="s">
        <v>658</v>
      </c>
    </row>
    <row r="82" spans="1:8" x14ac:dyDescent="0.35">
      <c r="A82" s="276" t="s">
        <v>539</v>
      </c>
      <c r="B82" s="278" t="s">
        <v>758</v>
      </c>
      <c r="C82" s="277" t="s">
        <v>709</v>
      </c>
      <c r="D82" s="276" t="s">
        <v>710</v>
      </c>
      <c r="E82" s="277" t="s">
        <v>711</v>
      </c>
      <c r="F82" s="277" t="s">
        <v>621</v>
      </c>
      <c r="G82" s="277" t="s">
        <v>654</v>
      </c>
      <c r="H82" s="277" t="s">
        <v>107</v>
      </c>
    </row>
    <row r="83" spans="1:8" x14ac:dyDescent="0.35">
      <c r="A83" s="276" t="s">
        <v>539</v>
      </c>
      <c r="B83" s="278" t="s">
        <v>758</v>
      </c>
      <c r="C83" s="277" t="s">
        <v>709</v>
      </c>
      <c r="D83" s="276" t="s">
        <v>712</v>
      </c>
      <c r="E83" s="277" t="s">
        <v>713</v>
      </c>
      <c r="F83" s="277" t="s">
        <v>617</v>
      </c>
      <c r="G83" s="277" t="s">
        <v>665</v>
      </c>
      <c r="H83" s="277" t="s">
        <v>658</v>
      </c>
    </row>
    <row r="84" spans="1:8" x14ac:dyDescent="0.35">
      <c r="A84" s="276" t="s">
        <v>541</v>
      </c>
      <c r="B84" s="278" t="s">
        <v>758</v>
      </c>
      <c r="C84" s="277" t="s">
        <v>714</v>
      </c>
      <c r="D84" s="276" t="s">
        <v>715</v>
      </c>
      <c r="E84" s="277" t="s">
        <v>716</v>
      </c>
      <c r="F84" s="277" t="s">
        <v>612</v>
      </c>
      <c r="G84" s="277" t="s">
        <v>654</v>
      </c>
      <c r="H84" s="277" t="s">
        <v>107</v>
      </c>
    </row>
    <row r="85" spans="1:8" x14ac:dyDescent="0.35">
      <c r="A85" s="276" t="s">
        <v>541</v>
      </c>
      <c r="B85" s="278" t="s">
        <v>758</v>
      </c>
      <c r="C85" s="277" t="s">
        <v>714</v>
      </c>
      <c r="D85" s="276" t="s">
        <v>717</v>
      </c>
      <c r="E85" s="277" t="s">
        <v>718</v>
      </c>
      <c r="F85" s="277" t="s">
        <v>612</v>
      </c>
      <c r="G85" s="277" t="s">
        <v>665</v>
      </c>
      <c r="H85" s="277" t="s">
        <v>107</v>
      </c>
    </row>
    <row r="86" spans="1:8" x14ac:dyDescent="0.35">
      <c r="A86" s="276" t="s">
        <v>547</v>
      </c>
      <c r="B86" s="278" t="s">
        <v>758</v>
      </c>
      <c r="C86" s="277" t="s">
        <v>719</v>
      </c>
      <c r="D86" s="276" t="s">
        <v>720</v>
      </c>
      <c r="E86" s="277" t="s">
        <v>721</v>
      </c>
      <c r="F86" s="277" t="s">
        <v>615</v>
      </c>
      <c r="G86" s="277" t="s">
        <v>654</v>
      </c>
      <c r="H86" s="277" t="s">
        <v>47</v>
      </c>
    </row>
    <row r="87" spans="1:8" x14ac:dyDescent="0.35">
      <c r="A87" s="276" t="s">
        <v>547</v>
      </c>
      <c r="B87" s="278" t="s">
        <v>758</v>
      </c>
      <c r="C87" s="277" t="s">
        <v>719</v>
      </c>
      <c r="D87" s="276" t="s">
        <v>722</v>
      </c>
      <c r="E87" s="277" t="s">
        <v>723</v>
      </c>
      <c r="F87" s="277" t="s">
        <v>615</v>
      </c>
      <c r="G87" s="277" t="s">
        <v>665</v>
      </c>
      <c r="H87" s="277" t="s">
        <v>107</v>
      </c>
    </row>
    <row r="88" spans="1:8" x14ac:dyDescent="0.35">
      <c r="A88" s="276" t="s">
        <v>549</v>
      </c>
      <c r="B88" s="278" t="s">
        <v>758</v>
      </c>
      <c r="C88" s="277" t="s">
        <v>724</v>
      </c>
      <c r="D88" s="276" t="s">
        <v>725</v>
      </c>
      <c r="E88" s="277" t="s">
        <v>726</v>
      </c>
      <c r="F88" s="277" t="s">
        <v>617</v>
      </c>
      <c r="G88" s="277" t="s">
        <v>654</v>
      </c>
      <c r="H88" s="277" t="s">
        <v>107</v>
      </c>
    </row>
    <row r="89" spans="1:8" x14ac:dyDescent="0.35">
      <c r="A89" s="276" t="s">
        <v>549</v>
      </c>
      <c r="B89" s="278" t="s">
        <v>758</v>
      </c>
      <c r="C89" s="277" t="s">
        <v>724</v>
      </c>
      <c r="D89" s="276" t="s">
        <v>727</v>
      </c>
      <c r="E89" s="277" t="s">
        <v>728</v>
      </c>
      <c r="F89" s="277" t="s">
        <v>617</v>
      </c>
      <c r="G89" s="277" t="s">
        <v>665</v>
      </c>
      <c r="H89" s="277" t="s">
        <v>107</v>
      </c>
    </row>
    <row r="90" spans="1:8" x14ac:dyDescent="0.35">
      <c r="A90" s="276" t="s">
        <v>559</v>
      </c>
      <c r="B90" s="278" t="s">
        <v>759</v>
      </c>
      <c r="C90" s="277" t="s">
        <v>729</v>
      </c>
      <c r="D90" s="276" t="s">
        <v>730</v>
      </c>
      <c r="E90" s="277" t="s">
        <v>731</v>
      </c>
      <c r="F90" s="277" t="s">
        <v>621</v>
      </c>
      <c r="G90" s="277" t="s">
        <v>654</v>
      </c>
      <c r="H90" s="277" t="s">
        <v>47</v>
      </c>
    </row>
    <row r="91" spans="1:8" x14ac:dyDescent="0.35">
      <c r="A91" s="276" t="s">
        <v>559</v>
      </c>
      <c r="B91" s="278" t="s">
        <v>759</v>
      </c>
      <c r="C91" s="277" t="s">
        <v>729</v>
      </c>
      <c r="D91" s="276" t="s">
        <v>732</v>
      </c>
      <c r="E91" s="277" t="s">
        <v>733</v>
      </c>
      <c r="F91" s="277" t="s">
        <v>621</v>
      </c>
      <c r="G91" s="277" t="s">
        <v>657</v>
      </c>
      <c r="H91" s="277" t="s">
        <v>107</v>
      </c>
    </row>
    <row r="92" spans="1:8" x14ac:dyDescent="0.35">
      <c r="A92" s="276" t="s">
        <v>562</v>
      </c>
      <c r="B92" s="278" t="s">
        <v>759</v>
      </c>
      <c r="C92" s="277" t="s">
        <v>734</v>
      </c>
      <c r="D92" s="276" t="s">
        <v>735</v>
      </c>
      <c r="E92" s="277" t="s">
        <v>736</v>
      </c>
      <c r="F92" s="277" t="s">
        <v>621</v>
      </c>
      <c r="G92" s="277" t="s">
        <v>654</v>
      </c>
      <c r="H92" s="277" t="s">
        <v>47</v>
      </c>
    </row>
    <row r="93" spans="1:8" x14ac:dyDescent="0.35">
      <c r="A93" s="276" t="s">
        <v>562</v>
      </c>
      <c r="B93" s="278" t="s">
        <v>759</v>
      </c>
      <c r="C93" s="277" t="s">
        <v>734</v>
      </c>
      <c r="D93" s="276" t="s">
        <v>737</v>
      </c>
      <c r="E93" s="277" t="s">
        <v>738</v>
      </c>
      <c r="F93" s="277" t="s">
        <v>621</v>
      </c>
      <c r="G93" s="277" t="s">
        <v>657</v>
      </c>
      <c r="H93" s="277" t="s">
        <v>107</v>
      </c>
    </row>
    <row r="94" spans="1:8" x14ac:dyDescent="0.35">
      <c r="A94" s="276" t="s">
        <v>564</v>
      </c>
      <c r="B94" s="278" t="s">
        <v>759</v>
      </c>
      <c r="C94" s="277" t="s">
        <v>565</v>
      </c>
      <c r="D94" s="276" t="s">
        <v>739</v>
      </c>
      <c r="E94" s="277" t="s">
        <v>740</v>
      </c>
      <c r="F94" s="277" t="s">
        <v>621</v>
      </c>
      <c r="G94" s="277" t="s">
        <v>654</v>
      </c>
      <c r="H94" s="277" t="s">
        <v>107</v>
      </c>
    </row>
    <row r="95" spans="1:8" x14ac:dyDescent="0.35">
      <c r="A95" s="276" t="s">
        <v>564</v>
      </c>
      <c r="B95" s="278" t="s">
        <v>759</v>
      </c>
      <c r="C95" s="277" t="s">
        <v>565</v>
      </c>
      <c r="D95" s="276" t="s">
        <v>741</v>
      </c>
      <c r="E95" s="277" t="s">
        <v>742</v>
      </c>
      <c r="F95" s="277" t="s">
        <v>621</v>
      </c>
      <c r="G95" s="277" t="s">
        <v>665</v>
      </c>
      <c r="H95" s="277" t="s">
        <v>107</v>
      </c>
    </row>
    <row r="96" spans="1:8" x14ac:dyDescent="0.35">
      <c r="A96" s="276" t="s">
        <v>568</v>
      </c>
      <c r="B96" s="278" t="s">
        <v>760</v>
      </c>
      <c r="C96" s="277" t="s">
        <v>570</v>
      </c>
      <c r="D96" s="276" t="s">
        <v>743</v>
      </c>
      <c r="E96" s="277" t="s">
        <v>744</v>
      </c>
      <c r="F96" s="277" t="s">
        <v>624</v>
      </c>
      <c r="G96" s="277" t="s">
        <v>654</v>
      </c>
      <c r="H96" s="277" t="s">
        <v>107</v>
      </c>
    </row>
    <row r="97" spans="1:8" x14ac:dyDescent="0.35">
      <c r="A97" s="276" t="s">
        <v>568</v>
      </c>
      <c r="B97" s="278" t="s">
        <v>760</v>
      </c>
      <c r="C97" s="277" t="s">
        <v>570</v>
      </c>
      <c r="D97" s="276" t="s">
        <v>745</v>
      </c>
      <c r="E97" s="277" t="s">
        <v>746</v>
      </c>
      <c r="F97" s="277" t="s">
        <v>624</v>
      </c>
      <c r="G97" s="277" t="s">
        <v>665</v>
      </c>
      <c r="H97" s="277" t="s">
        <v>107</v>
      </c>
    </row>
    <row r="98" spans="1:8" x14ac:dyDescent="0.35">
      <c r="A98" s="276" t="s">
        <v>583</v>
      </c>
      <c r="B98" s="278" t="s">
        <v>760</v>
      </c>
      <c r="C98" s="277" t="s">
        <v>747</v>
      </c>
      <c r="D98" s="276" t="s">
        <v>748</v>
      </c>
      <c r="E98" s="277" t="s">
        <v>749</v>
      </c>
      <c r="F98" s="277" t="s">
        <v>621</v>
      </c>
      <c r="G98" s="277" t="s">
        <v>654</v>
      </c>
      <c r="H98" s="277" t="s">
        <v>107</v>
      </c>
    </row>
    <row r="99" spans="1:8" x14ac:dyDescent="0.35">
      <c r="A99" s="276" t="s">
        <v>583</v>
      </c>
      <c r="B99" s="278" t="s">
        <v>760</v>
      </c>
      <c r="C99" s="277" t="s">
        <v>747</v>
      </c>
      <c r="D99" s="276" t="s">
        <v>750</v>
      </c>
      <c r="E99" s="277" t="s">
        <v>751</v>
      </c>
      <c r="F99" s="277" t="s">
        <v>752</v>
      </c>
      <c r="G99" s="277" t="s">
        <v>665</v>
      </c>
      <c r="H99" s="277" t="s">
        <v>658</v>
      </c>
    </row>
    <row r="100" spans="1:8" x14ac:dyDescent="0.35">
      <c r="A100" s="276" t="s">
        <v>592</v>
      </c>
      <c r="B100" s="278" t="s">
        <v>760</v>
      </c>
      <c r="C100" s="277" t="s">
        <v>593</v>
      </c>
      <c r="D100" s="276" t="s">
        <v>753</v>
      </c>
      <c r="E100" s="277" t="s">
        <v>754</v>
      </c>
      <c r="F100" s="277" t="s">
        <v>621</v>
      </c>
      <c r="G100" s="277" t="s">
        <v>654</v>
      </c>
      <c r="H100" s="277" t="s">
        <v>107</v>
      </c>
    </row>
    <row r="101" spans="1:8" x14ac:dyDescent="0.35">
      <c r="A101" s="276" t="s">
        <v>592</v>
      </c>
      <c r="B101" s="278" t="s">
        <v>760</v>
      </c>
      <c r="C101" s="277" t="s">
        <v>593</v>
      </c>
      <c r="D101" s="276" t="s">
        <v>755</v>
      </c>
      <c r="E101" s="277" t="s">
        <v>756</v>
      </c>
      <c r="F101" s="277" t="s">
        <v>621</v>
      </c>
      <c r="G101" s="277" t="s">
        <v>657</v>
      </c>
      <c r="H101" s="277" t="s">
        <v>658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60"/>
  </cols>
  <sheetData>
    <row r="2" spans="2:58" ht="28.5" x14ac:dyDescent="0.35">
      <c r="B2" s="159" t="str">
        <f>TEMPLATE_NAME&amp;" "&amp;TEMPLATE_VER&amp;" - HELP"</f>
        <v>AG Estimation Template -  Version 2.0.4 - HELP</v>
      </c>
    </row>
    <row r="4" spans="2:58" x14ac:dyDescent="0.35">
      <c r="B4" s="160" t="s">
        <v>176</v>
      </c>
    </row>
    <row r="5" spans="2:58" x14ac:dyDescent="0.35">
      <c r="B5" s="190" t="s">
        <v>177</v>
      </c>
      <c r="D5" s="160" t="s">
        <v>178</v>
      </c>
    </row>
    <row r="6" spans="2:58" x14ac:dyDescent="0.35">
      <c r="B6" s="190" t="s">
        <v>177</v>
      </c>
      <c r="D6" s="160" t="s">
        <v>179</v>
      </c>
    </row>
    <row r="7" spans="2:58" x14ac:dyDescent="0.35">
      <c r="B7" s="190" t="s">
        <v>177</v>
      </c>
      <c r="D7" s="160" t="s">
        <v>180</v>
      </c>
    </row>
    <row r="8" spans="2:58" x14ac:dyDescent="0.35">
      <c r="B8" s="190" t="s">
        <v>177</v>
      </c>
      <c r="D8" s="160" t="s">
        <v>181</v>
      </c>
    </row>
    <row r="9" spans="2:58" x14ac:dyDescent="0.35">
      <c r="B9" s="190" t="s">
        <v>177</v>
      </c>
      <c r="D9" s="160" t="s">
        <v>182</v>
      </c>
    </row>
    <row r="10" spans="2:58" x14ac:dyDescent="0.35">
      <c r="B10" s="190" t="s">
        <v>177</v>
      </c>
      <c r="D10" s="160" t="s">
        <v>183</v>
      </c>
    </row>
    <row r="11" spans="2:58" x14ac:dyDescent="0.35">
      <c r="B11" s="190" t="s">
        <v>177</v>
      </c>
      <c r="D11" s="160" t="s">
        <v>184</v>
      </c>
    </row>
    <row r="13" spans="2:58" x14ac:dyDescent="0.35">
      <c r="B13" s="347" t="s">
        <v>259</v>
      </c>
      <c r="C13" s="347"/>
      <c r="D13" s="347"/>
      <c r="E13" s="347"/>
      <c r="F13" s="347"/>
      <c r="G13" s="347"/>
      <c r="H13" s="347"/>
      <c r="I13" s="347"/>
      <c r="J13" s="347"/>
      <c r="N13" s="214" t="s">
        <v>420</v>
      </c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8" t="s">
        <v>421</v>
      </c>
      <c r="AW13" s="213"/>
      <c r="AX13" s="214" t="s">
        <v>422</v>
      </c>
      <c r="AY13" s="213"/>
      <c r="AZ13" s="213"/>
      <c r="BA13" s="213"/>
      <c r="BB13" s="213"/>
      <c r="BC13" s="213"/>
      <c r="BD13" s="213"/>
      <c r="BE13" s="213"/>
      <c r="BF13" s="213"/>
    </row>
    <row r="14" spans="2:58" x14ac:dyDescent="0.35">
      <c r="B14" s="347"/>
      <c r="C14" s="347"/>
      <c r="D14" s="347"/>
      <c r="E14" s="347"/>
      <c r="F14" s="347"/>
      <c r="G14" s="347"/>
      <c r="H14" s="347"/>
      <c r="I14" s="347"/>
      <c r="J14" s="347"/>
      <c r="N14" s="214" t="s">
        <v>423</v>
      </c>
      <c r="S14" s="214" t="s">
        <v>424</v>
      </c>
      <c r="AH14" s="218" t="s">
        <v>425</v>
      </c>
    </row>
    <row r="15" spans="2:58" ht="15" customHeight="1" x14ac:dyDescent="0.35">
      <c r="B15" s="215"/>
      <c r="C15" s="215"/>
      <c r="D15" s="215"/>
      <c r="E15" s="215"/>
      <c r="F15" s="215"/>
      <c r="G15" s="215"/>
      <c r="H15" s="215"/>
      <c r="I15" s="215"/>
      <c r="J15" s="215"/>
      <c r="N15" s="216"/>
      <c r="S15" s="216"/>
      <c r="AH15" s="217"/>
    </row>
    <row r="16" spans="2:58" ht="15" customHeight="1" x14ac:dyDescent="0.35">
      <c r="H16" s="348" t="s">
        <v>191</v>
      </c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8"/>
      <c r="V16" s="348"/>
      <c r="AL16" s="348" t="s">
        <v>241</v>
      </c>
      <c r="AM16" s="348"/>
      <c r="AN16" s="348"/>
      <c r="AO16" s="348"/>
      <c r="AP16" s="348"/>
      <c r="AQ16" s="348"/>
      <c r="AR16" s="348"/>
      <c r="AS16" s="348"/>
      <c r="AT16" s="348"/>
      <c r="AU16" s="348"/>
      <c r="AV16" s="348"/>
      <c r="AW16" s="348"/>
      <c r="AX16" s="348"/>
      <c r="AY16" s="348"/>
      <c r="AZ16" s="348"/>
      <c r="BA16" s="348"/>
      <c r="BB16" s="348"/>
      <c r="BC16" s="348"/>
      <c r="BD16" s="348"/>
    </row>
    <row r="17" spans="2:56" ht="15" customHeight="1" x14ac:dyDescent="0.35">
      <c r="H17" s="348"/>
      <c r="I17" s="348"/>
      <c r="J17" s="348"/>
      <c r="K17" s="348"/>
      <c r="L17" s="348"/>
      <c r="M17" s="348"/>
      <c r="N17" s="348"/>
      <c r="O17" s="348"/>
      <c r="P17" s="348"/>
      <c r="Q17" s="348"/>
      <c r="R17" s="348"/>
      <c r="S17" s="348"/>
      <c r="T17" s="348"/>
      <c r="U17" s="348"/>
      <c r="V17" s="348"/>
      <c r="AL17" s="348"/>
      <c r="AM17" s="348"/>
      <c r="AN17" s="348"/>
      <c r="AO17" s="348"/>
      <c r="AP17" s="348"/>
      <c r="AQ17" s="348"/>
      <c r="AR17" s="348"/>
      <c r="AS17" s="348"/>
      <c r="AT17" s="348"/>
      <c r="AU17" s="348"/>
      <c r="AV17" s="348"/>
      <c r="AW17" s="348"/>
      <c r="AX17" s="348"/>
      <c r="AY17" s="348"/>
      <c r="AZ17" s="348"/>
      <c r="BA17" s="348"/>
      <c r="BB17" s="348"/>
      <c r="BC17" s="348"/>
      <c r="BD17" s="348"/>
    </row>
    <row r="18" spans="2:56" x14ac:dyDescent="0.35">
      <c r="H18" s="160" t="s">
        <v>192</v>
      </c>
      <c r="AL18" s="160" t="s">
        <v>196</v>
      </c>
    </row>
    <row r="19" spans="2:56" x14ac:dyDescent="0.35">
      <c r="H19" s="160" t="s">
        <v>193</v>
      </c>
      <c r="AL19" s="160" t="s">
        <v>197</v>
      </c>
    </row>
    <row r="20" spans="2:56" x14ac:dyDescent="0.35">
      <c r="H20" s="160" t="s">
        <v>194</v>
      </c>
      <c r="AL20" s="160" t="s">
        <v>198</v>
      </c>
    </row>
    <row r="21" spans="2:56" x14ac:dyDescent="0.35">
      <c r="H21" s="160" t="s">
        <v>195</v>
      </c>
    </row>
    <row r="22" spans="2:56" x14ac:dyDescent="0.35">
      <c r="H22" s="160" t="s">
        <v>201</v>
      </c>
      <c r="O22"/>
      <c r="AL22" s="160" t="s">
        <v>199</v>
      </c>
    </row>
    <row r="23" spans="2:56" x14ac:dyDescent="0.35">
      <c r="H23" s="160" t="s">
        <v>202</v>
      </c>
      <c r="AL23" s="160" t="s">
        <v>200</v>
      </c>
    </row>
    <row r="29" spans="2:56" x14ac:dyDescent="0.35">
      <c r="B29" s="348" t="s">
        <v>203</v>
      </c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8"/>
      <c r="N29" s="348"/>
      <c r="O29" s="348"/>
    </row>
    <row r="30" spans="2:56" x14ac:dyDescent="0.35">
      <c r="B30" s="348"/>
      <c r="C30" s="348"/>
      <c r="D30" s="348"/>
      <c r="E30" s="348"/>
      <c r="F30" s="348"/>
      <c r="G30" s="348"/>
      <c r="H30" s="348"/>
      <c r="I30" s="348"/>
      <c r="J30" s="348"/>
      <c r="K30" s="348"/>
      <c r="L30" s="348"/>
      <c r="M30" s="348"/>
      <c r="N30" s="348"/>
      <c r="O30" s="348"/>
    </row>
    <row r="31" spans="2:56" x14ac:dyDescent="0.35">
      <c r="B31" s="160" t="s">
        <v>427</v>
      </c>
    </row>
    <row r="32" spans="2:56" x14ac:dyDescent="0.35">
      <c r="B32" s="160" t="s">
        <v>428</v>
      </c>
    </row>
    <row r="33" spans="2:31" x14ac:dyDescent="0.35">
      <c r="B33" s="160" t="s">
        <v>429</v>
      </c>
    </row>
    <row r="34" spans="2:31" x14ac:dyDescent="0.35">
      <c r="B34" s="160" t="s">
        <v>430</v>
      </c>
    </row>
    <row r="35" spans="2:31" x14ac:dyDescent="0.35">
      <c r="B35" s="160" t="s">
        <v>431</v>
      </c>
    </row>
    <row r="36" spans="2:31" x14ac:dyDescent="0.35">
      <c r="B36" s="160" t="s">
        <v>432</v>
      </c>
    </row>
    <row r="41" spans="2:31" x14ac:dyDescent="0.35">
      <c r="B41" s="348" t="s">
        <v>204</v>
      </c>
      <c r="C41" s="348"/>
      <c r="D41" s="348"/>
      <c r="E41" s="348"/>
      <c r="F41" s="348"/>
      <c r="G41" s="348"/>
      <c r="H41" s="348"/>
      <c r="I41" s="348"/>
      <c r="J41" s="348"/>
      <c r="K41" s="348"/>
      <c r="L41" s="348"/>
      <c r="M41" s="348"/>
      <c r="N41" s="348"/>
      <c r="O41" s="348"/>
    </row>
    <row r="42" spans="2:31" x14ac:dyDescent="0.35">
      <c r="B42" s="348"/>
      <c r="C42" s="348"/>
      <c r="D42" s="348"/>
      <c r="E42" s="348"/>
      <c r="F42" s="348"/>
      <c r="G42" s="348"/>
      <c r="H42" s="348"/>
      <c r="I42" s="348"/>
      <c r="J42" s="348"/>
      <c r="K42" s="348"/>
      <c r="L42" s="348"/>
      <c r="M42" s="348"/>
      <c r="N42" s="348"/>
      <c r="O42" s="348"/>
      <c r="AE42" s="160" t="s">
        <v>210</v>
      </c>
    </row>
    <row r="43" spans="2:31" x14ac:dyDescent="0.35">
      <c r="B43" s="160" t="s">
        <v>206</v>
      </c>
      <c r="AE43" s="160" t="s">
        <v>209</v>
      </c>
    </row>
    <row r="44" spans="2:31" x14ac:dyDescent="0.35">
      <c r="B44" s="160" t="s">
        <v>205</v>
      </c>
      <c r="AE44" s="160" t="s">
        <v>211</v>
      </c>
    </row>
    <row r="46" spans="2:31" x14ac:dyDescent="0.35">
      <c r="B46" s="160" t="s">
        <v>207</v>
      </c>
      <c r="AE46" s="160" t="s">
        <v>212</v>
      </c>
    </row>
    <row r="47" spans="2:31" x14ac:dyDescent="0.35">
      <c r="B47" s="160" t="s">
        <v>208</v>
      </c>
      <c r="AE47" s="160" t="s">
        <v>213</v>
      </c>
    </row>
    <row r="49" spans="2:14" x14ac:dyDescent="0.35">
      <c r="B49" s="348" t="s">
        <v>220</v>
      </c>
      <c r="C49" s="34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</row>
    <row r="50" spans="2:14" x14ac:dyDescent="0.35">
      <c r="B50" s="348"/>
      <c r="C50" s="348"/>
      <c r="D50" s="348"/>
      <c r="E50" s="348"/>
      <c r="F50" s="348"/>
      <c r="G50" s="348"/>
      <c r="H50" s="348"/>
      <c r="I50" s="348"/>
      <c r="J50" s="348"/>
      <c r="K50" s="348"/>
      <c r="L50" s="348"/>
      <c r="M50" s="348"/>
      <c r="N50" s="348"/>
    </row>
    <row r="51" spans="2:14" x14ac:dyDescent="0.35">
      <c r="B51" s="160" t="s">
        <v>214</v>
      </c>
    </row>
    <row r="52" spans="2:14" x14ac:dyDescent="0.35">
      <c r="B52" s="160" t="s">
        <v>215</v>
      </c>
    </row>
    <row r="54" spans="2:14" x14ac:dyDescent="0.35">
      <c r="B54" s="160" t="s">
        <v>216</v>
      </c>
    </row>
    <row r="55" spans="2:14" x14ac:dyDescent="0.35">
      <c r="B55" s="160" t="s">
        <v>217</v>
      </c>
    </row>
    <row r="56" spans="2:14" x14ac:dyDescent="0.35">
      <c r="B56" s="160" t="s">
        <v>218</v>
      </c>
    </row>
    <row r="57" spans="2:14" x14ac:dyDescent="0.35">
      <c r="B57" s="160" t="s">
        <v>219</v>
      </c>
    </row>
    <row r="71" spans="2:16" x14ac:dyDescent="0.35">
      <c r="B71" s="348" t="s">
        <v>221</v>
      </c>
      <c r="C71" s="348"/>
      <c r="D71" s="348"/>
      <c r="E71" s="348"/>
      <c r="F71" s="348"/>
      <c r="G71" s="348"/>
      <c r="H71" s="348"/>
      <c r="I71" s="348"/>
      <c r="J71" s="348"/>
      <c r="K71" s="348"/>
      <c r="L71" s="348"/>
      <c r="M71" s="348"/>
      <c r="N71" s="348"/>
      <c r="O71" s="348"/>
      <c r="P71" s="348"/>
    </row>
    <row r="72" spans="2:16" x14ac:dyDescent="0.35">
      <c r="B72" s="348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348"/>
      <c r="N72" s="348"/>
      <c r="O72" s="348"/>
      <c r="P72" s="348"/>
    </row>
    <row r="73" spans="2:16" x14ac:dyDescent="0.35">
      <c r="B73" s="160" t="s">
        <v>222</v>
      </c>
    </row>
    <row r="74" spans="2:16" x14ac:dyDescent="0.35">
      <c r="B74" s="160" t="s">
        <v>224</v>
      </c>
    </row>
    <row r="75" spans="2:16" x14ac:dyDescent="0.35">
      <c r="B75" s="160" t="s">
        <v>223</v>
      </c>
    </row>
    <row r="79" spans="2:16" x14ac:dyDescent="0.35">
      <c r="B79" s="160" t="s">
        <v>225</v>
      </c>
    </row>
    <row r="80" spans="2:16" x14ac:dyDescent="0.35">
      <c r="B80" s="160" t="s">
        <v>226</v>
      </c>
    </row>
    <row r="83" spans="3:69" ht="15" customHeight="1" x14ac:dyDescent="0.35">
      <c r="BG83" s="198" t="s">
        <v>229</v>
      </c>
      <c r="BH83" s="197"/>
      <c r="BI83" s="197"/>
      <c r="BJ83" s="197"/>
      <c r="BK83" s="197"/>
      <c r="BL83" s="197"/>
      <c r="BM83" s="197"/>
      <c r="BN83" s="197"/>
      <c r="BO83" s="197"/>
      <c r="BP83" s="197"/>
    </row>
    <row r="84" spans="3:69" ht="15" customHeight="1" x14ac:dyDescent="0.35">
      <c r="C84" s="348" t="s">
        <v>230</v>
      </c>
      <c r="D84" s="348"/>
      <c r="E84" s="348"/>
      <c r="F84" s="348"/>
      <c r="G84" s="348"/>
      <c r="H84" s="348"/>
      <c r="I84" s="348"/>
      <c r="J84" s="348"/>
      <c r="K84" s="348"/>
      <c r="L84" s="348"/>
      <c r="M84" s="348"/>
      <c r="N84" s="348"/>
      <c r="O84" s="348"/>
      <c r="P84" s="348"/>
      <c r="Q84" s="348"/>
      <c r="AZ84" s="198"/>
      <c r="BA84" s="198"/>
      <c r="BB84" s="198"/>
      <c r="BC84" s="198"/>
      <c r="BD84" s="198"/>
      <c r="BF84" s="198"/>
      <c r="BG84" s="197" t="s">
        <v>227</v>
      </c>
      <c r="BH84" s="198"/>
      <c r="BI84" s="198"/>
      <c r="BJ84" s="198"/>
    </row>
    <row r="85" spans="3:69" ht="18.5" x14ac:dyDescent="0.35">
      <c r="C85" s="348"/>
      <c r="D85" s="348"/>
      <c r="E85" s="348"/>
      <c r="F85" s="348"/>
      <c r="G85" s="348"/>
      <c r="H85" s="348"/>
      <c r="I85" s="348"/>
      <c r="J85" s="348"/>
      <c r="K85" s="348"/>
      <c r="L85" s="348"/>
      <c r="M85" s="348"/>
      <c r="N85" s="348"/>
      <c r="O85" s="348"/>
      <c r="P85" s="348"/>
      <c r="Q85" s="348"/>
      <c r="AY85" s="198"/>
      <c r="AZ85" s="198"/>
      <c r="BA85" s="198"/>
      <c r="BB85" s="198"/>
      <c r="BC85" s="198"/>
      <c r="BD85" s="198"/>
      <c r="BF85" s="198"/>
      <c r="BG85" s="197" t="s">
        <v>228</v>
      </c>
      <c r="BH85" s="198"/>
      <c r="BI85" s="198"/>
      <c r="BJ85" s="198"/>
      <c r="BK85" s="197"/>
      <c r="BL85" s="197"/>
      <c r="BM85" s="197"/>
      <c r="BN85" s="197"/>
      <c r="BO85" s="197"/>
      <c r="BP85" s="197"/>
      <c r="BQ85" s="197"/>
    </row>
    <row r="86" spans="3:69" x14ac:dyDescent="0.35">
      <c r="C86" s="160" t="s">
        <v>231</v>
      </c>
      <c r="BG86" s="197"/>
      <c r="BH86" s="197"/>
      <c r="BI86" s="197"/>
      <c r="BJ86" s="197"/>
      <c r="BK86" s="197"/>
      <c r="BL86" s="197"/>
      <c r="BM86" s="197"/>
      <c r="BN86" s="197"/>
      <c r="BO86" s="197"/>
      <c r="BP86" s="197"/>
      <c r="BQ86" s="197"/>
    </row>
    <row r="87" spans="3:69" x14ac:dyDescent="0.35">
      <c r="C87" s="160" t="s">
        <v>232</v>
      </c>
    </row>
    <row r="93" spans="3:69" x14ac:dyDescent="0.35">
      <c r="AE93" s="348" t="s">
        <v>233</v>
      </c>
      <c r="AF93" s="348"/>
      <c r="AG93" s="348"/>
      <c r="AH93" s="348"/>
      <c r="AI93" s="348"/>
      <c r="AJ93" s="348"/>
      <c r="AK93" s="348"/>
      <c r="AL93" s="348"/>
      <c r="AM93" s="348"/>
      <c r="AN93" s="348"/>
      <c r="AO93" s="348"/>
      <c r="AP93" s="348"/>
      <c r="AQ93" s="348"/>
      <c r="AR93" s="348"/>
      <c r="AS93" s="348"/>
      <c r="AT93" s="348"/>
      <c r="AU93" s="348"/>
      <c r="AV93" s="348"/>
      <c r="AW93" s="348"/>
      <c r="AX93" s="348"/>
      <c r="AY93" s="348"/>
    </row>
    <row r="94" spans="3:69" x14ac:dyDescent="0.35">
      <c r="AE94" s="348"/>
      <c r="AF94" s="348"/>
      <c r="AG94" s="348"/>
      <c r="AH94" s="348"/>
      <c r="AI94" s="348"/>
      <c r="AJ94" s="348"/>
      <c r="AK94" s="348"/>
      <c r="AL94" s="348"/>
      <c r="AM94" s="348"/>
      <c r="AN94" s="348"/>
      <c r="AO94" s="348"/>
      <c r="AP94" s="348"/>
      <c r="AQ94" s="348"/>
      <c r="AR94" s="348"/>
      <c r="AS94" s="348"/>
      <c r="AT94" s="348"/>
      <c r="AU94" s="348"/>
      <c r="AV94" s="348"/>
      <c r="AW94" s="348"/>
      <c r="AX94" s="348"/>
      <c r="AY94" s="348"/>
    </row>
    <row r="95" spans="3:69" x14ac:dyDescent="0.35">
      <c r="AE95" s="160" t="s">
        <v>234</v>
      </c>
    </row>
    <row r="96" spans="3:69" ht="15" customHeight="1" x14ac:dyDescent="0.35">
      <c r="AE96" s="160" t="s">
        <v>235</v>
      </c>
    </row>
    <row r="97" spans="3:23" ht="15" customHeight="1" x14ac:dyDescent="0.35"/>
    <row r="104" spans="3:23" x14ac:dyDescent="0.35">
      <c r="C104" s="348" t="s">
        <v>236</v>
      </c>
      <c r="D104" s="348"/>
      <c r="E104" s="348"/>
      <c r="F104" s="348"/>
      <c r="G104" s="348"/>
      <c r="H104" s="348"/>
      <c r="I104" s="348"/>
      <c r="J104" s="348"/>
      <c r="K104" s="348"/>
      <c r="L104" s="348"/>
      <c r="M104" s="348"/>
      <c r="N104" s="348"/>
      <c r="O104" s="348"/>
      <c r="P104" s="348"/>
      <c r="Q104" s="348"/>
      <c r="R104" s="348"/>
      <c r="S104" s="348"/>
      <c r="T104" s="348"/>
      <c r="U104" s="348"/>
      <c r="V104" s="348"/>
      <c r="W104" s="348"/>
    </row>
    <row r="105" spans="3:23" x14ac:dyDescent="0.35"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  <c r="N105" s="348"/>
      <c r="O105" s="348"/>
      <c r="P105" s="348"/>
      <c r="Q105" s="348"/>
      <c r="R105" s="348"/>
      <c r="S105" s="348"/>
      <c r="T105" s="348"/>
      <c r="U105" s="348"/>
      <c r="V105" s="348"/>
      <c r="W105" s="348"/>
    </row>
    <row r="111" spans="3:23" x14ac:dyDescent="0.35">
      <c r="C111" s="160" t="s">
        <v>237</v>
      </c>
    </row>
    <row r="112" spans="3:23" x14ac:dyDescent="0.35">
      <c r="C112" s="160" t="s">
        <v>238</v>
      </c>
    </row>
    <row r="114" spans="3:52" x14ac:dyDescent="0.35">
      <c r="C114" s="160" t="s">
        <v>239</v>
      </c>
      <c r="AF114" s="348" t="s">
        <v>242</v>
      </c>
      <c r="AG114" s="348"/>
      <c r="AH114" s="348"/>
      <c r="AI114" s="348"/>
      <c r="AJ114" s="348"/>
      <c r="AK114" s="348"/>
      <c r="AL114" s="348"/>
      <c r="AM114" s="348"/>
      <c r="AN114" s="348"/>
      <c r="AO114" s="348"/>
      <c r="AP114" s="348"/>
      <c r="AQ114" s="348"/>
      <c r="AR114" s="348"/>
      <c r="AS114" s="348"/>
      <c r="AT114" s="348"/>
      <c r="AU114" s="348"/>
      <c r="AV114" s="348"/>
      <c r="AW114" s="348"/>
      <c r="AX114" s="348"/>
      <c r="AY114" s="348"/>
      <c r="AZ114" s="348"/>
    </row>
    <row r="115" spans="3:52" x14ac:dyDescent="0.35">
      <c r="C115" s="160" t="s">
        <v>240</v>
      </c>
      <c r="AF115" s="348"/>
      <c r="AG115" s="348"/>
      <c r="AH115" s="348"/>
      <c r="AI115" s="348"/>
      <c r="AJ115" s="348"/>
      <c r="AK115" s="348"/>
      <c r="AL115" s="348"/>
      <c r="AM115" s="348"/>
      <c r="AN115" s="348"/>
      <c r="AO115" s="348"/>
      <c r="AP115" s="348"/>
      <c r="AQ115" s="348"/>
      <c r="AR115" s="348"/>
      <c r="AS115" s="348"/>
      <c r="AT115" s="348"/>
      <c r="AU115" s="348"/>
      <c r="AV115" s="348"/>
      <c r="AW115" s="348"/>
      <c r="AX115" s="348"/>
      <c r="AY115" s="348"/>
      <c r="AZ115" s="348"/>
    </row>
    <row r="116" spans="3:52" x14ac:dyDescent="0.35">
      <c r="AF116" s="160" t="s">
        <v>248</v>
      </c>
    </row>
    <row r="117" spans="3:52" x14ac:dyDescent="0.35">
      <c r="AF117" s="160" t="s">
        <v>247</v>
      </c>
    </row>
    <row r="121" spans="3:52" x14ac:dyDescent="0.35">
      <c r="V121" s="348" t="s">
        <v>243</v>
      </c>
      <c r="W121" s="348"/>
      <c r="X121" s="348"/>
      <c r="Y121" s="348"/>
      <c r="Z121" s="348"/>
      <c r="AA121" s="348"/>
      <c r="AB121" s="348"/>
      <c r="AC121" s="348"/>
      <c r="AD121" s="348"/>
      <c r="AE121" s="348"/>
      <c r="AF121" s="348"/>
      <c r="AG121" s="348"/>
      <c r="AH121" s="348"/>
      <c r="AI121" s="348"/>
      <c r="AJ121" s="348"/>
      <c r="AK121" s="348"/>
      <c r="AL121" s="348"/>
      <c r="AM121" s="348"/>
      <c r="AN121" s="348"/>
      <c r="AO121" s="348"/>
      <c r="AP121" s="348"/>
    </row>
    <row r="122" spans="3:52" x14ac:dyDescent="0.35">
      <c r="V122" s="348"/>
      <c r="W122" s="348"/>
      <c r="X122" s="348"/>
      <c r="Y122" s="348"/>
      <c r="Z122" s="348"/>
      <c r="AA122" s="348"/>
      <c r="AB122" s="348"/>
      <c r="AC122" s="348"/>
      <c r="AD122" s="348"/>
      <c r="AE122" s="348"/>
      <c r="AF122" s="348"/>
      <c r="AG122" s="348"/>
      <c r="AH122" s="348"/>
      <c r="AI122" s="348"/>
      <c r="AJ122" s="348"/>
      <c r="AK122" s="348"/>
      <c r="AL122" s="348"/>
      <c r="AM122" s="348"/>
      <c r="AN122" s="348"/>
      <c r="AO122" s="348"/>
      <c r="AP122" s="348"/>
    </row>
    <row r="123" spans="3:52" x14ac:dyDescent="0.35">
      <c r="S123" s="160" t="s">
        <v>244</v>
      </c>
    </row>
    <row r="124" spans="3:52" x14ac:dyDescent="0.35">
      <c r="S124" s="160" t="s">
        <v>245</v>
      </c>
    </row>
    <row r="126" spans="3:52" x14ac:dyDescent="0.35">
      <c r="S126" s="160" t="s">
        <v>246</v>
      </c>
    </row>
    <row r="130" spans="4:26" x14ac:dyDescent="0.35">
      <c r="F130" s="348" t="s">
        <v>249</v>
      </c>
      <c r="G130" s="348"/>
      <c r="H130" s="348"/>
      <c r="I130" s="348"/>
      <c r="J130" s="348"/>
      <c r="K130" s="348"/>
      <c r="L130" s="348"/>
      <c r="M130" s="348"/>
      <c r="N130" s="348"/>
      <c r="O130" s="348"/>
      <c r="P130" s="348"/>
      <c r="Q130" s="348"/>
      <c r="R130" s="348"/>
      <c r="S130" s="348"/>
      <c r="T130" s="348"/>
      <c r="U130" s="348"/>
      <c r="V130" s="348"/>
      <c r="W130" s="348"/>
      <c r="X130" s="348"/>
      <c r="Y130" s="348"/>
      <c r="Z130" s="348"/>
    </row>
    <row r="131" spans="4:26" x14ac:dyDescent="0.35">
      <c r="F131" s="348"/>
      <c r="G131" s="348"/>
      <c r="H131" s="348"/>
      <c r="I131" s="348"/>
      <c r="J131" s="348"/>
      <c r="K131" s="348"/>
      <c r="L131" s="348"/>
      <c r="M131" s="348"/>
      <c r="N131" s="348"/>
      <c r="O131" s="348"/>
      <c r="P131" s="348"/>
      <c r="Q131" s="348"/>
      <c r="R131" s="348"/>
      <c r="S131" s="348"/>
      <c r="T131" s="348"/>
      <c r="U131" s="348"/>
      <c r="V131" s="348"/>
      <c r="W131" s="348"/>
      <c r="X131" s="348"/>
      <c r="Y131" s="348"/>
      <c r="Z131" s="348"/>
    </row>
    <row r="132" spans="4:26" x14ac:dyDescent="0.35">
      <c r="F132" s="160" t="s">
        <v>250</v>
      </c>
    </row>
    <row r="133" spans="4:26" x14ac:dyDescent="0.35">
      <c r="F133" s="160" t="s">
        <v>251</v>
      </c>
    </row>
    <row r="143" spans="4:26" x14ac:dyDescent="0.35">
      <c r="D143" s="348" t="s">
        <v>252</v>
      </c>
      <c r="E143" s="348"/>
      <c r="F143" s="348"/>
      <c r="G143" s="348"/>
      <c r="H143" s="348"/>
      <c r="I143" s="348"/>
      <c r="J143" s="348"/>
      <c r="K143" s="348"/>
      <c r="L143" s="348"/>
      <c r="M143" s="348"/>
      <c r="N143" s="348"/>
      <c r="O143" s="348"/>
      <c r="P143" s="348"/>
      <c r="Q143" s="348"/>
      <c r="R143" s="348"/>
      <c r="S143" s="348"/>
      <c r="T143" s="348"/>
      <c r="U143" s="348"/>
      <c r="V143" s="348"/>
      <c r="W143" s="348"/>
      <c r="X143" s="348"/>
    </row>
    <row r="144" spans="4:26" x14ac:dyDescent="0.35">
      <c r="D144" s="348"/>
      <c r="E144" s="348"/>
      <c r="F144" s="348"/>
      <c r="G144" s="348"/>
      <c r="H144" s="348"/>
      <c r="I144" s="348"/>
      <c r="J144" s="348"/>
      <c r="K144" s="348"/>
      <c r="L144" s="348"/>
      <c r="M144" s="348"/>
      <c r="N144" s="348"/>
      <c r="O144" s="348"/>
      <c r="P144" s="348"/>
      <c r="Q144" s="348"/>
      <c r="R144" s="348"/>
      <c r="S144" s="348"/>
      <c r="T144" s="348"/>
      <c r="U144" s="348"/>
      <c r="V144" s="348"/>
      <c r="W144" s="348"/>
      <c r="X144" s="348"/>
    </row>
    <row r="145" spans="4:24" x14ac:dyDescent="0.35">
      <c r="D145" s="160" t="s">
        <v>253</v>
      </c>
    </row>
    <row r="146" spans="4:24" x14ac:dyDescent="0.35">
      <c r="D146" s="160" t="s">
        <v>254</v>
      </c>
    </row>
    <row r="148" spans="4:24" x14ac:dyDescent="0.35">
      <c r="D148" s="160" t="s">
        <v>255</v>
      </c>
    </row>
    <row r="149" spans="4:24" x14ac:dyDescent="0.35">
      <c r="D149" s="160" t="s">
        <v>256</v>
      </c>
    </row>
    <row r="152" spans="4:24" x14ac:dyDescent="0.35">
      <c r="D152" s="348" t="s">
        <v>257</v>
      </c>
      <c r="E152" s="348"/>
      <c r="F152" s="348"/>
      <c r="G152" s="348"/>
      <c r="H152" s="348"/>
      <c r="I152" s="348"/>
      <c r="J152" s="348"/>
      <c r="K152" s="348"/>
      <c r="L152" s="348"/>
      <c r="M152" s="348"/>
      <c r="N152" s="348"/>
      <c r="O152" s="348"/>
      <c r="P152" s="348"/>
      <c r="Q152" s="348"/>
      <c r="R152" s="348"/>
      <c r="S152" s="348"/>
      <c r="T152" s="348"/>
      <c r="U152" s="348"/>
      <c r="V152" s="348"/>
      <c r="W152" s="348"/>
      <c r="X152" s="348"/>
    </row>
    <row r="153" spans="4:24" x14ac:dyDescent="0.35">
      <c r="D153" s="348"/>
      <c r="E153" s="348"/>
      <c r="F153" s="348"/>
      <c r="G153" s="348"/>
      <c r="H153" s="348"/>
      <c r="I153" s="348"/>
      <c r="J153" s="348"/>
      <c r="K153" s="348"/>
      <c r="L153" s="348"/>
      <c r="M153" s="348"/>
      <c r="N153" s="348"/>
      <c r="O153" s="348"/>
      <c r="P153" s="348"/>
      <c r="Q153" s="348"/>
      <c r="R153" s="348"/>
      <c r="S153" s="348"/>
      <c r="T153" s="348"/>
      <c r="U153" s="348"/>
      <c r="V153" s="348"/>
      <c r="W153" s="348"/>
      <c r="X153" s="348"/>
    </row>
    <row r="154" spans="4:24" x14ac:dyDescent="0.35">
      <c r="G154" s="160" t="s">
        <v>258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64" activePane="bottomLeft" state="frozenSplit"/>
      <selection pane="bottomLeft" activeCell="I74" sqref="I74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59" t="str">
        <f>TEMPLATE_NAME&amp;" "&amp;TEMPLATE_VER&amp;" - FAQs"</f>
        <v>AG Estimation Template -  Version 2.0.4 - FAQs</v>
      </c>
    </row>
    <row r="4" spans="2:4" ht="18.5" x14ac:dyDescent="0.45">
      <c r="B4" s="212" t="s">
        <v>405</v>
      </c>
    </row>
    <row r="6" spans="2:4" s="209" customFormat="1" ht="21" x14ac:dyDescent="0.5">
      <c r="B6" s="208">
        <v>1</v>
      </c>
      <c r="C6" s="208" t="s">
        <v>417</v>
      </c>
    </row>
    <row r="7" spans="2:4" x14ac:dyDescent="0.35">
      <c r="D7" t="s">
        <v>418</v>
      </c>
    </row>
    <row r="8" spans="2:4" x14ac:dyDescent="0.35">
      <c r="D8" t="s">
        <v>419</v>
      </c>
    </row>
    <row r="10" spans="2:4" s="209" customFormat="1" ht="21" x14ac:dyDescent="0.5">
      <c r="B10" s="208">
        <v>2</v>
      </c>
      <c r="C10" s="208" t="s">
        <v>260</v>
      </c>
    </row>
    <row r="11" spans="2:4" x14ac:dyDescent="0.35">
      <c r="D11" t="s">
        <v>433</v>
      </c>
    </row>
    <row r="12" spans="2:4" x14ac:dyDescent="0.35">
      <c r="D12" t="s">
        <v>434</v>
      </c>
    </row>
    <row r="14" spans="2:4" s="209" customFormat="1" ht="21" x14ac:dyDescent="0.5">
      <c r="B14" s="208">
        <v>3</v>
      </c>
      <c r="C14" s="208" t="s">
        <v>261</v>
      </c>
    </row>
    <row r="15" spans="2:4" x14ac:dyDescent="0.35">
      <c r="D15" t="s">
        <v>435</v>
      </c>
    </row>
    <row r="17" spans="2:4" s="209" customFormat="1" ht="21" x14ac:dyDescent="0.5">
      <c r="B17" s="208">
        <v>4</v>
      </c>
      <c r="C17" s="208" t="s">
        <v>262</v>
      </c>
    </row>
    <row r="18" spans="2:4" x14ac:dyDescent="0.35">
      <c r="D18" t="s">
        <v>263</v>
      </c>
    </row>
    <row r="19" spans="2:4" x14ac:dyDescent="0.35">
      <c r="D19" t="s">
        <v>264</v>
      </c>
    </row>
    <row r="20" spans="2:4" x14ac:dyDescent="0.35">
      <c r="D20" t="s">
        <v>265</v>
      </c>
    </row>
    <row r="22" spans="2:4" s="209" customFormat="1" ht="21" x14ac:dyDescent="0.5">
      <c r="B22" s="208">
        <v>5</v>
      </c>
      <c r="C22" s="208" t="s">
        <v>266</v>
      </c>
    </row>
    <row r="23" spans="2:4" x14ac:dyDescent="0.35">
      <c r="D23" t="s">
        <v>267</v>
      </c>
    </row>
    <row r="24" spans="2:4" x14ac:dyDescent="0.35">
      <c r="D24" t="s">
        <v>436</v>
      </c>
    </row>
    <row r="25" spans="2:4" x14ac:dyDescent="0.35">
      <c r="D25" t="s">
        <v>268</v>
      </c>
    </row>
    <row r="27" spans="2:4" s="209" customFormat="1" ht="21" x14ac:dyDescent="0.5">
      <c r="B27" s="208">
        <v>6</v>
      </c>
      <c r="C27" s="208" t="s">
        <v>269</v>
      </c>
    </row>
    <row r="28" spans="2:4" x14ac:dyDescent="0.35">
      <c r="D28" t="s">
        <v>270</v>
      </c>
    </row>
    <row r="30" spans="2:4" s="209" customFormat="1" ht="21" x14ac:dyDescent="0.5">
      <c r="B30" s="208">
        <v>7</v>
      </c>
      <c r="C30" s="208" t="s">
        <v>273</v>
      </c>
    </row>
    <row r="31" spans="2:4" x14ac:dyDescent="0.35">
      <c r="D31" t="s">
        <v>274</v>
      </c>
    </row>
    <row r="33" spans="2:9" s="209" customFormat="1" ht="21" x14ac:dyDescent="0.5">
      <c r="B33" s="208">
        <v>8</v>
      </c>
      <c r="C33" s="208" t="s">
        <v>278</v>
      </c>
    </row>
    <row r="34" spans="2:9" x14ac:dyDescent="0.35">
      <c r="D34" t="s">
        <v>279</v>
      </c>
    </row>
    <row r="35" spans="2:9" x14ac:dyDescent="0.35">
      <c r="D35" t="s">
        <v>280</v>
      </c>
    </row>
    <row r="37" spans="2:9" s="209" customFormat="1" ht="21" x14ac:dyDescent="0.5">
      <c r="B37" s="208">
        <v>9</v>
      </c>
      <c r="C37" s="208" t="s">
        <v>275</v>
      </c>
    </row>
    <row r="38" spans="2:9" x14ac:dyDescent="0.35">
      <c r="D38" t="s">
        <v>276</v>
      </c>
    </row>
    <row r="39" spans="2:9" x14ac:dyDescent="0.35">
      <c r="F39" s="201" t="s">
        <v>277</v>
      </c>
      <c r="G39" t="s">
        <v>282</v>
      </c>
    </row>
    <row r="40" spans="2:9" x14ac:dyDescent="0.35">
      <c r="F40" s="201" t="s">
        <v>281</v>
      </c>
      <c r="G40" t="s">
        <v>283</v>
      </c>
    </row>
    <row r="41" spans="2:9" x14ac:dyDescent="0.35">
      <c r="F41" s="201" t="s">
        <v>284</v>
      </c>
      <c r="G41" t="s">
        <v>285</v>
      </c>
    </row>
    <row r="42" spans="2:9" x14ac:dyDescent="0.35">
      <c r="F42" s="201" t="s">
        <v>286</v>
      </c>
      <c r="G42" t="s">
        <v>287</v>
      </c>
    </row>
    <row r="43" spans="2:9" x14ac:dyDescent="0.35">
      <c r="G43" s="201" t="s">
        <v>288</v>
      </c>
      <c r="H43" t="s">
        <v>290</v>
      </c>
    </row>
    <row r="44" spans="2:9" x14ac:dyDescent="0.35">
      <c r="G44" s="201" t="s">
        <v>289</v>
      </c>
      <c r="H44" t="s">
        <v>291</v>
      </c>
    </row>
    <row r="45" spans="2:9" x14ac:dyDescent="0.35">
      <c r="G45" s="1" t="s">
        <v>292</v>
      </c>
      <c r="H45" t="s">
        <v>293</v>
      </c>
    </row>
    <row r="46" spans="2:9" x14ac:dyDescent="0.35">
      <c r="I46" t="s">
        <v>294</v>
      </c>
    </row>
    <row r="47" spans="2:9" x14ac:dyDescent="0.35">
      <c r="G47" s="201" t="s">
        <v>295</v>
      </c>
      <c r="H47" t="s">
        <v>296</v>
      </c>
    </row>
    <row r="48" spans="2:9" x14ac:dyDescent="0.35">
      <c r="I48" t="s">
        <v>297</v>
      </c>
    </row>
    <row r="49" spans="2:20" x14ac:dyDescent="0.35">
      <c r="G49" s="201" t="s">
        <v>298</v>
      </c>
      <c r="H49" t="s">
        <v>299</v>
      </c>
    </row>
    <row r="50" spans="2:20" x14ac:dyDescent="0.35">
      <c r="D50" s="349" t="s">
        <v>441</v>
      </c>
      <c r="E50" s="349"/>
      <c r="F50" s="349"/>
      <c r="G50" s="349"/>
      <c r="H50" t="s">
        <v>442</v>
      </c>
    </row>
    <row r="51" spans="2:20" x14ac:dyDescent="0.35">
      <c r="D51" s="349"/>
      <c r="E51" s="349"/>
      <c r="F51" s="349"/>
      <c r="G51" s="349"/>
    </row>
    <row r="52" spans="2:20" x14ac:dyDescent="0.35">
      <c r="D52" s="349"/>
      <c r="E52" s="349"/>
      <c r="F52" s="349"/>
      <c r="G52" s="349"/>
    </row>
    <row r="54" spans="2:20" s="209" customFormat="1" ht="21" x14ac:dyDescent="0.5">
      <c r="B54" s="208">
        <v>10</v>
      </c>
      <c r="C54" s="208" t="s">
        <v>300</v>
      </c>
    </row>
    <row r="55" spans="2:20" x14ac:dyDescent="0.35">
      <c r="D55" t="s">
        <v>301</v>
      </c>
    </row>
    <row r="56" spans="2:20" x14ac:dyDescent="0.35">
      <c r="D56" t="s">
        <v>302</v>
      </c>
    </row>
    <row r="57" spans="2:20" x14ac:dyDescent="0.35">
      <c r="F57" s="201" t="s">
        <v>303</v>
      </c>
      <c r="G57" t="s">
        <v>304</v>
      </c>
    </row>
    <row r="58" spans="2:20" x14ac:dyDescent="0.35">
      <c r="H58" t="s">
        <v>305</v>
      </c>
    </row>
    <row r="59" spans="2:20" x14ac:dyDescent="0.35">
      <c r="I59" t="s">
        <v>307</v>
      </c>
      <c r="N59" t="s">
        <v>306</v>
      </c>
    </row>
    <row r="60" spans="2:20" x14ac:dyDescent="0.35">
      <c r="I60" t="s">
        <v>308</v>
      </c>
      <c r="N60" t="s">
        <v>309</v>
      </c>
      <c r="T60" t="s">
        <v>317</v>
      </c>
    </row>
    <row r="61" spans="2:20" x14ac:dyDescent="0.35">
      <c r="I61" t="s">
        <v>310</v>
      </c>
      <c r="N61" t="s">
        <v>311</v>
      </c>
      <c r="T61" t="s">
        <v>317</v>
      </c>
    </row>
    <row r="62" spans="2:20" x14ac:dyDescent="0.35">
      <c r="N62" t="s">
        <v>312</v>
      </c>
    </row>
    <row r="63" spans="2:20" x14ac:dyDescent="0.35">
      <c r="F63" s="201" t="s">
        <v>313</v>
      </c>
      <c r="G63" t="s">
        <v>314</v>
      </c>
    </row>
    <row r="64" spans="2:20" x14ac:dyDescent="0.35">
      <c r="F64" s="201" t="s">
        <v>318</v>
      </c>
      <c r="G64" t="s">
        <v>319</v>
      </c>
    </row>
    <row r="65" spans="2:30" x14ac:dyDescent="0.35">
      <c r="H65" t="s">
        <v>320</v>
      </c>
    </row>
    <row r="66" spans="2:30" x14ac:dyDescent="0.35">
      <c r="I66" t="s">
        <v>321</v>
      </c>
    </row>
    <row r="67" spans="2:30" x14ac:dyDescent="0.35">
      <c r="G67" t="s">
        <v>322</v>
      </c>
    </row>
    <row r="68" spans="2:30" x14ac:dyDescent="0.35">
      <c r="F68" s="201" t="s">
        <v>315</v>
      </c>
      <c r="G68" t="s">
        <v>316</v>
      </c>
      <c r="AD68" t="s">
        <v>317</v>
      </c>
    </row>
    <row r="69" spans="2:30" x14ac:dyDescent="0.35">
      <c r="H69" t="s">
        <v>338</v>
      </c>
    </row>
    <row r="71" spans="2:30" s="209" customFormat="1" ht="21" x14ac:dyDescent="0.5">
      <c r="B71" s="208">
        <v>11</v>
      </c>
      <c r="C71" s="208" t="s">
        <v>323</v>
      </c>
    </row>
    <row r="72" spans="2:30" x14ac:dyDescent="0.35">
      <c r="D72" t="s">
        <v>324</v>
      </c>
    </row>
    <row r="73" spans="2:30" x14ac:dyDescent="0.35">
      <c r="D73" t="s">
        <v>325</v>
      </c>
    </row>
    <row r="74" spans="2:30" x14ac:dyDescent="0.35">
      <c r="D74" t="s">
        <v>326</v>
      </c>
    </row>
    <row r="76" spans="2:30" s="209" customFormat="1" ht="21" x14ac:dyDescent="0.5">
      <c r="B76" s="208">
        <v>12</v>
      </c>
      <c r="C76" s="208" t="s">
        <v>327</v>
      </c>
    </row>
    <row r="77" spans="2:30" x14ac:dyDescent="0.35">
      <c r="D77" t="s">
        <v>328</v>
      </c>
    </row>
    <row r="78" spans="2:30" x14ac:dyDescent="0.35">
      <c r="D78" t="s">
        <v>329</v>
      </c>
    </row>
    <row r="79" spans="2:30" x14ac:dyDescent="0.35">
      <c r="E79" s="201" t="s">
        <v>330</v>
      </c>
      <c r="F79" t="s">
        <v>334</v>
      </c>
    </row>
    <row r="80" spans="2:30" x14ac:dyDescent="0.35">
      <c r="G80" t="s">
        <v>340</v>
      </c>
    </row>
    <row r="81" spans="2:7" x14ac:dyDescent="0.35">
      <c r="G81" t="s">
        <v>335</v>
      </c>
    </row>
    <row r="82" spans="2:7" x14ac:dyDescent="0.35">
      <c r="E82" s="201" t="s">
        <v>336</v>
      </c>
      <c r="F82" t="s">
        <v>337</v>
      </c>
    </row>
    <row r="83" spans="2:7" x14ac:dyDescent="0.35">
      <c r="G83" t="s">
        <v>339</v>
      </c>
    </row>
    <row r="85" spans="2:7" s="209" customFormat="1" ht="21" x14ac:dyDescent="0.5">
      <c r="B85" s="208">
        <v>13</v>
      </c>
      <c r="C85" s="208" t="s">
        <v>341</v>
      </c>
    </row>
    <row r="86" spans="2:7" x14ac:dyDescent="0.35">
      <c r="D86" t="s">
        <v>342</v>
      </c>
    </row>
    <row r="87" spans="2:7" x14ac:dyDescent="0.35">
      <c r="E87" s="201" t="s">
        <v>343</v>
      </c>
      <c r="F87" t="s">
        <v>346</v>
      </c>
    </row>
    <row r="88" spans="2:7" x14ac:dyDescent="0.35">
      <c r="E88" s="201"/>
      <c r="F88" t="s">
        <v>347</v>
      </c>
    </row>
    <row r="89" spans="2:7" x14ac:dyDescent="0.35">
      <c r="E89" s="201"/>
      <c r="F89" t="s">
        <v>348</v>
      </c>
    </row>
    <row r="90" spans="2:7" x14ac:dyDescent="0.35">
      <c r="E90" s="201"/>
      <c r="F90" t="s">
        <v>349</v>
      </c>
    </row>
    <row r="91" spans="2:7" x14ac:dyDescent="0.35">
      <c r="E91" s="201"/>
      <c r="F91" t="s">
        <v>350</v>
      </c>
    </row>
    <row r="92" spans="2:7" x14ac:dyDescent="0.35">
      <c r="E92" s="201" t="s">
        <v>344</v>
      </c>
      <c r="F92" t="s">
        <v>351</v>
      </c>
    </row>
    <row r="93" spans="2:7" x14ac:dyDescent="0.35">
      <c r="E93" s="201"/>
      <c r="F93" t="s">
        <v>352</v>
      </c>
    </row>
    <row r="94" spans="2:7" x14ac:dyDescent="0.35">
      <c r="E94" s="201" t="s">
        <v>345</v>
      </c>
      <c r="F94" t="s">
        <v>353</v>
      </c>
    </row>
    <row r="96" spans="2:7" s="209" customFormat="1" ht="21" x14ac:dyDescent="0.5">
      <c r="B96" s="208">
        <v>14</v>
      </c>
      <c r="C96" s="208" t="s">
        <v>413</v>
      </c>
    </row>
    <row r="97" spans="2:6" x14ac:dyDescent="0.35">
      <c r="D97" t="s">
        <v>354</v>
      </c>
    </row>
    <row r="98" spans="2:6" x14ac:dyDescent="0.35">
      <c r="E98" s="201" t="s">
        <v>355</v>
      </c>
      <c r="F98" t="s">
        <v>362</v>
      </c>
    </row>
    <row r="99" spans="2:6" x14ac:dyDescent="0.35">
      <c r="E99" s="201" t="s">
        <v>356</v>
      </c>
      <c r="F99" t="s">
        <v>363</v>
      </c>
    </row>
    <row r="100" spans="2:6" x14ac:dyDescent="0.35">
      <c r="E100" s="201" t="s">
        <v>357</v>
      </c>
      <c r="F100" t="s">
        <v>361</v>
      </c>
    </row>
    <row r="101" spans="2:6" x14ac:dyDescent="0.35">
      <c r="E101" s="201" t="s">
        <v>358</v>
      </c>
      <c r="F101" t="s">
        <v>360</v>
      </c>
    </row>
    <row r="102" spans="2:6" x14ac:dyDescent="0.35">
      <c r="E102" s="201" t="s">
        <v>359</v>
      </c>
      <c r="F102" t="s">
        <v>364</v>
      </c>
    </row>
    <row r="104" spans="2:6" s="209" customFormat="1" ht="21" x14ac:dyDescent="0.5">
      <c r="B104" s="208">
        <v>15</v>
      </c>
      <c r="C104" s="208" t="s">
        <v>331</v>
      </c>
    </row>
    <row r="105" spans="2:6" x14ac:dyDescent="0.35">
      <c r="D105" t="s">
        <v>332</v>
      </c>
    </row>
    <row r="106" spans="2:6" x14ac:dyDescent="0.35">
      <c r="D106" t="s">
        <v>333</v>
      </c>
    </row>
    <row r="108" spans="2:6" s="209" customFormat="1" ht="21" x14ac:dyDescent="0.5">
      <c r="B108" s="208">
        <v>16</v>
      </c>
      <c r="C108" s="208" t="s">
        <v>365</v>
      </c>
    </row>
    <row r="109" spans="2:6" x14ac:dyDescent="0.35">
      <c r="D109" t="s">
        <v>366</v>
      </c>
    </row>
    <row r="110" spans="2:6" x14ac:dyDescent="0.35">
      <c r="D110" t="s">
        <v>367</v>
      </c>
    </row>
    <row r="111" spans="2:6" x14ac:dyDescent="0.35">
      <c r="D111" t="s">
        <v>368</v>
      </c>
    </row>
    <row r="114" spans="2:6" ht="18.5" x14ac:dyDescent="0.45">
      <c r="B114" s="212" t="s">
        <v>406</v>
      </c>
    </row>
    <row r="116" spans="2:6" s="209" customFormat="1" ht="21" x14ac:dyDescent="0.5">
      <c r="B116" s="207">
        <v>17</v>
      </c>
      <c r="C116" s="207" t="s">
        <v>385</v>
      </c>
    </row>
    <row r="117" spans="2:6" x14ac:dyDescent="0.35">
      <c r="D117" t="s">
        <v>392</v>
      </c>
    </row>
    <row r="118" spans="2:6" x14ac:dyDescent="0.35">
      <c r="E118" t="s">
        <v>393</v>
      </c>
    </row>
    <row r="119" spans="2:6" x14ac:dyDescent="0.35">
      <c r="E119" t="s">
        <v>394</v>
      </c>
    </row>
    <row r="120" spans="2:6" x14ac:dyDescent="0.35">
      <c r="E120" t="s">
        <v>396</v>
      </c>
    </row>
    <row r="121" spans="2:6" s="211" customFormat="1" x14ac:dyDescent="0.35">
      <c r="F121" t="s">
        <v>395</v>
      </c>
    </row>
    <row r="122" spans="2:6" s="211" customFormat="1" x14ac:dyDescent="0.35">
      <c r="F122"/>
    </row>
    <row r="123" spans="2:6" s="211" customFormat="1" x14ac:dyDescent="0.35">
      <c r="E123" t="s">
        <v>397</v>
      </c>
      <c r="F123"/>
    </row>
    <row r="124" spans="2:6" s="211" customFormat="1" x14ac:dyDescent="0.35">
      <c r="F124" t="s">
        <v>398</v>
      </c>
    </row>
    <row r="125" spans="2:6" s="211" customFormat="1" x14ac:dyDescent="0.35">
      <c r="F125" t="s">
        <v>399</v>
      </c>
    </row>
    <row r="126" spans="2:6" x14ac:dyDescent="0.35">
      <c r="F126" t="s">
        <v>400</v>
      </c>
    </row>
    <row r="128" spans="2:6" s="209" customFormat="1" ht="21" x14ac:dyDescent="0.5">
      <c r="B128" s="207">
        <v>18</v>
      </c>
      <c r="C128" s="207" t="s">
        <v>386</v>
      </c>
    </row>
    <row r="129" spans="2:4" x14ac:dyDescent="0.35">
      <c r="D129" t="s">
        <v>401</v>
      </c>
    </row>
    <row r="130" spans="2:4" x14ac:dyDescent="0.35">
      <c r="D130" t="s">
        <v>402</v>
      </c>
    </row>
    <row r="131" spans="2:4" x14ac:dyDescent="0.35">
      <c r="D131" t="s">
        <v>403</v>
      </c>
    </row>
    <row r="132" spans="2:4" x14ac:dyDescent="0.35">
      <c r="D132" t="s">
        <v>404</v>
      </c>
    </row>
    <row r="134" spans="2:4" s="209" customFormat="1" ht="21" x14ac:dyDescent="0.5">
      <c r="B134" s="207">
        <v>19</v>
      </c>
      <c r="C134" s="207" t="s">
        <v>388</v>
      </c>
    </row>
    <row r="135" spans="2:4" x14ac:dyDescent="0.35">
      <c r="D135" t="s">
        <v>389</v>
      </c>
    </row>
    <row r="137" spans="2:4" s="209" customFormat="1" ht="21" x14ac:dyDescent="0.5">
      <c r="B137" s="207">
        <v>20</v>
      </c>
      <c r="C137" s="207" t="s">
        <v>390</v>
      </c>
    </row>
    <row r="138" spans="2:4" x14ac:dyDescent="0.35">
      <c r="D138" t="s">
        <v>391</v>
      </c>
    </row>
    <row r="140" spans="2:4" s="209" customFormat="1" ht="21" x14ac:dyDescent="0.5">
      <c r="B140" s="207">
        <v>21</v>
      </c>
      <c r="C140" s="207" t="s">
        <v>375</v>
      </c>
    </row>
    <row r="141" spans="2:4" x14ac:dyDescent="0.35">
      <c r="D141" t="s">
        <v>369</v>
      </c>
    </row>
    <row r="142" spans="2:4" x14ac:dyDescent="0.35">
      <c r="D142" t="s">
        <v>370</v>
      </c>
    </row>
    <row r="144" spans="2:4" s="209" customFormat="1" ht="21" x14ac:dyDescent="0.5">
      <c r="B144" s="207">
        <v>22</v>
      </c>
      <c r="C144" s="207" t="s">
        <v>376</v>
      </c>
    </row>
    <row r="145" spans="2:4" x14ac:dyDescent="0.35">
      <c r="D145" t="s">
        <v>371</v>
      </c>
    </row>
    <row r="146" spans="2:4" x14ac:dyDescent="0.35">
      <c r="D146" t="s">
        <v>372</v>
      </c>
    </row>
    <row r="147" spans="2:4" x14ac:dyDescent="0.35">
      <c r="D147" t="s">
        <v>373</v>
      </c>
    </row>
    <row r="148" spans="2:4" x14ac:dyDescent="0.35">
      <c r="D148" t="s">
        <v>374</v>
      </c>
    </row>
    <row r="151" spans="2:4" ht="18.5" x14ac:dyDescent="0.45">
      <c r="B151" s="212" t="s">
        <v>407</v>
      </c>
    </row>
    <row r="153" spans="2:4" s="209" customFormat="1" ht="21" x14ac:dyDescent="0.5">
      <c r="B153" s="210">
        <v>23</v>
      </c>
      <c r="C153" s="210" t="s">
        <v>416</v>
      </c>
    </row>
    <row r="154" spans="2:4" x14ac:dyDescent="0.35">
      <c r="D154" t="s">
        <v>377</v>
      </c>
    </row>
    <row r="155" spans="2:4" x14ac:dyDescent="0.35">
      <c r="D155" t="s">
        <v>378</v>
      </c>
    </row>
    <row r="156" spans="2:4" x14ac:dyDescent="0.35">
      <c r="D156" t="s">
        <v>379</v>
      </c>
    </row>
    <row r="157" spans="2:4" x14ac:dyDescent="0.35">
      <c r="D157" t="s">
        <v>380</v>
      </c>
    </row>
    <row r="159" spans="2:4" s="209" customFormat="1" ht="21" x14ac:dyDescent="0.5">
      <c r="B159" s="210">
        <v>24</v>
      </c>
      <c r="C159" s="210" t="s">
        <v>414</v>
      </c>
    </row>
    <row r="160" spans="2:4" x14ac:dyDescent="0.35">
      <c r="D160" t="s">
        <v>408</v>
      </c>
    </row>
    <row r="161" spans="2:4" x14ac:dyDescent="0.35">
      <c r="D161" t="s">
        <v>409</v>
      </c>
    </row>
    <row r="162" spans="2:4" x14ac:dyDescent="0.35">
      <c r="D162" t="s">
        <v>410</v>
      </c>
    </row>
    <row r="163" spans="2:4" x14ac:dyDescent="0.35">
      <c r="D163" t="s">
        <v>411</v>
      </c>
    </row>
    <row r="165" spans="2:4" s="209" customFormat="1" ht="21" x14ac:dyDescent="0.5">
      <c r="B165" s="210">
        <v>25</v>
      </c>
      <c r="C165" s="210" t="s">
        <v>381</v>
      </c>
    </row>
    <row r="166" spans="2:4" x14ac:dyDescent="0.35">
      <c r="D166" t="s">
        <v>382</v>
      </c>
    </row>
    <row r="167" spans="2:4" x14ac:dyDescent="0.35">
      <c r="D167" t="s">
        <v>383</v>
      </c>
    </row>
    <row r="168" spans="2:4" x14ac:dyDescent="0.35">
      <c r="D168" t="s">
        <v>384</v>
      </c>
    </row>
    <row r="172" spans="2:4" ht="18.5" x14ac:dyDescent="0.45">
      <c r="B172" s="212" t="s">
        <v>412</v>
      </c>
    </row>
    <row r="174" spans="2:4" s="209" customFormat="1" ht="21" x14ac:dyDescent="0.5">
      <c r="B174" s="206">
        <v>26</v>
      </c>
      <c r="C174" s="206" t="s">
        <v>415</v>
      </c>
    </row>
    <row r="175" spans="2:4" x14ac:dyDescent="0.35">
      <c r="C175" t="s">
        <v>387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23" ma:contentTypeDescription="" ma:contentTypeScope="" ma:versionID="448174d0ae1bb437da5ff966083ace19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e9553e7ac6e85bd9611b80370fb0fa33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 xsi:nil="true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 xsi:nil="true"/>
  </documentManagement>
</p:properties>
</file>

<file path=customXml/itemProps1.xml><?xml version="1.0" encoding="utf-8"?>
<ds:datastoreItem xmlns:ds="http://schemas.openxmlformats.org/officeDocument/2006/customXml" ds:itemID="{D2E573F7-377E-4C7D-80E4-3D97863F90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F1B46C-AC27-4286-B421-E2F00D8D8FB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E55A3788-A2C5-49FE-A0B1-252591E114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YCompany eClaims – Estimation</dc:title>
  <dc:creator>Utsav Verma</dc:creator>
  <cp:keywords/>
  <cp:lastModifiedBy>Utsav Verma</cp:lastModifiedBy>
  <cp:lastPrinted>2015-06-17T10:58:29Z</cp:lastPrinted>
  <dcterms:created xsi:type="dcterms:W3CDTF">2013-10-21T05:49:27Z</dcterms:created>
  <dcterms:modified xsi:type="dcterms:W3CDTF">2026-10-30T09:51:05Z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