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1420" documentId="13_ncr:1_{9C200901-B545-4AB7-8A31-1AFA4242EC78}" xr6:coauthVersionLast="47" xr6:coauthVersionMax="47" xr10:uidLastSave="{4D5808DA-D568-402C-AD89-19EFE4E3C0CC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120" windowWidth="29040" windowHeight="15720" tabRatio="431" firstSheet="1" activeTab="3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Estimation!$751:$751</definedName>
    <definedName name="AS_DEV_EFFORT">Estimation!$P$641</definedName>
    <definedName name="AS_DURATION_EFFORT">Estimation!$P$642</definedName>
    <definedName name="AS_MANUAL_DURATION_EFFORT">Estimation!$U$643</definedName>
    <definedName name="AUTOMATED_END_DATE">Estimation!$P$617</definedName>
    <definedName name="BUFFER_TYPES_LIST">Lists!$B$45:$B$48</definedName>
    <definedName name="BUFFERS_BY_TYPE">Estimation!$N$676:$O$678</definedName>
    <definedName name="CHOSEN_CURRENCY">Estimation!$O$635</definedName>
    <definedName name="CLIENT_NAME">Estimation!$O$628</definedName>
    <definedName name="COMPACT_WBS">Estimation!$L$10:$T$535</definedName>
    <definedName name="COPY_TYPE">Estimation!$R$9</definedName>
    <definedName name="CURRENCIES_LIST">Lists!$B$27:$B$29</definedName>
    <definedName name="CUSTOM_PERCENT">Estimation!$T$5</definedName>
    <definedName name="DESIGN_COST">Estimation!$W$603</definedName>
    <definedName name="DESIGN_EFFORT">Estimation!$O$603</definedName>
    <definedName name="DESIGN_RANGE">Estimation!$L$64:$AC$94</definedName>
    <definedName name="DESIGN_TA_COUNT">Estimation!$R$613</definedName>
    <definedName name="DESIGN_TA_PERCENT">Estimation!$R$603</definedName>
    <definedName name="DEV_COST">Estimation!$W$604</definedName>
    <definedName name="DEV_DEV_COUNT">Estimation!$T$614</definedName>
    <definedName name="DEV_DEV_PERCENT">Estimation!$T$604</definedName>
    <definedName name="DEV_EFFORT">Estimation!$O$604</definedName>
    <definedName name="DEV_RANGE">Estimation!$L$95:$AC$460</definedName>
    <definedName name="DURATION">Estimation!$P$618</definedName>
    <definedName name="EXTRA_FOR_H">Estimation!$O$663</definedName>
    <definedName name="EXTRAS_ARRAY">Estimation!$N$668:$O$673</definedName>
    <definedName name="EXTRAS_LIST">Estimation!$N$668:$N$673</definedName>
    <definedName name="FBS">Estimation!$L$537</definedName>
    <definedName name="FBS_FORMAT">Estimation!$S$542</definedName>
    <definedName name="FBS_INSERT_AT">Estimation!$M$591:$P$591</definedName>
    <definedName name="FBS_LINK">Estimation!$T$542</definedName>
    <definedName name="FBS_RANGE">Estimation!$M$543:$P$592</definedName>
    <definedName name="FULL_WBS">Estimation!$L$10:$AC$535</definedName>
    <definedName name="INCLUDE_OPTIONALS_LIST">Lists!$B$58:$B$59</definedName>
    <definedName name="IS_KEY_OPP">Estimation!$O$633</definedName>
    <definedName name="LESS_FOR_L">Estimation!$O$664</definedName>
    <definedName name="MANUAL_DURATION">Estimation!$P$619</definedName>
    <definedName name="MANUAL_END_DATE">Schedule!$L$1</definedName>
    <definedName name="MAX_EFFORT_PERCENT">Estimation!$P$638</definedName>
    <definedName name="MIN_EFFORT_PERCENT">Estimation!$O$638</definedName>
    <definedName name="MODULE_RANGE">Estimation!$755:$755</definedName>
    <definedName name="NOT_IN_COMPACT">Estimation!$O:$W</definedName>
    <definedName name="OTHER_COST">Estimation!$W$607</definedName>
    <definedName name="OTHER_EFFORT">Estimation!$O$607</definedName>
    <definedName name="OTHER_TL_COUNT">Estimation!$S$617</definedName>
    <definedName name="OTHER_TL_PERCENT">Estimation!$S$607</definedName>
    <definedName name="OTHERS_RANGE">Estimation!$L$528:$AC$534</definedName>
    <definedName name="PLATFORM">Estimation!$O$630</definedName>
    <definedName name="PLATFORMS_LIST">Lists!$B$38:$B$42</definedName>
    <definedName name="_xlnm.Print_Area" localSheetId="1">Estimation!$A$1:$AC$624</definedName>
    <definedName name="PROJECT_NAME">Estimation!$O$629</definedName>
    <definedName name="PROJECT_TYPE">Estimation!$O$631</definedName>
    <definedName name="PROJECT_TYPES_LIST">Lists!$B$32:$B$35</definedName>
    <definedName name="QA_COST">Estimation!$W$605</definedName>
    <definedName name="QA_EFFORT">Estimation!$O$605</definedName>
    <definedName name="QA_RANGE">Estimation!$L$461:$AC$499</definedName>
    <definedName name="REGIONS_LIST">Lists!$B$19:$B$24</definedName>
    <definedName name="REQ_BA_COUNT">Estimation!$Q$612</definedName>
    <definedName name="REQ_BA_PERCENT">Estimation!$Q$602</definedName>
    <definedName name="REQ_COST">Estimation!$W$602</definedName>
    <definedName name="REQ_EFFORT">Estimation!$O$602</definedName>
    <definedName name="REQ_RANGE">Estimation!$L$12:$AC$63</definedName>
    <definedName name="RFP_NAME">Estimation!$O$632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Estimation!$P$668:$P$669</definedName>
    <definedName name="SECTION_RANGE">Estimation!$747:$753</definedName>
    <definedName name="START_DATE">Estimation!$O$612</definedName>
    <definedName name="TASK_RANGE">Estimation!$749:$752</definedName>
    <definedName name="TEMPLATE_NAME">Estimation!$G$3</definedName>
    <definedName name="TEMPLATE_SECTION">Estimation!$746:$756</definedName>
    <definedName name="TEMPLATE_VER">Estimation!$K$3</definedName>
    <definedName name="TESTING_QA_COUNT">Estimation!$U$615</definedName>
    <definedName name="TESTING_QA_PERCENT">Estimation!$U$605</definedName>
    <definedName name="TOTAL_COST">Estimation!$W$608</definedName>
    <definedName name="TOTAL_EFFORT">Estimation!$O$608</definedName>
    <definedName name="Total_FRs">Estimation!$Q$23</definedName>
    <definedName name="Total_Screens">Estimation!$P$61</definedName>
    <definedName name="Total_Test_Cases">Estimation!$P$473</definedName>
    <definedName name="Total_Use_Cases">Estimation!$P$43</definedName>
    <definedName name="TOTAL_WEEKS">Estimation!$P$608</definedName>
    <definedName name="UAT_COST">Estimation!$W$606</definedName>
    <definedName name="UAT_DEV_COUNT">Estimation!$T$616</definedName>
    <definedName name="UAT_DEV_PERCENT">Estimation!$T$606</definedName>
    <definedName name="UAT_EFFORT">Estimation!$O$606</definedName>
    <definedName name="UAT_RANGE">Estimation!$L$500:$AC$527</definedName>
    <definedName name="YES_NO_LIST">Lists!$B$3:$B$5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80" i="2" l="1"/>
  <c r="AA80" i="2" s="1"/>
  <c r="S80" i="2" s="1"/>
  <c r="AD80" i="2" s="1"/>
  <c r="Y126" i="2"/>
  <c r="AA126" i="2" s="1"/>
  <c r="S126" i="2" s="1"/>
  <c r="AD126" i="2" s="1"/>
  <c r="Y135" i="2"/>
  <c r="AA135" i="2" s="1"/>
  <c r="S135" i="2" s="1"/>
  <c r="AD135" i="2" s="1"/>
  <c r="Y153" i="2"/>
  <c r="AA153" i="2" s="1"/>
  <c r="S153" i="2" s="1"/>
  <c r="AD153" i="2" s="1"/>
  <c r="Y171" i="2"/>
  <c r="AA171" i="2" s="1"/>
  <c r="S171" i="2" s="1"/>
  <c r="AD171" i="2" s="1"/>
  <c r="Y172" i="2"/>
  <c r="AA172" i="2" s="1"/>
  <c r="S172" i="2" s="1"/>
  <c r="AD172" i="2" s="1"/>
  <c r="Y190" i="2"/>
  <c r="AA190" i="2" s="1"/>
  <c r="S190" i="2" s="1"/>
  <c r="AD190" i="2" s="1"/>
  <c r="Y199" i="2"/>
  <c r="AA199" i="2" s="1"/>
  <c r="S199" i="2" s="1"/>
  <c r="AD199" i="2" s="1"/>
  <c r="Y207" i="2"/>
  <c r="AA207" i="2" s="1"/>
  <c r="S207" i="2" s="1"/>
  <c r="AD207" i="2" s="1"/>
  <c r="Y235" i="2"/>
  <c r="AA235" i="2" s="1"/>
  <c r="S235" i="2" s="1"/>
  <c r="AD235" i="2" s="1"/>
  <c r="Y236" i="2"/>
  <c r="AA236" i="2" s="1"/>
  <c r="S236" i="2" s="1"/>
  <c r="AD236" i="2" s="1"/>
  <c r="Y246" i="2"/>
  <c r="AA246" i="2" s="1"/>
  <c r="S246" i="2" s="1"/>
  <c r="AD246" i="2" s="1"/>
  <c r="Y255" i="2"/>
  <c r="AA255" i="2" s="1"/>
  <c r="S255" i="2" s="1"/>
  <c r="AD255" i="2" s="1"/>
  <c r="Y264" i="2"/>
  <c r="AA264" i="2" s="1"/>
  <c r="S264" i="2" s="1"/>
  <c r="AD264" i="2" s="1"/>
  <c r="Y272" i="2"/>
  <c r="AA272" i="2" s="1"/>
  <c r="S272" i="2" s="1"/>
  <c r="AD272" i="2" s="1"/>
  <c r="Y293" i="2"/>
  <c r="AA293" i="2" s="1"/>
  <c r="S293" i="2" s="1"/>
  <c r="AD293" i="2" s="1"/>
  <c r="Y294" i="2"/>
  <c r="AA294" i="2" s="1"/>
  <c r="S294" i="2" s="1"/>
  <c r="AD294" i="2" s="1"/>
  <c r="Y306" i="2"/>
  <c r="AA306" i="2" s="1"/>
  <c r="S306" i="2" s="1"/>
  <c r="AD306" i="2" s="1"/>
  <c r="Y307" i="2"/>
  <c r="AA307" i="2" s="1"/>
  <c r="S307" i="2" s="1"/>
  <c r="AD307" i="2" s="1"/>
  <c r="Y308" i="2"/>
  <c r="AA308" i="2" s="1"/>
  <c r="S308" i="2" s="1"/>
  <c r="AD308" i="2" s="1"/>
  <c r="Y309" i="2"/>
  <c r="AA309" i="2" s="1"/>
  <c r="S309" i="2" s="1"/>
  <c r="AD309" i="2" s="1"/>
  <c r="Y404" i="2"/>
  <c r="AA404" i="2" s="1"/>
  <c r="S404" i="2" s="1"/>
  <c r="AD404" i="2" s="1"/>
  <c r="Y405" i="2"/>
  <c r="AA405" i="2" s="1"/>
  <c r="S405" i="2" s="1"/>
  <c r="AD405" i="2" s="1"/>
  <c r="Y406" i="2"/>
  <c r="AA406" i="2" s="1"/>
  <c r="S406" i="2" s="1"/>
  <c r="AD406" i="2" s="1"/>
  <c r="Y418" i="2"/>
  <c r="AA418" i="2" s="1"/>
  <c r="S418" i="2" s="1"/>
  <c r="AD418" i="2" s="1"/>
  <c r="Y419" i="2"/>
  <c r="AA419" i="2" s="1"/>
  <c r="S419" i="2" s="1"/>
  <c r="AD419" i="2" s="1"/>
  <c r="Y420" i="2"/>
  <c r="AA420" i="2" s="1"/>
  <c r="S420" i="2" s="1"/>
  <c r="AD420" i="2" s="1"/>
  <c r="Y433" i="2"/>
  <c r="AA433" i="2" s="1"/>
  <c r="S433" i="2" s="1"/>
  <c r="AD433" i="2" s="1"/>
  <c r="Y497" i="2"/>
  <c r="AA497" i="2" s="1"/>
  <c r="S497" i="2" s="1"/>
  <c r="AD497" i="2" s="1"/>
  <c r="Y123" i="2"/>
  <c r="AA123" i="2" s="1"/>
  <c r="S123" i="2" s="1"/>
  <c r="AD123" i="2" s="1"/>
  <c r="Y124" i="2"/>
  <c r="AA124" i="2" s="1"/>
  <c r="S124" i="2" s="1"/>
  <c r="AD124" i="2" s="1"/>
  <c r="Y125" i="2"/>
  <c r="AA125" i="2" s="1"/>
  <c r="S125" i="2" s="1"/>
  <c r="AD125" i="2" s="1"/>
  <c r="Y152" i="2"/>
  <c r="AA152" i="2" s="1"/>
  <c r="S152" i="2" s="1"/>
  <c r="AD152" i="2" s="1"/>
  <c r="Y167" i="2"/>
  <c r="AA167" i="2" s="1"/>
  <c r="S167" i="2" s="1"/>
  <c r="AD167" i="2" s="1"/>
  <c r="Y168" i="2"/>
  <c r="AA168" i="2" s="1"/>
  <c r="S168" i="2" s="1"/>
  <c r="AD168" i="2" s="1"/>
  <c r="Y169" i="2"/>
  <c r="AA169" i="2" s="1"/>
  <c r="S169" i="2" s="1"/>
  <c r="AD169" i="2" s="1"/>
  <c r="Y170" i="2"/>
  <c r="AA170" i="2" s="1"/>
  <c r="S170" i="2" s="1"/>
  <c r="AD170" i="2" s="1"/>
  <c r="Y166" i="2"/>
  <c r="AA166" i="2" s="1"/>
  <c r="S166" i="2" s="1"/>
  <c r="AD164" i="2"/>
  <c r="Y220" i="2"/>
  <c r="AA220" i="2" s="1"/>
  <c r="S220" i="2" s="1"/>
  <c r="AD220" i="2" s="1"/>
  <c r="Y221" i="2"/>
  <c r="AA221" i="2" s="1"/>
  <c r="S221" i="2" s="1"/>
  <c r="AD221" i="2" s="1"/>
  <c r="Y222" i="2"/>
  <c r="AA222" i="2" s="1"/>
  <c r="S222" i="2" s="1"/>
  <c r="AD222" i="2" s="1"/>
  <c r="Y223" i="2"/>
  <c r="AA223" i="2" s="1"/>
  <c r="S223" i="2" s="1"/>
  <c r="AD223" i="2" s="1"/>
  <c r="Y224" i="2"/>
  <c r="AA224" i="2" s="1"/>
  <c r="S224" i="2" s="1"/>
  <c r="AD224" i="2" s="1"/>
  <c r="Y219" i="2"/>
  <c r="AA219" i="2" s="1"/>
  <c r="S219" i="2" s="1"/>
  <c r="AD217" i="2"/>
  <c r="Y269" i="2"/>
  <c r="AA269" i="2" s="1"/>
  <c r="S269" i="2" s="1"/>
  <c r="AD269" i="2" s="1"/>
  <c r="Y270" i="2"/>
  <c r="AA270" i="2" s="1"/>
  <c r="S270" i="2" s="1"/>
  <c r="AD270" i="2" s="1"/>
  <c r="Y271" i="2"/>
  <c r="AA271" i="2" s="1"/>
  <c r="S271" i="2" s="1"/>
  <c r="AD271" i="2" s="1"/>
  <c r="Y260" i="2"/>
  <c r="AA260" i="2" s="1"/>
  <c r="S260" i="2" s="1"/>
  <c r="AD260" i="2" s="1"/>
  <c r="Y261" i="2"/>
  <c r="AA261" i="2" s="1"/>
  <c r="S261" i="2" s="1"/>
  <c r="AD261" i="2" s="1"/>
  <c r="Y262" i="2"/>
  <c r="AA262" i="2" s="1"/>
  <c r="S262" i="2" s="1"/>
  <c r="AD262" i="2" s="1"/>
  <c r="Y263" i="2"/>
  <c r="AA263" i="2" s="1"/>
  <c r="S263" i="2" s="1"/>
  <c r="AD263" i="2" s="1"/>
  <c r="Y259" i="2"/>
  <c r="AA259" i="2" s="1"/>
  <c r="S259" i="2" s="1"/>
  <c r="AD257" i="2"/>
  <c r="Y268" i="2"/>
  <c r="AA268" i="2" s="1"/>
  <c r="S268" i="2" s="1"/>
  <c r="AD266" i="2"/>
  <c r="Y282" i="2"/>
  <c r="AA282" i="2" s="1"/>
  <c r="S282" i="2" s="1"/>
  <c r="AD282" i="2" s="1"/>
  <c r="Y283" i="2"/>
  <c r="AA283" i="2" s="1"/>
  <c r="S283" i="2" s="1"/>
  <c r="AD283" i="2" s="1"/>
  <c r="Y284" i="2"/>
  <c r="AA284" i="2" s="1"/>
  <c r="S284" i="2" s="1"/>
  <c r="AD284" i="2" s="1"/>
  <c r="Y303" i="2"/>
  <c r="AA303" i="2" s="1"/>
  <c r="S303" i="2" s="1"/>
  <c r="AD303" i="2" s="1"/>
  <c r="Y304" i="2"/>
  <c r="AA304" i="2" s="1"/>
  <c r="S304" i="2" s="1"/>
  <c r="AD304" i="2" s="1"/>
  <c r="Y305" i="2"/>
  <c r="AA305" i="2" s="1"/>
  <c r="S305" i="2" s="1"/>
  <c r="AD305" i="2" s="1"/>
  <c r="Y318" i="2"/>
  <c r="AA318" i="2" s="1"/>
  <c r="S318" i="2" s="1"/>
  <c r="AD318" i="2" s="1"/>
  <c r="Y319" i="2"/>
  <c r="AA319" i="2" s="1"/>
  <c r="S319" i="2" s="1"/>
  <c r="AD319" i="2" s="1"/>
  <c r="Y320" i="2"/>
  <c r="AA320" i="2" s="1"/>
  <c r="S320" i="2" s="1"/>
  <c r="AD320" i="2" s="1"/>
  <c r="Y321" i="2"/>
  <c r="AA321" i="2" s="1"/>
  <c r="S321" i="2" s="1"/>
  <c r="AD321" i="2" s="1"/>
  <c r="Y337" i="2"/>
  <c r="AA337" i="2" s="1"/>
  <c r="S337" i="2" s="1"/>
  <c r="AD337" i="2" s="1"/>
  <c r="Y358" i="2"/>
  <c r="AA358" i="2" s="1"/>
  <c r="S358" i="2" s="1"/>
  <c r="Y403" i="2"/>
  <c r="AA403" i="2" s="1"/>
  <c r="S403" i="2" s="1"/>
  <c r="AD403" i="2" s="1"/>
  <c r="Y430" i="2"/>
  <c r="AA430" i="2" s="1"/>
  <c r="S430" i="2" s="1"/>
  <c r="AD430" i="2" s="1"/>
  <c r="Y431" i="2"/>
  <c r="AA431" i="2" s="1"/>
  <c r="S431" i="2" s="1"/>
  <c r="AD431" i="2" s="1"/>
  <c r="Y432" i="2"/>
  <c r="AA432" i="2" s="1"/>
  <c r="S432" i="2" s="1"/>
  <c r="AD432" i="2" s="1"/>
  <c r="Y496" i="2"/>
  <c r="AA496" i="2" s="1"/>
  <c r="S496" i="2" s="1"/>
  <c r="AD496" i="2" s="1"/>
  <c r="Y158" i="2"/>
  <c r="AA158" i="2" s="1"/>
  <c r="S158" i="2" s="1"/>
  <c r="AD158" i="2" s="1"/>
  <c r="Y159" i="2"/>
  <c r="AA159" i="2" s="1"/>
  <c r="S159" i="2" s="1"/>
  <c r="AD159" i="2" s="1"/>
  <c r="Y160" i="2"/>
  <c r="AA160" i="2" s="1"/>
  <c r="S160" i="2" s="1"/>
  <c r="AD160" i="2" s="1"/>
  <c r="Y161" i="2"/>
  <c r="AA161" i="2" s="1"/>
  <c r="S161" i="2" s="1"/>
  <c r="AD161" i="2" s="1"/>
  <c r="Y162" i="2"/>
  <c r="AA162" i="2" s="1"/>
  <c r="S162" i="2" s="1"/>
  <c r="AD162" i="2" s="1"/>
  <c r="Y157" i="2"/>
  <c r="AA157" i="2" s="1"/>
  <c r="S157" i="2" s="1"/>
  <c r="AD155" i="2"/>
  <c r="Y495" i="2"/>
  <c r="AA495" i="2" s="1"/>
  <c r="S495" i="2" s="1"/>
  <c r="AD495" i="2" s="1"/>
  <c r="Y516" i="2"/>
  <c r="AA516" i="2" s="1"/>
  <c r="S516" i="2" s="1"/>
  <c r="AD516" i="2" s="1"/>
  <c r="B2" i="8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755" i="2"/>
  <c r="Y751" i="2"/>
  <c r="AA751" i="2" s="1"/>
  <c r="S751" i="2" s="1"/>
  <c r="AD749" i="2"/>
  <c r="AD747" i="2"/>
  <c r="N678" i="2"/>
  <c r="N677" i="2"/>
  <c r="N676" i="2"/>
  <c r="AB625" i="2"/>
  <c r="N617" i="2"/>
  <c r="B11" i="5" s="1"/>
  <c r="M617" i="2"/>
  <c r="N616" i="2"/>
  <c r="B10" i="5" s="1"/>
  <c r="M616" i="2"/>
  <c r="N615" i="2"/>
  <c r="B9" i="5" s="1"/>
  <c r="M615" i="2"/>
  <c r="N614" i="2"/>
  <c r="B8" i="5" s="1"/>
  <c r="M614" i="2"/>
  <c r="N613" i="2"/>
  <c r="B7" i="5" s="1"/>
  <c r="M613" i="2"/>
  <c r="N612" i="2"/>
  <c r="B6" i="5" s="1"/>
  <c r="M612" i="2"/>
  <c r="N607" i="2"/>
  <c r="M607" i="2"/>
  <c r="B607" i="2"/>
  <c r="N606" i="2"/>
  <c r="M606" i="2"/>
  <c r="B606" i="2"/>
  <c r="N605" i="2"/>
  <c r="M605" i="2"/>
  <c r="B605" i="2"/>
  <c r="N604" i="2"/>
  <c r="M604" i="2"/>
  <c r="B604" i="2"/>
  <c r="N603" i="2"/>
  <c r="M603" i="2"/>
  <c r="B603" i="2"/>
  <c r="N602" i="2"/>
  <c r="M602" i="2"/>
  <c r="B602" i="2"/>
  <c r="W600" i="2"/>
  <c r="V600" i="2"/>
  <c r="U600" i="2"/>
  <c r="T600" i="2"/>
  <c r="S600" i="2"/>
  <c r="R600" i="2"/>
  <c r="Q600" i="2"/>
  <c r="P542" i="2"/>
  <c r="AD530" i="2"/>
  <c r="Y525" i="2"/>
  <c r="AA525" i="2" s="1"/>
  <c r="S525" i="2" s="1"/>
  <c r="AD525" i="2" s="1"/>
  <c r="Y524" i="2"/>
  <c r="AA524" i="2" s="1"/>
  <c r="S524" i="2" s="1"/>
  <c r="Y523" i="2"/>
  <c r="AA523" i="2" s="1"/>
  <c r="S523" i="2" s="1"/>
  <c r="AD523" i="2" s="1"/>
  <c r="Y522" i="2"/>
  <c r="AA522" i="2" s="1"/>
  <c r="S522" i="2" s="1"/>
  <c r="AD522" i="2" s="1"/>
  <c r="AD520" i="2"/>
  <c r="Y518" i="2"/>
  <c r="AA518" i="2" s="1"/>
  <c r="S518" i="2" s="1"/>
  <c r="AD518" i="2" s="1"/>
  <c r="Y517" i="2"/>
  <c r="AA517" i="2" s="1"/>
  <c r="S517" i="2" s="1"/>
  <c r="Y515" i="2"/>
  <c r="AA515" i="2" s="1"/>
  <c r="S515" i="2" s="1"/>
  <c r="AD515" i="2" s="1"/>
  <c r="AD513" i="2"/>
  <c r="Y511" i="2"/>
  <c r="AA511" i="2" s="1"/>
  <c r="S511" i="2" s="1"/>
  <c r="AD511" i="2" s="1"/>
  <c r="Y510" i="2"/>
  <c r="AA510" i="2" s="1"/>
  <c r="S510" i="2" s="1"/>
  <c r="AD510" i="2" s="1"/>
  <c r="Y509" i="2"/>
  <c r="AA509" i="2" s="1"/>
  <c r="S509" i="2" s="1"/>
  <c r="AD507" i="2"/>
  <c r="Y505" i="2"/>
  <c r="AA505" i="2" s="1"/>
  <c r="S505" i="2" s="1"/>
  <c r="AD505" i="2" s="1"/>
  <c r="Y504" i="2"/>
  <c r="AA504" i="2" s="1"/>
  <c r="S504" i="2" s="1"/>
  <c r="AD502" i="2"/>
  <c r="Y494" i="2"/>
  <c r="AA494" i="2" s="1"/>
  <c r="S494" i="2" s="1"/>
  <c r="AD494" i="2" s="1"/>
  <c r="Y493" i="2"/>
  <c r="AA493" i="2" s="1"/>
  <c r="S493" i="2" s="1"/>
  <c r="AD493" i="2" s="1"/>
  <c r="Q492" i="2"/>
  <c r="Y492" i="2" s="1"/>
  <c r="AA492" i="2" s="1"/>
  <c r="S492" i="2" s="1"/>
  <c r="AD492" i="2" s="1"/>
  <c r="Q491" i="2"/>
  <c r="Y491" i="2" s="1"/>
  <c r="AA491" i="2" s="1"/>
  <c r="S491" i="2" s="1"/>
  <c r="AD489" i="2"/>
  <c r="Y487" i="2"/>
  <c r="AA487" i="2" s="1"/>
  <c r="S487" i="2" s="1"/>
  <c r="AD487" i="2" s="1"/>
  <c r="Y484" i="2"/>
  <c r="AA484" i="2" s="1"/>
  <c r="S484" i="2" s="1"/>
  <c r="AD482" i="2"/>
  <c r="Y479" i="2"/>
  <c r="AA479" i="2" s="1"/>
  <c r="S479" i="2" s="1"/>
  <c r="AD477" i="2"/>
  <c r="Y475" i="2"/>
  <c r="AA475" i="2" s="1"/>
  <c r="S475" i="2" s="1"/>
  <c r="AD475" i="2" s="1"/>
  <c r="AD474" i="2"/>
  <c r="S474" i="2"/>
  <c r="Y472" i="2"/>
  <c r="AA472" i="2" s="1"/>
  <c r="S472" i="2" s="1"/>
  <c r="AD470" i="2"/>
  <c r="AD469" i="2"/>
  <c r="Y466" i="2"/>
  <c r="AA466" i="2" s="1"/>
  <c r="S466" i="2" s="1"/>
  <c r="AD464" i="2"/>
  <c r="AD463" i="2"/>
  <c r="Y458" i="2"/>
  <c r="AA458" i="2" s="1"/>
  <c r="S458" i="2" s="1"/>
  <c r="AD458" i="2" s="1"/>
  <c r="Y457" i="2"/>
  <c r="AA457" i="2" s="1"/>
  <c r="S457" i="2" s="1"/>
  <c r="Y456" i="2"/>
  <c r="AA456" i="2" s="1"/>
  <c r="S456" i="2" s="1"/>
  <c r="AD456" i="2" s="1"/>
  <c r="AD454" i="2"/>
  <c r="AD453" i="2"/>
  <c r="Y451" i="2"/>
  <c r="AA451" i="2" s="1"/>
  <c r="S451" i="2" s="1"/>
  <c r="AD451" i="2" s="1"/>
  <c r="Y450" i="2"/>
  <c r="AA450" i="2" s="1"/>
  <c r="S450" i="2" s="1"/>
  <c r="AD450" i="2" s="1"/>
  <c r="Y449" i="2"/>
  <c r="AA449" i="2" s="1"/>
  <c r="S449" i="2" s="1"/>
  <c r="AD449" i="2" s="1"/>
  <c r="Y448" i="2"/>
  <c r="AA448" i="2" s="1"/>
  <c r="S448" i="2" s="1"/>
  <c r="AD448" i="2" s="1"/>
  <c r="Y447" i="2"/>
  <c r="AA447" i="2" s="1"/>
  <c r="S447" i="2" s="1"/>
  <c r="AD447" i="2" s="1"/>
  <c r="Y446" i="2"/>
  <c r="AA446" i="2" s="1"/>
  <c r="S446" i="2" s="1"/>
  <c r="AD446" i="2" s="1"/>
  <c r="Y445" i="2"/>
  <c r="AA445" i="2" s="1"/>
  <c r="S445" i="2" s="1"/>
  <c r="AD443" i="2"/>
  <c r="Y441" i="2"/>
  <c r="AA441" i="2" s="1"/>
  <c r="S441" i="2" s="1"/>
  <c r="AD441" i="2" s="1"/>
  <c r="Y440" i="2"/>
  <c r="AA440" i="2" s="1"/>
  <c r="S440" i="2" s="1"/>
  <c r="AD440" i="2" s="1"/>
  <c r="Y439" i="2"/>
  <c r="AA439" i="2" s="1"/>
  <c r="S439" i="2" s="1"/>
  <c r="AD439" i="2" s="1"/>
  <c r="Y438" i="2"/>
  <c r="AA438" i="2" s="1"/>
  <c r="S438" i="2" s="1"/>
  <c r="AD438" i="2" s="1"/>
  <c r="Y437" i="2"/>
  <c r="AA437" i="2" s="1"/>
  <c r="S437" i="2" s="1"/>
  <c r="AD435" i="2"/>
  <c r="Y429" i="2"/>
  <c r="AA429" i="2" s="1"/>
  <c r="S429" i="2" s="1"/>
  <c r="AD429" i="2" s="1"/>
  <c r="Y428" i="2"/>
  <c r="AA428" i="2" s="1"/>
  <c r="S428" i="2" s="1"/>
  <c r="AD428" i="2" s="1"/>
  <c r="Y427" i="2"/>
  <c r="AA427" i="2" s="1"/>
  <c r="S427" i="2" s="1"/>
  <c r="AD427" i="2" s="1"/>
  <c r="Y426" i="2"/>
  <c r="AA426" i="2" s="1"/>
  <c r="S426" i="2" s="1"/>
  <c r="AD426" i="2" s="1"/>
  <c r="Y425" i="2"/>
  <c r="AA425" i="2" s="1"/>
  <c r="S425" i="2" s="1"/>
  <c r="AD425" i="2" s="1"/>
  <c r="Y424" i="2"/>
  <c r="AA424" i="2" s="1"/>
  <c r="S424" i="2" s="1"/>
  <c r="AD422" i="2"/>
  <c r="Y417" i="2"/>
  <c r="AA417" i="2" s="1"/>
  <c r="S417" i="2" s="1"/>
  <c r="AD417" i="2" s="1"/>
  <c r="Y416" i="2"/>
  <c r="AA416" i="2" s="1"/>
  <c r="S416" i="2" s="1"/>
  <c r="AD416" i="2" s="1"/>
  <c r="Y415" i="2"/>
  <c r="AA415" i="2" s="1"/>
  <c r="S415" i="2" s="1"/>
  <c r="AD415" i="2" s="1"/>
  <c r="Y414" i="2"/>
  <c r="AA414" i="2" s="1"/>
  <c r="S414" i="2" s="1"/>
  <c r="AD414" i="2" s="1"/>
  <c r="Y413" i="2"/>
  <c r="AA413" i="2" s="1"/>
  <c r="S413" i="2" s="1"/>
  <c r="AD413" i="2" s="1"/>
  <c r="Y412" i="2"/>
  <c r="AA412" i="2" s="1"/>
  <c r="S412" i="2" s="1"/>
  <c r="AD412" i="2" s="1"/>
  <c r="Y411" i="2"/>
  <c r="AA411" i="2" s="1"/>
  <c r="S411" i="2" s="1"/>
  <c r="AD411" i="2" s="1"/>
  <c r="Y410" i="2"/>
  <c r="AA410" i="2" s="1"/>
  <c r="S410" i="2" s="1"/>
  <c r="AD408" i="2"/>
  <c r="Y402" i="2"/>
  <c r="AA402" i="2" s="1"/>
  <c r="S402" i="2" s="1"/>
  <c r="AD402" i="2" s="1"/>
  <c r="Y401" i="2"/>
  <c r="AA401" i="2" s="1"/>
  <c r="S401" i="2" s="1"/>
  <c r="AD401" i="2" s="1"/>
  <c r="Y400" i="2"/>
  <c r="AA400" i="2" s="1"/>
  <c r="S400" i="2" s="1"/>
  <c r="AD400" i="2" s="1"/>
  <c r="Y399" i="2"/>
  <c r="AA399" i="2" s="1"/>
  <c r="S399" i="2" s="1"/>
  <c r="AD399" i="2" s="1"/>
  <c r="Y398" i="2"/>
  <c r="AA398" i="2" s="1"/>
  <c r="S398" i="2" s="1"/>
  <c r="AD398" i="2" s="1"/>
  <c r="Y397" i="2"/>
  <c r="AA397" i="2" s="1"/>
  <c r="S397" i="2" s="1"/>
  <c r="AD397" i="2" s="1"/>
  <c r="Y396" i="2"/>
  <c r="AA396" i="2" s="1"/>
  <c r="S396" i="2" s="1"/>
  <c r="AD396" i="2" s="1"/>
  <c r="Y395" i="2"/>
  <c r="AA395" i="2" s="1"/>
  <c r="S395" i="2" s="1"/>
  <c r="AD395" i="2" s="1"/>
  <c r="Y394" i="2"/>
  <c r="AA394" i="2" s="1"/>
  <c r="S394" i="2" s="1"/>
  <c r="AD394" i="2" s="1"/>
  <c r="Y393" i="2"/>
  <c r="AA393" i="2" s="1"/>
  <c r="S393" i="2" s="1"/>
  <c r="AD391" i="2"/>
  <c r="Y389" i="2"/>
  <c r="AA389" i="2" s="1"/>
  <c r="S389" i="2" s="1"/>
  <c r="AD389" i="2" s="1"/>
  <c r="Y388" i="2"/>
  <c r="AA388" i="2" s="1"/>
  <c r="S388" i="2" s="1"/>
  <c r="AD388" i="2" s="1"/>
  <c r="Y387" i="2"/>
  <c r="AA387" i="2" s="1"/>
  <c r="S387" i="2" s="1"/>
  <c r="AD387" i="2" s="1"/>
  <c r="Y386" i="2"/>
  <c r="AA386" i="2" s="1"/>
  <c r="S386" i="2" s="1"/>
  <c r="AD386" i="2" s="1"/>
  <c r="Y385" i="2"/>
  <c r="AA385" i="2" s="1"/>
  <c r="S385" i="2" s="1"/>
  <c r="AD385" i="2" s="1"/>
  <c r="Y384" i="2"/>
  <c r="AA384" i="2" s="1"/>
  <c r="S384" i="2" s="1"/>
  <c r="AD384" i="2" s="1"/>
  <c r="Y383" i="2"/>
  <c r="AA383" i="2" s="1"/>
  <c r="S383" i="2" s="1"/>
  <c r="AD381" i="2"/>
  <c r="Y379" i="2"/>
  <c r="AA379" i="2" s="1"/>
  <c r="S379" i="2" s="1"/>
  <c r="AD379" i="2" s="1"/>
  <c r="Y378" i="2"/>
  <c r="AA378" i="2" s="1"/>
  <c r="S378" i="2" s="1"/>
  <c r="AD378" i="2" s="1"/>
  <c r="Y377" i="2"/>
  <c r="AA377" i="2" s="1"/>
  <c r="S377" i="2" s="1"/>
  <c r="AD377" i="2" s="1"/>
  <c r="Y376" i="2"/>
  <c r="AA376" i="2" s="1"/>
  <c r="S376" i="2" s="1"/>
  <c r="AD376" i="2" s="1"/>
  <c r="Y375" i="2"/>
  <c r="AA375" i="2" s="1"/>
  <c r="S375" i="2" s="1"/>
  <c r="AD375" i="2" s="1"/>
  <c r="Y374" i="2"/>
  <c r="AA374" i="2" s="1"/>
  <c r="S374" i="2" s="1"/>
  <c r="AD374" i="2" s="1"/>
  <c r="Y373" i="2"/>
  <c r="AA373" i="2" s="1"/>
  <c r="S373" i="2" s="1"/>
  <c r="AD371" i="2"/>
  <c r="AD370" i="2"/>
  <c r="Y368" i="2"/>
  <c r="AA368" i="2" s="1"/>
  <c r="S368" i="2" s="1"/>
  <c r="AD368" i="2" s="1"/>
  <c r="Y367" i="2"/>
  <c r="AA367" i="2" s="1"/>
  <c r="S367" i="2" s="1"/>
  <c r="AD365" i="2"/>
  <c r="Y363" i="2"/>
  <c r="AA363" i="2" s="1"/>
  <c r="S363" i="2" s="1"/>
  <c r="AD363" i="2" s="1"/>
  <c r="Y362" i="2"/>
  <c r="AA362" i="2" s="1"/>
  <c r="S362" i="2" s="1"/>
  <c r="AD362" i="2" s="1"/>
  <c r="AD360" i="2"/>
  <c r="Y357" i="2"/>
  <c r="AA357" i="2" s="1"/>
  <c r="S357" i="2" s="1"/>
  <c r="AD357" i="2" s="1"/>
  <c r="Y356" i="2"/>
  <c r="AA356" i="2" s="1"/>
  <c r="S356" i="2" s="1"/>
  <c r="AD354" i="2"/>
  <c r="Y352" i="2"/>
  <c r="AA352" i="2" s="1"/>
  <c r="S352" i="2" s="1"/>
  <c r="AD352" i="2" s="1"/>
  <c r="Y351" i="2"/>
  <c r="AA351" i="2" s="1"/>
  <c r="S351" i="2" s="1"/>
  <c r="AD351" i="2" s="1"/>
  <c r="Y350" i="2"/>
  <c r="AA350" i="2" s="1"/>
  <c r="S350" i="2" s="1"/>
  <c r="AD350" i="2" s="1"/>
  <c r="AD348" i="2"/>
  <c r="Y346" i="2"/>
  <c r="AA346" i="2" s="1"/>
  <c r="S346" i="2" s="1"/>
  <c r="AD346" i="2" s="1"/>
  <c r="Y345" i="2"/>
  <c r="AA345" i="2" s="1"/>
  <c r="S345" i="2" s="1"/>
  <c r="AD345" i="2" s="1"/>
  <c r="Y344" i="2"/>
  <c r="AA344" i="2" s="1"/>
  <c r="S344" i="2" s="1"/>
  <c r="AD344" i="2" s="1"/>
  <c r="Y343" i="2"/>
  <c r="AA343" i="2" s="1"/>
  <c r="S343" i="2" s="1"/>
  <c r="Y342" i="2"/>
  <c r="AA342" i="2" s="1"/>
  <c r="S342" i="2" s="1"/>
  <c r="AD342" i="2" s="1"/>
  <c r="AD340" i="2"/>
  <c r="AD339" i="2"/>
  <c r="Y336" i="2"/>
  <c r="AA336" i="2" s="1"/>
  <c r="S336" i="2" s="1"/>
  <c r="AD336" i="2" s="1"/>
  <c r="Y335" i="2"/>
  <c r="AA335" i="2" s="1"/>
  <c r="S335" i="2" s="1"/>
  <c r="Y334" i="2"/>
  <c r="AA334" i="2" s="1"/>
  <c r="S334" i="2" s="1"/>
  <c r="AD334" i="2" s="1"/>
  <c r="AD332" i="2"/>
  <c r="Y330" i="2"/>
  <c r="AA330" i="2" s="1"/>
  <c r="S330" i="2" s="1"/>
  <c r="AD330" i="2" s="1"/>
  <c r="Y329" i="2"/>
  <c r="AA329" i="2" s="1"/>
  <c r="S329" i="2" s="1"/>
  <c r="AD329" i="2" s="1"/>
  <c r="Y328" i="2"/>
  <c r="AA328" i="2" s="1"/>
  <c r="S328" i="2" s="1"/>
  <c r="AD328" i="2" s="1"/>
  <c r="Y327" i="2"/>
  <c r="AA327" i="2" s="1"/>
  <c r="S327" i="2" s="1"/>
  <c r="AD327" i="2" s="1"/>
  <c r="Y326" i="2"/>
  <c r="AA326" i="2" s="1"/>
  <c r="S326" i="2" s="1"/>
  <c r="AD324" i="2"/>
  <c r="AD323" i="2"/>
  <c r="Y317" i="2"/>
  <c r="AA317" i="2" s="1"/>
  <c r="S317" i="2" s="1"/>
  <c r="AD317" i="2" s="1"/>
  <c r="Y316" i="2"/>
  <c r="AA316" i="2" s="1"/>
  <c r="S316" i="2" s="1"/>
  <c r="AD316" i="2" s="1"/>
  <c r="Y315" i="2"/>
  <c r="AA315" i="2" s="1"/>
  <c r="S315" i="2" s="1"/>
  <c r="AD315" i="2" s="1"/>
  <c r="Y314" i="2"/>
  <c r="AA314" i="2" s="1"/>
  <c r="S314" i="2" s="1"/>
  <c r="AD314" i="2" s="1"/>
  <c r="Y313" i="2"/>
  <c r="AA313" i="2" s="1"/>
  <c r="S313" i="2" s="1"/>
  <c r="AD311" i="2"/>
  <c r="Y302" i="2"/>
  <c r="AA302" i="2" s="1"/>
  <c r="S302" i="2" s="1"/>
  <c r="AD302" i="2" s="1"/>
  <c r="Y301" i="2"/>
  <c r="AA301" i="2" s="1"/>
  <c r="S301" i="2" s="1"/>
  <c r="AD301" i="2" s="1"/>
  <c r="Y300" i="2"/>
  <c r="AA300" i="2" s="1"/>
  <c r="S300" i="2" s="1"/>
  <c r="AD300" i="2" s="1"/>
  <c r="Y299" i="2"/>
  <c r="AA299" i="2" s="1"/>
  <c r="S299" i="2" s="1"/>
  <c r="AD299" i="2" s="1"/>
  <c r="Y298" i="2"/>
  <c r="AA298" i="2" s="1"/>
  <c r="S298" i="2" s="1"/>
  <c r="AD296" i="2"/>
  <c r="Y292" i="2"/>
  <c r="AA292" i="2" s="1"/>
  <c r="S292" i="2" s="1"/>
  <c r="AD292" i="2" s="1"/>
  <c r="Y291" i="2"/>
  <c r="AA291" i="2" s="1"/>
  <c r="S291" i="2" s="1"/>
  <c r="AD291" i="2" s="1"/>
  <c r="Y290" i="2"/>
  <c r="AA290" i="2" s="1"/>
  <c r="S290" i="2" s="1"/>
  <c r="AD290" i="2" s="1"/>
  <c r="Y289" i="2"/>
  <c r="AA289" i="2" s="1"/>
  <c r="S289" i="2" s="1"/>
  <c r="AD289" i="2" s="1"/>
  <c r="Y288" i="2"/>
  <c r="AA288" i="2" s="1"/>
  <c r="S288" i="2" s="1"/>
  <c r="AD288" i="2" s="1"/>
  <c r="AD286" i="2"/>
  <c r="Y281" i="2"/>
  <c r="AA281" i="2" s="1"/>
  <c r="S281" i="2" s="1"/>
  <c r="AD281" i="2" s="1"/>
  <c r="Y280" i="2"/>
  <c r="AA280" i="2" s="1"/>
  <c r="S280" i="2" s="1"/>
  <c r="Y279" i="2"/>
  <c r="AA279" i="2" s="1"/>
  <c r="S279" i="2" s="1"/>
  <c r="AD279" i="2" s="1"/>
  <c r="Y278" i="2"/>
  <c r="AA278" i="2" s="1"/>
  <c r="S278" i="2" s="1"/>
  <c r="AD278" i="2" s="1"/>
  <c r="Y277" i="2"/>
  <c r="AA277" i="2" s="1"/>
  <c r="S277" i="2" s="1"/>
  <c r="AD275" i="2"/>
  <c r="AD274" i="2"/>
  <c r="Y254" i="2"/>
  <c r="AA254" i="2" s="1"/>
  <c r="S254" i="2" s="1"/>
  <c r="Y253" i="2"/>
  <c r="AA253" i="2" s="1"/>
  <c r="S253" i="2" s="1"/>
  <c r="AD253" i="2" s="1"/>
  <c r="Y252" i="2"/>
  <c r="AA252" i="2" s="1"/>
  <c r="S252" i="2" s="1"/>
  <c r="AD252" i="2" s="1"/>
  <c r="Y251" i="2"/>
  <c r="AA251" i="2" s="1"/>
  <c r="S251" i="2" s="1"/>
  <c r="AD251" i="2" s="1"/>
  <c r="Y250" i="2"/>
  <c r="AA250" i="2" s="1"/>
  <c r="S250" i="2" s="1"/>
  <c r="AD250" i="2" s="1"/>
  <c r="AD248" i="2"/>
  <c r="Y245" i="2"/>
  <c r="AA245" i="2" s="1"/>
  <c r="S245" i="2" s="1"/>
  <c r="AD245" i="2" s="1"/>
  <c r="Y244" i="2"/>
  <c r="AA244" i="2" s="1"/>
  <c r="S244" i="2" s="1"/>
  <c r="AD244" i="2" s="1"/>
  <c r="Y243" i="2"/>
  <c r="AA243" i="2" s="1"/>
  <c r="S243" i="2" s="1"/>
  <c r="AD243" i="2" s="1"/>
  <c r="Y242" i="2"/>
  <c r="AA242" i="2" s="1"/>
  <c r="S242" i="2" s="1"/>
  <c r="AD242" i="2" s="1"/>
  <c r="Y241" i="2"/>
  <c r="AA241" i="2" s="1"/>
  <c r="S241" i="2" s="1"/>
  <c r="Y240" i="2"/>
  <c r="AA240" i="2" s="1"/>
  <c r="S240" i="2" s="1"/>
  <c r="AD240" i="2" s="1"/>
  <c r="AD238" i="2"/>
  <c r="Y234" i="2"/>
  <c r="AA234" i="2" s="1"/>
  <c r="S234" i="2" s="1"/>
  <c r="AD234" i="2" s="1"/>
  <c r="Y233" i="2"/>
  <c r="AA233" i="2" s="1"/>
  <c r="S233" i="2" s="1"/>
  <c r="AD233" i="2" s="1"/>
  <c r="Y232" i="2"/>
  <c r="AA232" i="2" s="1"/>
  <c r="S232" i="2" s="1"/>
  <c r="AD232" i="2" s="1"/>
  <c r="Y231" i="2"/>
  <c r="AA231" i="2" s="1"/>
  <c r="S231" i="2" s="1"/>
  <c r="AD231" i="2" s="1"/>
  <c r="Y230" i="2"/>
  <c r="AA230" i="2" s="1"/>
  <c r="S230" i="2" s="1"/>
  <c r="AD230" i="2" s="1"/>
  <c r="Y229" i="2"/>
  <c r="AA229" i="2" s="1"/>
  <c r="S229" i="2" s="1"/>
  <c r="AD227" i="2"/>
  <c r="AD226" i="2"/>
  <c r="Y215" i="2"/>
  <c r="AA215" i="2" s="1"/>
  <c r="S215" i="2" s="1"/>
  <c r="AD215" i="2" s="1"/>
  <c r="Y214" i="2"/>
  <c r="AA214" i="2" s="1"/>
  <c r="S214" i="2" s="1"/>
  <c r="AD214" i="2" s="1"/>
  <c r="Y213" i="2"/>
  <c r="AA213" i="2" s="1"/>
  <c r="S213" i="2" s="1"/>
  <c r="AD213" i="2" s="1"/>
  <c r="Y212" i="2"/>
  <c r="AA212" i="2" s="1"/>
  <c r="S212" i="2" s="1"/>
  <c r="AD212" i="2" s="1"/>
  <c r="Y211" i="2"/>
  <c r="AA211" i="2" s="1"/>
  <c r="S211" i="2" s="1"/>
  <c r="AD209" i="2"/>
  <c r="Y206" i="2"/>
  <c r="AA206" i="2" s="1"/>
  <c r="S206" i="2" s="1"/>
  <c r="AD206" i="2" s="1"/>
  <c r="Y205" i="2"/>
  <c r="AA205" i="2" s="1"/>
  <c r="S205" i="2" s="1"/>
  <c r="AD205" i="2" s="1"/>
  <c r="Y204" i="2"/>
  <c r="AA204" i="2" s="1"/>
  <c r="S204" i="2" s="1"/>
  <c r="AD204" i="2" s="1"/>
  <c r="Y203" i="2"/>
  <c r="AA203" i="2" s="1"/>
  <c r="S203" i="2" s="1"/>
  <c r="AD201" i="2"/>
  <c r="Y198" i="2"/>
  <c r="AA198" i="2" s="1"/>
  <c r="S198" i="2" s="1"/>
  <c r="AD198" i="2" s="1"/>
  <c r="Y197" i="2"/>
  <c r="AA197" i="2" s="1"/>
  <c r="S197" i="2" s="1"/>
  <c r="AD197" i="2" s="1"/>
  <c r="Y196" i="2"/>
  <c r="AA196" i="2" s="1"/>
  <c r="S196" i="2" s="1"/>
  <c r="AD196" i="2" s="1"/>
  <c r="Y195" i="2"/>
  <c r="AA195" i="2" s="1"/>
  <c r="S195" i="2" s="1"/>
  <c r="AD195" i="2" s="1"/>
  <c r="Y194" i="2"/>
  <c r="AA194" i="2" s="1"/>
  <c r="S194" i="2" s="1"/>
  <c r="AD192" i="2"/>
  <c r="Y189" i="2"/>
  <c r="AA189" i="2" s="1"/>
  <c r="S189" i="2" s="1"/>
  <c r="AD189" i="2" s="1"/>
  <c r="Y188" i="2"/>
  <c r="AA188" i="2" s="1"/>
  <c r="S188" i="2" s="1"/>
  <c r="AD188" i="2" s="1"/>
  <c r="Y187" i="2"/>
  <c r="AA187" i="2" s="1"/>
  <c r="S187" i="2" s="1"/>
  <c r="AD187" i="2" s="1"/>
  <c r="Y186" i="2"/>
  <c r="AA186" i="2" s="1"/>
  <c r="S186" i="2" s="1"/>
  <c r="AD186" i="2" s="1"/>
  <c r="Y185" i="2"/>
  <c r="AA185" i="2" s="1"/>
  <c r="S185" i="2" s="1"/>
  <c r="AD185" i="2" s="1"/>
  <c r="AD183" i="2"/>
  <c r="Y181" i="2"/>
  <c r="AA181" i="2" s="1"/>
  <c r="S181" i="2" s="1"/>
  <c r="AD181" i="2" s="1"/>
  <c r="Y180" i="2"/>
  <c r="AA180" i="2" s="1"/>
  <c r="S180" i="2" s="1"/>
  <c r="AD180" i="2" s="1"/>
  <c r="Y179" i="2"/>
  <c r="AA179" i="2" s="1"/>
  <c r="S179" i="2" s="1"/>
  <c r="AD179" i="2" s="1"/>
  <c r="Y178" i="2"/>
  <c r="AA178" i="2" s="1"/>
  <c r="S178" i="2" s="1"/>
  <c r="AD178" i="2" s="1"/>
  <c r="Y177" i="2"/>
  <c r="AA177" i="2" s="1"/>
  <c r="S177" i="2" s="1"/>
  <c r="AD175" i="2"/>
  <c r="AD174" i="2"/>
  <c r="Y151" i="2"/>
  <c r="AA151" i="2" s="1"/>
  <c r="S151" i="2" s="1"/>
  <c r="AD151" i="2" s="1"/>
  <c r="Y150" i="2"/>
  <c r="AA150" i="2" s="1"/>
  <c r="S150" i="2" s="1"/>
  <c r="AD150" i="2" s="1"/>
  <c r="Y149" i="2"/>
  <c r="AA149" i="2" s="1"/>
  <c r="S149" i="2" s="1"/>
  <c r="AD149" i="2" s="1"/>
  <c r="Y148" i="2"/>
  <c r="AA148" i="2" s="1"/>
  <c r="S148" i="2" s="1"/>
  <c r="AD148" i="2" s="1"/>
  <c r="Y147" i="2"/>
  <c r="AA147" i="2" s="1"/>
  <c r="S147" i="2" s="1"/>
  <c r="AD147" i="2" s="1"/>
  <c r="AD145" i="2"/>
  <c r="Y143" i="2"/>
  <c r="AA143" i="2" s="1"/>
  <c r="S143" i="2" s="1"/>
  <c r="AD143" i="2" s="1"/>
  <c r="Y142" i="2"/>
  <c r="AA142" i="2" s="1"/>
  <c r="S142" i="2" s="1"/>
  <c r="AD142" i="2" s="1"/>
  <c r="Y141" i="2"/>
  <c r="AA141" i="2" s="1"/>
  <c r="S141" i="2" s="1"/>
  <c r="AD141" i="2" s="1"/>
  <c r="Y140" i="2"/>
  <c r="AA140" i="2" s="1"/>
  <c r="S140" i="2" s="1"/>
  <c r="AD140" i="2" s="1"/>
  <c r="Y139" i="2"/>
  <c r="AA139" i="2" s="1"/>
  <c r="S139" i="2" s="1"/>
  <c r="AD137" i="2"/>
  <c r="Y134" i="2"/>
  <c r="AA134" i="2" s="1"/>
  <c r="S134" i="2" s="1"/>
  <c r="AD134" i="2" s="1"/>
  <c r="Y133" i="2"/>
  <c r="AA133" i="2" s="1"/>
  <c r="S133" i="2" s="1"/>
  <c r="AD133" i="2" s="1"/>
  <c r="Y132" i="2"/>
  <c r="AA132" i="2" s="1"/>
  <c r="S132" i="2" s="1"/>
  <c r="AD132" i="2" s="1"/>
  <c r="Y131" i="2"/>
  <c r="AA131" i="2" s="1"/>
  <c r="S131" i="2" s="1"/>
  <c r="AD131" i="2" s="1"/>
  <c r="Y130" i="2"/>
  <c r="AA130" i="2" s="1"/>
  <c r="S130" i="2" s="1"/>
  <c r="AD130" i="2" s="1"/>
  <c r="AD128" i="2"/>
  <c r="Y122" i="2"/>
  <c r="AA122" i="2" s="1"/>
  <c r="S122" i="2" s="1"/>
  <c r="AD122" i="2" s="1"/>
  <c r="Y121" i="2"/>
  <c r="AA121" i="2" s="1"/>
  <c r="S121" i="2" s="1"/>
  <c r="AD121" i="2" s="1"/>
  <c r="Y120" i="2"/>
  <c r="AA120" i="2" s="1"/>
  <c r="S120" i="2" s="1"/>
  <c r="AD120" i="2" s="1"/>
  <c r="Y119" i="2"/>
  <c r="AA119" i="2" s="1"/>
  <c r="S119" i="2" s="1"/>
  <c r="AD119" i="2" s="1"/>
  <c r="Y118" i="2"/>
  <c r="AA118" i="2" s="1"/>
  <c r="S118" i="2" s="1"/>
  <c r="AD118" i="2" s="1"/>
  <c r="Y117" i="2"/>
  <c r="AA117" i="2" s="1"/>
  <c r="S117" i="2" s="1"/>
  <c r="AD117" i="2" s="1"/>
  <c r="Y116" i="2"/>
  <c r="AA116" i="2" s="1"/>
  <c r="S116" i="2" s="1"/>
  <c r="AD114" i="2"/>
  <c r="Y112" i="2"/>
  <c r="AA112" i="2" s="1"/>
  <c r="S112" i="2" s="1"/>
  <c r="AD112" i="2" s="1"/>
  <c r="Y111" i="2"/>
  <c r="AA111" i="2" s="1"/>
  <c r="S111" i="2" s="1"/>
  <c r="AD111" i="2" s="1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4" i="2"/>
  <c r="AD103" i="2"/>
  <c r="Y101" i="2"/>
  <c r="AA101" i="2" s="1"/>
  <c r="S101" i="2" s="1"/>
  <c r="AD101" i="2" s="1"/>
  <c r="Y100" i="2"/>
  <c r="AA100" i="2" s="1"/>
  <c r="S100" i="2" s="1"/>
  <c r="AD100" i="2" s="1"/>
  <c r="Y99" i="2"/>
  <c r="AA99" i="2" s="1"/>
  <c r="S99" i="2" s="1"/>
  <c r="AD97" i="2"/>
  <c r="Y92" i="2"/>
  <c r="AA92" i="2" s="1"/>
  <c r="S92" i="2" s="1"/>
  <c r="AD92" i="2" s="1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AD88" i="2"/>
  <c r="Y88" i="2"/>
  <c r="AA88" i="2" s="1"/>
  <c r="S88" i="2"/>
  <c r="Y87" i="2"/>
  <c r="AA87" i="2" s="1"/>
  <c r="S87" i="2" s="1"/>
  <c r="AD87" i="2" s="1"/>
  <c r="Y86" i="2"/>
  <c r="AA86" i="2" s="1"/>
  <c r="S86" i="2" s="1"/>
  <c r="AD86" i="2" s="1"/>
  <c r="Y85" i="2"/>
  <c r="AA85" i="2" s="1"/>
  <c r="S85" i="2" s="1"/>
  <c r="AD83" i="2"/>
  <c r="Y81" i="2"/>
  <c r="AA81" i="2" s="1"/>
  <c r="S81" i="2" s="1"/>
  <c r="AD81" i="2" s="1"/>
  <c r="Y79" i="2"/>
  <c r="AA79" i="2" s="1"/>
  <c r="S79" i="2" s="1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Q29" i="2" s="1"/>
  <c r="Y29" i="2" s="1"/>
  <c r="AA29" i="2" s="1"/>
  <c r="S29" i="2" s="1"/>
  <c r="AD29" i="2" s="1"/>
  <c r="AD41" i="2"/>
  <c r="Y39" i="2"/>
  <c r="AA39" i="2" s="1"/>
  <c r="S39" i="2" s="1"/>
  <c r="AD39" i="2" s="1"/>
  <c r="Y38" i="2"/>
  <c r="AA38" i="2" s="1"/>
  <c r="S38" i="2" s="1"/>
  <c r="AD38" i="2" s="1"/>
  <c r="Y37" i="2"/>
  <c r="AA37" i="2" s="1"/>
  <c r="S37" i="2" s="1"/>
  <c r="AD37" i="2" s="1"/>
  <c r="Y36" i="2"/>
  <c r="AA36" i="2" s="1"/>
  <c r="S36" i="2" s="1"/>
  <c r="AD36" i="2" s="1"/>
  <c r="Y35" i="2"/>
  <c r="AA35" i="2" s="1"/>
  <c r="S35" i="2" s="1"/>
  <c r="AD33" i="2"/>
  <c r="Y31" i="2"/>
  <c r="AA31" i="2" s="1"/>
  <c r="S31" i="2" s="1"/>
  <c r="AD31" i="2" s="1"/>
  <c r="Y28" i="2"/>
  <c r="AA28" i="2" s="1"/>
  <c r="S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Q18" i="2"/>
  <c r="Y18" i="2" s="1"/>
  <c r="AA18" i="2" s="1"/>
  <c r="S18" i="2" s="1"/>
  <c r="AD18" i="2" s="1"/>
  <c r="Y17" i="2"/>
  <c r="AA17" i="2" s="1"/>
  <c r="S17" i="2" s="1"/>
  <c r="AD17" i="2" s="1"/>
  <c r="Y16" i="2"/>
  <c r="AA16" i="2" s="1"/>
  <c r="S16" i="2" s="1"/>
  <c r="AD14" i="2"/>
  <c r="N3" i="2"/>
  <c r="M3" i="2"/>
  <c r="S755" i="2"/>
  <c r="L14" i="2"/>
  <c r="AD166" i="2" l="1"/>
  <c r="T164" i="2"/>
  <c r="AD219" i="2"/>
  <c r="T217" i="2"/>
  <c r="AD259" i="2"/>
  <c r="T257" i="2"/>
  <c r="AD268" i="2"/>
  <c r="T266" i="2"/>
  <c r="AD358" i="2"/>
  <c r="T354" i="2"/>
  <c r="T33" i="2"/>
  <c r="T275" i="2"/>
  <c r="AD280" i="2"/>
  <c r="Y43" i="2"/>
  <c r="AA43" i="2" s="1"/>
  <c r="S43" i="2" s="1"/>
  <c r="Q60" i="2"/>
  <c r="Y60" i="2" s="1"/>
  <c r="AA60" i="2" s="1"/>
  <c r="S60" i="2" s="1"/>
  <c r="AD157" i="2"/>
  <c r="T155" i="2"/>
  <c r="B600" i="2"/>
  <c r="T619" i="2"/>
  <c r="P619" i="2"/>
  <c r="AD410" i="2"/>
  <c r="T408" i="2"/>
  <c r="L15" i="2"/>
  <c r="T83" i="2"/>
  <c r="AD85" i="2"/>
  <c r="AD106" i="2"/>
  <c r="T104" i="2"/>
  <c r="T20" i="2"/>
  <c r="AD22" i="2"/>
  <c r="T66" i="2"/>
  <c r="AD68" i="2"/>
  <c r="T175" i="2"/>
  <c r="AD177" i="2"/>
  <c r="AD254" i="2"/>
  <c r="T248" i="2"/>
  <c r="S226" i="2" s="1"/>
  <c r="AD335" i="2"/>
  <c r="T332" i="2"/>
  <c r="S323" i="2" s="1"/>
  <c r="AD73" i="2"/>
  <c r="T71" i="2"/>
  <c r="T97" i="2"/>
  <c r="AD99" i="2"/>
  <c r="AD203" i="2"/>
  <c r="T201" i="2"/>
  <c r="T371" i="2"/>
  <c r="AD373" i="2"/>
  <c r="AD116" i="2"/>
  <c r="T114" i="2"/>
  <c r="AD77" i="2"/>
  <c r="T137" i="2"/>
  <c r="AD139" i="2"/>
  <c r="AD16" i="2"/>
  <c r="T14" i="2"/>
  <c r="T47" i="2"/>
  <c r="AD49" i="2"/>
  <c r="T391" i="2"/>
  <c r="AD393" i="2"/>
  <c r="T238" i="2"/>
  <c r="AD241" i="2"/>
  <c r="T296" i="2"/>
  <c r="AD298" i="2"/>
  <c r="AD28" i="2"/>
  <c r="T324" i="2"/>
  <c r="AD326" i="2"/>
  <c r="T340" i="2"/>
  <c r="AD211" i="2"/>
  <c r="T209" i="2"/>
  <c r="S174" i="2" s="1"/>
  <c r="AD313" i="2"/>
  <c r="T311" i="2"/>
  <c r="S274" i="2" s="1"/>
  <c r="T381" i="2"/>
  <c r="AD383" i="2"/>
  <c r="T128" i="2"/>
  <c r="AD343" i="2"/>
  <c r="T348" i="2"/>
  <c r="AD356" i="2"/>
  <c r="AD367" i="2"/>
  <c r="T365" i="2"/>
  <c r="S339" i="2" s="1"/>
  <c r="T435" i="2"/>
  <c r="AD437" i="2"/>
  <c r="AD445" i="2"/>
  <c r="T443" i="2"/>
  <c r="S370" i="2" s="1"/>
  <c r="AD457" i="2"/>
  <c r="T454" i="2"/>
  <c r="S453" i="2" s="1"/>
  <c r="AD58" i="2"/>
  <c r="AD479" i="2"/>
  <c r="T360" i="2"/>
  <c r="Q473" i="2"/>
  <c r="P473" i="2"/>
  <c r="Q474" i="2"/>
  <c r="P474" i="2"/>
  <c r="Q467" i="2"/>
  <c r="Y467" i="2" s="1"/>
  <c r="AA467" i="2" s="1"/>
  <c r="S467" i="2" s="1"/>
  <c r="AD467" i="2" s="1"/>
  <c r="Q78" i="2"/>
  <c r="Y78" i="2" s="1"/>
  <c r="AA78" i="2" s="1"/>
  <c r="S78" i="2" s="1"/>
  <c r="AD78" i="2" s="1"/>
  <c r="AD484" i="2"/>
  <c r="AD35" i="2"/>
  <c r="AD277" i="2"/>
  <c r="AD466" i="2"/>
  <c r="T502" i="2"/>
  <c r="AD504" i="2"/>
  <c r="AD524" i="2"/>
  <c r="T520" i="2"/>
  <c r="T183" i="2"/>
  <c r="Q30" i="2"/>
  <c r="Y30" i="2" s="1"/>
  <c r="AA30" i="2" s="1"/>
  <c r="S30" i="2" s="1"/>
  <c r="AD30" i="2" s="1"/>
  <c r="T286" i="2"/>
  <c r="AD424" i="2"/>
  <c r="T422" i="2"/>
  <c r="T489" i="2"/>
  <c r="AD491" i="2"/>
  <c r="AD517" i="2"/>
  <c r="T513" i="2"/>
  <c r="T192" i="2"/>
  <c r="T227" i="2"/>
  <c r="AD751" i="2"/>
  <c r="T749" i="2"/>
  <c r="S747" i="2" s="1"/>
  <c r="T145" i="2"/>
  <c r="S103" i="2" s="1"/>
  <c r="AD194" i="2"/>
  <c r="AD229" i="2"/>
  <c r="AD472" i="2"/>
  <c r="AD509" i="2"/>
  <c r="T507" i="2"/>
  <c r="L20" i="2"/>
  <c r="C27" i="5" l="1"/>
  <c r="AD43" i="2"/>
  <c r="T41" i="2"/>
  <c r="AD60" i="2"/>
  <c r="T56" i="2"/>
  <c r="L21" i="2"/>
  <c r="Y473" i="2"/>
  <c r="AA473" i="2" s="1"/>
  <c r="S473" i="2" s="1"/>
  <c r="Q486" i="2"/>
  <c r="Y486" i="2" s="1"/>
  <c r="AA486" i="2" s="1"/>
  <c r="S486" i="2" s="1"/>
  <c r="AD486" i="2" s="1"/>
  <c r="Q485" i="2"/>
  <c r="Y485" i="2" s="1"/>
  <c r="AA485" i="2" s="1"/>
  <c r="S485" i="2" s="1"/>
  <c r="Q480" i="2"/>
  <c r="Y480" i="2" s="1"/>
  <c r="AA480" i="2" s="1"/>
  <c r="S480" i="2" s="1"/>
  <c r="S500" i="2"/>
  <c r="O606" i="2" s="1"/>
  <c r="C26" i="5"/>
  <c r="T464" i="2"/>
  <c r="S463" i="2" s="1"/>
  <c r="T26" i="2"/>
  <c r="S95" i="2"/>
  <c r="O604" i="2" s="1"/>
  <c r="T75" i="2"/>
  <c r="S64" i="2" s="1"/>
  <c r="O603" i="2" s="1"/>
  <c r="Y474" i="2"/>
  <c r="AA474" i="2" s="1"/>
  <c r="M16" i="2"/>
  <c r="M17" i="2" s="1"/>
  <c r="M18" i="2" s="1"/>
  <c r="L26" i="2"/>
  <c r="S12" i="2" l="1"/>
  <c r="O602" i="2" s="1"/>
  <c r="L27" i="2"/>
  <c r="P603" i="2"/>
  <c r="W603" i="2"/>
  <c r="W606" i="2"/>
  <c r="P606" i="2"/>
  <c r="AD473" i="2"/>
  <c r="T470" i="2"/>
  <c r="AD480" i="2"/>
  <c r="T477" i="2"/>
  <c r="AD485" i="2"/>
  <c r="T482" i="2"/>
  <c r="S469" i="2" s="1"/>
  <c r="W604" i="2"/>
  <c r="G24" i="5" s="1"/>
  <c r="P604" i="2"/>
  <c r="C24" i="5"/>
  <c r="M22" i="2"/>
  <c r="M23" i="2" s="1"/>
  <c r="M24" i="2" s="1"/>
  <c r="L33" i="2"/>
  <c r="C23" i="5" l="1"/>
  <c r="W602" i="2"/>
  <c r="G23" i="5" s="1"/>
  <c r="P602" i="2"/>
  <c r="P612" i="2" s="1"/>
  <c r="O613" i="2" s="1"/>
  <c r="S461" i="2"/>
  <c r="O605" i="2" s="1"/>
  <c r="L34" i="2"/>
  <c r="M28" i="2"/>
  <c r="M29" i="2" s="1"/>
  <c r="M30" i="2" s="1"/>
  <c r="M31" i="2" s="1"/>
  <c r="G26" i="5"/>
  <c r="G27" i="5"/>
  <c r="L41" i="2"/>
  <c r="P605" i="2" l="1"/>
  <c r="C25" i="5"/>
  <c r="W605" i="2"/>
  <c r="G25" i="5" s="1"/>
  <c r="X532" i="2"/>
  <c r="Y532" i="2" s="1"/>
  <c r="AA532" i="2" s="1"/>
  <c r="S532" i="2" s="1"/>
  <c r="L42" i="2"/>
  <c r="P613" i="2"/>
  <c r="O614" i="2" s="1"/>
  <c r="M35" i="2"/>
  <c r="M36" i="2" s="1"/>
  <c r="M37" i="2" s="1"/>
  <c r="M38" i="2" s="1"/>
  <c r="M39" i="2" s="1"/>
  <c r="L47" i="2"/>
  <c r="AD532" i="2" l="1"/>
  <c r="T3" i="2" s="1"/>
  <c r="T530" i="2"/>
  <c r="S528" i="2" s="1"/>
  <c r="O607" i="2" s="1"/>
  <c r="L48" i="2"/>
  <c r="P614" i="2"/>
  <c r="O615" i="2" s="1"/>
  <c r="M43" i="2"/>
  <c r="M44" i="2" s="1"/>
  <c r="M45" i="2" s="1"/>
  <c r="L56" i="2"/>
  <c r="L66" i="2" s="1"/>
  <c r="P607" i="2" l="1"/>
  <c r="P608" i="2" s="1"/>
  <c r="C28" i="5"/>
  <c r="C29" i="5" s="1"/>
  <c r="M28" i="5" s="1"/>
  <c r="O608" i="2"/>
  <c r="W607" i="2"/>
  <c r="L67" i="2"/>
  <c r="L57" i="2"/>
  <c r="M58" i="2" s="1"/>
  <c r="M59" i="2" s="1"/>
  <c r="M60" i="2" s="1"/>
  <c r="M61" i="2" s="1"/>
  <c r="P615" i="2"/>
  <c r="O616" i="2" s="1"/>
  <c r="M49" i="2"/>
  <c r="M50" i="2" s="1"/>
  <c r="M51" i="2" s="1"/>
  <c r="M52" i="2" s="1"/>
  <c r="M53" i="2" s="1"/>
  <c r="M54" i="2" s="1"/>
  <c r="L71" i="2"/>
  <c r="O593" i="2" l="1"/>
  <c r="G20" i="5"/>
  <c r="S535" i="2"/>
  <c r="N637" i="2"/>
  <c r="W608" i="2"/>
  <c r="B34" i="5" s="1"/>
  <c r="G28" i="5"/>
  <c r="G29" i="5" s="1"/>
  <c r="L72" i="2"/>
  <c r="M27" i="5"/>
  <c r="M26" i="5"/>
  <c r="M24" i="5"/>
  <c r="M23" i="5"/>
  <c r="M25" i="5"/>
  <c r="M68" i="2"/>
  <c r="M69" i="2" s="1"/>
  <c r="P616" i="2"/>
  <c r="O617" i="2" s="1"/>
  <c r="P617" i="2" s="1"/>
  <c r="L75" i="2"/>
  <c r="Q29" i="5" l="1"/>
  <c r="N5" i="2"/>
  <c r="P593" i="2"/>
  <c r="L76" i="2"/>
  <c r="T618" i="2"/>
  <c r="P618" i="2"/>
  <c r="N6" i="2" s="1"/>
  <c r="M29" i="5"/>
  <c r="M73" i="2"/>
  <c r="L83" i="2"/>
  <c r="L84" i="2" l="1"/>
  <c r="M77" i="2"/>
  <c r="M78" i="2" s="1"/>
  <c r="M79" i="2" s="1"/>
  <c r="M80" i="2" s="1"/>
  <c r="M81" i="2" s="1"/>
  <c r="M85" i="2" l="1"/>
  <c r="M86" i="2" s="1"/>
  <c r="M87" i="2" s="1"/>
  <c r="M88" i="2" s="1"/>
  <c r="M89" i="2" s="1"/>
  <c r="M90" i="2" s="1"/>
  <c r="M91" i="2" s="1"/>
  <c r="M92" i="2" s="1"/>
  <c r="L97" i="2"/>
  <c r="L98" i="2" s="1"/>
  <c r="L104" i="2" l="1"/>
  <c r="M99" i="2"/>
  <c r="M100" i="2" s="1"/>
  <c r="M101" i="2" s="1"/>
  <c r="L105" i="2" l="1"/>
  <c r="L114" i="2" l="1"/>
  <c r="M106" i="2"/>
  <c r="M107" i="2" s="1"/>
  <c r="M108" i="2" s="1"/>
  <c r="M109" i="2" s="1"/>
  <c r="M110" i="2" s="1"/>
  <c r="M111" i="2" s="1"/>
  <c r="M112" i="2" s="1"/>
  <c r="L115" i="2" l="1"/>
  <c r="M116" i="2" s="1"/>
  <c r="M117" i="2" s="1"/>
  <c r="M118" i="2" s="1"/>
  <c r="M119" i="2" s="1"/>
  <c r="M120" i="2" s="1"/>
  <c r="M121" i="2" s="1"/>
  <c r="M122" i="2" s="1"/>
  <c r="M123" i="2" s="1"/>
  <c r="M124" i="2" s="1"/>
  <c r="M125" i="2" s="1"/>
  <c r="M126" i="2" s="1"/>
  <c r="L128" i="2"/>
  <c r="L137" i="2" l="1"/>
  <c r="L138" i="2" s="1"/>
  <c r="M139" i="2" s="1"/>
  <c r="M140" i="2" s="1"/>
  <c r="M141" i="2" s="1"/>
  <c r="M142" i="2" s="1"/>
  <c r="M143" i="2" s="1"/>
  <c r="L129" i="2"/>
  <c r="L145" i="2" l="1"/>
  <c r="L146" i="2" s="1"/>
  <c r="M130" i="2"/>
  <c r="M131" i="2" s="1"/>
  <c r="M132" i="2" s="1"/>
  <c r="M133" i="2" s="1"/>
  <c r="M134" i="2" s="1"/>
  <c r="M135" i="2" s="1"/>
  <c r="M147" i="2" l="1"/>
  <c r="M148" i="2" s="1"/>
  <c r="M149" i="2" s="1"/>
  <c r="M150" i="2" s="1"/>
  <c r="M151" i="2" s="1"/>
  <c r="M152" i="2" s="1"/>
  <c r="M153" i="2" s="1"/>
  <c r="L155" i="2"/>
  <c r="L156" i="2" l="1"/>
  <c r="L164" i="2"/>
  <c r="M157" i="2" l="1"/>
  <c r="M158" i="2" s="1"/>
  <c r="M159" i="2" s="1"/>
  <c r="M160" i="2" s="1"/>
  <c r="M161" i="2" s="1"/>
  <c r="M162" i="2" s="1"/>
  <c r="L175" i="2"/>
  <c r="L165" i="2"/>
  <c r="M166" i="2" s="1"/>
  <c r="M167" i="2" s="1"/>
  <c r="M168" i="2" s="1"/>
  <c r="M169" i="2" s="1"/>
  <c r="M170" i="2" s="1"/>
  <c r="M171" i="2" s="1"/>
  <c r="M172" i="2" s="1"/>
  <c r="L176" i="2" l="1"/>
  <c r="L183" i="2" l="1"/>
  <c r="M177" i="2"/>
  <c r="M178" i="2" s="1"/>
  <c r="M179" i="2" s="1"/>
  <c r="M180" i="2" s="1"/>
  <c r="M181" i="2" s="1"/>
  <c r="L192" i="2" l="1"/>
  <c r="L184" i="2"/>
  <c r="M185" i="2" s="1"/>
  <c r="M186" i="2" s="1"/>
  <c r="M187" i="2" s="1"/>
  <c r="M188" i="2" s="1"/>
  <c r="M189" i="2" s="1"/>
  <c r="M190" i="2" s="1"/>
  <c r="L193" i="2" l="1"/>
  <c r="L201" i="2" l="1"/>
  <c r="M194" i="2"/>
  <c r="M195" i="2" s="1"/>
  <c r="M196" i="2" s="1"/>
  <c r="M197" i="2" s="1"/>
  <c r="M198" i="2" s="1"/>
  <c r="M199" i="2" s="1"/>
  <c r="L209" i="2" l="1"/>
  <c r="L202" i="2"/>
  <c r="M203" i="2" s="1"/>
  <c r="M204" i="2" s="1"/>
  <c r="M205" i="2" s="1"/>
  <c r="M206" i="2" s="1"/>
  <c r="M207" i="2" s="1"/>
  <c r="L217" i="2" l="1"/>
  <c r="L210" i="2"/>
  <c r="L227" i="2" l="1"/>
  <c r="L218" i="2"/>
  <c r="M219" i="2" s="1"/>
  <c r="M220" i="2" s="1"/>
  <c r="M221" i="2" s="1"/>
  <c r="M222" i="2" s="1"/>
  <c r="M223" i="2" s="1"/>
  <c r="M224" i="2" s="1"/>
  <c r="M211" i="2"/>
  <c r="M212" i="2" s="1"/>
  <c r="M213" i="2" s="1"/>
  <c r="M214" i="2" s="1"/>
  <c r="M215" i="2" s="1"/>
  <c r="L228" i="2" l="1"/>
  <c r="L238" i="2" l="1"/>
  <c r="M229" i="2"/>
  <c r="M230" i="2" s="1"/>
  <c r="M231" i="2" s="1"/>
  <c r="M232" i="2" s="1"/>
  <c r="M233" i="2" s="1"/>
  <c r="M234" i="2" s="1"/>
  <c r="M235" i="2" s="1"/>
  <c r="M236" i="2" s="1"/>
  <c r="L248" i="2" l="1"/>
  <c r="L239" i="2"/>
  <c r="M240" i="2" s="1"/>
  <c r="M241" i="2" s="1"/>
  <c r="M242" i="2" s="1"/>
  <c r="M243" i="2" s="1"/>
  <c r="M244" i="2" s="1"/>
  <c r="M245" i="2" s="1"/>
  <c r="M246" i="2" s="1"/>
  <c r="L249" i="2" l="1"/>
  <c r="M250" i="2" s="1"/>
  <c r="M251" i="2" s="1"/>
  <c r="M252" i="2" s="1"/>
  <c r="M253" i="2" s="1"/>
  <c r="M254" i="2" s="1"/>
  <c r="M255" i="2" s="1"/>
  <c r="L257" i="2"/>
  <c r="L266" i="2" l="1"/>
  <c r="L258" i="2"/>
  <c r="M259" i="2" s="1"/>
  <c r="M260" i="2" s="1"/>
  <c r="M261" i="2" s="1"/>
  <c r="M262" i="2" s="1"/>
  <c r="M263" i="2" s="1"/>
  <c r="M264" i="2" s="1"/>
  <c r="L275" i="2" l="1"/>
  <c r="L267" i="2"/>
  <c r="M268" i="2" s="1"/>
  <c r="M269" i="2" s="1"/>
  <c r="M270" i="2" s="1"/>
  <c r="M271" i="2" s="1"/>
  <c r="M272" i="2" s="1"/>
  <c r="L286" i="2" l="1"/>
  <c r="L276" i="2"/>
  <c r="M277" i="2" s="1"/>
  <c r="M278" i="2" s="1"/>
  <c r="M279" i="2" s="1"/>
  <c r="M280" i="2" s="1"/>
  <c r="M281" i="2" s="1"/>
  <c r="M282" i="2" s="1"/>
  <c r="M283" i="2" s="1"/>
  <c r="M284" i="2" s="1"/>
  <c r="L296" i="2" l="1"/>
  <c r="L287" i="2"/>
  <c r="M288" i="2" s="1"/>
  <c r="M289" i="2" s="1"/>
  <c r="M290" i="2" s="1"/>
  <c r="M291" i="2" s="1"/>
  <c r="M292" i="2" s="1"/>
  <c r="M293" i="2" s="1"/>
  <c r="M294" i="2" s="1"/>
  <c r="L311" i="2" l="1"/>
  <c r="L297" i="2"/>
  <c r="M298" i="2" s="1"/>
  <c r="M299" i="2" s="1"/>
  <c r="M300" i="2" s="1"/>
  <c r="M301" i="2" s="1"/>
  <c r="M302" i="2" s="1"/>
  <c r="M303" i="2" s="1"/>
  <c r="M304" i="2" s="1"/>
  <c r="M305" i="2" s="1"/>
  <c r="M306" i="2" s="1"/>
  <c r="M307" i="2" s="1"/>
  <c r="M308" i="2" s="1"/>
  <c r="M309" i="2" s="1"/>
  <c r="L324" i="2" l="1"/>
  <c r="L312" i="2"/>
  <c r="M313" i="2" s="1"/>
  <c r="M314" i="2" s="1"/>
  <c r="M315" i="2" s="1"/>
  <c r="M316" i="2" s="1"/>
  <c r="M317" i="2" s="1"/>
  <c r="M318" i="2" s="1"/>
  <c r="M319" i="2" s="1"/>
  <c r="M320" i="2" s="1"/>
  <c r="M321" i="2" s="1"/>
  <c r="L332" i="2" l="1"/>
  <c r="L325" i="2"/>
  <c r="L333" i="2" l="1"/>
  <c r="M334" i="2" s="1"/>
  <c r="M335" i="2" s="1"/>
  <c r="M336" i="2" s="1"/>
  <c r="M337" i="2" s="1"/>
  <c r="L340" i="2"/>
  <c r="M326" i="2"/>
  <c r="M327" i="2" s="1"/>
  <c r="M328" i="2" s="1"/>
  <c r="M329" i="2" s="1"/>
  <c r="M330" i="2" s="1"/>
  <c r="L341" i="2" l="1"/>
  <c r="L348" i="2" l="1"/>
  <c r="M342" i="2"/>
  <c r="M343" i="2" s="1"/>
  <c r="M344" i="2" s="1"/>
  <c r="M345" i="2" s="1"/>
  <c r="M346" i="2" s="1"/>
  <c r="L354" i="2" l="1"/>
  <c r="L349" i="2"/>
  <c r="M350" i="2" s="1"/>
  <c r="M351" i="2" s="1"/>
  <c r="M352" i="2" s="1"/>
  <c r="L355" i="2" l="1"/>
  <c r="L360" i="2" l="1"/>
  <c r="M356" i="2"/>
  <c r="M357" i="2" s="1"/>
  <c r="M358" i="2" s="1"/>
  <c r="L361" i="2" l="1"/>
  <c r="M362" i="2" s="1"/>
  <c r="M363" i="2" s="1"/>
  <c r="L365" i="2"/>
  <c r="L371" i="2" l="1"/>
  <c r="L366" i="2"/>
  <c r="M367" i="2" s="1"/>
  <c r="M368" i="2" s="1"/>
  <c r="L381" i="2" l="1"/>
  <c r="L372" i="2"/>
  <c r="M373" i="2" s="1"/>
  <c r="M374" i="2" s="1"/>
  <c r="M375" i="2" s="1"/>
  <c r="M376" i="2" s="1"/>
  <c r="M377" i="2" s="1"/>
  <c r="M378" i="2" s="1"/>
  <c r="M379" i="2" s="1"/>
  <c r="L382" i="2" l="1"/>
  <c r="L749" i="2"/>
  <c r="L750" i="2" s="1"/>
  <c r="M751" i="2" s="1"/>
  <c r="L391" i="2" l="1"/>
  <c r="M383" i="2"/>
  <c r="M384" i="2" s="1"/>
  <c r="M385" i="2" s="1"/>
  <c r="M386" i="2" s="1"/>
  <c r="M387" i="2" s="1"/>
  <c r="M388" i="2" s="1"/>
  <c r="M389" i="2" s="1"/>
  <c r="L408" i="2" l="1"/>
  <c r="L392" i="2"/>
  <c r="M393" i="2" s="1"/>
  <c r="M394" i="2" s="1"/>
  <c r="M395" i="2" s="1"/>
  <c r="M396" i="2" s="1"/>
  <c r="M397" i="2" s="1"/>
  <c r="M398" i="2" s="1"/>
  <c r="M399" i="2" s="1"/>
  <c r="M400" i="2" s="1"/>
  <c r="M401" i="2" s="1"/>
  <c r="M402" i="2" s="1"/>
  <c r="M403" i="2" s="1"/>
  <c r="M404" i="2" s="1"/>
  <c r="M405" i="2" s="1"/>
  <c r="M406" i="2" s="1"/>
  <c r="L422" i="2" l="1"/>
  <c r="L409" i="2"/>
  <c r="M410" i="2" s="1"/>
  <c r="M411" i="2" s="1"/>
  <c r="M412" i="2" s="1"/>
  <c r="M413" i="2" s="1"/>
  <c r="M414" i="2" s="1"/>
  <c r="M415" i="2" s="1"/>
  <c r="M416" i="2" s="1"/>
  <c r="M417" i="2" s="1"/>
  <c r="M418" i="2" s="1"/>
  <c r="M419" i="2" s="1"/>
  <c r="M420" i="2" s="1"/>
  <c r="L435" i="2" l="1"/>
  <c r="L423" i="2"/>
  <c r="M424" i="2" s="1"/>
  <c r="M425" i="2" s="1"/>
  <c r="M426" i="2" s="1"/>
  <c r="M427" i="2" s="1"/>
  <c r="M428" i="2" s="1"/>
  <c r="M429" i="2" s="1"/>
  <c r="M430" i="2" s="1"/>
  <c r="M431" i="2" s="1"/>
  <c r="M432" i="2" s="1"/>
  <c r="M433" i="2" s="1"/>
  <c r="L436" i="2" l="1"/>
  <c r="L443" i="2" l="1"/>
  <c r="L444" i="2" s="1"/>
  <c r="M437" i="2"/>
  <c r="M438" i="2" s="1"/>
  <c r="M439" i="2" s="1"/>
  <c r="M440" i="2" s="1"/>
  <c r="M441" i="2" s="1"/>
  <c r="L454" i="2" l="1"/>
  <c r="M445" i="2"/>
  <c r="M446" i="2" s="1"/>
  <c r="M447" i="2" s="1"/>
  <c r="M448" i="2" s="1"/>
  <c r="M449" i="2" s="1"/>
  <c r="M450" i="2" s="1"/>
  <c r="M451" i="2" s="1"/>
  <c r="L464" i="2" l="1"/>
  <c r="L465" i="2" s="1"/>
  <c r="L455" i="2"/>
  <c r="M456" i="2" s="1"/>
  <c r="M457" i="2" s="1"/>
  <c r="M458" i="2" s="1"/>
  <c r="M466" i="2" l="1"/>
  <c r="M467" i="2" s="1"/>
  <c r="L470" i="2"/>
  <c r="L471" i="2" l="1"/>
  <c r="L477" i="2" l="1"/>
  <c r="M472" i="2"/>
  <c r="M473" i="2" s="1"/>
  <c r="M474" i="2" s="1"/>
  <c r="M475" i="2" s="1"/>
  <c r="L482" i="2" l="1"/>
  <c r="L483" i="2" s="1"/>
  <c r="L478" i="2"/>
  <c r="M479" i="2" s="1"/>
  <c r="M480" i="2" s="1"/>
  <c r="M484" i="2" l="1"/>
  <c r="M485" i="2" s="1"/>
  <c r="M486" i="2" s="1"/>
  <c r="M487" i="2" s="1"/>
  <c r="L489" i="2"/>
  <c r="L502" i="2" l="1"/>
  <c r="L490" i="2"/>
  <c r="M491" i="2" s="1"/>
  <c r="M492" i="2" s="1"/>
  <c r="M493" i="2" s="1"/>
  <c r="M494" i="2" s="1"/>
  <c r="M495" i="2" s="1"/>
  <c r="M496" i="2" s="1"/>
  <c r="M497" i="2" s="1"/>
  <c r="L507" i="2" l="1"/>
  <c r="L503" i="2"/>
  <c r="M504" i="2" s="1"/>
  <c r="M505" i="2" s="1"/>
  <c r="L513" i="2" l="1"/>
  <c r="L508" i="2"/>
  <c r="M509" i="2" s="1"/>
  <c r="M510" i="2" s="1"/>
  <c r="M511" i="2" s="1"/>
  <c r="L514" i="2" l="1"/>
  <c r="M515" i="2" s="1"/>
  <c r="M516" i="2" s="1"/>
  <c r="M517" i="2" s="1"/>
  <c r="M518" i="2" s="1"/>
  <c r="L520" i="2"/>
  <c r="L521" i="2" l="1"/>
  <c r="M522" i="2" s="1"/>
  <c r="M523" i="2" s="1"/>
  <c r="M524" i="2" s="1"/>
  <c r="M525" i="2" s="1"/>
  <c r="L530" i="2"/>
  <c r="L531" i="2" s="1"/>
  <c r="M532" i="2" s="1"/>
</calcChain>
</file>

<file path=xl/sharedStrings.xml><?xml version="1.0" encoding="utf-8"?>
<sst xmlns="http://schemas.openxmlformats.org/spreadsheetml/2006/main" count="3651" uniqueCount="1288">
  <si>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</si>
  <si>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</si>
  <si>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</si>
  <si>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</si>
  <si>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</si>
  <si>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</si>
  <si>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</si>
  <si>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</si>
  <si>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</si>
  <si>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</si>
  <si>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</si>
  <si>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</si>
  <si>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</si>
  <si>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</si>
  <si>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</si>
  <si>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</si>
  <si>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</si>
  <si>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</si>
  <si>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</si>
  <si>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</si>
  <si>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</si>
  <si>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</si>
  <si>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</si>
  <si>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</si>
  <si>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</si>
  <si>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</si>
  <si>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</si>
  <si>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</si>
  <si>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</si>
  <si>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</si>
  <si>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</si>
  <si>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</si>
  <si>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</si>
  <si>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</si>
  <si>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</si>
  <si>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</si>
  <si>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</si>
  <si>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</si>
  <si>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</si>
  <si>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</si>
  <si>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</si>
  <si>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</si>
  <si>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</si>
  <si>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</si>
  <si>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</si>
  <si>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</si>
  <si>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</si>
  <si>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</si>
  <si>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</si>
  <si>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</si>
  <si>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</si>
  <si>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</si>
  <si>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</si>
  <si>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</si>
  <si>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</si>
  <si>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</si>
  <si>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</si>
  <si>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</si>
  <si>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</si>
  <si>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</si>
  <si>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</si>
  <si>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</si>
  <si>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</si>
  <si>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</si>
  <si>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</si>
  <si>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</si>
  <si>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</si>
  <si>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</si>
  <si>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</si>
  <si>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</si>
  <si>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</si>
  <si>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</si>
  <si>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</si>
  <si>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</si>
  <si>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</si>
  <si>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</si>
  <si>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</si>
  <si>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</si>
  <si>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</si>
  <si>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</si>
  <si>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</si>
  <si>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</si>
  <si>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</si>
  <si>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</si>
  <si>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</si>
  <si>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</si>
  <si>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</si>
  <si>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</si>
  <si>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</si>
  <si>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</si>
  <si>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</si>
  <si>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</si>
  <si>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</si>
  <si>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</si>
  <si>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</si>
  <si>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</si>
  <si>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</si>
  <si>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</si>
  <si>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</si>
  <si>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</si>
  <si>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</si>
  <si>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</si>
  <si>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</si>
  <si>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</si>
  <si>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</si>
  <si>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</si>
  <si>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</si>
  <si>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</si>
  <si>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</si>
  <si>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</si>
  <si>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</si>
  <si>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</si>
  <si>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</si>
  <si>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</si>
  <si>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</si>
  <si>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</si>
  <si>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</si>
  <si>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</si>
  <si>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</si>
  <si>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</si>
  <si>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</si>
  <si>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</si>
  <si>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</si>
  <si>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</si>
  <si>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</si>
  <si>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</si>
  <si>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</si>
  <si>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</si>
  <si>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</si>
  <si>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</si>
  <si>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</si>
  <si>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</si>
  <si>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</si>
  <si>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</si>
  <si>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</si>
  <si>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</si>
  <si>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</si>
  <si>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</si>
  <si>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</si>
  <si>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</si>
  <si>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</si>
  <si>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</si>
  <si>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</si>
  <si>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</si>
  <si>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</si>
  <si>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</si>
  <si>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</si>
  <si>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</si>
  <si>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</si>
  <si>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</si>
  <si>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</si>
  <si>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</si>
  <si>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</si>
  <si>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</si>
  <si>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</si>
  <si>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</si>
  <si>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</si>
  <si>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</si>
  <si>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</si>
  <si>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</si>
  <si>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</si>
  <si>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</si>
  <si>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</si>
  <si>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</si>
  <si>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</si>
  <si>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</si>
  <si>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</si>
  <si>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</si>
  <si>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</si>
  <si>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</si>
  <si>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</si>
  <si>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</si>
  <si>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</si>
  <si>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</si>
  <si>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</si>
  <si>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</si>
  <si>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</si>
  <si>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</si>
  <si>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</si>
  <si>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</si>
  <si>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</si>
  <si>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</si>
  <si>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</si>
  <si>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</si>
  <si>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</si>
  <si>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</si>
  <si>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</si>
  <si>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</si>
  <si>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</si>
  <si>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</si>
  <si>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</si>
  <si>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</si>
  <si>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</si>
  <si>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</si>
  <si>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</si>
  <si>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</si>
  <si>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</si>
  <si>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</si>
  <si>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</si>
  <si>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</si>
  <si>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</si>
  <si>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</si>
  <si>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</si>
  <si>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</si>
  <si>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</si>
  <si>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</si>
  <si>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</si>
  <si>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</si>
  <si>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</si>
  <si>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</si>
  <si>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</si>
  <si>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</si>
  <si>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</si>
  <si>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</si>
  <si>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</si>
  <si>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</si>
  <si>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</si>
  <si>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</si>
  <si>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</si>
  <si>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</si>
  <si>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</si>
  <si>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</si>
  <si>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</si>
  <si>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</si>
  <si>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</si>
  <si>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</si>
  <si>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</si>
  <si>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</si>
  <si>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</si>
  <si>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</si>
  <si>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</si>
  <si>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</si>
  <si>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</si>
  <si>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</si>
  <si>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</si>
  <si>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</si>
  <si>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</si>
  <si>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</si>
  <si>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</si>
  <si>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</si>
  <si>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</si>
  <si>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</si>
  <si>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</si>
  <si>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</si>
  <si>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</si>
  <si>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</si>
  <si>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</si>
  <si>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</si>
  <si>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</si>
  <si>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</si>
  <si>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</si>
  <si>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</si>
  <si>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</si>
  <si>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</si>
  <si>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</si>
  <si>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</si>
  <si>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</si>
  <si>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</si>
  <si>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</si>
  <si>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</si>
  <si>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</si>
  <si>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</si>
  <si>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</si>
  <si>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</si>
  <si>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</si>
  <si>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</si>
  <si>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</si>
  <si>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</si>
  <si>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</si>
  <si>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</si>
  <si>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</si>
  <si>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</si>
  <si>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</si>
  <si>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</si>
  <si>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</si>
  <si>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</si>
  <si>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</si>
  <si>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</si>
  <si>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</si>
  <si>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</si>
  <si>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</si>
  <si>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</si>
  <si>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</si>
  <si>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</si>
  <si>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</si>
  <si>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</si>
  <si>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</si>
  <si>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</si>
  <si>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</si>
  <si>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</si>
  <si>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</si>
  <si>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</si>
  <si>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</si>
  <si>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</si>
  <si>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</si>
  <si>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</si>
  <si>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</si>
  <si>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</si>
  <si>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</si>
  <si>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</si>
  <si>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</si>
  <si>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</si>
  <si>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</si>
  <si>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</si>
  <si>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</si>
  <si>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</si>
  <si>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</si>
  <si>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</si>
  <si>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</si>
  <si>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</si>
  <si>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</si>
  <si>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</si>
  <si>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</si>
  <si>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</si>
  <si>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</si>
  <si>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</si>
  <si>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</si>
  <si>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</si>
  <si>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</si>
  <si>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</si>
  <si>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</si>
  <si>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</si>
  <si>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</si>
  <si>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</si>
  <si>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</si>
  <si>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</si>
  <si>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</si>
  <si>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</si>
  <si>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</si>
  <si>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</si>
  <si>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</si>
  <si>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</si>
  <si>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</si>
  <si>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</si>
  <si>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</si>
  <si>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</si>
  <si>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</si>
  <si>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</si>
  <si>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</si>
  <si>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</si>
  <si>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</si>
  <si>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</si>
  <si>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</si>
  <si>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</si>
  <si>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</si>
  <si>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</si>
  <si>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</si>
  <si>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</si>
  <si>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</si>
  <si>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</si>
  <si>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</si>
  <si>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</si>
  <si>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</si>
  <si>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</si>
  <si>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</si>
  <si>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</si>
  <si>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</si>
  <si>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</si>
  <si>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</si>
  <si>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</si>
  <si>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</si>
  <si>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</si>
  <si>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</si>
  <si>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</si>
  <si>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</si>
  <si>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</si>
  <si>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</si>
  <si>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</si>
  <si>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</si>
  <si>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</si>
  <si>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</si>
  <si>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</si>
  <si>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</si>
  <si>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</si>
  <si>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</si>
  <si>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</si>
  <si>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</si>
  <si>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</si>
  <si>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</si>
  <si>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</si>
  <si>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</si>
  <si>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</si>
  <si>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</si>
  <si>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</si>
  <si>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</si>
  <si>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</si>
  <si>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</si>
  <si>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</si>
  <si>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</si>
  <si>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</si>
  <si>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</si>
  <si>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</si>
  <si>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</si>
  <si>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</si>
  <si>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</si>
  <si>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</si>
  <si>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</si>
  <si>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</si>
  <si>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</si>
  <si>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</si>
  <si>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</si>
  <si>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</si>
  <si>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</si>
  <si>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</si>
  <si>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</si>
  <si>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</si>
  <si>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</si>
  <si>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</si>
  <si>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</si>
  <si>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</si>
  <si>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</si>
  <si>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</si>
  <si>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</si>
  <si>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</si>
  <si>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</si>
  <si>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</si>
  <si>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</si>
  <si>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</si>
  <si>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</si>
  <si>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</si>
  <si>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</si>
  <si>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</si>
  <si>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</si>
  <si>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</si>
  <si>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</si>
  <si>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</si>
  <si>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</si>
  <si>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</si>
  <si>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</si>
  <si>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</si>
  <si>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</si>
  <si>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</si>
  <si>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</si>
  <si>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</si>
  <si>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</si>
  <si>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</si>
  <si>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</si>
  <si>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</si>
  <si>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</si>
  <si>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</si>
  <si>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</si>
  <si>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</si>
  <si>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</si>
  <si>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</si>
  <si>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</si>
  <si>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</si>
  <si>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</si>
  <si>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</si>
  <si>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</si>
  <si>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</si>
  <si>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</si>
  <si>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</si>
  <si>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</si>
  <si>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</si>
  <si>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</si>
  <si>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</si>
  <si>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</si>
  <si>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</si>
  <si>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</si>
  <si>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</si>
  <si>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</si>
  <si>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</si>
  <si>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</si>
  <si>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</si>
  <si>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</si>
  <si>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</si>
  <si>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</si>
  <si>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</si>
  <si>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</si>
  <si>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</si>
  <si>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</si>
  <si>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</si>
  <si>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</si>
  <si>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</si>
  <si>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</si>
  <si>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</si>
  <si>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</si>
  <si>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</si>
  <si>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</si>
  <si>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</si>
  <si>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</si>
  <si>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</si>
  <si>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</si>
  <si>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</si>
  <si>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</si>
  <si>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</si>
  <si>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</si>
  <si>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</si>
  <si>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</si>
  <si>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</si>
  <si>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</si>
  <si>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</si>
  <si>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</si>
  <si>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</si>
  <si>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</si>
  <si>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</si>
  <si>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</si>
  <si>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</si>
  <si>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</si>
  <si>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</si>
  <si>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</si>
  <si>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</si>
  <si>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</si>
  <si>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</si>
  <si>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</si>
  <si>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</si>
  <si>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</si>
  <si>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</si>
  <si>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</si>
  <si>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</si>
  <si>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</si>
  <si>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</si>
  <si>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</si>
  <si>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</si>
  <si>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</si>
  <si>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</si>
  <si>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</si>
  <si>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</si>
  <si>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</si>
  <si>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</si>
  <si>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</si>
  <si>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</si>
  <si>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</si>
  <si>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</si>
  <si>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</si>
  <si>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</si>
  <si>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</si>
  <si>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</si>
  <si>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</si>
  <si>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</si>
  <si>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</si>
  <si>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</si>
  <si>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</si>
  <si>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</si>
  <si>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</si>
  <si>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</si>
  <si>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</si>
  <si>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</si>
  <si>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</si>
  <si>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</si>
  <si>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</si>
  <si>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</si>
  <si>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</si>
  <si>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</si>
  <si>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</si>
  <si>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</si>
  <si>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</si>
  <si>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</si>
  <si>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</si>
  <si>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</si>
  <si>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</si>
  <si>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</si>
  <si>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</si>
  <si>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</si>
  <si>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</si>
  <si>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</si>
  <si>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</si>
  <si>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</si>
  <si>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</si>
  <si>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</si>
  <si>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</si>
  <si>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</si>
  <si>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</si>
  <si>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</si>
  <si>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</si>
  <si>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</si>
  <si>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</si>
  <si>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</si>
  <si>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</si>
  <si>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</si>
  <si>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</si>
  <si>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</si>
  <si>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</si>
  <si>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</si>
  <si>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</si>
  <si>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</si>
  <si>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</si>
  <si>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</si>
  <si>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</si>
  <si>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</si>
  <si>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</si>
  <si>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</si>
  <si>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</si>
  <si>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</si>
  <si>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</si>
  <si>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</si>
  <si>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</si>
  <si>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</si>
  <si>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</si>
  <si>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</si>
  <si>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</si>
  <si>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</si>
  <si>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</si>
  <si>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</si>
  <si>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</si>
  <si>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</si>
  <si>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</si>
  <si>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</si>
  <si>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</si>
  <si>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</si>
  <si>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</si>
  <si>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</si>
  <si>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</si>
  <si>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</si>
  <si>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</si>
  <si>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</si>
  <si>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</si>
  <si>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</si>
  <si>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</si>
  <si>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</si>
  <si>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</si>
  <si>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</si>
  <si>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</si>
  <si>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</si>
  <si>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</si>
  <si>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</si>
  <si>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</si>
  <si>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</si>
  <si>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</si>
  <si>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</si>
  <si>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</si>
  <si>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</si>
  <si>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</si>
  <si>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</si>
  <si>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</si>
  <si>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</si>
  <si>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</si>
  <si>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</si>
  <si>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</si>
  <si>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</si>
  <si>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</si>
  <si>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</si>
  <si>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</si>
  <si>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</si>
  <si>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</si>
  <si>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</si>
  <si>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</si>
  <si>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</si>
  <si>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</si>
  <si>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</si>
  <si>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</si>
  <si>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</si>
  <si>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</si>
  <si>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</si>
  <si>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</si>
  <si>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</si>
  <si>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</si>
  <si>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</si>
  <si>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</si>
  <si>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</si>
  <si>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</si>
  <si>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</si>
  <si>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</si>
  <si>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</si>
  <si>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</si>
  <si>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</si>
  <si>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</si>
  <si>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</si>
  <si>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</si>
  <si>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</si>
  <si>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</si>
  <si>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</si>
  <si>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</si>
  <si>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</si>
  <si>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</si>
  <si>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</si>
  <si>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</si>
  <si>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</si>
  <si>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</si>
  <si>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</si>
  <si>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</si>
  <si>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</si>
  <si>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</si>
  <si>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</si>
  <si>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</si>
  <si>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</si>
  <si>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</si>
  <si>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</si>
  <si>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</si>
  <si>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</si>
  <si>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</si>
  <si>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</si>
  <si>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</si>
  <si>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</si>
  <si>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</si>
  <si>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</si>
  <si>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</si>
  <si>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</si>
  <si>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</si>
  <si>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</si>
  <si>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</si>
  <si>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</si>
  <si>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</si>
  <si>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</si>
  <si>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</si>
  <si>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</si>
  <si>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</si>
  <si>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</si>
  <si>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</si>
  <si>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</si>
  <si>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</si>
  <si>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</si>
  <si>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</si>
  <si>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</si>
  <si>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</si>
  <si>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</si>
  <si>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</si>
  <si>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</si>
  <si>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</si>
  <si>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</si>
  <si>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</si>
  <si>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</si>
  <si>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</si>
  <si>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</si>
  <si>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</si>
  <si>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</si>
  <si>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</si>
  <si>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</si>
  <si>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</si>
  <si>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</si>
  <si>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</si>
  <si>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</si>
  <si>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</si>
  <si>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</si>
  <si>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</si>
  <si>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</si>
  <si>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</si>
  <si>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</si>
  <si>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</si>
  <si>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</si>
  <si>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</si>
  <si>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</si>
  <si>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</si>
  <si>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</si>
  <si>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</si>
  <si>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</si>
  <si>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</si>
  <si>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</si>
  <si>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</si>
  <si>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</si>
  <si>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</si>
  <si>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</si>
  <si>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</si>
  <si>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</si>
  <si>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</si>
  <si>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</si>
  <si>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</si>
  <si>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</si>
  <si>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</si>
  <si>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</si>
  <si>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</si>
  <si>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</si>
  <si>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</si>
  <si>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</si>
  <si>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</si>
  <si>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</si>
  <si>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</si>
  <si>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</si>
  <si>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</si>
  <si>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</si>
  <si>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</si>
  <si>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</si>
  <si>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</si>
  <si>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</si>
  <si>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</si>
  <si>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</si>
  <si>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</si>
  <si>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</si>
  <si>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</si>
  <si>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</si>
  <si>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</si>
  <si>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</si>
  <si>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</si>
  <si>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</si>
  <si>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</si>
  <si>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</si>
  <si>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</si>
  <si>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</si>
  <si>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</si>
  <si>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</si>
  <si>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</si>
  <si>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</si>
  <si>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</si>
  <si>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</si>
  <si>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</si>
  <si>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</si>
  <si>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</si>
  <si>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</si>
  <si>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</si>
  <si>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</si>
  <si>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</si>
  <si>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</si>
  <si>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</si>
  <si>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</si>
  <si>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</si>
  <si>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</si>
  <si>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</si>
  <si>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</si>
  <si>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</si>
  <si>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</si>
  <si>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</si>
  <si>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</si>
  <si>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</si>
  <si>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</si>
  <si>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</si>
  <si>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</si>
  <si>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</si>
  <si>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</si>
  <si>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</si>
  <si>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</si>
  <si>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</si>
  <si>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</si>
  <si>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</si>
  <si>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</si>
  <si>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</si>
  <si>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</si>
  <si>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</si>
  <si>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</si>
  <si>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</si>
  <si>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</si>
  <si>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</si>
  <si>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</si>
  <si>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</si>
  <si>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</si>
  <si>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</si>
  <si>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</si>
  <si>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</si>
  <si>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</si>
  <si>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</si>
  <si>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</si>
  <si>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</si>
  <si>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</si>
  <si>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</si>
  <si>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</si>
  <si>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</si>
  <si>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</si>
  <si>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</si>
  <si>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</si>
  <si>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</si>
  <si>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</si>
  <si>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</si>
  <si>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</si>
  <si>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</si>
  <si>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</si>
  <si>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</si>
  <si>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</si>
  <si>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</si>
  <si>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</si>
  <si>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</si>
  <si>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</si>
  <si>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</si>
  <si>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</si>
  <si>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</si>
  <si>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</si>
  <si>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</si>
  <si>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</si>
  <si>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</si>
  <si>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</si>
  <si>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</si>
  <si>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</si>
  <si>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</si>
  <si>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</si>
  <si>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</si>
  <si>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</si>
  <si>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</si>
  <si>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</si>
  <si>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</si>
  <si>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</si>
  <si>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</si>
  <si>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</si>
  <si>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</si>
  <si>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</si>
  <si>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</si>
  <si>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</si>
  <si>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</si>
  <si>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</si>
  <si>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</si>
  <si>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</si>
  <si>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</si>
  <si>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</si>
  <si>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</si>
  <si>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</si>
  <si>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</si>
  <si>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</si>
  <si>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</si>
  <si>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</si>
  <si>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</si>
  <si>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</si>
  <si>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</si>
  <si>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</si>
  <si>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</si>
  <si>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</si>
  <si>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</si>
  <si>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</si>
  <si>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</si>
  <si>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</si>
  <si>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</si>
  <si>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</si>
  <si>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</si>
  <si>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</si>
  <si>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</si>
  <si>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</si>
  <si>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</si>
  <si>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</si>
  <si>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</si>
  <si>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</si>
  <si>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</si>
  <si>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</si>
  <si>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</si>
  <si>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</si>
  <si>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</si>
  <si>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</si>
  <si>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</si>
  <si>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</si>
  <si>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</si>
  <si>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</si>
  <si>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</si>
  <si>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</si>
  <si>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</si>
  <si>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</si>
  <si>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</si>
  <si>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</si>
  <si>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</si>
  <si>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</si>
  <si>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</si>
  <si>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</si>
  <si>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</si>
  <si>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</si>
  <si>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</si>
  <si>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</si>
  <si>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</si>
  <si>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</si>
  <si>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</si>
  <si>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</si>
  <si>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</si>
  <si>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</si>
  <si>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</si>
  <si>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</si>
  <si>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</si>
  <si>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</si>
  <si>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</si>
  <si>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</si>
  <si>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</si>
  <si>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</si>
  <si>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</si>
  <si>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</si>
  <si>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</si>
  <si>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</si>
  <si>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</si>
  <si>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</si>
  <si>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</si>
  <si>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</si>
  <si>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</si>
  <si>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</si>
  <si>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</si>
  <si>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</si>
  <si>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</si>
  <si>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</si>
  <si>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</si>
  <si>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</si>
  <si>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</si>
  <si>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</si>
  <si>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</si>
  <si>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</si>
  <si>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</si>
  <si>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</si>
  <si>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</si>
  <si>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</si>
  <si>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</si>
  <si>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</si>
  <si>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</si>
  <si>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</si>
  <si>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</si>
  <si>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</si>
  <si>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</si>
  <si>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</si>
  <si>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</si>
  <si>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</si>
  <si>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</si>
  <si>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</si>
  <si>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</si>
  <si>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</si>
  <si>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</si>
  <si>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</si>
  <si>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</si>
  <si>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</si>
  <si>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</si>
  <si>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</si>
  <si>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</si>
  <si>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</si>
  <si>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</si>
  <si>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</si>
  <si>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</si>
  <si>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</si>
  <si>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</si>
  <si>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</si>
  <si>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</si>
  <si>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</si>
  <si>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</si>
  <si>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</si>
  <si>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</si>
  <si>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</si>
  <si>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</si>
  <si>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</si>
  <si>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</si>
  <si>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</si>
  <si>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</si>
  <si>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</si>
  <si>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</si>
  <si>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</si>
  <si>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</si>
  <si>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</si>
  <si>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</si>
  <si>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</si>
  <si>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</si>
  <si>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</si>
  <si>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</si>
  <si>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</si>
  <si>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</si>
  <si>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ElastiCache Redis)</t>
  </si>
  <si>
    <t>RDS PostgreSQL schema design &amp; connection pooling</t>
  </si>
  <si>
    <t>PostgreSQL document-metadata tables, JSONB indexes &amp; partitioning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</si>
  <si>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</si>
  <si>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</si>
  <si>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</si>
  <si>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</si>
  <si>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</si>
  <si>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</si>
  <si>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</si>
  <si>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</si>
  <si>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</si>
  <si>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</si>
  <si>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</si>
  <si>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</si>
  <si>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</si>
  <si>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</si>
  <si>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</si>
  <si>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</si>
  <si>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</si>
  <si>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</si>
  <si>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</si>
  <si>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</si>
  <si>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</si>
  <si>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</si>
  <si>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</si>
  <si>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</si>
  <si>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</si>
  <si>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</si>
  <si>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</si>
  <si>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</si>
  <si>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</si>
  <si>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</si>
  <si>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</si>
  <si>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</si>
  <si>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</si>
  <si>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</si>
  <si>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</si>
  <si>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</si>
  <si>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</si>
  <si>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</si>
  <si>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</si>
  <si>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</si>
  <si>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</si>
  <si>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</si>
  <si>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</si>
  <si>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</si>
  <si>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</si>
  <si>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</si>
  <si>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</si>
  <si>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</si>
  <si>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</si>
  <si>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</si>
  <si>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</si>
  <si>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</si>
  <si>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</si>
  <si>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</si>
  <si>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</si>
  <si>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</si>
  <si>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</si>
  <si>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</si>
  <si>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</si>
  <si>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</si>
  <si>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</si>
  <si>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</si>
  <si>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</si>
  <si>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</si>
  <si>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</si>
  <si>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</si>
  <si>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</si>
  <si>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</si>
  <si>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</si>
  <si>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</si>
  <si>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</si>
  <si>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</si>
  <si>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</si>
  <si>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</si>
  <si>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</si>
  <si>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</si>
  <si>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</si>
  <si>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</si>
  <si>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</si>
  <si>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</si>
  <si>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</si>
  <si>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</si>
  <si>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</si>
  <si>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</si>
  <si>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</si>
  <si>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</si>
  <si>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</si>
  <si>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</si>
  <si>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</si>
  <si>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</si>
  <si>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Claim ageing &amp; escalation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</si>
  <si>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</si>
  <si>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</si>
  <si>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</si>
  <si>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</si>
  <si>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</si>
  <si>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</si>
  <si>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</si>
  <si>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</si>
  <si>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</si>
  <si>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</si>
  <si>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</si>
  <si>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</si>
  <si>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</si>
  <si>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</si>
  <si>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</si>
  <si>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</si>
  <si>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</si>
  <si>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</si>
  <si>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</si>
  <si>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</si>
  <si>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</si>
  <si>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</si>
  <si>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</si>
  <si>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</si>
  <si>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</si>
  <si>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</si>
  <si>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</si>
  <si>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</si>
  <si>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</si>
  <si>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</si>
  <si>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</si>
  <si>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</si>
  <si>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</si>
  <si>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</si>
  <si>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</si>
  <si>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</si>
  <si>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</si>
  <si>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</si>
  <si>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</si>
  <si>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</si>
  <si>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</si>
  <si>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</si>
  <si>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</si>
  <si>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</si>
  <si>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</si>
  <si>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</si>
  <si>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</si>
  <si>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</si>
  <si>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</si>
  <si>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</si>
  <si>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</si>
  <si>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</si>
  <si>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</si>
  <si>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</si>
  <si>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</si>
  <si>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</si>
  <si>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</si>
  <si>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</si>
  <si>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</si>
  <si>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</si>
  <si>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</si>
  <si>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</si>
  <si>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</si>
  <si>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3. Testing (D)</t>
  </si>
  <si>
    <t>4. UAT (E.T1 + E.T2)</t>
  </si>
  <si>
    <t>W22–W30 · staging releases W22–W26; UAT W26–W30; sign-off W30</t>
  </si>
  <si>
    <t>5. Docs, Go-Live, Transition (E.T3+T4)</t>
  </si>
  <si>
    <t>6. PM &amp; Coordination (F)</t>
  </si>
  <si>
    <t>W0–W35 · across the whole plan</t>
  </si>
  <si>
    <t>Total (all six phases)</t>
  </si>
  <si>
    <t>ASSUMPTIONS &amp; NOTES</t>
  </si>
  <si>
    <t xml:space="preserve">   PM effort = Section F on TL (80%) with architecture governance on TA (20%), plus PM coordination shares in A–E; DevOps effort sits inside DEV.</t>
  </si>
  <si>
    <t>5. Calendar: 35 weeks, W0 = Mon 02-Nov-2026 to hypercare end Fri 02-Jul-2027; Mon–Fri weeks, no holiday calendar. This sheet is the plan of record; the Estimation auto-schedule is indicative.</t>
  </si>
  <si>
    <t>Multi-Region warm standby (us-east-2, ARC failover)</t>
  </si>
  <si>
    <t>Warm standby per SAD §4; active-active out of scope</t>
  </si>
  <si>
    <t>Terraform: us-east-2 stack from the existing modules (VPC across us-east-2a/2b/2c, NAT, regional ALB, ECS services at minimum capacity)</t>
  </si>
  <si>
    <t>Assumes the us-east-1 modules are parameterised by Region</t>
  </si>
  <si>
    <t>Region failover routing: Route 53 failover records and health checks, ARC routing controls, CloudFront secondary origin</t>
  </si>
  <si>
    <t>Diagram G1, G3, G4</t>
  </si>
  <si>
    <t>Release to both Regions: ECR replication, cross-Region CodeDeploy blue/green, Terraform apply for both stacks</t>
  </si>
  <si>
    <t>Diagram P12, P13</t>
  </si>
  <si>
    <t>Standby readiness: SES production access, SNS SMS registration, partner allow-lists for the us-east-2 NAT addresses, raised Fargate quotas, paging alarms</t>
  </si>
  <si>
    <t>AWS and partner lead times are YCompany dependencies; start by W10</t>
  </si>
  <si>
    <t>Region failover game day (staging)
&gt;&gt; Fail over us-east-1 → us-east-2 with the runbook
&gt;&gt; Measure RTO/RPO against SAD §7 (Region RTO &lt; 30 min; RPO &lt; 5 min database, &lt; 15 min S3)
&gt;&gt; Fail back after re-seeding
&gt;&gt; Record findings and re-run failed steps</t>
  </si>
  <si>
    <t>Staging; the production drill is E 3.2</t>
  </si>
  <si>
    <t>Production failover drill before go-live
&gt;&gt; Run the runbook against production before it takes traffic
&gt;&gt; Confirm routing controls, replica promotion and failback
&gt;&gt; Operations sign-off on the runbook</t>
  </si>
  <si>
    <t>Before go-live, while production takes no traffic</t>
  </si>
  <si>
    <t>W30–W35 · docs, training &amp; release prep W30–W33; production failover drill W31–W32; go-live W33; hypercare + ops handover W33–W35</t>
  </si>
  <si>
    <t>4. AWS run costs (infrastructure OpEx, including the us-east-2 standby) are excluded, as are third-party SaaS/licence fees (Okta, Stripe, SES/SNS). Effort only, at a flat USD 224/PD.</t>
  </si>
  <si>
    <t>7. The us-east-2 warm standby (SAD §4, Deployment Topology) is in Phase 1: 28 PD, of which 20 are build (C7), 4 the staging game day (D5.5), 2 the production drill (E3.2) and 2 PM. Multi-Region active-active is out of scope.</t>
  </si>
  <si>
    <t>FR-49</t>
  </si>
  <si>
    <t>Customer profile changes (correspondence address, billing cycle) passed to the Policy Administration System</t>
  </si>
  <si>
    <t>FR-50</t>
  </si>
  <si>
    <t>Fraud flagging and the Fraud Review hold</t>
  </si>
  <si>
    <t>FR-51</t>
  </si>
  <si>
    <t>Claim withdrawal and reopening</t>
  </si>
  <si>
    <t>FR-52</t>
  </si>
  <si>
    <t>Claim SLA and ageing alerts with escalation</t>
  </si>
  <si>
    <t>FR-53</t>
  </si>
  <si>
    <t>Payout onboarding for workshops and customers (Stripe Connect)</t>
  </si>
  <si>
    <t>FR-54</t>
  </si>
  <si>
    <t>Administration</t>
  </si>
  <si>
    <t>Administration of role permissions, workflow and fraud rules and SLA thresholds</t>
  </si>
  <si>
    <t>Security scans: Semgrep, pip-audit, npm audit and gitleaks in the build, Checkov on Terraform, Inspector findings on ECR images; a critical finding fails the stage</t>
  </si>
  <si>
    <t>SAD §4 CI/CD Pipeline, stage 1</t>
  </si>
  <si>
    <t>Pre-production stage: deploy to the development then the staging account; Alembic migration as a one-off ECS task, expand-then-contract; portal bundles to S3 with a CloudFront invalidation</t>
  </si>
  <si>
    <t>SAD §4 CI/CD Pipeline, stage 3</t>
  </si>
  <si>
    <t>Staging gates and release approval: integration tests, a short k6 run at the design point and an OWASP ZAP scan; manual release approval; canaries and alarms roll a production deploy back</t>
  </si>
  <si>
    <t>SAD §4 CI/CD Pipeline, stages 3-5</t>
  </si>
  <si>
    <t>Database per service: ten databases, each with its own credentials in Secrets Manager; RDS Proxy; in-Region read replica with read routing for status reads, assignment workload, fraud history and the SLA scan</t>
  </si>
  <si>
    <t>SAD §4 Layer 5</t>
  </si>
  <si>
    <t>Cross-Region data replication: RDS read replica, OpenSearch cross-cluster replication over VPC peering, S3 Cross-Region Replication incl. the Object Lock archive, Secrets Manager replica secrets, us-east-2 KMS keys; the Audit DB cross-Region replica and RDS Proxy in us-east-2</t>
  </si>
  <si>
    <t>Failover and failback runbook: promote the database and audit replicas and their secrets, pre-scale, flip the routing controls, re-drive in-flight claims from database status, fail back after re-seeding</t>
  </si>
  <si>
    <t>Security, backup and monitoring baseline (accounts, GuardDuty, Security Hub, Backup, Synthetics)</t>
  </si>
  <si>
    <t>SAD §4 Layer 6; findings, not penetration testing (still excluded at B 4.3)</t>
  </si>
  <si>
    <t>AWS Organizations: development, staging, production and security/log-archive accounts; guardrail policies; CloudTrail organization trail into the log-archive account</t>
  </si>
  <si>
    <t>GuardDuty (including Malware Protection for S3), Security Hub, Inspector and Macie, with findings collected in the security account and routed to the on-call</t>
  </si>
  <si>
    <t>AWS Backup policy for RDS and the Audit DB: point-in-time recovery, copies to us-east-2, a restore test</t>
  </si>
  <si>
    <t>CloudWatch Synthetics canaries for first notice of loss, status check and approval, every minute and during releases; p99 early-warning alarm at 2,500 ms</t>
  </si>
  <si>
    <t>WAF account takeover prevention on the sign-in endpoints</t>
  </si>
  <si>
    <t>Application audit trail (Audit DB, hash chain, Object Lock digests)</t>
  </si>
  <si>
    <t>SAD §4 Layer 6; B 4.2 "Audit Logging" stays the framework hook, this builds the store</t>
  </si>
  <si>
    <t>Audit DB on its own Multi-AZ RDS instance: append-only schema, an insert-only role for services, no update or delete for any role</t>
  </si>
  <si>
    <t>Audit client for every service: actor, timestamp, source IP, request ID and the previous record's hash on each business action</t>
  </si>
  <si>
    <t>Hourly digest signed with an asymmetric KMS key into the audit-archive bucket (S3 Object Lock, compliance mode); daily export of the records</t>
  </si>
  <si>
    <t>Chain verification tool that checks the records against the digests without the database</t>
  </si>
  <si>
    <t>Auditor's audit extract through the Reporting Service (read-only role)</t>
  </si>
  <si>
    <t>Unit tests for the audit chain</t>
  </si>
  <si>
    <t>Repair &amp; Work Order Service (work orders, repair status, invoices)</t>
  </si>
  <si>
    <t>Own Repair DB and events (SAD §4 Layer 3); APIs in Partner interaction APIs, screens in the portal groups</t>
  </si>
  <si>
    <t>Repair DB and domain model: work orders, estimates, repair status history, expected delivery dates and invoices, each linked to its claim</t>
  </si>
  <si>
    <t>Work orders and estimates from partner workshops, with their documents through the Document Service (WorkOrderUploaded)</t>
  </si>
  <si>
    <t>Repair status and delivery-date updates (RepairStatusUpdated, DeliveryDateChanged); the claim moves to In Repair</t>
  </si>
  <si>
    <t>Final invoices from partner workshops, and external-workshop invoices uploaded by the customer (InvoiceSubmitted); the claim moves to Invoiced</t>
  </si>
  <si>
    <t>Unit tests for repair and invoice rules</t>
  </si>
  <si>
    <t>Booking Service (workshop appointments, rental bookings)</t>
  </si>
  <si>
    <t>Car-rental API deferred (SAD §10); rental partners confirm in the Partner Portal</t>
  </si>
  <si>
    <t>Booking DB and domain model: workshop appointments and rental bookings with their status</t>
  </si>
  <si>
    <t>Workshop appointment booking that sends the workshop the initial accident details (AppointmentBooked); reschedule and cancel</t>
  </si>
  <si>
    <t>Rental eligibility against the policy cover in E3; rental bookings confirmed by the rental partner in the Partner Portal (RentalBooked)</t>
  </si>
  <si>
    <t>Unit tests for booking rules</t>
  </si>
  <si>
    <t>Transactional outbox: an outbox table per service written in the business transaction; outbox relay to EventBridge with retries and the active-Region (ARC) check</t>
  </si>
  <si>
    <t>The POC already delivers notifications this way</t>
  </si>
  <si>
    <t>Event catalogue and common envelope (event ID, claim ID and version, schema version, correlation ID); consumers deduplicate on event ID and drop events older than the claim version they hold</t>
  </si>
  <si>
    <t>SAD §4 Layer 4</t>
  </si>
  <si>
    <t>Dead-letter queue alarms (first dead-lettered message, oldest-message age), redrive procedure, EventBridge archive and replay</t>
  </si>
  <si>
    <t>Stripe Connect onboarding for workshops and customers: connected accounts, Stripe-hosted onboarding links, account-status webhooks</t>
  </si>
  <si>
    <t>Stripe holds bank details (SAD §10, Assumption 14)</t>
  </si>
  <si>
    <t>Payouts: amount owed recorded on ClaimApproved; payout to the workshop, or reimbursement to the customer for an external workshop, once the invoice is in (PaymentApproved, PayoutSent)</t>
  </si>
  <si>
    <t>Payment DB (dues, amounts owed, payment intents, connected accounts, payouts); each Stripe event processed once, keyed on its event ID</t>
  </si>
  <si>
    <t>Validated upload: access check with the Claims Service (cached in Redis); pre-signed POST that fixes the key, content types, size range and SHA-256 checksum; 24-hour lifecycle rule on unconfirmed uploads</t>
  </si>
  <si>
    <t>SAD §4, Document upload, validation and claim linkage</t>
  </si>
  <si>
    <t>Malware-scan results (GuardDuty Malware Protection for S3): clean files moved to the claim-documents bucket, infected files quarantined and the uploader told; Document DB row and DocumentUploaded with the digest</t>
  </si>
  <si>
    <t>Indexing consumer (Lambda): text extraction with Apache Tika and Amazon Textract; actual against declared file type</t>
  </si>
  <si>
    <t>Nightly reconciliation of the Document DB with S3 Inventory; pre-signed downloads recorded in the audit trail</t>
  </si>
  <si>
    <t>EventBridge Scheduler configuration in both Regions (jobs idle until their Region is active)</t>
  </si>
  <si>
    <t>Every 15 min from the read replica; thresholds from the Configuration Service; SlaBreached; a second breach escalates to the Regional Manager</t>
  </si>
  <si>
    <t>Zero-ETL integration (RDS PostgreSQL → Redshift): table filters, excluded columns, lag alarm</t>
  </si>
  <si>
    <t>Clean-up of superseded workflow executions after failback</t>
  </si>
  <si>
    <t>SAD §4 Deployment Topology</t>
  </si>
  <si>
    <t>Appointment and rental booking APIs (customer and partner sides)</t>
  </si>
  <si>
    <t>Booking Service</t>
  </si>
  <si>
    <t>Reimbursement onboarding (Stripe Connect) and payout status</t>
  </si>
  <si>
    <t>Appointment inbox with the initial accident details; accept or decline</t>
  </si>
  <si>
    <t>Rental catalogue and booking confirmation for car-rental partners</t>
  </si>
  <si>
    <t>Payout onboarding (Stripe Connect)</t>
  </si>
  <si>
    <t>k6 in the staging account: normal peak, catastrophe spike at 1,000 req/s, 8-hour soak (SAD §9.5)</t>
  </si>
  <si>
    <t>End-to-end checks of the v1.9 flows (staging)
&gt;&gt; Payments and payouts in Stripe test mode
&gt;&gt; Upload scanning with a test malware file
&gt;&gt; Audit-chain verification
&gt;&gt; Dead-letter redrive</t>
  </si>
  <si>
    <t>Staging; alongside the Region failover game day (5.5)</t>
  </si>
  <si>
    <t>W4–W24 · dev env W6; security baseline W6–W10; Auth + Claims MVP W10; Repair &amp; Booking services W12–W18; portal betas W14/W18; us-east-2 standby W14–W21; integrated W22</t>
  </si>
  <si>
    <t>W20–W26 · overlaps the last 2 sprints; Region failover game day and v1.9 end-to-end checks W24–W25; performance testing complete W26</t>
  </si>
  <si>
    <t>1. Role mapping (10 people): TA = Solution Architect · BA = Business Analyst · TL = Project Manager · DEV = 3 BE (the third W8–W25) + 2 FE + 1 DevOps · QA = QA Engineer · no GD (UX/visual design by FE devs).</t>
  </si>
  <si>
    <t>3. The mobile app (React Native, for customers and surveyors) is in Phase 1 scope (SAD §10, Assumption 13) but not yet in this estimate; its effort is added in the next estimate revision.</t>
  </si>
  <si>
    <t>6. PM is funded at about 0.75 FTE on average (full-time W0–W3 and W22–W23); a full-time PM for all 35 weeks adds about 44 PD, which the reserve covers.</t>
  </si>
  <si>
    <t>8. SAD v1.9 scope is in Phase 1: 127 PD, of which 99 are build (Repair &amp; Work Order and Booking services, audit trail, document validation, Stripe Connect payouts, outbox and DLQs, security baseline, pipeline gates), 3 the end-to-end checks (D5.6), 16 analysis, design and testing for six new FRs (FR-49–FR-54) and 9 PM. A sixth developer (backend) W8–W25 keeps go-live at W33.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</si>
</sst>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0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6" fontId="0" fillId="4" borderId="0" xfId="0" applyNumberFormat="1" applyFill="1" applyAlignment="1">
      <alignment vertical="top" wrapText="1"/>
    </xf>
    <xf numFmtId="166" fontId="0" fillId="4" borderId="0" xfId="0" applyNumberFormat="1" applyFill="1" applyAlignment="1">
      <alignment vertical="top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horizontal="left" vertical="center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2" fillId="9" borderId="0" xfId="0" applyFont="1" applyFill="1" applyAlignment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15" fontId="38" fillId="19" borderId="0" xfId="0" applyNumberFormat="1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1" fontId="0" fillId="0" borderId="0" xfId="0" applyNumberFormat="1"/>
    <xf numFmtId="0" fontId="0" fillId="0" borderId="0" xfId="0"/>
    <xf numFmtId="0" fontId="2" fillId="11" borderId="0" xfId="0" applyFont="1" applyFill="1" applyAlignment="1">
      <alignment horizontal="right"/>
    </xf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3567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Estimation!$L$602:$L$607</c:f>
            </c:multiLvlStrRef>
          </c:cat>
          <c:val>
            <c:numRef>
              <c:f>Estimation!$O$602:$O$607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2314573</xdr:colOff>
      <xdr:row>4</xdr:row>
      <xdr:rowOff>26477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600</xdr:row>
      <xdr:rowOff>100852</xdr:rowOff>
    </xdr:from>
    <xdr:to>
      <xdr:col>26</xdr:col>
      <xdr:colOff>515471</xdr:colOff>
      <xdr:row>608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828675</xdr:colOff>
          <xdr:row>9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2295525</xdr:colOff>
          <xdr:row>9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9525</xdr:colOff>
          <xdr:row>9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57900" y="3146426"/>
          <a:ext cx="1104900" cy="131445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19350" y="19250025"/>
          <a:ext cx="378460" cy="35560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474075" y="21091525"/>
          <a:ext cx="372110" cy="35560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775325" y="22380575"/>
          <a:ext cx="378460" cy="35560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0075" y="24765000"/>
          <a:ext cx="372110" cy="35560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52975" y="26390600"/>
          <a:ext cx="378460" cy="34925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2650" y="28717875"/>
          <a:ext cx="378460" cy="34925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24550" y="17992725"/>
          <a:ext cx="5822245" cy="27301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72025" y="26489025"/>
          <a:ext cx="6663519" cy="12190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62" totalsRowShown="0">
  <autoFilter ref="A1:C62" xr:uid="{18E53F40-A145-433B-9EAE-CD525D489D89}"/>
  <tableColumns count="3">
    <tableColumn id="1" xr3:uid="{2492D0C7-E6D5-4502-8966-C1A50D9F6E47}" name="FR ID" dataDxfId="3566"/>
    <tableColumn id="2" xr3:uid="{0F8F6660-2D00-4625-BBE6-F71E2E040B84}" name="Domain" dataDxfId="3565"/>
    <tableColumn id="3" xr3:uid="{041C478B-E1B5-4F42-9598-E65BF970BF50}" name="Functional Requirement" dataDxfId="356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65:H108" totalsRowShown="0" headerRowDxfId="3563" dataDxfId="3562">
  <autoFilter ref="A65:H108" xr:uid="{6FFAEAFF-4FEC-4388-B28A-F74C79707E99}"/>
  <tableColumns count="8">
    <tableColumn id="2" xr3:uid="{19B16CDA-12E3-4771-8F1B-DAF79DBFBC58}" name="FR ID" dataDxfId="3561"/>
    <tableColumn id="9" xr3:uid="{051A0721-089F-4BB3-8840-A5EBF0FE34B8}" name="Domain " dataDxfId="3560"/>
    <tableColumn id="3" xr3:uid="{1B881D4B-0FF3-4155-AEDC-460F6D36438B}" name="FR Description" dataDxfId="3559"/>
    <tableColumn id="4" xr3:uid="{F7DDFBA4-F0D8-4B94-A888-41B3433BD1CD}" name="UC ID" dataDxfId="3558"/>
    <tableColumn id="5" xr3:uid="{2F8AC885-77F3-4775-B2E8-6A0C94523A49}" name="Use Case Name" dataDxfId="3557"/>
    <tableColumn id="6" xr3:uid="{D4B0EF7F-9C41-430F-A537-74949248DCC0}" name="Primary Actor" dataDxfId="3556"/>
    <tableColumn id="7" xr3:uid="{8737C8CA-3C5C-4BBF-B836-ED434E00ED61}" name="Scenario Type" dataDxfId="3555"/>
    <tableColumn id="8" xr3:uid="{185B9EEF-EFD6-4554-AA77-D8C9266B3815}" name="Complexity" dataDxfId="355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3553" dataDxfId="3552">
  <autoFilter ref="D1:F25" xr:uid="{242FEB66-3D4E-4DCD-BED9-DEB3B9A0E510}"/>
  <tableColumns count="3">
    <tableColumn id="1" xr3:uid="{FC5A60FB-162F-437B-9D20-D7B8ED9CB2E8}" name="Use-case-ID" dataDxfId="3551"/>
    <tableColumn id="2" xr3:uid="{AE325896-5F74-4F6F-82C1-D0A2C45651FA}" name="Use Case Name" dataDxfId="3550"/>
    <tableColumn id="3" xr3:uid="{F22DF28E-9F7D-4C73-B137-C9CF0A52E7B5}" name="Primary Actor" dataDxfId="354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757"/>
  <sheetViews>
    <sheetView showGridLines="0" zoomScale="90" zoomScaleNormal="90" workbookViewId="0">
      <pane xSplit="11" ySplit="11" topLeftCell="L77" activePane="bottomRight" state="frozenSplit"/>
      <selection pane="topRight" activeCell="M1" sqref="M1"/>
      <selection pane="bottomLeft" activeCell="A17" sqref="A17"/>
      <selection pane="bottomRight" activeCell="N78" sqref="N78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17" t="s">
        <v>151</v>
      </c>
      <c r="D2" s="317"/>
      <c r="E2" s="317"/>
      <c r="F2" s="317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17"/>
      <c r="D3" s="317"/>
      <c r="E3" s="317"/>
      <c r="F3" s="317"/>
      <c r="G3" s="323" t="s">
        <v>474</v>
      </c>
      <c r="H3" s="323"/>
      <c r="I3" s="323"/>
      <c r="J3" s="323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IF(COUNTIF(AD9:AD535, "Error:*") = 0, "", COUNTIF(AD9:AD535, "Error:*") &amp; " errors")</f>
        <v/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17"/>
      <c r="D4" s="317"/>
      <c r="E4" s="317"/>
      <c r="F4" s="317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17"/>
      <c r="D5" s="317"/>
      <c r="E5" s="317"/>
      <c r="F5" s="317"/>
      <c r="G5" s="87"/>
      <c r="H5" s="199"/>
      <c r="I5" s="199" t="s">
        <v>271</v>
      </c>
      <c r="J5" s="324">
        <v>46325</v>
      </c>
      <c r="K5" s="324"/>
      <c r="L5" s="87"/>
      <c r="M5" s="255"/>
      <c r="N5" s="90" t="str">
        <f>IF(TOTAL_EFFORT&lt;=0, "", CHOSEN_CURRENCY&amp;" "&amp;TEXT(CEILING(($W$608/1000),1),"##,##,###")&amp;" K  ●  "&amp;TEXT(TOTAL_EFFORT,"##,##,###")&amp;" PDs ("&amp;TEXT(TOTAL_WEEKS,"##,###"&amp;" Wk)"))</f>
        <v>USD 266 K  ●  1,186 PDs (236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25" t="s">
        <v>110</v>
      </c>
      <c r="AC5" s="89"/>
      <c r="AD5" s="10"/>
    </row>
    <row r="6" spans="1:30" s="9" customFormat="1" ht="20.25" customHeight="1" x14ac:dyDescent="0.35">
      <c r="A6" s="86"/>
      <c r="C6" s="317"/>
      <c r="D6" s="317"/>
      <c r="E6" s="317"/>
      <c r="F6" s="317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43 Wk  (11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25"/>
      <c r="AC6" s="89"/>
      <c r="AD6" s="10"/>
    </row>
    <row r="7" spans="1:30" s="9" customFormat="1" ht="4.5" customHeight="1" x14ac:dyDescent="0.35">
      <c r="A7" s="86"/>
      <c r="C7" s="317"/>
      <c r="D7" s="317"/>
      <c r="E7" s="317"/>
      <c r="F7" s="317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17"/>
      <c r="D8" s="317"/>
      <c r="E8" s="317"/>
      <c r="F8" s="317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17"/>
      <c r="D9" s="317"/>
      <c r="E9" s="317"/>
      <c r="F9" s="317"/>
      <c r="G9" s="319" t="s">
        <v>131</v>
      </c>
      <c r="H9" s="319"/>
      <c r="I9" s="319"/>
      <c r="J9" s="319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18" t="s">
        <v>109</v>
      </c>
      <c r="D10" s="318"/>
      <c r="E10" s="318"/>
      <c r="F10" s="318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299" t="s">
        <v>57</v>
      </c>
      <c r="Q10" s="300"/>
      <c r="R10" s="301"/>
      <c r="S10" s="38"/>
      <c r="T10" s="227"/>
      <c r="U10" s="299" t="s">
        <v>58</v>
      </c>
      <c r="V10" s="300"/>
      <c r="W10" s="301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18" t="s">
        <v>152</v>
      </c>
      <c r="D11" s="318"/>
      <c r="E11" s="318"/>
      <c r="F11" s="318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14" t="s">
        <v>59</v>
      </c>
      <c r="T11" s="315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21" t="s">
        <v>150</v>
      </c>
      <c r="D12" s="322"/>
      <c r="E12" s="322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16">
        <f>CEILING(SUMIF(J13:J63, "&lt;&gt;Yes", T13:T63),1)</f>
        <v>80</v>
      </c>
      <c r="T12" s="316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296" t="s">
        <v>448</v>
      </c>
      <c r="N14" s="296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6.75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</v>
      </c>
      <c r="N18" s="20" t="s">
        <v>799</v>
      </c>
      <c r="O18" s="20"/>
      <c r="P18" s="20" t="s">
        <v>480</v>
      </c>
      <c r="Q18" s="134">
        <f>Total_Use_Cases</f>
        <v>30.5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2.75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2.75</v>
      </c>
      <c r="Z18" s="22">
        <v>-0.46100000000000002</v>
      </c>
      <c r="AA18" s="157">
        <f>Y18+Y18*VLOOKUP(I18,EXTRAS_ARRAY,2,FALSE)</f>
        <v>2.75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296" t="s">
        <v>631</v>
      </c>
      <c r="N20" s="296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10.75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</v>
      </c>
      <c r="N23" s="20" t="s">
        <v>634</v>
      </c>
      <c r="O23" s="20" t="s">
        <v>468</v>
      </c>
      <c r="P23" s="20"/>
      <c r="Q23" s="134">
        <v>61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4.75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4.75</v>
      </c>
      <c r="Z23" s="22">
        <v>1.359</v>
      </c>
      <c r="AA23" s="157">
        <f>Y23+Y23*VLOOKUP(I23,EXTRAS_ARRAY,2,FALSE)</f>
        <v>4.75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296" t="s">
        <v>475</v>
      </c>
      <c r="N26" s="296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14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30.5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3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3</v>
      </c>
      <c r="Z29" s="22">
        <v>1.254</v>
      </c>
      <c r="AA29" s="157">
        <f>Y29+Y29*VLOOKUP(I29,EXTRAS_ARRAY,2,FALSE)</f>
        <v>3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</v>
      </c>
      <c r="N30" s="20" t="s">
        <v>642</v>
      </c>
      <c r="O30" s="20"/>
      <c r="P30" s="20"/>
      <c r="Q30" s="134">
        <f>Total_Use_Cases</f>
        <v>30.5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4.5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4.5</v>
      </c>
      <c r="Z30" s="22">
        <v>-1.9810000000000001</v>
      </c>
      <c r="AA30" s="157">
        <f>Y30+Y30*VLOOKUP(I30,EXTRAS_ARRAY,2,FALSE)</f>
        <v>4.5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296" t="s">
        <v>476</v>
      </c>
      <c r="N33" s="296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4.2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4.3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4.4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4.5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296" t="s">
        <v>477</v>
      </c>
      <c r="N41" s="296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21.5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30.5</v>
      </c>
      <c r="Q43" s="134">
        <f>Total_FRs</f>
        <v>61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15.5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15.5</v>
      </c>
      <c r="Z43" s="22">
        <v>-9.9209999999999994</v>
      </c>
      <c r="AA43" s="157">
        <f>Y43+Y43*VLOOKUP(I43,EXTRAS_ARRAY,2,FALSE)</f>
        <v>15.5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5.2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5.3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296" t="s">
        <v>478</v>
      </c>
      <c r="N47" s="296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6.2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6.3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6.4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6.5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6.6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296" t="s">
        <v>479</v>
      </c>
      <c r="N56" s="296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6.5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7.2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7.3</v>
      </c>
      <c r="N60" s="20" t="s">
        <v>492</v>
      </c>
      <c r="O60" s="20" t="s">
        <v>494</v>
      </c>
      <c r="P60" s="251">
        <v>0.2</v>
      </c>
      <c r="Q60" s="134">
        <f>Total_Use_Cases * P60</f>
        <v>6.1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2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2</v>
      </c>
      <c r="Z60" s="22">
        <v>0.53900000000000003</v>
      </c>
      <c r="AA60" s="157">
        <f>Y60+Y60*VLOOKUP(I60,EXTRAS_ARRAY,2,FALSE)</f>
        <v>2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7.4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16">
        <f>CEILING(SUMIF(J65:J94, "&lt;&gt;Yes", T65:T94),1)</f>
        <v>81</v>
      </c>
      <c r="T64" s="316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296" t="s">
        <v>448</v>
      </c>
      <c r="N66" s="296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296" t="s">
        <v>450</v>
      </c>
      <c r="N71" s="296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outlineLevel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296" t="s">
        <v>453</v>
      </c>
      <c r="N75" s="296"/>
      <c r="O75" s="5"/>
      <c r="P75" s="30"/>
      <c r="Q75" s="30"/>
      <c r="R75" s="30"/>
      <c r="S75" s="30"/>
      <c r="T75" s="155">
        <f>IF($S$6="Exclude", SUMIFS(S76:S82, J76:J82, "&lt;&gt;Yes", G76:G82, "&lt;&gt;Yes"), SUMIFS(S76:S82, J76:J82, "&lt;&gt;Yes"))</f>
        <v>37.5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30.5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13.5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13.5</v>
      </c>
      <c r="Z78" s="22">
        <v>-12.250999999999999</v>
      </c>
      <c r="AA78" s="157">
        <f>Y78+Y78*VLOOKUP(I78,EXTRAS_ARRAY,2,FALSE)</f>
        <v>13.5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</v>
      </c>
      <c r="N80" s="20" t="inlineStr">
        <is>
          <t xml:space="preserve">Compliance and interface-standards design: data classification, regulations map (GLBA, NAIC model law, CCPA, PCI-DSS, SOC 2), ACORD mapping of external interfaces, API versioning policy</t>
        </is>
      </c>
      <c r="O80" s="20"/>
      <c r="P80" s="20"/>
      <c r="Q80" s="134"/>
      <c r="R80" s="127"/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2</v>
      </c>
      <c r="T80" s="158"/>
      <c r="U80" s="21">
        <v>0</v>
      </c>
      <c r="V80" s="21">
        <v>1</v>
      </c>
      <c r="W80" s="21">
        <v>0</v>
      </c>
      <c r="X80" s="156">
        <v>2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2</v>
      </c>
      <c r="Z80" s="22"/>
      <c r="AA80" s="157">
        <f>Y80+Y80*VLOOKUP(I80,EXTRAS_ARRAY,2,FALSE)</f>
        <v>2</v>
      </c>
      <c r="AB80" s="20" t="inlineStr">
        <is>
          <t xml:space="preserve">SAD v2.0 §4, Data protection and Interface standards</t>
        </is>
      </c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ht="58" outlineLevel="2" x14ac:dyDescent="0.35">
      <c r="A81" s="86" t="s">
        <v>0</v>
      </c>
      <c r="B81" s="18"/>
      <c r="C81" s="78"/>
      <c r="D81" s="78"/>
      <c r="E81" s="78"/>
      <c r="F81" s="79"/>
      <c r="G81" s="19" t="s">
        <v>23</v>
      </c>
      <c r="H81" s="19" t="s">
        <v>23</v>
      </c>
      <c r="I81" s="20" t="s">
        <v>23</v>
      </c>
      <c r="J81" s="19" t="s">
        <v>23</v>
      </c>
      <c r="K81" s="35"/>
      <c r="L81" s="19"/>
      <c r="M81" s="263">
        <f ca="1">IFERROR(OFFSET(M81,-1,,1,1)+0.1,OFFSET(M81,-1,-1,1,1)&amp;".1")</f>
        <v>3.5</v>
      </c>
      <c r="N81" s="20" t="s">
        <v>828</v>
      </c>
      <c r="O81" s="20"/>
      <c r="P81" s="20" t="s">
        <v>869</v>
      </c>
      <c r="Q81" s="134"/>
      <c r="R81" s="127">
        <v>1</v>
      </c>
      <c r="S81" s="157">
        <f>CEILING((IF(J81="Yes", 0, IF(H81="-",AA81,AA81+AA81*VLOOKUP(H81,BUFFERS_BY_TYPE,2,FALSE)))) +
   (IF(J81="Yes", 0, IF(H81="-",AA81,AA81+AA81*VLOOKUP(H81,BUFFERS_BY_TYPE,2,FALSE))))*VLOOKUP($S$5, SALES_CALL_SCALE_ARRAY, 2,FALSE),0.25)</f>
        <v>6</v>
      </c>
      <c r="T81" s="158"/>
      <c r="U81" s="21">
        <v>0</v>
      </c>
      <c r="V81" s="21">
        <v>0.7</v>
      </c>
      <c r="W81" s="21">
        <v>0.3</v>
      </c>
      <c r="X81" s="156">
        <v>6</v>
      </c>
      <c r="Y81" s="157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6</v>
      </c>
      <c r="Z81" s="22"/>
      <c r="AA81" s="157">
        <f>Y81+Y81*VLOOKUP(I81,EXTRAS_ARRAY,2,FALSE)</f>
        <v>6</v>
      </c>
      <c r="AB81" s="20"/>
      <c r="AC81" s="34"/>
      <c r="AD81" s="23" t="str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s="9" customFormat="1" ht="7.5" customHeight="1" outlineLevel="2" x14ac:dyDescent="0.35">
      <c r="A82" s="86" t="s">
        <v>132</v>
      </c>
      <c r="B82" s="15"/>
      <c r="C82" s="72"/>
      <c r="D82" s="72"/>
      <c r="E82" s="72"/>
      <c r="F82" s="72"/>
      <c r="M82" s="252"/>
      <c r="T82" s="15"/>
      <c r="X82" s="15"/>
      <c r="AB82" s="10"/>
      <c r="AC82" s="10"/>
      <c r="AD82" s="10"/>
    </row>
    <row r="83" spans="1:30" s="14" customFormat="1" ht="15.5" outlineLevel="1" collapsed="1" x14ac:dyDescent="0.35">
      <c r="A83" s="86" t="s">
        <v>100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7">
        <f ca="1">LOOKUP(1000,INDIRECT("L1:"&amp;CELL("address",INDIRECT("R[-1]C",FALSE))))+1</f>
        <v>4</v>
      </c>
      <c r="M83" s="296" t="s">
        <v>451</v>
      </c>
      <c r="N83" s="296"/>
      <c r="O83" s="5"/>
      <c r="P83" s="30"/>
      <c r="Q83" s="30"/>
      <c r="R83" s="30"/>
      <c r="S83" s="30"/>
      <c r="T83" s="155">
        <f>IF($S$6="Exclude", SUMIFS(S84:S93, J84:J93, "&lt;&gt;Yes", G84:G93, "&lt;&gt;Yes"), SUMIFS(S84:S93, J84:J93, "&lt;&gt;Yes"))</f>
        <v>30</v>
      </c>
      <c r="U83" s="30"/>
      <c r="V83" s="30"/>
      <c r="W83" s="30"/>
      <c r="X83" s="31"/>
      <c r="Y83" s="32"/>
      <c r="Z83" s="32"/>
      <c r="AA83" s="32"/>
      <c r="AB83" s="219"/>
      <c r="AC83" s="33"/>
      <c r="AD83" s="23" t="str">
        <f>IF(M83="", "Error: Task name cannot be empty.", "")</f>
        <v/>
      </c>
    </row>
    <row r="84" spans="1:30" s="12" customFormat="1" ht="1.5" hidden="1" customHeight="1" outlineLevel="2" x14ac:dyDescent="0.35">
      <c r="A84" s="86" t="s">
        <v>101</v>
      </c>
      <c r="B84" s="18"/>
      <c r="C84" s="77"/>
      <c r="D84" s="77"/>
      <c r="E84" s="77"/>
      <c r="F84" s="76"/>
      <c r="G84" s="29"/>
      <c r="H84" s="29"/>
      <c r="I84" s="29"/>
      <c r="J84" s="29"/>
      <c r="K84" s="29"/>
      <c r="L84" s="163">
        <f ca="1">L83</f>
        <v>4</v>
      </c>
      <c r="M84" s="164" t="s">
        <v>105</v>
      </c>
      <c r="N84" s="161"/>
      <c r="O84" s="162"/>
      <c r="P84" s="30"/>
      <c r="Q84" s="30"/>
      <c r="R84" s="30"/>
      <c r="S84" s="30"/>
      <c r="T84" s="155"/>
      <c r="U84" s="30"/>
      <c r="V84" s="30"/>
      <c r="W84" s="30"/>
      <c r="X84" s="31"/>
      <c r="Y84" s="32"/>
      <c r="Z84" s="32"/>
      <c r="AA84" s="32"/>
      <c r="AB84" s="33"/>
      <c r="AC84" s="33"/>
      <c r="AD84" s="23"/>
    </row>
    <row r="85" spans="1:30" ht="101.5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 t="str">
        <f t="shared" ref="M85:M92" ca="1" si="5">IFERROR(OFFSET(M85,-1,,1,1)+0.1,OFFSET(M85,-1,-1,1,1)&amp;".1")</f>
        <v>4.1</v>
      </c>
      <c r="N85" s="20" t="s">
        <v>822</v>
      </c>
      <c r="O85" s="20"/>
      <c r="P85" s="20" t="s">
        <v>870</v>
      </c>
      <c r="Q85" s="134"/>
      <c r="R85" s="127"/>
      <c r="S85" s="157">
        <f t="shared" ref="S85:S92" si="6">CEILING((IF(J85="Yes", 0, IF(H85="-",AA85,AA85+AA85*VLOOKUP(H85,BUFFERS_BY_TYPE,2,FALSE)))) +
   (IF(J85="Yes", 0, IF(H85="-",AA85,AA85+AA85*VLOOKUP(H85,BUFFERS_BY_TYPE,2,FALSE))))*VLOOKUP($S$5, SALES_CALL_SCALE_ARRAY, 2,FALSE),0.25)</f>
        <v>4</v>
      </c>
      <c r="T85" s="158"/>
      <c r="U85" s="21">
        <v>0.33</v>
      </c>
      <c r="V85" s="21">
        <v>0.67</v>
      </c>
      <c r="W85" s="21">
        <v>0</v>
      </c>
      <c r="X85" s="156">
        <v>4</v>
      </c>
      <c r="Y85" s="157">
        <f t="shared" ref="Y85:Y92" si="7">CEILING((IF(P85=AS_DEV_EFFORT, DEV_EFFORT*Q85%,
                           IF(P85=AS_DURATION_EFFORT, (MANUAL_DURATION*5)*Q85%,
                                    (IF(Q85&lt;=1,X85,
                                          IF(SUM(U85:W85)=0,(Q85*X85),
                                               (((Q85*U85)*(X85+(X85*EXTRA_FOR_H)))+
                                               ((Q85*V85)*X85)+
                                               ((Q85*W85)*(X85-(X85*LESS_FOR_L)))
                                    )*IF(R85=0,1,R85))))))+Z85), 0.25)</f>
        <v>4</v>
      </c>
      <c r="Z85" s="22"/>
      <c r="AA85" s="157">
        <f t="shared" ref="AA85:AA92" si="8">Y85+Y85*VLOOKUP(I85,EXTRAS_ARRAY,2,FALSE)</f>
        <v>4</v>
      </c>
      <c r="AB85" s="20" t="s">
        <v>839</v>
      </c>
      <c r="AC85" s="34"/>
      <c r="AD85" s="23" t="str">
        <f t="shared" ref="AD85:AD92" si="9">IF(J85&lt;&gt;"Yes",
IF(S85&lt;=0,"Error: Effort value is not defined or is invalid.",
IF(AND(SUM(U85:W85)&gt;0,SUM(U85:W85)&lt;&gt;1),"Error: Complexity % distribution should sum to 100%.",
IF(AND(P85=AS_DEV_EFFORT,X85&lt;&gt;0),"Error: PDs should not be defined when defining as dev effort %.",
IF(AND(P85=AS_DURATION_EFFORT,X85&lt;&gt;0),"Error: PDs should not be defined when defining as duration effort %.","")))))</f>
        <v/>
      </c>
    </row>
    <row r="86" spans="1:30" ht="87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4.2</v>
      </c>
      <c r="N86" s="20" t="s">
        <v>829</v>
      </c>
      <c r="O86" s="20"/>
      <c r="P86" s="20" t="s">
        <v>871</v>
      </c>
      <c r="Q86" s="134"/>
      <c r="R86" s="127">
        <v>1</v>
      </c>
      <c r="S86" s="157">
        <f t="shared" si="6"/>
        <v>4</v>
      </c>
      <c r="T86" s="158"/>
      <c r="U86" s="21">
        <v>0.2</v>
      </c>
      <c r="V86" s="21">
        <v>0.8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/>
      <c r="AC86" s="34"/>
      <c r="AD86" s="23" t="str">
        <f t="shared" si="9"/>
        <v/>
      </c>
    </row>
    <row r="87" spans="1:30" ht="72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23</v>
      </c>
      <c r="H87" s="19" t="s">
        <v>23</v>
      </c>
      <c r="I87" s="20" t="s">
        <v>23</v>
      </c>
      <c r="J87" s="19" t="s">
        <v>23</v>
      </c>
      <c r="K87" s="35"/>
      <c r="L87" s="19"/>
      <c r="M87" s="263">
        <f t="shared" ca="1" si="5"/>
        <v>4.3</v>
      </c>
      <c r="N87" s="20" t="s">
        <v>830</v>
      </c>
      <c r="O87" s="20"/>
      <c r="P87" s="20"/>
      <c r="Q87" s="134"/>
      <c r="R87" s="127">
        <v>1</v>
      </c>
      <c r="S87" s="157">
        <f t="shared" si="6"/>
        <v>4</v>
      </c>
      <c r="T87" s="158"/>
      <c r="U87" s="21">
        <v>0.5</v>
      </c>
      <c r="V87" s="21">
        <v>0.5</v>
      </c>
      <c r="W87" s="21">
        <v>0</v>
      </c>
      <c r="X87" s="156">
        <v>4</v>
      </c>
      <c r="Y87" s="157">
        <f t="shared" si="7"/>
        <v>4</v>
      </c>
      <c r="Z87" s="22"/>
      <c r="AA87" s="157">
        <f t="shared" si="8"/>
        <v>4</v>
      </c>
      <c r="AB87" s="20" t="s">
        <v>836</v>
      </c>
      <c r="AC87" s="34"/>
      <c r="AD87" s="23" t="str">
        <f t="shared" si="9"/>
        <v/>
      </c>
    </row>
    <row r="88" spans="1:30" ht="43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6</v>
      </c>
      <c r="H88" s="19" t="s">
        <v>23</v>
      </c>
      <c r="I88" s="20" t="s">
        <v>23</v>
      </c>
      <c r="J88" s="19" t="s">
        <v>6</v>
      </c>
      <c r="K88" s="35"/>
      <c r="L88" s="19"/>
      <c r="M88" s="263">
        <f t="shared" ca="1" si="5"/>
        <v>4.4</v>
      </c>
      <c r="N88" s="20" t="s">
        <v>831</v>
      </c>
      <c r="O88" s="20" t="s">
        <v>832</v>
      </c>
      <c r="P88" s="20"/>
      <c r="Q88" s="134">
        <v>0</v>
      </c>
      <c r="R88" s="127">
        <v>0</v>
      </c>
      <c r="S88" s="157">
        <f t="shared" si="6"/>
        <v>0</v>
      </c>
      <c r="T88" s="158"/>
      <c r="U88" s="21">
        <v>0</v>
      </c>
      <c r="V88" s="21">
        <v>1</v>
      </c>
      <c r="W88" s="21">
        <v>0</v>
      </c>
      <c r="X88" s="156">
        <v>2</v>
      </c>
      <c r="Y88" s="157">
        <f t="shared" si="7"/>
        <v>2</v>
      </c>
      <c r="Z88" s="22"/>
      <c r="AA88" s="157">
        <f t="shared" si="8"/>
        <v>2</v>
      </c>
      <c r="AB88" s="20" t="s">
        <v>837</v>
      </c>
      <c r="AC88" s="34"/>
      <c r="AD88" s="23" t="b">
        <f t="shared" si="9"/>
        <v>0</v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4.5</v>
      </c>
      <c r="N89" s="20" t="s">
        <v>873</v>
      </c>
      <c r="O89" s="20"/>
      <c r="P89" s="20" t="s">
        <v>872</v>
      </c>
      <c r="Q89" s="134"/>
      <c r="R89" s="127">
        <v>1</v>
      </c>
      <c r="S89" s="157">
        <f t="shared" si="6"/>
        <v>4</v>
      </c>
      <c r="T89" s="158"/>
      <c r="U89" s="21">
        <v>0.5</v>
      </c>
      <c r="V89" s="21">
        <v>0.5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4.6</v>
      </c>
      <c r="N90" s="20" t="s">
        <v>986</v>
      </c>
      <c r="O90" s="20"/>
      <c r="P90" s="20" t="s">
        <v>874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72.5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4.7</v>
      </c>
      <c r="N91" s="20" t="s">
        <v>876</v>
      </c>
      <c r="O91" s="20"/>
      <c r="P91" s="20" t="s">
        <v>875</v>
      </c>
      <c r="Q91" s="134"/>
      <c r="R91" s="127">
        <v>1</v>
      </c>
      <c r="S91" s="157">
        <f t="shared" si="6"/>
        <v>4</v>
      </c>
      <c r="T91" s="158"/>
      <c r="U91" s="21">
        <v>0.25</v>
      </c>
      <c r="V91" s="21">
        <v>0.75</v>
      </c>
      <c r="W91" s="21">
        <v>0</v>
      </c>
      <c r="X91" s="156">
        <v>4</v>
      </c>
      <c r="Y91" s="157">
        <f t="shared" si="7"/>
        <v>4</v>
      </c>
      <c r="Z91" s="22"/>
      <c r="AA91" s="157">
        <f t="shared" si="8"/>
        <v>4</v>
      </c>
      <c r="AB91" s="20"/>
      <c r="AC91" s="34"/>
      <c r="AD91" s="23" t="str">
        <f t="shared" si="9"/>
        <v/>
      </c>
    </row>
    <row r="92" spans="1:30" ht="87" hidden="1" outlineLevel="2" x14ac:dyDescent="0.35">
      <c r="A92" s="86" t="s">
        <v>0</v>
      </c>
      <c r="B92" s="18"/>
      <c r="C92" s="78"/>
      <c r="D92" s="78"/>
      <c r="E92" s="78"/>
      <c r="F92" s="79"/>
      <c r="G92" s="19" t="s">
        <v>23</v>
      </c>
      <c r="H92" s="19" t="s">
        <v>23</v>
      </c>
      <c r="I92" s="20" t="s">
        <v>23</v>
      </c>
      <c r="J92" s="19" t="s">
        <v>23</v>
      </c>
      <c r="K92" s="35"/>
      <c r="L92" s="19"/>
      <c r="M92" s="263">
        <f t="shared" ca="1" si="5"/>
        <v>4.8</v>
      </c>
      <c r="N92" s="20" t="s">
        <v>833</v>
      </c>
      <c r="O92" s="20"/>
      <c r="P92" s="20" t="s">
        <v>877</v>
      </c>
      <c r="Q92" s="134"/>
      <c r="R92" s="127">
        <v>1</v>
      </c>
      <c r="S92" s="157">
        <f t="shared" si="6"/>
        <v>6</v>
      </c>
      <c r="T92" s="158"/>
      <c r="U92" s="21">
        <v>0.6</v>
      </c>
      <c r="V92" s="21">
        <v>0.4</v>
      </c>
      <c r="W92" s="21">
        <v>0</v>
      </c>
      <c r="X92" s="156">
        <v>6</v>
      </c>
      <c r="Y92" s="157">
        <f t="shared" si="7"/>
        <v>6</v>
      </c>
      <c r="Z92" s="22"/>
      <c r="AA92" s="157">
        <f t="shared" si="8"/>
        <v>6</v>
      </c>
      <c r="AB92" s="20" t="s">
        <v>838</v>
      </c>
      <c r="AC92" s="34"/>
      <c r="AD92" s="23" t="str">
        <f t="shared" si="9"/>
        <v/>
      </c>
    </row>
    <row r="93" spans="1:30" s="9" customFormat="1" ht="7.5" hidden="1" customHeight="1" outlineLevel="2" x14ac:dyDescent="0.35">
      <c r="A93" s="86" t="s">
        <v>132</v>
      </c>
      <c r="B93" s="15"/>
      <c r="C93" s="72"/>
      <c r="D93" s="72"/>
      <c r="E93" s="72"/>
      <c r="F93" s="72"/>
      <c r="M93" s="252"/>
      <c r="T93" s="15"/>
      <c r="X93" s="15"/>
      <c r="AB93" s="10"/>
      <c r="AC93" s="10"/>
      <c r="AD93" s="10"/>
    </row>
    <row r="94" spans="1:30" s="9" customFormat="1" ht="3" customHeight="1" outlineLevel="1" x14ac:dyDescent="0.35">
      <c r="A94" s="86" t="s">
        <v>102</v>
      </c>
      <c r="C94" s="72"/>
      <c r="D94" s="72"/>
      <c r="E94" s="72"/>
      <c r="F94" s="72"/>
      <c r="G94" s="25"/>
      <c r="H94" s="25"/>
      <c r="I94" s="25"/>
      <c r="J94" s="25"/>
      <c r="K94" s="25"/>
      <c r="L94" s="56"/>
      <c r="M94" s="264"/>
      <c r="N94" s="57"/>
      <c r="O94" s="57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7"/>
      <c r="AC94" s="57"/>
      <c r="AD94" s="10"/>
    </row>
    <row r="95" spans="1:30" s="14" customFormat="1" ht="18.5" x14ac:dyDescent="0.35">
      <c r="A95" s="86" t="s">
        <v>98</v>
      </c>
      <c r="B95" s="12"/>
      <c r="C95" s="73"/>
      <c r="D95" s="73"/>
      <c r="E95" s="73"/>
      <c r="F95" s="72"/>
      <c r="G95" s="52"/>
      <c r="H95" s="52"/>
      <c r="I95" s="52"/>
      <c r="J95" s="52"/>
      <c r="K95" s="52"/>
      <c r="L95" s="52" t="s">
        <v>69</v>
      </c>
      <c r="M95" s="261" t="s">
        <v>73</v>
      </c>
      <c r="N95" s="53"/>
      <c r="O95" s="54"/>
      <c r="P95" s="55"/>
      <c r="Q95" s="55"/>
      <c r="R95" s="55"/>
      <c r="S95" s="316">
        <f>CEILING(SUMIF(J96:J460, "&lt;&gt;Yes", T96:T460),1)</f>
        <v>695</v>
      </c>
      <c r="T95" s="316"/>
      <c r="U95" s="55"/>
      <c r="V95" s="55"/>
      <c r="W95" s="55"/>
      <c r="X95" s="168"/>
      <c r="Y95" s="168"/>
      <c r="Z95" s="55"/>
      <c r="AA95" s="168"/>
      <c r="AB95" s="55"/>
      <c r="AC95" s="55"/>
      <c r="AD95" s="13"/>
    </row>
    <row r="96" spans="1:30" s="9" customFormat="1" ht="3" customHeight="1" outlineLevel="1" x14ac:dyDescent="0.35">
      <c r="A96" s="86" t="s">
        <v>99</v>
      </c>
      <c r="B96" s="15"/>
      <c r="C96" s="72"/>
      <c r="D96" s="72"/>
      <c r="E96" s="72"/>
      <c r="F96" s="72"/>
      <c r="G96" s="25"/>
      <c r="H96" s="25"/>
      <c r="I96" s="25"/>
      <c r="J96" s="25"/>
      <c r="K96" s="25"/>
      <c r="L96" s="26">
        <v>0</v>
      </c>
      <c r="M96" s="262"/>
      <c r="N96" s="25"/>
      <c r="O96" s="25"/>
      <c r="P96" s="25"/>
      <c r="Q96" s="25"/>
      <c r="R96" s="25"/>
      <c r="S96" s="25"/>
      <c r="T96" s="27"/>
      <c r="U96" s="25"/>
      <c r="V96" s="25"/>
      <c r="W96" s="25"/>
      <c r="X96" s="27"/>
      <c r="Y96" s="25"/>
      <c r="Z96" s="25"/>
      <c r="AA96" s="25"/>
      <c r="AB96" s="28"/>
      <c r="AC96" s="28"/>
      <c r="AD96" s="10"/>
    </row>
    <row r="97" spans="1:30" s="14" customFormat="1" ht="15.5" outlineLevel="1" collapsed="1" x14ac:dyDescent="0.35">
      <c r="A97" s="86" t="s">
        <v>100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7">
        <f ca="1">LOOKUP(1000,INDIRECT("L1:"&amp;CELL("address",INDIRECT("R[-1]C",FALSE))))+1</f>
        <v>1</v>
      </c>
      <c r="M97" s="296" t="s">
        <v>987</v>
      </c>
      <c r="N97" s="296"/>
      <c r="O97" s="5"/>
      <c r="P97" s="30"/>
      <c r="Q97" s="30"/>
      <c r="R97" s="30"/>
      <c r="S97" s="30"/>
      <c r="T97" s="155">
        <f>IF($S$6="Exclude", SUMIFS(S98:S102, J98:J102, "&lt;&gt;Yes", G98:G102, "&lt;&gt;Yes"), SUMIFS(S98:S102, J98:J102, "&lt;&gt;Yes"))</f>
        <v>8</v>
      </c>
      <c r="U97" s="30"/>
      <c r="V97" s="30"/>
      <c r="W97" s="30"/>
      <c r="X97" s="31"/>
      <c r="Y97" s="32"/>
      <c r="Z97" s="32"/>
      <c r="AA97" s="32"/>
      <c r="AB97" s="219"/>
      <c r="AC97" s="33"/>
      <c r="AD97" s="23" t="str">
        <f>IF(M97="", "Error: Task name cannot be empty.", "")</f>
        <v/>
      </c>
    </row>
    <row r="98" spans="1:30" s="12" customFormat="1" ht="1.5" hidden="1" customHeight="1" outlineLevel="2" x14ac:dyDescent="0.35">
      <c r="A98" s="86" t="s">
        <v>101</v>
      </c>
      <c r="B98" s="18"/>
      <c r="C98" s="77"/>
      <c r="D98" s="77"/>
      <c r="E98" s="77"/>
      <c r="F98" s="76"/>
      <c r="G98" s="29"/>
      <c r="H98" s="29"/>
      <c r="I98" s="29"/>
      <c r="J98" s="29"/>
      <c r="K98" s="29"/>
      <c r="L98" s="163">
        <f ca="1">L97</f>
        <v>1</v>
      </c>
      <c r="M98" s="164" t="s">
        <v>105</v>
      </c>
      <c r="N98" s="161"/>
      <c r="O98" s="162"/>
      <c r="P98" s="30"/>
      <c r="Q98" s="30"/>
      <c r="R98" s="30"/>
      <c r="S98" s="30"/>
      <c r="T98" s="155"/>
      <c r="U98" s="30"/>
      <c r="V98" s="30"/>
      <c r="W98" s="30"/>
      <c r="X98" s="31"/>
      <c r="Y98" s="32"/>
      <c r="Z98" s="32"/>
      <c r="AA98" s="32"/>
      <c r="AB98" s="33"/>
      <c r="AC98" s="33"/>
      <c r="AD98" s="23"/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 t="str">
        <f ca="1">IFERROR(OFFSET(M99,-1,,1,1)+0.1,OFFSET(M99,-1,-1,1,1)&amp;".1")</f>
        <v>1.1</v>
      </c>
      <c r="N99" s="20" t="s">
        <v>988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2</v>
      </c>
      <c r="T99" s="158"/>
      <c r="U99" s="21">
        <v>0.2</v>
      </c>
      <c r="V99" s="21">
        <v>0.5</v>
      </c>
      <c r="W99" s="21">
        <v>0.3</v>
      </c>
      <c r="X99" s="156">
        <v>2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2</v>
      </c>
      <c r="Z99" s="22"/>
      <c r="AA99" s="157">
        <f>Y99+Y99*VLOOKUP(I99,EXTRAS_ARRAY,2,FALSE)</f>
        <v>2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1.2</v>
      </c>
      <c r="N100" s="20" t="s">
        <v>989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0.25</v>
      </c>
      <c r="V100" s="21">
        <v>0.55000000000000004</v>
      </c>
      <c r="W100" s="21">
        <v>0.2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ht="15.5" hidden="1" outlineLevel="2" x14ac:dyDescent="0.35">
      <c r="A101" s="86" t="s">
        <v>0</v>
      </c>
      <c r="B101" s="18"/>
      <c r="C101" s="78"/>
      <c r="D101" s="78"/>
      <c r="E101" s="78"/>
      <c r="F101" s="79"/>
      <c r="G101" s="19" t="s">
        <v>23</v>
      </c>
      <c r="H101" s="19" t="s">
        <v>23</v>
      </c>
      <c r="I101" s="20" t="s">
        <v>23</v>
      </c>
      <c r="J101" s="19" t="s">
        <v>23</v>
      </c>
      <c r="K101" s="35"/>
      <c r="L101" s="19"/>
      <c r="M101" s="263">
        <f ca="1">IFERROR(OFFSET(M101,-1,,1,1)+0.1,OFFSET(M101,-1,-1,1,1)&amp;".1")</f>
        <v>1.3</v>
      </c>
      <c r="N101" s="20" t="s">
        <v>990</v>
      </c>
      <c r="O101" s="20"/>
      <c r="P101" s="20"/>
      <c r="Q101" s="134"/>
      <c r="R101" s="127"/>
      <c r="S101" s="157">
        <f>CEILING((IF(J101="Yes", 0, IF(H101="-",AA101,AA101+AA101*VLOOKUP(H101,BUFFERS_BY_TYPE,2,FALSE)))) +
   (IF(J101="Yes", 0, IF(H101="-",AA101,AA101+AA101*VLOOKUP(H101,BUFFERS_BY_TYPE,2,FALSE))))*VLOOKUP($S$5, SALES_CALL_SCALE_ARRAY, 2,FALSE),0.25)</f>
        <v>3</v>
      </c>
      <c r="T101" s="158"/>
      <c r="U101" s="21">
        <v>0.1</v>
      </c>
      <c r="V101" s="21">
        <v>0.8</v>
      </c>
      <c r="W101" s="21">
        <v>0.1</v>
      </c>
      <c r="X101" s="156">
        <v>3</v>
      </c>
      <c r="Y101" s="157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3</v>
      </c>
      <c r="Z101" s="22"/>
      <c r="AA101" s="157">
        <f>Y101+Y101*VLOOKUP(I101,EXTRAS_ARRAY,2,FALSE)</f>
        <v>3</v>
      </c>
      <c r="AB101" s="20"/>
      <c r="AC101" s="34"/>
      <c r="AD101" s="23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s="9" customFormat="1" ht="7.5" hidden="1" customHeight="1" outlineLevel="2" x14ac:dyDescent="0.35">
      <c r="A102" s="86" t="s">
        <v>132</v>
      </c>
      <c r="B102" s="15"/>
      <c r="C102" s="72"/>
      <c r="D102" s="72"/>
      <c r="E102" s="72"/>
      <c r="F102" s="72"/>
      <c r="M102" s="252"/>
      <c r="T102" s="15"/>
      <c r="X102" s="15"/>
      <c r="AB102" s="10"/>
      <c r="AC102" s="10"/>
      <c r="AD102" s="10"/>
    </row>
    <row r="103" spans="1:30" s="14" customFormat="1" ht="15.5" outlineLevel="1" x14ac:dyDescent="0.35">
      <c r="A103" s="86" t="s">
        <v>107</v>
      </c>
      <c r="B103" s="18"/>
      <c r="C103" s="77"/>
      <c r="D103" s="77"/>
      <c r="E103" s="77"/>
      <c r="F103" s="76"/>
      <c r="G103" s="170"/>
      <c r="H103" s="170"/>
      <c r="I103" s="170"/>
      <c r="J103" s="170"/>
      <c r="K103" s="170"/>
      <c r="L103" s="85" t="s">
        <v>109</v>
      </c>
      <c r="M103" s="297" t="s">
        <v>878</v>
      </c>
      <c r="N103" s="297"/>
      <c r="O103" s="80"/>
      <c r="P103" s="81"/>
      <c r="Q103" s="81"/>
      <c r="R103" s="81"/>
      <c r="S103" s="293">
        <f>SUMGROUP(ROW(), "T")</f>
        <v>129</v>
      </c>
      <c r="T103" s="293"/>
      <c r="U103" s="294"/>
      <c r="V103" s="294"/>
      <c r="W103" s="294"/>
      <c r="X103" s="82"/>
      <c r="Y103" s="83"/>
      <c r="Z103" s="83"/>
      <c r="AA103" s="83"/>
      <c r="AB103" s="221"/>
      <c r="AC103" s="84"/>
      <c r="AD103" s="23" t="str">
        <f>IF(M103="", "Error: Module name cannot be empty.", "")</f>
        <v/>
      </c>
    </row>
    <row r="104" spans="1:30" s="14" customFormat="1" ht="15.5" outlineLevel="1" collapsed="1" x14ac:dyDescent="0.35">
      <c r="A104" s="86" t="s">
        <v>100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7">
        <f ca="1">LOOKUP(1000,INDIRECT("L1:"&amp;CELL("address",INDIRECT("R[-1]C",FALSE))))+1</f>
        <v>2</v>
      </c>
      <c r="M104" s="296" t="s">
        <v>991</v>
      </c>
      <c r="N104" s="296"/>
      <c r="O104" s="5"/>
      <c r="P104" s="30"/>
      <c r="Q104" s="30"/>
      <c r="R104" s="30"/>
      <c r="S104" s="30"/>
      <c r="T104" s="155">
        <f>IF($S$6="Exclude", SUMIFS(S105:S113, J105:J113, "&lt;&gt;Yes", G105:G113, "&lt;&gt;Yes"), SUMIFS(S105:S113, J105:J113, "&lt;&gt;Yes"))</f>
        <v>16</v>
      </c>
      <c r="U104" s="30"/>
      <c r="V104" s="30"/>
      <c r="W104" s="30"/>
      <c r="X104" s="31"/>
      <c r="Y104" s="32"/>
      <c r="Z104" s="32"/>
      <c r="AA104" s="32"/>
      <c r="AB104" s="219" t="s">
        <v>945</v>
      </c>
      <c r="AC104" s="33"/>
      <c r="AD104" s="23" t="str">
        <f>IF(M104="", "Error: Task name cannot be empty.", "")</f>
        <v/>
      </c>
    </row>
    <row r="105" spans="1:30" s="12" customFormat="1" ht="1.5" hidden="1" customHeight="1" outlineLevel="2" x14ac:dyDescent="0.35">
      <c r="A105" s="86" t="s">
        <v>101</v>
      </c>
      <c r="B105" s="18"/>
      <c r="C105" s="77"/>
      <c r="D105" s="77"/>
      <c r="E105" s="77"/>
      <c r="F105" s="76"/>
      <c r="G105" s="29"/>
      <c r="H105" s="29"/>
      <c r="I105" s="29"/>
      <c r="J105" s="29"/>
      <c r="K105" s="29"/>
      <c r="L105" s="163">
        <f ca="1">L104</f>
        <v>2</v>
      </c>
      <c r="M105" s="164" t="s">
        <v>105</v>
      </c>
      <c r="N105" s="161"/>
      <c r="O105" s="162"/>
      <c r="P105" s="30"/>
      <c r="Q105" s="30"/>
      <c r="R105" s="30"/>
      <c r="S105" s="30"/>
      <c r="T105" s="155"/>
      <c r="U105" s="30"/>
      <c r="V105" s="30"/>
      <c r="W105" s="30"/>
      <c r="X105" s="31"/>
      <c r="Y105" s="32"/>
      <c r="Z105" s="32"/>
      <c r="AA105" s="32"/>
      <c r="AB105" s="33"/>
      <c r="AC105" s="33"/>
      <c r="AD105" s="23"/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 t="str">
        <f t="shared" ref="M106:M112" ca="1" si="10">IFERROR(OFFSET(M106,-1,,1,1)+0.1,OFFSET(M106,-1,-1,1,1)&amp;".1")</f>
        <v>2.1</v>
      </c>
      <c r="N106" s="20" t="s">
        <v>992</v>
      </c>
      <c r="O106" s="20"/>
      <c r="P106" s="20"/>
      <c r="Q106" s="134"/>
      <c r="R106" s="127"/>
      <c r="S106" s="157">
        <f t="shared" ref="S106:S112" si="11">CEILING((IF(J106="Yes", 0, IF(H106="-",AA106,AA106+AA106*VLOOKUP(H106,BUFFERS_BY_TYPE,2,FALSE)))) +
   (IF(J106="Yes", 0, IF(H106="-",AA106,AA106+AA106*VLOOKUP(H106,BUFFERS_BY_TYPE,2,FALSE))))*VLOOKUP($S$5, SALES_CALL_SCALE_ARRAY, 2,FALSE),0.25)</f>
        <v>2.5</v>
      </c>
      <c r="T106" s="158"/>
      <c r="U106" s="21">
        <v>0.2</v>
      </c>
      <c r="V106" s="21">
        <v>0.5</v>
      </c>
      <c r="W106" s="21">
        <v>0.3</v>
      </c>
      <c r="X106" s="156">
        <v>2.5</v>
      </c>
      <c r="Y106" s="157">
        <f t="shared" ref="Y106:Y112" si="12"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>2.5</v>
      </c>
      <c r="Z106" s="22"/>
      <c r="AA106" s="157">
        <f t="shared" ref="AA106:AA112" si="13">Y106+Y106*VLOOKUP(I106,EXTRAS_ARRAY,2,FALSE)</f>
        <v>2.5</v>
      </c>
      <c r="AB106" s="20"/>
      <c r="AC106" s="34"/>
      <c r="AD106" s="23" t="str">
        <f t="shared" ref="AD106:AD112" si="14"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2.2</v>
      </c>
      <c r="N107" s="20" t="s">
        <v>993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2.3</v>
      </c>
      <c r="N108" s="20" t="s">
        <v>994</v>
      </c>
      <c r="O108" s="20"/>
      <c r="P108" s="20"/>
      <c r="Q108" s="134"/>
      <c r="R108" s="127"/>
      <c r="S108" s="157">
        <f t="shared" si="11"/>
        <v>2.5</v>
      </c>
      <c r="T108" s="158"/>
      <c r="U108" s="21">
        <v>0</v>
      </c>
      <c r="V108" s="21">
        <v>1</v>
      </c>
      <c r="W108" s="21">
        <v>0</v>
      </c>
      <c r="X108" s="156">
        <v>2.5</v>
      </c>
      <c r="Y108" s="157">
        <f t="shared" si="12"/>
        <v>2.5</v>
      </c>
      <c r="Z108" s="22"/>
      <c r="AA108" s="157">
        <f t="shared" si="13"/>
        <v>2.5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2.4</v>
      </c>
      <c r="N109" s="20" t="s">
        <v>995</v>
      </c>
      <c r="O109" s="20"/>
      <c r="P109" s="20"/>
      <c r="Q109" s="134"/>
      <c r="R109" s="127"/>
      <c r="S109" s="157">
        <f t="shared" si="11"/>
        <v>1.5</v>
      </c>
      <c r="T109" s="158"/>
      <c r="U109" s="21">
        <v>0</v>
      </c>
      <c r="V109" s="21">
        <v>1</v>
      </c>
      <c r="W109" s="21">
        <v>0</v>
      </c>
      <c r="X109" s="156">
        <v>1.5</v>
      </c>
      <c r="Y109" s="157">
        <f t="shared" si="12"/>
        <v>1.5</v>
      </c>
      <c r="Z109" s="22"/>
      <c r="AA109" s="157">
        <f t="shared" si="13"/>
        <v>1.5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2.5</v>
      </c>
      <c r="N110" s="20" t="s">
        <v>996</v>
      </c>
      <c r="O110" s="20"/>
      <c r="P110" s="20"/>
      <c r="Q110" s="134"/>
      <c r="R110" s="127"/>
      <c r="S110" s="157">
        <f t="shared" si="11"/>
        <v>2.5</v>
      </c>
      <c r="T110" s="158"/>
      <c r="U110" s="21">
        <v>0</v>
      </c>
      <c r="V110" s="21">
        <v>1</v>
      </c>
      <c r="W110" s="21">
        <v>0</v>
      </c>
      <c r="X110" s="156">
        <v>2.5</v>
      </c>
      <c r="Y110" s="157">
        <f t="shared" si="12"/>
        <v>2.5</v>
      </c>
      <c r="Z110" s="22"/>
      <c r="AA110" s="157">
        <f t="shared" si="13"/>
        <v>2.5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2.6</v>
      </c>
      <c r="N111" s="20" t="s">
        <v>997</v>
      </c>
      <c r="O111" s="20"/>
      <c r="P111" s="20"/>
      <c r="Q111" s="134"/>
      <c r="R111" s="127"/>
      <c r="S111" s="157">
        <f t="shared" si="11"/>
        <v>2</v>
      </c>
      <c r="T111" s="158"/>
      <c r="U111" s="21">
        <v>0</v>
      </c>
      <c r="V111" s="21">
        <v>1</v>
      </c>
      <c r="W111" s="21">
        <v>0</v>
      </c>
      <c r="X111" s="156">
        <v>2</v>
      </c>
      <c r="Y111" s="157">
        <f t="shared" si="12"/>
        <v>2</v>
      </c>
      <c r="Z111" s="22"/>
      <c r="AA111" s="157">
        <f t="shared" si="13"/>
        <v>2</v>
      </c>
      <c r="AB111" s="20"/>
      <c r="AC111" s="34"/>
      <c r="AD111" s="23" t="str">
        <f t="shared" si="14"/>
        <v/>
      </c>
    </row>
    <row r="112" spans="1:30" ht="15.5" hidden="1" outlineLevel="2" x14ac:dyDescent="0.35">
      <c r="A112" s="86" t="s">
        <v>0</v>
      </c>
      <c r="B112" s="18"/>
      <c r="C112" s="78"/>
      <c r="D112" s="78"/>
      <c r="E112" s="78"/>
      <c r="F112" s="79"/>
      <c r="G112" s="19" t="s">
        <v>23</v>
      </c>
      <c r="H112" s="19" t="s">
        <v>23</v>
      </c>
      <c r="I112" s="20" t="s">
        <v>23</v>
      </c>
      <c r="J112" s="19" t="s">
        <v>23</v>
      </c>
      <c r="K112" s="35"/>
      <c r="L112" s="19"/>
      <c r="M112" s="263">
        <f t="shared" ca="1" si="10"/>
        <v>2.7</v>
      </c>
      <c r="N112" s="20" t="s">
        <v>879</v>
      </c>
      <c r="O112" s="20"/>
      <c r="P112" s="20"/>
      <c r="Q112" s="134"/>
      <c r="R112" s="127"/>
      <c r="S112" s="157">
        <f t="shared" si="11"/>
        <v>2.5</v>
      </c>
      <c r="T112" s="158"/>
      <c r="U112" s="21">
        <v>0.3</v>
      </c>
      <c r="V112" s="21">
        <v>0.5</v>
      </c>
      <c r="W112" s="21">
        <v>0.2</v>
      </c>
      <c r="X112" s="156">
        <v>2.5</v>
      </c>
      <c r="Y112" s="157">
        <f t="shared" si="12"/>
        <v>2.5</v>
      </c>
      <c r="Z112" s="22"/>
      <c r="AA112" s="157">
        <f t="shared" si="13"/>
        <v>2.5</v>
      </c>
      <c r="AB112" s="20"/>
      <c r="AC112" s="34"/>
      <c r="AD112" s="23" t="str">
        <f t="shared" si="14"/>
        <v/>
      </c>
    </row>
    <row r="113" spans="1:30" s="9" customFormat="1" ht="7.5" hidden="1" customHeight="1" outlineLevel="2" x14ac:dyDescent="0.35">
      <c r="A113" s="86" t="s">
        <v>132</v>
      </c>
      <c r="B113" s="15"/>
      <c r="C113" s="72"/>
      <c r="D113" s="72"/>
      <c r="E113" s="72"/>
      <c r="F113" s="72"/>
      <c r="M113" s="252"/>
      <c r="T113" s="15"/>
      <c r="X113" s="15"/>
      <c r="AB113" s="10"/>
      <c r="AC113" s="10"/>
      <c r="AD113" s="10"/>
    </row>
    <row r="114" spans="1:30" s="14" customFormat="1" ht="15.5" outlineLevel="1" x14ac:dyDescent="0.35">
      <c r="A114" s="86" t="s">
        <v>100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7">
        <f ca="1">LOOKUP(1000,INDIRECT("L1:"&amp;CELL("address",INDIRECT("R[-1]C",FALSE))))+1</f>
        <v>3</v>
      </c>
      <c r="M114" s="296" t="s">
        <v>998</v>
      </c>
      <c r="N114" s="296"/>
      <c r="O114" s="5"/>
      <c r="P114" s="30"/>
      <c r="Q114" s="30"/>
      <c r="R114" s="30"/>
      <c r="S114" s="30"/>
      <c r="T114" s="155">
        <f>IF($S$6="Exclude", SUMIFS(S115:S127, J115:J127, "&lt;&gt;Yes", G115:G127, "&lt;&gt;Yes"), SUMIFS(S115:S127, J115:J127, "&lt;&gt;Yes"))</f>
        <v>23.5</v>
      </c>
      <c r="U114" s="30"/>
      <c r="V114" s="30"/>
      <c r="W114" s="30"/>
      <c r="X114" s="31"/>
      <c r="Y114" s="32"/>
      <c r="Z114" s="32"/>
      <c r="AA114" s="32"/>
      <c r="AB114" s="219" t="s">
        <v>946</v>
      </c>
      <c r="AC114" s="33"/>
      <c r="AD114" s="23" t="str">
        <f>IF(M114="", "Error: Task name cannot be empty.", "")</f>
        <v/>
      </c>
    </row>
    <row r="115" spans="1:30" s="12" customFormat="1" ht="1.5" customHeight="1" outlineLevel="2" x14ac:dyDescent="0.35">
      <c r="A115" s="86" t="s">
        <v>101</v>
      </c>
      <c r="B115" s="18"/>
      <c r="C115" s="77"/>
      <c r="D115" s="77"/>
      <c r="E115" s="77"/>
      <c r="F115" s="76"/>
      <c r="G115" s="29"/>
      <c r="H115" s="29"/>
      <c r="I115" s="29"/>
      <c r="J115" s="29"/>
      <c r="K115" s="29"/>
      <c r="L115" s="163">
        <f ca="1">L114</f>
        <v>3</v>
      </c>
      <c r="M115" s="164" t="s">
        <v>105</v>
      </c>
      <c r="N115" s="161"/>
      <c r="O115" s="162"/>
      <c r="P115" s="30"/>
      <c r="Q115" s="30"/>
      <c r="R115" s="30"/>
      <c r="S115" s="30"/>
      <c r="T115" s="155"/>
      <c r="U115" s="30"/>
      <c r="V115" s="30"/>
      <c r="W115" s="30"/>
      <c r="X115" s="31"/>
      <c r="Y115" s="32"/>
      <c r="Z115" s="32"/>
      <c r="AA115" s="32"/>
      <c r="AB115" s="33"/>
      <c r="AC115" s="33"/>
      <c r="AD115" s="23"/>
    </row>
    <row r="116" spans="1:30" ht="15.5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 t="str">
        <f t="shared" ref="M116:M122" ca="1" si="15">IFERROR(OFFSET(M116,-1,,1,1)+0.1,OFFSET(M116,-1,-1,1,1)&amp;".1")</f>
        <v>3.1</v>
      </c>
      <c r="N116" s="20" t="s">
        <v>999</v>
      </c>
      <c r="O116" s="20"/>
      <c r="P116" s="20"/>
      <c r="Q116" s="134"/>
      <c r="R116" s="127"/>
      <c r="S116" s="157">
        <f t="shared" ref="S116:S122" si="16">CEILING((IF(J116="Yes", 0, IF(H116="-",AA116,AA116+AA116*VLOOKUP(H116,BUFFERS_BY_TYPE,2,FALSE)))) +
   (IF(J116="Yes", 0, IF(H116="-",AA116,AA116+AA116*VLOOKUP(H116,BUFFERS_BY_TYPE,2,FALSE))))*VLOOKUP($S$5, SALES_CALL_SCALE_ARRAY, 2,FALSE),0.25)</f>
        <v>2</v>
      </c>
      <c r="T116" s="158"/>
      <c r="U116" s="21">
        <v>0</v>
      </c>
      <c r="V116" s="21">
        <v>1</v>
      </c>
      <c r="W116" s="21">
        <v>0</v>
      </c>
      <c r="X116" s="156">
        <v>2</v>
      </c>
      <c r="Y116" s="157">
        <f t="shared" ref="Y116:Y122" si="17"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>2</v>
      </c>
      <c r="Z116" s="22"/>
      <c r="AA116" s="157">
        <f t="shared" ref="AA116:AA122" si="18">Y116+Y116*VLOOKUP(I116,EXTRAS_ARRAY,2,FALSE)</f>
        <v>2</v>
      </c>
      <c r="AB116" s="20"/>
      <c r="AC116" s="34"/>
      <c r="AD116" s="23" t="str">
        <f t="shared" ref="AD116:AD122" si="19"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/>
      </c>
    </row>
    <row r="117" spans="1:30" ht="15.5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3.2</v>
      </c>
      <c r="N117" s="20" t="s">
        <v>1000</v>
      </c>
      <c r="O117" s="20"/>
      <c r="P117" s="20"/>
      <c r="Q117" s="134"/>
      <c r="R117" s="127"/>
      <c r="S117" s="157">
        <f t="shared" si="16"/>
        <v>2.5</v>
      </c>
      <c r="T117" s="158"/>
      <c r="U117" s="21">
        <v>0</v>
      </c>
      <c r="V117" s="21">
        <v>1</v>
      </c>
      <c r="W117" s="21">
        <v>0</v>
      </c>
      <c r="X117" s="156">
        <v>2.5</v>
      </c>
      <c r="Y117" s="157">
        <f t="shared" si="17"/>
        <v>2.5</v>
      </c>
      <c r="Z117" s="22"/>
      <c r="AA117" s="157">
        <f t="shared" si="18"/>
        <v>2.5</v>
      </c>
      <c r="AB117" s="20"/>
      <c r="AC117" s="34"/>
      <c r="AD117" s="23" t="str">
        <f t="shared" si="19"/>
        <v/>
      </c>
    </row>
    <row r="118" spans="1:30" ht="15.5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3.3</v>
      </c>
      <c r="N118" s="20" t="s">
        <v>1001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3.4</v>
      </c>
      <c r="N119" s="20" t="s">
        <v>1002</v>
      </c>
      <c r="O119" s="20"/>
      <c r="P119" s="20"/>
      <c r="Q119" s="134"/>
      <c r="R119" s="127"/>
      <c r="S119" s="157">
        <f t="shared" si="16"/>
        <v>2</v>
      </c>
      <c r="T119" s="158"/>
      <c r="U119" s="21">
        <v>0</v>
      </c>
      <c r="V119" s="21">
        <v>1</v>
      </c>
      <c r="W119" s="21">
        <v>0</v>
      </c>
      <c r="X119" s="156">
        <v>2</v>
      </c>
      <c r="Y119" s="157">
        <f t="shared" si="17"/>
        <v>2</v>
      </c>
      <c r="Z119" s="22"/>
      <c r="AA119" s="157">
        <f t="shared" si="18"/>
        <v>2</v>
      </c>
      <c r="AB119" s="20"/>
      <c r="AC119" s="34"/>
      <c r="AD119" s="23" t="str">
        <f t="shared" si="19"/>
        <v/>
      </c>
    </row>
    <row r="120" spans="1:30" ht="15.5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3.5</v>
      </c>
      <c r="N120" s="20" t="s">
        <v>1003</v>
      </c>
      <c r="O120" s="20"/>
      <c r="P120" s="20"/>
      <c r="Q120" s="134"/>
      <c r="R120" s="127"/>
      <c r="S120" s="157">
        <f t="shared" si="16"/>
        <v>2.5</v>
      </c>
      <c r="T120" s="158"/>
      <c r="U120" s="21">
        <v>0</v>
      </c>
      <c r="V120" s="21">
        <v>1</v>
      </c>
      <c r="W120" s="21">
        <v>0</v>
      </c>
      <c r="X120" s="156">
        <v>2.5</v>
      </c>
      <c r="Y120" s="157">
        <f t="shared" si="17"/>
        <v>2.5</v>
      </c>
      <c r="Z120" s="22"/>
      <c r="AA120" s="157">
        <f t="shared" si="18"/>
        <v>2.5</v>
      </c>
      <c r="AB120" s="20"/>
      <c r="AC120" s="34"/>
      <c r="AD120" s="23" t="str">
        <f t="shared" si="19"/>
        <v/>
      </c>
    </row>
    <row r="121" spans="1:30" ht="15.5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3.6</v>
      </c>
      <c r="N121" s="20" t="s">
        <v>1004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ht="15.5" outlineLevel="2" x14ac:dyDescent="0.35">
      <c r="A122" s="86" t="s">
        <v>0</v>
      </c>
      <c r="B122" s="18"/>
      <c r="C122" s="78"/>
      <c r="D122" s="78"/>
      <c r="E122" s="78"/>
      <c r="F122" s="79"/>
      <c r="G122" s="19" t="s">
        <v>23</v>
      </c>
      <c r="H122" s="19" t="s">
        <v>23</v>
      </c>
      <c r="I122" s="20" t="s">
        <v>23</v>
      </c>
      <c r="J122" s="19" t="s">
        <v>23</v>
      </c>
      <c r="K122" s="35"/>
      <c r="L122" s="19"/>
      <c r="M122" s="263">
        <f t="shared" ca="1" si="15"/>
        <v>3.7</v>
      </c>
      <c r="N122" s="20" t="s">
        <v>1005</v>
      </c>
      <c r="O122" s="20"/>
      <c r="P122" s="20"/>
      <c r="Q122" s="134"/>
      <c r="R122" s="127"/>
      <c r="S122" s="157">
        <f t="shared" si="16"/>
        <v>1.5</v>
      </c>
      <c r="T122" s="158"/>
      <c r="U122" s="21">
        <v>0</v>
      </c>
      <c r="V122" s="21">
        <v>1</v>
      </c>
      <c r="W122" s="21">
        <v>0</v>
      </c>
      <c r="X122" s="156">
        <v>1.5</v>
      </c>
      <c r="Y122" s="157">
        <f t="shared" si="17"/>
        <v>1.5</v>
      </c>
      <c r="Z122" s="22"/>
      <c r="AA122" s="157">
        <f t="shared" si="18"/>
        <v>1.5</v>
      </c>
      <c r="AB122" s="20"/>
      <c r="AC122" s="34"/>
      <c r="AD122" s="23" t="str">
        <f t="shared" si="19"/>
        <v/>
      </c>
    </row>
    <row r="123" spans="1:30" ht="58" outlineLevel="2" x14ac:dyDescent="0.35">
      <c r="A123" s="86" t="s">
        <v>0</v>
      </c>
      <c r="B123" s="18"/>
      <c r="C123" s="78"/>
      <c r="D123" s="78"/>
      <c r="E123" s="78"/>
      <c r="F123" s="79"/>
      <c r="G123" s="19" t="s">
        <v>23</v>
      </c>
      <c r="H123" s="19" t="s">
        <v>23</v>
      </c>
      <c r="I123" s="20" t="s">
        <v>23</v>
      </c>
      <c r="J123" s="19" t="s">
        <v>23</v>
      </c>
      <c r="K123" s="35"/>
      <c r="L123" s="19"/>
      <c r="M123" s="263">
        <f ca="1">IFERROR(OFFSET(M123,-1,,1,1)+0.1,OFFSET(M123,-1,-1,1,1)&amp;".1")</f>
        <v>3.8</v>
      </c>
      <c r="N123" s="20" t="s">
        <v>1216</v>
      </c>
      <c r="O123" s="20"/>
      <c r="P123" s="20"/>
      <c r="Q123" s="134"/>
      <c r="R123" s="127"/>
      <c r="S123" s="157">
        <f>CEILING((IF(J123="Yes", 0, IF(H123="-",AA123,AA123+AA123*VLOOKUP(H123,BUFFERS_BY_TYPE,2,FALSE)))) +
   (IF(J123="Yes", 0, IF(H123="-",AA123,AA123+AA123*VLOOKUP(H123,BUFFERS_BY_TYPE,2,FALSE))))*VLOOKUP($S$5, SALES_CALL_SCALE_ARRAY, 2,FALSE),0.25)</f>
        <v>2.5</v>
      </c>
      <c r="T123" s="158"/>
      <c r="U123" s="21">
        <v>0</v>
      </c>
      <c r="V123" s="21">
        <v>1</v>
      </c>
      <c r="W123" s="21">
        <v>0</v>
      </c>
      <c r="X123" s="156">
        <v>2.5</v>
      </c>
      <c r="Y123" s="157">
        <f>CEILING((IF(P123=AS_DEV_EFFORT, DEV_EFFORT*Q123%,
                           IF(P123=AS_DURATION_EFFORT, (MANUAL_DURATION*5)*Q123%,
                                    (IF(Q123&lt;=1,X123,
                                          IF(SUM(U123:W123)=0,(Q123*X123),
                                               (((Q123*U123)*(X123+(X123*EXTRA_FOR_H)))+
                                               ((Q123*V123)*X123)+
                                               ((Q123*W123)*(X123-(X123*LESS_FOR_L)))
                                    )*IF(R123=0,1,R123))))))+Z123), 0.25)</f>
        <v>2.5</v>
      </c>
      <c r="Z123" s="22"/>
      <c r="AA123" s="157">
        <f>Y123+Y123*VLOOKUP(I123,EXTRAS_ARRAY,2,FALSE)</f>
        <v>2.5</v>
      </c>
      <c r="AB123" s="20" t="s">
        <v>1217</v>
      </c>
      <c r="AC123" s="34"/>
      <c r="AD123" s="23" t="str">
        <f>IF(J123&lt;&gt;"Yes",
IF(S123&lt;=0,"Error: Effort value is not defined or is invalid.",
IF(AND(SUM(U123:W123)&gt;0,SUM(U123:W123)&lt;&gt;1),"Error: Complexity % distribution should sum to 100%.",
IF(AND(P123=AS_DEV_EFFORT,X123&lt;&gt;0),"Error: PDs should not be defined when defining as dev effort %.",
IF(AND(P123=AS_DURATION_EFFORT,X123&lt;&gt;0),"Error: PDs should not be defined when defining as duration effort %.","")))))</f>
        <v/>
      </c>
    </row>
    <row r="124" spans="1:30" ht="58" outlineLevel="2" x14ac:dyDescent="0.35">
      <c r="A124" s="86" t="s">
        <v>0</v>
      </c>
      <c r="B124" s="18"/>
      <c r="C124" s="78"/>
      <c r="D124" s="78"/>
      <c r="E124" s="78"/>
      <c r="F124" s="79"/>
      <c r="G124" s="19" t="s">
        <v>23</v>
      </c>
      <c r="H124" s="19" t="s">
        <v>23</v>
      </c>
      <c r="I124" s="20" t="s">
        <v>23</v>
      </c>
      <c r="J124" s="19" t="s">
        <v>23</v>
      </c>
      <c r="K124" s="35"/>
      <c r="L124" s="19"/>
      <c r="M124" s="263">
        <f ca="1">IFERROR(OFFSET(M124,-1,,1,1)+0.1,OFFSET(M124,-1,-1,1,1)&amp;".1")</f>
        <v>3.9</v>
      </c>
      <c r="N124" s="20" t="s">
        <v>1218</v>
      </c>
      <c r="O124" s="20"/>
      <c r="P124" s="20"/>
      <c r="Q124" s="134"/>
      <c r="R124" s="127"/>
      <c r="S124" s="157">
        <f>CEILING((IF(J124="Yes", 0, IF(H124="-",AA124,AA124+AA124*VLOOKUP(H124,BUFFERS_BY_TYPE,2,FALSE)))) +
   (IF(J124="Yes", 0, IF(H124="-",AA124,AA124+AA124*VLOOKUP(H124,BUFFERS_BY_TYPE,2,FALSE))))*VLOOKUP($S$5, SALES_CALL_SCALE_ARRAY, 2,FALSE),0.25)</f>
        <v>2.5</v>
      </c>
      <c r="T124" s="158"/>
      <c r="U124" s="21">
        <v>0</v>
      </c>
      <c r="V124" s="21">
        <v>1</v>
      </c>
      <c r="W124" s="21">
        <v>0</v>
      </c>
      <c r="X124" s="156">
        <v>2.5</v>
      </c>
      <c r="Y124" s="157">
        <f>CEILING((IF(P124=AS_DEV_EFFORT, DEV_EFFORT*Q124%,
                           IF(P124=AS_DURATION_EFFORT, (MANUAL_DURATION*5)*Q124%,
                                    (IF(Q124&lt;=1,X124,
                                          IF(SUM(U124:W124)=0,(Q124*X124),
                                               (((Q124*U124)*(X124+(X124*EXTRA_FOR_H)))+
                                               ((Q124*V124)*X124)+
                                               ((Q124*W124)*(X124-(X124*LESS_FOR_L)))
                                    )*IF(R124=0,1,R124))))))+Z124), 0.25)</f>
        <v>2.5</v>
      </c>
      <c r="Z124" s="22"/>
      <c r="AA124" s="157">
        <f>Y124+Y124*VLOOKUP(I124,EXTRAS_ARRAY,2,FALSE)</f>
        <v>2.5</v>
      </c>
      <c r="AB124" s="20" t="s">
        <v>1219</v>
      </c>
      <c r="AC124" s="34"/>
      <c r="AD124" s="23" t="str">
        <f>IF(J124&lt;&gt;"Yes",
IF(S124&lt;=0,"Error: Effort value is not defined or is invalid.",
IF(AND(SUM(U124:W124)&gt;0,SUM(U124:W124)&lt;&gt;1),"Error: Complexity % distribution should sum to 100%.",
IF(AND(P124=AS_DEV_EFFORT,X124&lt;&gt;0),"Error: PDs should not be defined when defining as dev effort %.",
IF(AND(P124=AS_DURATION_EFFORT,X124&lt;&gt;0),"Error: PDs should not be defined when defining as duration effort %.","")))))</f>
        <v/>
      </c>
    </row>
    <row r="125" spans="1:30" ht="58" outlineLevel="2" x14ac:dyDescent="0.35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>
        <f ca="1">IFERROR(OFFSET(M125,-1,,1,1)+0.1,OFFSET(M125,-1,-1,1,1)&amp;".1")</f>
        <v>4</v>
      </c>
      <c r="N125" s="20" t="s">
        <v>1220</v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3</v>
      </c>
      <c r="T125" s="158"/>
      <c r="U125" s="21">
        <v>0</v>
      </c>
      <c r="V125" s="21">
        <v>1</v>
      </c>
      <c r="W125" s="21">
        <v>0</v>
      </c>
      <c r="X125" s="156">
        <v>3</v>
      </c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3</v>
      </c>
      <c r="Z125" s="22"/>
      <c r="AA125" s="157">
        <f>Y125+Y125*VLOOKUP(I125,EXTRAS_ARRAY,2,FALSE)</f>
        <v>3</v>
      </c>
      <c r="AB125" s="20" t="s">
        <v>1221</v>
      </c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58" outlineLevel="2" x14ac:dyDescent="0.35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4.1</v>
      </c>
      <c r="N126" s="20" t="inlineStr">
        <is>
          <t xml:space="preserve">Contract checks: OpenAPI compared with the last release (oasdiff), event schemas in the EventBridge schema registry; a breaking change fails the build</t>
        </is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1.5</v>
      </c>
      <c r="T126" s="158"/>
      <c r="U126" s="21">
        <v>0</v>
      </c>
      <c r="V126" s="21">
        <v>1</v>
      </c>
      <c r="W126" s="21">
        <v>0</v>
      </c>
      <c r="X126" s="156">
        <v>1.5</v>
      </c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1.5</v>
      </c>
      <c r="Z126" s="22"/>
      <c r="AA126" s="157">
        <f>Y126+Y126*VLOOKUP(I126,EXTRAS_ARRAY,2,FALSE)</f>
        <v>1.5</v>
      </c>
      <c r="AB126" s="20" t="inlineStr">
        <is>
          <t xml:space="preserve">SAD v2.0 §4, Interface standards and versioning</t>
        </is>
      </c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s="9" customFormat="1" ht="7.5" customHeight="1" outlineLevel="2" x14ac:dyDescent="0.35">
      <c r="A127" s="86" t="s">
        <v>132</v>
      </c>
      <c r="B127" s="15"/>
      <c r="C127" s="72"/>
      <c r="D127" s="72"/>
      <c r="E127" s="72"/>
      <c r="F127" s="72"/>
      <c r="M127" s="252"/>
      <c r="T127" s="15"/>
      <c r="X127" s="15"/>
      <c r="AB127" s="10"/>
      <c r="AC127" s="10"/>
      <c r="AD127" s="10"/>
    </row>
    <row r="128" spans="1:30" s="14" customFormat="1" ht="15.5" outlineLevel="1" x14ac:dyDescent="0.35">
      <c r="A128" s="86" t="s">
        <v>100</v>
      </c>
      <c r="B128" s="18"/>
      <c r="C128" s="77"/>
      <c r="D128" s="77"/>
      <c r="E128" s="77"/>
      <c r="F128" s="76"/>
      <c r="G128" s="29"/>
      <c r="H128" s="29"/>
      <c r="I128" s="29"/>
      <c r="J128" s="29"/>
      <c r="K128" s="29"/>
      <c r="L128" s="17">
        <f ca="1">LOOKUP(1000,INDIRECT("L1:"&amp;CELL("address",INDIRECT("R[-1]C",FALSE))))+1</f>
        <v>4</v>
      </c>
      <c r="M128" s="296" t="s">
        <v>1006</v>
      </c>
      <c r="N128" s="296"/>
      <c r="O128" s="5"/>
      <c r="P128" s="30"/>
      <c r="Q128" s="30"/>
      <c r="R128" s="30"/>
      <c r="S128" s="30"/>
      <c r="T128" s="155">
        <f>IF($S$6="Exclude", SUMIFS(S129:S136, J129:J136, "&lt;&gt;Yes", G129:G136, "&lt;&gt;Yes"), SUMIFS(S129:S136, J129:J136, "&lt;&gt;Yes"))</f>
        <v>22</v>
      </c>
      <c r="U128" s="30"/>
      <c r="V128" s="30"/>
      <c r="W128" s="30"/>
      <c r="X128" s="31"/>
      <c r="Y128" s="32"/>
      <c r="Z128" s="32"/>
      <c r="AA128" s="32"/>
      <c r="AB128" s="219" t="s">
        <v>947</v>
      </c>
      <c r="AC128" s="33"/>
      <c r="AD128" s="23" t="str">
        <f>IF(M128="", "Error: Task name cannot be empty.", "")</f>
        <v/>
      </c>
    </row>
    <row r="129" spans="1:30" s="12" customFormat="1" ht="1.5" customHeight="1" outlineLevel="2" x14ac:dyDescent="0.35">
      <c r="A129" s="86" t="s">
        <v>101</v>
      </c>
      <c r="B129" s="18"/>
      <c r="C129" s="77"/>
      <c r="D129" s="77"/>
      <c r="E129" s="77"/>
      <c r="F129" s="76"/>
      <c r="G129" s="29"/>
      <c r="H129" s="29"/>
      <c r="I129" s="29"/>
      <c r="J129" s="29"/>
      <c r="K129" s="29"/>
      <c r="L129" s="163">
        <f ca="1">L128</f>
        <v>4</v>
      </c>
      <c r="M129" s="164" t="s">
        <v>105</v>
      </c>
      <c r="N129" s="161"/>
      <c r="O129" s="162"/>
      <c r="P129" s="30"/>
      <c r="Q129" s="30"/>
      <c r="R129" s="30"/>
      <c r="S129" s="30"/>
      <c r="T129" s="155"/>
      <c r="U129" s="30"/>
      <c r="V129" s="30"/>
      <c r="W129" s="30"/>
      <c r="X129" s="31"/>
      <c r="Y129" s="32"/>
      <c r="Z129" s="32"/>
      <c r="AA129" s="32"/>
      <c r="AB129" s="33"/>
      <c r="AC129" s="33"/>
      <c r="AD129" s="23"/>
    </row>
    <row r="130" spans="1:30" ht="15.5" outlineLevel="2" x14ac:dyDescent="0.35">
      <c r="A130" s="86" t="s">
        <v>0</v>
      </c>
      <c r="B130" s="18"/>
      <c r="C130" s="78"/>
      <c r="D130" s="78"/>
      <c r="E130" s="78"/>
      <c r="F130" s="79"/>
      <c r="G130" s="19" t="s">
        <v>23</v>
      </c>
      <c r="H130" s="19" t="s">
        <v>23</v>
      </c>
      <c r="I130" s="20" t="s">
        <v>23</v>
      </c>
      <c r="J130" s="19" t="s">
        <v>23</v>
      </c>
      <c r="K130" s="35"/>
      <c r="L130" s="19"/>
      <c r="M130" s="263" t="str">
        <f ca="1">IFERROR(OFFSET(M130,-1,,1,1)+0.1,OFFSET(M130,-1,-1,1,1)&amp;".1")</f>
        <v>4.1</v>
      </c>
      <c r="N130" s="20" t="s">
        <v>1007</v>
      </c>
      <c r="O130" s="20"/>
      <c r="P130" s="20"/>
      <c r="Q130" s="134"/>
      <c r="R130" s="127"/>
      <c r="S130" s="157">
        <f>CEILING((IF(J130="Yes", 0, IF(H130="-",AA130,AA130+AA130*VLOOKUP(H130,BUFFERS_BY_TYPE,2,FALSE)))) +
   (IF(J130="Yes", 0, IF(H130="-",AA130,AA130+AA130*VLOOKUP(H130,BUFFERS_BY_TYPE,2,FALSE))))*VLOOKUP($S$5, SALES_CALL_SCALE_ARRAY, 2,FALSE),0.25)</f>
        <v>3</v>
      </c>
      <c r="T130" s="158"/>
      <c r="U130" s="21">
        <v>0</v>
      </c>
      <c r="V130" s="21">
        <v>1</v>
      </c>
      <c r="W130" s="21">
        <v>0</v>
      </c>
      <c r="X130" s="156">
        <v>3</v>
      </c>
      <c r="Y130" s="157">
        <f>CEILING((IF(P130=AS_DEV_EFFORT, DEV_EFFORT*Q130%,
                           IF(P130=AS_DURATION_EFFORT, (MANUAL_DURATION*5)*Q130%,
                                    (IF(Q130&lt;=1,X130,
                                          IF(SUM(U130:W130)=0,(Q130*X130),
                                               (((Q130*U130)*(X130+(X130*EXTRA_FOR_H)))+
                                               ((Q130*V130)*X130)+
                                               ((Q130*W130)*(X130-(X130*LESS_FOR_L)))
                                    )*IF(R130=0,1,R130))))))+Z130), 0.25)</f>
        <v>3</v>
      </c>
      <c r="Z130" s="22"/>
      <c r="AA130" s="157">
        <f>Y130+Y130*VLOOKUP(I130,EXTRAS_ARRAY,2,FALSE)</f>
        <v>3</v>
      </c>
      <c r="AB130" s="20"/>
      <c r="AC130" s="34"/>
      <c r="AD130" s="23" t="str">
        <f>IF(J130&lt;&gt;"Yes",
IF(S130&lt;=0,"Error: Effort value is not defined or is invalid.",
IF(AND(SUM(U130:W130)&gt;0,SUM(U130:W130)&lt;&gt;1),"Error: Complexity % distribution should sum to 100%.",
IF(AND(P130=AS_DEV_EFFORT,X130&lt;&gt;0),"Error: PDs should not be defined when defining as dev effort %.",
IF(AND(P130=AS_DURATION_EFFORT,X130&lt;&gt;0),"Error: PDs should not be defined when defining as duration effort %.","")))))</f>
        <v/>
      </c>
    </row>
    <row r="131" spans="1:30" ht="29" outlineLevel="2" x14ac:dyDescent="0.35">
      <c r="A131" s="86" t="s">
        <v>0</v>
      </c>
      <c r="B131" s="18"/>
      <c r="C131" s="78"/>
      <c r="D131" s="78"/>
      <c r="E131" s="78"/>
      <c r="F131" s="79"/>
      <c r="G131" s="19" t="s">
        <v>23</v>
      </c>
      <c r="H131" s="19" t="s">
        <v>23</v>
      </c>
      <c r="I131" s="20" t="s">
        <v>23</v>
      </c>
      <c r="J131" s="19" t="s">
        <v>23</v>
      </c>
      <c r="K131" s="35"/>
      <c r="L131" s="19"/>
      <c r="M131" s="263">
        <f ca="1">IFERROR(OFFSET(M131,-1,,1,1)+0.1,OFFSET(M131,-1,-1,1,1)&amp;".1")</f>
        <v>4.2</v>
      </c>
      <c r="N131" s="20" t="s">
        <v>1008</v>
      </c>
      <c r="O131" s="20"/>
      <c r="P131" s="20"/>
      <c r="Q131" s="134"/>
      <c r="R131" s="127"/>
      <c r="S131" s="157">
        <f>CEILING((IF(J131="Yes", 0, IF(H131="-",AA131,AA131+AA131*VLOOKUP(H131,BUFFERS_BY_TYPE,2,FALSE)))) +
   (IF(J131="Yes", 0, IF(H131="-",AA131,AA131+AA131*VLOOKUP(H131,BUFFERS_BY_TYPE,2,FALSE))))*VLOOKUP($S$5, SALES_CALL_SCALE_ARRAY, 2,FALSE),0.25)</f>
        <v>5</v>
      </c>
      <c r="T131" s="158"/>
      <c r="U131" s="21">
        <v>0</v>
      </c>
      <c r="V131" s="21">
        <v>1</v>
      </c>
      <c r="W131" s="21">
        <v>0</v>
      </c>
      <c r="X131" s="156">
        <v>5</v>
      </c>
      <c r="Y131" s="157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5</v>
      </c>
      <c r="Z131" s="22"/>
      <c r="AA131" s="157">
        <f>Y131+Y131*VLOOKUP(I131,EXTRAS_ARRAY,2,FALSE)</f>
        <v>5</v>
      </c>
      <c r="AB131" s="20"/>
      <c r="AC131" s="34"/>
      <c r="AD131" s="23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spans="1:30" ht="15.5" outlineLevel="2" x14ac:dyDescent="0.35">
      <c r="A132" s="86" t="s">
        <v>0</v>
      </c>
      <c r="B132" s="18"/>
      <c r="C132" s="78"/>
      <c r="D132" s="78"/>
      <c r="E132" s="78"/>
      <c r="F132" s="79"/>
      <c r="G132" s="19" t="s">
        <v>23</v>
      </c>
      <c r="H132" s="19" t="s">
        <v>23</v>
      </c>
      <c r="I132" s="20" t="s">
        <v>23</v>
      </c>
      <c r="J132" s="19" t="s">
        <v>23</v>
      </c>
      <c r="K132" s="35"/>
      <c r="L132" s="19"/>
      <c r="M132" s="263">
        <f ca="1">IFERROR(OFFSET(M132,-1,,1,1)+0.1,OFFSET(M132,-1,-1,1,1)&amp;".1")</f>
        <v>4.3</v>
      </c>
      <c r="N132" s="20" t="s">
        <v>1009</v>
      </c>
      <c r="O132" s="20"/>
      <c r="P132" s="20"/>
      <c r="Q132" s="134"/>
      <c r="R132" s="127"/>
      <c r="S132" s="157">
        <f>CEILING((IF(J132="Yes", 0, IF(H132="-",AA132,AA132+AA132*VLOOKUP(H132,BUFFERS_BY_TYPE,2,FALSE)))) +
   (IF(J132="Yes", 0, IF(H132="-",AA132,AA132+AA132*VLOOKUP(H132,BUFFERS_BY_TYPE,2,FALSE))))*VLOOKUP($S$5, SALES_CALL_SCALE_ARRAY, 2,FALSE),0.25)</f>
        <v>5</v>
      </c>
      <c r="T132" s="158"/>
      <c r="U132" s="21">
        <v>0</v>
      </c>
      <c r="V132" s="21">
        <v>1</v>
      </c>
      <c r="W132" s="21">
        <v>0</v>
      </c>
      <c r="X132" s="156">
        <v>5</v>
      </c>
      <c r="Y132" s="157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5</v>
      </c>
      <c r="Z132" s="22"/>
      <c r="AA132" s="157">
        <f>Y132+Y132*VLOOKUP(I132,EXTRAS_ARRAY,2,FALSE)</f>
        <v>5</v>
      </c>
      <c r="AB132" s="20"/>
      <c r="AC132" s="34"/>
      <c r="AD132" s="23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spans="1:30" ht="29" outlineLevel="2" x14ac:dyDescent="0.35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>
        <f ca="1">IFERROR(OFFSET(M133,-1,,1,1)+0.1,OFFSET(M133,-1,-1,1,1)&amp;".1")</f>
        <v>4.4</v>
      </c>
      <c r="N133" s="20" t="s">
        <v>1010</v>
      </c>
      <c r="O133" s="20"/>
      <c r="P133" s="20"/>
      <c r="Q133" s="134"/>
      <c r="R133" s="127"/>
      <c r="S133" s="157">
        <f>CEILING((IF(J133="Yes", 0, IF(H133="-",AA133,AA133+AA133*VLOOKUP(H133,BUFFERS_BY_TYPE,2,FALSE)))) +
   (IF(J133="Yes", 0, IF(H133="-",AA133,AA133+AA133*VLOOKUP(H133,BUFFERS_BY_TYPE,2,FALSE))))*VLOOKUP($S$5, SALES_CALL_SCALE_ARRAY, 2,FALSE),0.25)</f>
        <v>3</v>
      </c>
      <c r="T133" s="158"/>
      <c r="U133" s="21">
        <v>0</v>
      </c>
      <c r="V133" s="21">
        <v>1</v>
      </c>
      <c r="W133" s="21">
        <v>0</v>
      </c>
      <c r="X133" s="156">
        <v>3</v>
      </c>
      <c r="Y133" s="157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3</v>
      </c>
      <c r="Z133" s="22"/>
      <c r="AA133" s="157">
        <f>Y133+Y133*VLOOKUP(I133,EXTRAS_ARRAY,2,FALSE)</f>
        <v>3</v>
      </c>
      <c r="AB133" s="20"/>
      <c r="AC133" s="34"/>
      <c r="AD133" s="23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/>
      </c>
    </row>
    <row r="134" spans="1:30" ht="15.5" outlineLevel="2" x14ac:dyDescent="0.35">
      <c r="A134" s="86" t="s">
        <v>0</v>
      </c>
      <c r="B134" s="18"/>
      <c r="C134" s="78"/>
      <c r="D134" s="78"/>
      <c r="E134" s="78"/>
      <c r="F134" s="79"/>
      <c r="G134" s="19" t="s">
        <v>23</v>
      </c>
      <c r="H134" s="19" t="s">
        <v>23</v>
      </c>
      <c r="I134" s="20" t="s">
        <v>23</v>
      </c>
      <c r="J134" s="19" t="s">
        <v>23</v>
      </c>
      <c r="K134" s="35"/>
      <c r="L134" s="19"/>
      <c r="M134" s="263">
        <f ca="1">IFERROR(OFFSET(M134,-1,,1,1)+0.1,OFFSET(M134,-1,-1,1,1)&amp;".1")</f>
        <v>4.5</v>
      </c>
      <c r="N134" s="20" t="s">
        <v>1011</v>
      </c>
      <c r="O134" s="20"/>
      <c r="P134" s="20"/>
      <c r="Q134" s="134"/>
      <c r="R134" s="127"/>
      <c r="S134" s="157">
        <f>CEILING((IF(J134="Yes", 0, IF(H134="-",AA134,AA134+AA134*VLOOKUP(H134,BUFFERS_BY_TYPE,2,FALSE)))) +
   (IF(J134="Yes", 0, IF(H134="-",AA134,AA134+AA134*VLOOKUP(H134,BUFFERS_BY_TYPE,2,FALSE))))*VLOOKUP($S$5, SALES_CALL_SCALE_ARRAY, 2,FALSE),0.25)</f>
        <v>2</v>
      </c>
      <c r="T134" s="158"/>
      <c r="U134" s="21">
        <v>0</v>
      </c>
      <c r="V134" s="21">
        <v>1</v>
      </c>
      <c r="W134" s="21">
        <v>0</v>
      </c>
      <c r="X134" s="156">
        <v>2</v>
      </c>
      <c r="Y134" s="157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2</v>
      </c>
      <c r="Z134" s="22"/>
      <c r="AA134" s="157">
        <f>Y134+Y134*VLOOKUP(I134,EXTRAS_ARRAY,2,FALSE)</f>
        <v>2</v>
      </c>
      <c r="AB134" s="20"/>
      <c r="AC134" s="34"/>
      <c r="AD134" s="23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/>
      </c>
    </row>
    <row r="135" spans="1:30" ht="58" outlineLevel="2" x14ac:dyDescent="0.35">
      <c r="A135" s="86" t="s">
        <v>0</v>
      </c>
      <c r="B135" s="18"/>
      <c r="C135" s="78"/>
      <c r="D135" s="78"/>
      <c r="E135" s="78"/>
      <c r="F135" s="79"/>
      <c r="G135" s="19" t="s">
        <v>23</v>
      </c>
      <c r="H135" s="19" t="s">
        <v>23</v>
      </c>
      <c r="I135" s="20" t="s">
        <v>23</v>
      </c>
      <c r="J135" s="19" t="s">
        <v>23</v>
      </c>
      <c r="K135" s="35"/>
      <c r="L135" s="19"/>
      <c r="M135" s="263">
        <f ca="1">IFERROR(OFFSET(M135,-1,,1,1)+0.1,OFFSET(M135,-1,-1,1,1)&amp;".1")</f>
        <v>4.6</v>
      </c>
      <c r="N135" s="20" t="inlineStr">
        <is>
          <t xml:space="preserve">Hybrid connectivity: two Direct Connect connections, Site-to-Site VPN backup, Direct Connect gateway, a Transit Gateway per Region, routes to YCompany's address ranges</t>
        </is>
      </c>
      <c r="O135" s="20"/>
      <c r="P135" s="20"/>
      <c r="Q135" s="134"/>
      <c r="R135" s="127"/>
      <c r="S135" s="157">
        <f>CEILING((IF(J135="Yes", 0, IF(H135="-",AA135,AA135+AA135*VLOOKUP(H135,BUFFERS_BY_TYPE,2,FALSE)))) +
   (IF(J135="Yes", 0, IF(H135="-",AA135,AA135+AA135*VLOOKUP(H135,BUFFERS_BY_TYPE,2,FALSE))))*VLOOKUP($S$5, SALES_CALL_SCALE_ARRAY, 2,FALSE),0.25)</f>
        <v>4</v>
      </c>
      <c r="T135" s="158"/>
      <c r="U135" s="21">
        <v>0</v>
      </c>
      <c r="V135" s="21">
        <v>1</v>
      </c>
      <c r="W135" s="21">
        <v>0</v>
      </c>
      <c r="X135" s="156">
        <v>4</v>
      </c>
      <c r="Y135" s="157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4</v>
      </c>
      <c r="Z135" s="22"/>
      <c r="AA135" s="157">
        <f>Y135+Y135*VLOOKUP(I135,EXTRAS_ARRAY,2,FALSE)</f>
        <v>4</v>
      </c>
      <c r="AB135" s="20" t="inlineStr">
        <is>
          <t xml:space="preserve">SAD v2.0 §4, Hybrid connectivity to YCompany</t>
        </is>
      </c>
      <c r="AC135" s="34"/>
      <c r="AD135" s="23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s="9" customFormat="1" ht="7.5" customHeight="1" outlineLevel="2" x14ac:dyDescent="0.35">
      <c r="A136" s="86" t="s">
        <v>132</v>
      </c>
      <c r="B136" s="15"/>
      <c r="C136" s="72"/>
      <c r="D136" s="72"/>
      <c r="E136" s="72"/>
      <c r="F136" s="72"/>
      <c r="M136" s="252"/>
      <c r="T136" s="15"/>
      <c r="X136" s="15"/>
      <c r="AB136" s="10"/>
      <c r="AC136" s="10"/>
      <c r="AD136" s="10"/>
    </row>
    <row r="137" spans="1:30" s="14" customFormat="1" ht="29" outlineLevel="1" x14ac:dyDescent="0.35">
      <c r="A137" s="86" t="s">
        <v>100</v>
      </c>
      <c r="B137" s="18"/>
      <c r="C137" s="77"/>
      <c r="D137" s="77"/>
      <c r="E137" s="77"/>
      <c r="F137" s="76"/>
      <c r="G137" s="29"/>
      <c r="H137" s="29"/>
      <c r="I137" s="29"/>
      <c r="J137" s="29"/>
      <c r="K137" s="29"/>
      <c r="L137" s="17">
        <f ca="1">LOOKUP(1000,INDIRECT("L1:"&amp;CELL("address",INDIRECT("R[-1]C",FALSE))))+1</f>
        <v>5</v>
      </c>
      <c r="M137" s="296" t="s">
        <v>1012</v>
      </c>
      <c r="N137" s="296"/>
      <c r="O137" s="5"/>
      <c r="P137" s="30"/>
      <c r="Q137" s="30"/>
      <c r="R137" s="30"/>
      <c r="S137" s="30"/>
      <c r="T137" s="155">
        <f>IF($S$6="Exclude", SUMIFS(S138:S144, J138:J144, "&lt;&gt;Yes", G138:G144, "&lt;&gt;Yes"), SUMIFS(S138:S144, J138:J144, "&lt;&gt;Yes"))</f>
        <v>12</v>
      </c>
      <c r="U137" s="30"/>
      <c r="V137" s="30"/>
      <c r="W137" s="30"/>
      <c r="X137" s="31"/>
      <c r="Y137" s="32"/>
      <c r="Z137" s="32"/>
      <c r="AA137" s="32"/>
      <c r="AB137" s="219" t="s">
        <v>1013</v>
      </c>
      <c r="AC137" s="33"/>
      <c r="AD137" s="23" t="str">
        <f>IF(M137="", "Error: Task name cannot be empty.", "")</f>
        <v/>
      </c>
    </row>
    <row r="138" spans="1:30" s="12" customFormat="1" ht="1.5" customHeight="1" outlineLevel="2" x14ac:dyDescent="0.35">
      <c r="A138" s="86" t="s">
        <v>101</v>
      </c>
      <c r="B138" s="18"/>
      <c r="C138" s="77"/>
      <c r="D138" s="77"/>
      <c r="E138" s="77"/>
      <c r="F138" s="76"/>
      <c r="G138" s="29"/>
      <c r="H138" s="29"/>
      <c r="I138" s="29"/>
      <c r="J138" s="29"/>
      <c r="K138" s="29"/>
      <c r="L138" s="163">
        <f ca="1">L137</f>
        <v>5</v>
      </c>
      <c r="M138" s="164" t="s">
        <v>105</v>
      </c>
      <c r="N138" s="161"/>
      <c r="O138" s="162"/>
      <c r="P138" s="30"/>
      <c r="Q138" s="30"/>
      <c r="R138" s="30"/>
      <c r="S138" s="30"/>
      <c r="T138" s="155"/>
      <c r="U138" s="30"/>
      <c r="V138" s="30"/>
      <c r="W138" s="30"/>
      <c r="X138" s="31"/>
      <c r="Y138" s="32"/>
      <c r="Z138" s="32"/>
      <c r="AA138" s="32"/>
      <c r="AB138" s="33"/>
      <c r="AC138" s="33"/>
      <c r="AD138" s="23"/>
    </row>
    <row r="139" spans="1:30" ht="29" outlineLevel="2" x14ac:dyDescent="0.35">
      <c r="A139" s="86" t="s">
        <v>0</v>
      </c>
      <c r="B139" s="18"/>
      <c r="C139" s="78"/>
      <c r="D139" s="78"/>
      <c r="E139" s="78"/>
      <c r="F139" s="79"/>
      <c r="G139" s="19" t="s">
        <v>23</v>
      </c>
      <c r="H139" s="19" t="s">
        <v>23</v>
      </c>
      <c r="I139" s="20" t="s">
        <v>23</v>
      </c>
      <c r="J139" s="19" t="s">
        <v>23</v>
      </c>
      <c r="K139" s="35"/>
      <c r="L139" s="19"/>
      <c r="M139" s="263" t="str">
        <f ca="1">IFERROR(OFFSET(M139,-1,,1,1)+0.1,OFFSET(M139,-1,-1,1,1)&amp;".1")</f>
        <v>5.1</v>
      </c>
      <c r="N139" s="20" t="s">
        <v>1014</v>
      </c>
      <c r="O139" s="20"/>
      <c r="P139" s="20"/>
      <c r="Q139" s="134"/>
      <c r="R139" s="127"/>
      <c r="S139" s="157">
        <f>CEILING((IF(J139="Yes", 0, IF(H139="-",AA139,AA139+AA139*VLOOKUP(H139,BUFFERS_BY_TYPE,2,FALSE)))) +
   (IF(J139="Yes", 0, IF(H139="-",AA139,AA139+AA139*VLOOKUP(H139,BUFFERS_BY_TYPE,2,FALSE))))*VLOOKUP($S$5, SALES_CALL_SCALE_ARRAY, 2,FALSE),0.25)</f>
        <v>3</v>
      </c>
      <c r="T139" s="158"/>
      <c r="U139" s="21">
        <v>0</v>
      </c>
      <c r="V139" s="21">
        <v>1</v>
      </c>
      <c r="W139" s="21">
        <v>0</v>
      </c>
      <c r="X139" s="156">
        <v>3</v>
      </c>
      <c r="Y139" s="157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3</v>
      </c>
      <c r="Z139" s="22"/>
      <c r="AA139" s="157">
        <f>Y139+Y139*VLOOKUP(I139,EXTRAS_ARRAY,2,FALSE)</f>
        <v>3</v>
      </c>
      <c r="AB139" s="20"/>
      <c r="AC139" s="34"/>
      <c r="AD139" s="23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/>
      </c>
    </row>
    <row r="140" spans="1:30" ht="15.5" outlineLevel="2" x14ac:dyDescent="0.35">
      <c r="A140" s="86" t="s">
        <v>0</v>
      </c>
      <c r="B140" s="18"/>
      <c r="C140" s="78"/>
      <c r="D140" s="78"/>
      <c r="E140" s="78"/>
      <c r="F140" s="79"/>
      <c r="G140" s="19" t="s">
        <v>23</v>
      </c>
      <c r="H140" s="19" t="s">
        <v>23</v>
      </c>
      <c r="I140" s="20" t="s">
        <v>23</v>
      </c>
      <c r="J140" s="19" t="s">
        <v>23</v>
      </c>
      <c r="K140" s="35"/>
      <c r="L140" s="19"/>
      <c r="M140" s="263">
        <f ca="1">IFERROR(OFFSET(M140,-1,,1,1)+0.1,OFFSET(M140,-1,-1,1,1)&amp;".1")</f>
        <v>5.2</v>
      </c>
      <c r="N140" s="20" t="s">
        <v>1015</v>
      </c>
      <c r="O140" s="20"/>
      <c r="P140" s="20"/>
      <c r="Q140" s="134"/>
      <c r="R140" s="127"/>
      <c r="S140" s="157">
        <f>CEILING((IF(J140="Yes", 0, IF(H140="-",AA140,AA140+AA140*VLOOKUP(H140,BUFFERS_BY_TYPE,2,FALSE)))) +
   (IF(J140="Yes", 0, IF(H140="-",AA140,AA140+AA140*VLOOKUP(H140,BUFFERS_BY_TYPE,2,FALSE))))*VLOOKUP($S$5, SALES_CALL_SCALE_ARRAY, 2,FALSE),0.25)</f>
        <v>3</v>
      </c>
      <c r="T140" s="158"/>
      <c r="U140" s="21">
        <v>0</v>
      </c>
      <c r="V140" s="21">
        <v>1</v>
      </c>
      <c r="W140" s="21">
        <v>0</v>
      </c>
      <c r="X140" s="156">
        <v>3</v>
      </c>
      <c r="Y140" s="157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3</v>
      </c>
      <c r="Z140" s="22"/>
      <c r="AA140" s="157">
        <f>Y140+Y140*VLOOKUP(I140,EXTRAS_ARRAY,2,FALSE)</f>
        <v>3</v>
      </c>
      <c r="AB140" s="20"/>
      <c r="AC140" s="34"/>
      <c r="AD140" s="23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ht="15.5" outlineLevel="2" x14ac:dyDescent="0.35">
      <c r="A141" s="86" t="s">
        <v>0</v>
      </c>
      <c r="B141" s="18"/>
      <c r="C141" s="78"/>
      <c r="D141" s="78"/>
      <c r="E141" s="78"/>
      <c r="F141" s="79"/>
      <c r="G141" s="19" t="s">
        <v>23</v>
      </c>
      <c r="H141" s="19" t="s">
        <v>23</v>
      </c>
      <c r="I141" s="20" t="s">
        <v>23</v>
      </c>
      <c r="J141" s="19" t="s">
        <v>23</v>
      </c>
      <c r="K141" s="35"/>
      <c r="L141" s="19"/>
      <c r="M141" s="263">
        <f ca="1">IFERROR(OFFSET(M141,-1,,1,1)+0.1,OFFSET(M141,-1,-1,1,1)&amp;".1")</f>
        <v>5.3</v>
      </c>
      <c r="N141" s="20" t="s">
        <v>1016</v>
      </c>
      <c r="O141" s="20"/>
      <c r="P141" s="20"/>
      <c r="Q141" s="134"/>
      <c r="R141" s="127"/>
      <c r="S141" s="157">
        <f>CEILING((IF(J141="Yes", 0, IF(H141="-",AA141,AA141+AA141*VLOOKUP(H141,BUFFERS_BY_TYPE,2,FALSE)))) +
   (IF(J141="Yes", 0, IF(H141="-",AA141,AA141+AA141*VLOOKUP(H141,BUFFERS_BY_TYPE,2,FALSE))))*VLOOKUP($S$5, SALES_CALL_SCALE_ARRAY, 2,FALSE),0.25)</f>
        <v>3</v>
      </c>
      <c r="T141" s="158"/>
      <c r="U141" s="21">
        <v>0</v>
      </c>
      <c r="V141" s="21">
        <v>1</v>
      </c>
      <c r="W141" s="21">
        <v>0</v>
      </c>
      <c r="X141" s="156">
        <v>3</v>
      </c>
      <c r="Y141" s="157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3</v>
      </c>
      <c r="Z141" s="22"/>
      <c r="AA141" s="157">
        <f>Y141+Y141*VLOOKUP(I141,EXTRAS_ARRAY,2,FALSE)</f>
        <v>3</v>
      </c>
      <c r="AB141" s="20"/>
      <c r="AC141" s="34"/>
      <c r="AD141" s="23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ht="29" outlineLevel="2" x14ac:dyDescent="0.35">
      <c r="A142" s="86" t="s">
        <v>0</v>
      </c>
      <c r="B142" s="18"/>
      <c r="C142" s="78"/>
      <c r="D142" s="78"/>
      <c r="E142" s="78"/>
      <c r="F142" s="79"/>
      <c r="G142" s="19" t="s">
        <v>23</v>
      </c>
      <c r="H142" s="19" t="s">
        <v>23</v>
      </c>
      <c r="I142" s="20" t="s">
        <v>23</v>
      </c>
      <c r="J142" s="19" t="s">
        <v>23</v>
      </c>
      <c r="K142" s="35"/>
      <c r="L142" s="19"/>
      <c r="M142" s="263">
        <f ca="1">IFERROR(OFFSET(M142,-1,,1,1)+0.1,OFFSET(M142,-1,-1,1,1)&amp;".1")</f>
        <v>5.4</v>
      </c>
      <c r="N142" s="20" t="s">
        <v>1017</v>
      </c>
      <c r="O142" s="20"/>
      <c r="P142" s="20"/>
      <c r="Q142" s="134"/>
      <c r="R142" s="127"/>
      <c r="S142" s="157">
        <f>CEILING((IF(J142="Yes", 0, IF(H142="-",AA142,AA142+AA142*VLOOKUP(H142,BUFFERS_BY_TYPE,2,FALSE)))) +
   (IF(J142="Yes", 0, IF(H142="-",AA142,AA142+AA142*VLOOKUP(H142,BUFFERS_BY_TYPE,2,FALSE))))*VLOOKUP($S$5, SALES_CALL_SCALE_ARRAY, 2,FALSE),0.25)</f>
        <v>1.5</v>
      </c>
      <c r="T142" s="158"/>
      <c r="U142" s="21">
        <v>0</v>
      </c>
      <c r="V142" s="21">
        <v>1</v>
      </c>
      <c r="W142" s="21">
        <v>0</v>
      </c>
      <c r="X142" s="156">
        <v>1.5</v>
      </c>
      <c r="Y142" s="157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1.5</v>
      </c>
      <c r="Z142" s="22"/>
      <c r="AA142" s="157">
        <f>Y142+Y142*VLOOKUP(I142,EXTRAS_ARRAY,2,FALSE)</f>
        <v>1.5</v>
      </c>
      <c r="AB142" s="20"/>
      <c r="AC142" s="34"/>
      <c r="AD142" s="23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ht="15.5" outlineLevel="2" x14ac:dyDescent="0.35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>
        <f ca="1">IFERROR(OFFSET(M143,-1,,1,1)+0.1,OFFSET(M143,-1,-1,1,1)&amp;".1")</f>
        <v>5.5</v>
      </c>
      <c r="N143" s="20" t="s">
        <v>1018</v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1.5</v>
      </c>
      <c r="T143" s="158"/>
      <c r="U143" s="21">
        <v>0</v>
      </c>
      <c r="V143" s="21">
        <v>1</v>
      </c>
      <c r="W143" s="21">
        <v>0</v>
      </c>
      <c r="X143" s="156">
        <v>1.5</v>
      </c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1.5</v>
      </c>
      <c r="Z143" s="22"/>
      <c r="AA143" s="157">
        <f>Y143+Y143*VLOOKUP(I143,EXTRAS_ARRAY,2,FALSE)</f>
        <v>1.5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s="9" customFormat="1" ht="7.5" customHeight="1" outlineLevel="2" x14ac:dyDescent="0.35">
      <c r="A144" s="86" t="s">
        <v>132</v>
      </c>
      <c r="B144" s="15"/>
      <c r="C144" s="72"/>
      <c r="D144" s="72"/>
      <c r="E144" s="72"/>
      <c r="F144" s="72"/>
      <c r="M144" s="252"/>
      <c r="T144" s="15"/>
      <c r="X144" s="15"/>
      <c r="AB144" s="10"/>
      <c r="AC144" s="10"/>
      <c r="AD144" s="10"/>
    </row>
    <row r="145" spans="1:30" s="14" customFormat="1" ht="15.5" outlineLevel="1" x14ac:dyDescent="0.35">
      <c r="A145" s="86" t="s">
        <v>100</v>
      </c>
      <c r="B145" s="18"/>
      <c r="C145" s="77"/>
      <c r="D145" s="77"/>
      <c r="E145" s="77"/>
      <c r="F145" s="76"/>
      <c r="G145" s="29"/>
      <c r="H145" s="29"/>
      <c r="I145" s="29"/>
      <c r="J145" s="29"/>
      <c r="K145" s="29"/>
      <c r="L145" s="17">
        <f ca="1">LOOKUP(1000,INDIRECT("L1:"&amp;CELL("address",INDIRECT("R[-1]C",FALSE))))+1</f>
        <v>6</v>
      </c>
      <c r="M145" s="296" t="s">
        <v>1019</v>
      </c>
      <c r="N145" s="296"/>
      <c r="O145" s="5"/>
      <c r="P145" s="30"/>
      <c r="Q145" s="30"/>
      <c r="R145" s="30"/>
      <c r="S145" s="30"/>
      <c r="T145" s="155">
        <f>IF($S$6="Exclude", SUMIFS(S146:S154, J146:J154, "&lt;&gt;Yes", G146:G154, "&lt;&gt;Yes"), SUMIFS(S146:S154, J146:J154, "&lt;&gt;Yes"))</f>
        <v>18</v>
      </c>
      <c r="U145" s="30"/>
      <c r="V145" s="30"/>
      <c r="W145" s="30"/>
      <c r="X145" s="31"/>
      <c r="Y145" s="32"/>
      <c r="Z145" s="32"/>
      <c r="AA145" s="32"/>
      <c r="AB145" s="219" t="s">
        <v>948</v>
      </c>
      <c r="AC145" s="33"/>
      <c r="AD145" s="23" t="str">
        <f>IF(M145="", "Error: Task name cannot be empty.", "")</f>
        <v/>
      </c>
    </row>
    <row r="146" spans="1:30" s="12" customFormat="1" ht="1.5" customHeight="1" outlineLevel="2" x14ac:dyDescent="0.35">
      <c r="A146" s="86" t="s">
        <v>101</v>
      </c>
      <c r="B146" s="18"/>
      <c r="C146" s="77"/>
      <c r="D146" s="77"/>
      <c r="E146" s="77"/>
      <c r="F146" s="76"/>
      <c r="G146" s="29"/>
      <c r="H146" s="29"/>
      <c r="I146" s="29"/>
      <c r="J146" s="29"/>
      <c r="K146" s="29"/>
      <c r="L146" s="163">
        <f ca="1">L145</f>
        <v>6</v>
      </c>
      <c r="M146" s="164" t="s">
        <v>105</v>
      </c>
      <c r="N146" s="161"/>
      <c r="O146" s="162"/>
      <c r="P146" s="30"/>
      <c r="Q146" s="30"/>
      <c r="R146" s="30"/>
      <c r="S146" s="30"/>
      <c r="T146" s="155"/>
      <c r="U146" s="30"/>
      <c r="V146" s="30"/>
      <c r="W146" s="30"/>
      <c r="X146" s="31"/>
      <c r="Y146" s="32"/>
      <c r="Z146" s="32"/>
      <c r="AA146" s="32"/>
      <c r="AB146" s="33"/>
      <c r="AC146" s="33"/>
      <c r="AD146" s="23"/>
    </row>
    <row r="147" spans="1:30" ht="29" outlineLevel="2" x14ac:dyDescent="0.35">
      <c r="A147" s="86" t="s">
        <v>0</v>
      </c>
      <c r="B147" s="18"/>
      <c r="C147" s="78"/>
      <c r="D147" s="78"/>
      <c r="E147" s="78"/>
      <c r="F147" s="79"/>
      <c r="G147" s="19" t="s">
        <v>23</v>
      </c>
      <c r="H147" s="19" t="s">
        <v>23</v>
      </c>
      <c r="I147" s="20" t="s">
        <v>23</v>
      </c>
      <c r="J147" s="19" t="s">
        <v>23</v>
      </c>
      <c r="K147" s="35"/>
      <c r="L147" s="19"/>
      <c r="M147" s="263" t="str">
        <f t="shared" ref="M147:M152" ca="1" si="20">IFERROR(OFFSET(M147,-1,,1,1)+0.1,OFFSET(M147,-1,-1,1,1)&amp;".1")</f>
        <v>6.1</v>
      </c>
      <c r="N147" s="20" t="s">
        <v>1020</v>
      </c>
      <c r="O147" s="20"/>
      <c r="P147" s="20"/>
      <c r="Q147" s="134"/>
      <c r="R147" s="127"/>
      <c r="S147" s="157">
        <f t="shared" ref="S147:S152" si="21">CEILING((IF(J147="Yes", 0, IF(H147="-",AA147,AA147+AA147*VLOOKUP(H147,BUFFERS_BY_TYPE,2,FALSE)))) +
   (IF(J147="Yes", 0, IF(H147="-",AA147,AA147+AA147*VLOOKUP(H147,BUFFERS_BY_TYPE,2,FALSE))))*VLOOKUP($S$5, SALES_CALL_SCALE_ARRAY, 2,FALSE),0.25)</f>
        <v>4</v>
      </c>
      <c r="T147" s="158"/>
      <c r="U147" s="21">
        <v>0.25</v>
      </c>
      <c r="V147" s="21">
        <v>0.5</v>
      </c>
      <c r="W147" s="21">
        <v>0.25</v>
      </c>
      <c r="X147" s="156">
        <v>4</v>
      </c>
      <c r="Y147" s="157">
        <f t="shared" ref="Y147:Y152" si="22"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>4</v>
      </c>
      <c r="Z147" s="22"/>
      <c r="AA147" s="157">
        <f t="shared" ref="AA147:AA152" si="23">Y147+Y147*VLOOKUP(I147,EXTRAS_ARRAY,2,FALSE)</f>
        <v>4</v>
      </c>
      <c r="AB147" s="20"/>
      <c r="AC147" s="34"/>
      <c r="AD147" s="23" t="str">
        <f t="shared" ref="AD147:AD152" si="24"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spans="1:30" ht="29" outlineLevel="2" x14ac:dyDescent="0.35">
      <c r="A148" s="86" t="s">
        <v>0</v>
      </c>
      <c r="B148" s="18"/>
      <c r="C148" s="78"/>
      <c r="D148" s="78"/>
      <c r="E148" s="78"/>
      <c r="F148" s="79"/>
      <c r="G148" s="19" t="s">
        <v>23</v>
      </c>
      <c r="H148" s="19" t="s">
        <v>23</v>
      </c>
      <c r="I148" s="20" t="s">
        <v>23</v>
      </c>
      <c r="J148" s="19" t="s">
        <v>23</v>
      </c>
      <c r="K148" s="35"/>
      <c r="L148" s="19"/>
      <c r="M148" s="263">
        <f t="shared" ca="1" si="20"/>
        <v>6.2</v>
      </c>
      <c r="N148" s="20" t="s">
        <v>1021</v>
      </c>
      <c r="O148" s="20"/>
      <c r="P148" s="20"/>
      <c r="Q148" s="134"/>
      <c r="R148" s="127"/>
      <c r="S148" s="157">
        <f t="shared" si="21"/>
        <v>3</v>
      </c>
      <c r="T148" s="158"/>
      <c r="U148" s="21">
        <v>0</v>
      </c>
      <c r="V148" s="21">
        <v>1</v>
      </c>
      <c r="W148" s="21">
        <v>0</v>
      </c>
      <c r="X148" s="156">
        <v>3</v>
      </c>
      <c r="Y148" s="157">
        <f t="shared" si="22"/>
        <v>3</v>
      </c>
      <c r="Z148" s="22"/>
      <c r="AA148" s="157">
        <f t="shared" si="23"/>
        <v>3</v>
      </c>
      <c r="AB148" s="20"/>
      <c r="AC148" s="34"/>
      <c r="AD148" s="23" t="str">
        <f t="shared" si="24"/>
        <v/>
      </c>
    </row>
    <row r="149" spans="1:30" ht="15.5" outlineLevel="2" x14ac:dyDescent="0.35">
      <c r="A149" s="86" t="s">
        <v>0</v>
      </c>
      <c r="B149" s="18"/>
      <c r="C149" s="78"/>
      <c r="D149" s="78"/>
      <c r="E149" s="78"/>
      <c r="F149" s="79"/>
      <c r="G149" s="19" t="s">
        <v>23</v>
      </c>
      <c r="H149" s="19" t="s">
        <v>23</v>
      </c>
      <c r="I149" s="20" t="s">
        <v>23</v>
      </c>
      <c r="J149" s="19" t="s">
        <v>23</v>
      </c>
      <c r="K149" s="35"/>
      <c r="L149" s="19"/>
      <c r="M149" s="263">
        <f t="shared" ca="1" si="20"/>
        <v>6.3</v>
      </c>
      <c r="N149" s="20" t="s">
        <v>1022</v>
      </c>
      <c r="O149" s="20"/>
      <c r="P149" s="20"/>
      <c r="Q149" s="134"/>
      <c r="R149" s="127"/>
      <c r="S149" s="157">
        <f t="shared" si="21"/>
        <v>2.5</v>
      </c>
      <c r="T149" s="158"/>
      <c r="U149" s="21">
        <v>0</v>
      </c>
      <c r="V149" s="21">
        <v>1</v>
      </c>
      <c r="W149" s="21">
        <v>0</v>
      </c>
      <c r="X149" s="156">
        <v>2.5</v>
      </c>
      <c r="Y149" s="157">
        <f t="shared" si="22"/>
        <v>2.5</v>
      </c>
      <c r="Z149" s="22"/>
      <c r="AA149" s="157">
        <f t="shared" si="23"/>
        <v>2.5</v>
      </c>
      <c r="AB149" s="20"/>
      <c r="AC149" s="34"/>
      <c r="AD149" s="23" t="str">
        <f t="shared" si="24"/>
        <v/>
      </c>
    </row>
    <row r="150" spans="1:30" ht="15.5" outlineLevel="2" x14ac:dyDescent="0.35">
      <c r="A150" s="86" t="s">
        <v>0</v>
      </c>
      <c r="B150" s="18"/>
      <c r="C150" s="78"/>
      <c r="D150" s="78"/>
      <c r="E150" s="78"/>
      <c r="F150" s="79"/>
      <c r="G150" s="19" t="s">
        <v>23</v>
      </c>
      <c r="H150" s="19" t="s">
        <v>23</v>
      </c>
      <c r="I150" s="20" t="s">
        <v>23</v>
      </c>
      <c r="J150" s="19" t="s">
        <v>23</v>
      </c>
      <c r="K150" s="35"/>
      <c r="L150" s="19"/>
      <c r="M150" s="263">
        <f t="shared" ca="1" si="20"/>
        <v>6.4</v>
      </c>
      <c r="N150" s="20" t="s">
        <v>1023</v>
      </c>
      <c r="O150" s="20"/>
      <c r="P150" s="20"/>
      <c r="Q150" s="134"/>
      <c r="R150" s="127"/>
      <c r="S150" s="157">
        <f t="shared" si="21"/>
        <v>2</v>
      </c>
      <c r="T150" s="158"/>
      <c r="U150" s="21">
        <v>0</v>
      </c>
      <c r="V150" s="21">
        <v>1</v>
      </c>
      <c r="W150" s="21">
        <v>0</v>
      </c>
      <c r="X150" s="156">
        <v>2</v>
      </c>
      <c r="Y150" s="157">
        <f t="shared" si="22"/>
        <v>2</v>
      </c>
      <c r="Z150" s="22"/>
      <c r="AA150" s="157">
        <f t="shared" si="23"/>
        <v>2</v>
      </c>
      <c r="AB150" s="20"/>
      <c r="AC150" s="34"/>
      <c r="AD150" s="23" t="str">
        <f t="shared" si="24"/>
        <v/>
      </c>
    </row>
    <row r="151" spans="1:30" ht="15.5" outlineLevel="2" x14ac:dyDescent="0.35">
      <c r="A151" s="86" t="s">
        <v>0</v>
      </c>
      <c r="B151" s="18"/>
      <c r="C151" s="78"/>
      <c r="D151" s="78"/>
      <c r="E151" s="78"/>
      <c r="F151" s="79"/>
      <c r="G151" s="19" t="s">
        <v>23</v>
      </c>
      <c r="H151" s="19" t="s">
        <v>23</v>
      </c>
      <c r="I151" s="20" t="s">
        <v>23</v>
      </c>
      <c r="J151" s="19" t="s">
        <v>23</v>
      </c>
      <c r="K151" s="35"/>
      <c r="L151" s="19"/>
      <c r="M151" s="263">
        <f t="shared" ca="1" si="20"/>
        <v>6.5</v>
      </c>
      <c r="N151" s="20" t="s">
        <v>1024</v>
      </c>
      <c r="O151" s="20"/>
      <c r="P151" s="20"/>
      <c r="Q151" s="134"/>
      <c r="R151" s="127"/>
      <c r="S151" s="157">
        <f t="shared" si="21"/>
        <v>1.5</v>
      </c>
      <c r="T151" s="158"/>
      <c r="U151" s="21">
        <v>0</v>
      </c>
      <c r="V151" s="21">
        <v>1</v>
      </c>
      <c r="W151" s="21">
        <v>0</v>
      </c>
      <c r="X151" s="156">
        <v>1.5</v>
      </c>
      <c r="Y151" s="157">
        <f t="shared" si="22"/>
        <v>1.5</v>
      </c>
      <c r="Z151" s="22"/>
      <c r="AA151" s="157">
        <f t="shared" si="23"/>
        <v>1.5</v>
      </c>
      <c r="AB151" s="20"/>
      <c r="AC151" s="34"/>
      <c r="AD151" s="23" t="str">
        <f t="shared" si="24"/>
        <v/>
      </c>
    </row>
    <row r="152" spans="1:30" ht="72.5" outlineLevel="2" x14ac:dyDescent="0.35">
      <c r="A152" s="86" t="s">
        <v>0</v>
      </c>
      <c r="B152" s="18"/>
      <c r="C152" s="78"/>
      <c r="D152" s="78"/>
      <c r="E152" s="78"/>
      <c r="F152" s="79"/>
      <c r="G152" s="19" t="s">
        <v>23</v>
      </c>
      <c r="H152" s="19" t="s">
        <v>23</v>
      </c>
      <c r="I152" s="20" t="s">
        <v>23</v>
      </c>
      <c r="J152" s="19" t="s">
        <v>23</v>
      </c>
      <c r="K152" s="35"/>
      <c r="L152" s="19"/>
      <c r="M152" s="263">
        <f t="shared" ca="1" si="20"/>
        <v>6.6</v>
      </c>
      <c r="N152" s="20" t="s">
        <v>1222</v>
      </c>
      <c r="O152" s="20"/>
      <c r="P152" s="20"/>
      <c r="Q152" s="134"/>
      <c r="R152" s="127"/>
      <c r="S152" s="157">
        <f t="shared" si="21"/>
        <v>3</v>
      </c>
      <c r="T152" s="158"/>
      <c r="U152" s="21">
        <v>0</v>
      </c>
      <c r="V152" s="21">
        <v>1</v>
      </c>
      <c r="W152" s="21">
        <v>0</v>
      </c>
      <c r="X152" s="156">
        <v>3</v>
      </c>
      <c r="Y152" s="157">
        <f t="shared" si="22"/>
        <v>3</v>
      </c>
      <c r="Z152" s="22"/>
      <c r="AA152" s="157">
        <f t="shared" si="23"/>
        <v>3</v>
      </c>
      <c r="AB152" s="20" t="s">
        <v>1223</v>
      </c>
      <c r="AC152" s="34"/>
      <c r="AD152" s="23" t="str">
        <f t="shared" si="24"/>
        <v/>
      </c>
    </row>
    <row r="153" spans="1:30" ht="58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>
        <f ca="1">IFERROR(OFFSET(M153,-1,,1,1)+0.1,OFFSET(M153,-1,-1,1,1)&amp;".1")</f>
        <v>6.7</v>
      </c>
      <c r="N153" s="20" t="inlineStr">
        <is>
          <t xml:space="preserve">Four RDS instance groups per Region (claims core, identity, high-volume records, money &amp; fraud) with their cross-Region replicas; two zero-ETL integrations</t>
        </is>
      </c>
      <c r="O153" s="20"/>
      <c r="P153" s="20"/>
      <c r="Q153" s="134"/>
      <c r="R153" s="127"/>
      <c r="S153" s="157">
        <f>CEILING((IF(J153="Yes", 0, IF(H153="-",AA153,AA153+AA153*VLOOKUP(H153,BUFFERS_BY_TYPE,2,FALSE)))) +
   (IF(J153="Yes", 0, IF(H153="-",AA153,AA153+AA153*VLOOKUP(H153,BUFFERS_BY_TYPE,2,FALSE))))*VLOOKUP($S$5, SALES_CALL_SCALE_ARRAY, 2,FALSE),0.25)</f>
        <v>2</v>
      </c>
      <c r="T153" s="158"/>
      <c r="U153" s="21">
        <v>0</v>
      </c>
      <c r="V153" s="21">
        <v>1</v>
      </c>
      <c r="W153" s="21">
        <v>0</v>
      </c>
      <c r="X153" s="156">
        <v>2</v>
      </c>
      <c r="Y153" s="157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2</v>
      </c>
      <c r="Z153" s="22"/>
      <c r="AA153" s="157">
        <f>Y153+Y153*VLOOKUP(I153,EXTRAS_ARRAY,2,FALSE)</f>
        <v>2</v>
      </c>
      <c r="AB153" s="20" t="inlineStr">
        <is>
          <t xml:space="preserve">SAD v2.0 §4 Layer 5</t>
        </is>
      </c>
      <c r="AC153" s="34"/>
      <c r="AD153" s="23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s="9" customFormat="1" ht="7.5" customHeight="1" outlineLevel="2" x14ac:dyDescent="0.35">
      <c r="A154" s="86" t="s">
        <v>132</v>
      </c>
      <c r="B154" s="15"/>
      <c r="C154" s="72"/>
      <c r="D154" s="72"/>
      <c r="E154" s="72"/>
      <c r="F154" s="72"/>
      <c r="M154" s="252"/>
      <c r="T154" s="15"/>
      <c r="X154" s="15"/>
      <c r="AB154" s="10"/>
      <c r="AC154" s="10"/>
      <c r="AD154" s="10"/>
    </row>
    <row r="155" spans="1:30" s="14" customFormat="1" ht="29" outlineLevel="1" x14ac:dyDescent="0.35">
      <c r="A155" s="86" t="s">
        <v>100</v>
      </c>
      <c r="B155" s="18"/>
      <c r="C155" s="77"/>
      <c r="D155" s="77"/>
      <c r="E155" s="77"/>
      <c r="F155" s="76"/>
      <c r="G155" s="29"/>
      <c r="H155" s="29"/>
      <c r="I155" s="29"/>
      <c r="J155" s="29"/>
      <c r="K155" s="29"/>
      <c r="L155" s="17">
        <f ca="1">LOOKUP(1000,INDIRECT("L1:"&amp;CELL("address",INDIRECT("R[-1]C",FALSE))))+1</f>
        <v>7</v>
      </c>
      <c r="M155" s="296" t="s">
        <v>1186</v>
      </c>
      <c r="N155" s="296"/>
      <c r="O155" s="5"/>
      <c r="P155" s="30"/>
      <c r="Q155" s="30"/>
      <c r="R155" s="30"/>
      <c r="S155" s="30"/>
      <c r="T155" s="155">
        <f>IF($S$6="Exclude", SUMIFS(S156:S163, J156:J163, "&lt;&gt;Yes", G156:G163, "&lt;&gt;Yes"), SUMIFS(S156:S163, J156:J163, "&lt;&gt;Yes"))</f>
        <v>20.5</v>
      </c>
      <c r="U155" s="30"/>
      <c r="V155" s="30"/>
      <c r="W155" s="30"/>
      <c r="X155" s="31"/>
      <c r="Y155" s="32"/>
      <c r="Z155" s="32"/>
      <c r="AA155" s="32"/>
      <c r="AB155" s="219" t="s">
        <v>1187</v>
      </c>
      <c r="AC155" s="33"/>
      <c r="AD155" s="23" t="str">
        <f>IF(M155="", "Error: Task name cannot be empty.", "")</f>
        <v/>
      </c>
    </row>
    <row r="156" spans="1:30" s="12" customFormat="1" ht="1.5" customHeight="1" outlineLevel="2" x14ac:dyDescent="0.35">
      <c r="A156" s="86" t="s">
        <v>101</v>
      </c>
      <c r="B156" s="18"/>
      <c r="C156" s="77"/>
      <c r="D156" s="77"/>
      <c r="E156" s="77"/>
      <c r="F156" s="76"/>
      <c r="G156" s="29"/>
      <c r="H156" s="29"/>
      <c r="I156" s="29"/>
      <c r="J156" s="29"/>
      <c r="K156" s="29"/>
      <c r="L156" s="163">
        <f ca="1">L155</f>
        <v>7</v>
      </c>
      <c r="M156" s="164" t="s">
        <v>105</v>
      </c>
      <c r="N156" s="161"/>
      <c r="O156" s="162"/>
      <c r="P156" s="30"/>
      <c r="Q156" s="30"/>
      <c r="R156" s="30"/>
      <c r="S156" s="30"/>
      <c r="T156" s="155"/>
      <c r="U156" s="30"/>
      <c r="V156" s="30"/>
      <c r="W156" s="30"/>
      <c r="X156" s="31"/>
      <c r="Y156" s="32"/>
      <c r="Z156" s="32"/>
      <c r="AA156" s="32"/>
      <c r="AB156" s="33"/>
      <c r="AC156" s="33"/>
      <c r="AD156" s="23"/>
    </row>
    <row r="157" spans="1:30" ht="43.5" outlineLevel="2" x14ac:dyDescent="0.35">
      <c r="A157" s="86" t="s">
        <v>0</v>
      </c>
      <c r="B157" s="18"/>
      <c r="C157" s="78"/>
      <c r="D157" s="78"/>
      <c r="E157" s="78"/>
      <c r="F157" s="79"/>
      <c r="G157" s="19" t="s">
        <v>23</v>
      </c>
      <c r="H157" s="19" t="s">
        <v>23</v>
      </c>
      <c r="I157" s="20" t="s">
        <v>23</v>
      </c>
      <c r="J157" s="19" t="s">
        <v>23</v>
      </c>
      <c r="K157" s="35"/>
      <c r="L157" s="19"/>
      <c r="M157" s="263" t="str">
        <f t="shared" ref="M157:M162" ca="1" si="25">IFERROR(OFFSET(M157,-1,,1,1)+0.1,OFFSET(M157,-1,-1,1,1)&amp;".1")</f>
        <v>7.1</v>
      </c>
      <c r="N157" s="20" t="s">
        <v>1188</v>
      </c>
      <c r="O157" s="20"/>
      <c r="P157" s="20"/>
      <c r="Q157" s="134"/>
      <c r="R157" s="127"/>
      <c r="S157" s="157">
        <f t="shared" ref="S157:S162" si="26">CEILING((IF(J157="Yes", 0, IF(H157="-",AA157,AA157+AA157*VLOOKUP(H157,BUFFERS_BY_TYPE,2,FALSE)))) +
   (IF(J157="Yes", 0, IF(H157="-",AA157,AA157+AA157*VLOOKUP(H157,BUFFERS_BY_TYPE,2,FALSE))))*VLOOKUP($S$5, SALES_CALL_SCALE_ARRAY, 2,FALSE),0.25)</f>
        <v>4</v>
      </c>
      <c r="T157" s="158"/>
      <c r="U157" s="21">
        <v>0</v>
      </c>
      <c r="V157" s="21">
        <v>1</v>
      </c>
      <c r="W157" s="21">
        <v>0</v>
      </c>
      <c r="X157" s="156">
        <v>4</v>
      </c>
      <c r="Y157" s="157">
        <f t="shared" ref="Y157:Y162" si="27">CEILING((IF(P157=AS_DEV_EFFORT, DEV_EFFORT*Q157%,
                           IF(P157=AS_DURATION_EFFORT, (MANUAL_DURATION*5)*Q157%,
                                    (IF(Q157&lt;=1,X157,
                                          IF(SUM(U157:W157)=0,(Q157*X157),
                                               (((Q157*U157)*(X157+(X157*EXTRA_FOR_H)))+
                                               ((Q157*V157)*X157)+
                                               ((Q157*W157)*(X157-(X157*LESS_FOR_L)))
                                    )*IF(R157=0,1,R157))))))+Z157), 0.25)</f>
        <v>4</v>
      </c>
      <c r="Z157" s="22"/>
      <c r="AA157" s="157">
        <f t="shared" ref="AA157:AA162" si="28">Y157+Y157*VLOOKUP(I157,EXTRAS_ARRAY,2,FALSE)</f>
        <v>4</v>
      </c>
      <c r="AB157" s="20" t="s">
        <v>1189</v>
      </c>
      <c r="AC157" s="34"/>
      <c r="AD157" s="23" t="str">
        <f t="shared" ref="AD157:AD162" si="29">IF(J157&lt;&gt;"Yes",
IF(S157&lt;=0,"Error: Effort value is not defined or is invalid.",
IF(AND(SUM(U157:W157)&gt;0,SUM(U157:W157)&lt;&gt;1),"Error: Complexity % distribution should sum to 100%.",
IF(AND(P157=AS_DEV_EFFORT,X157&lt;&gt;0),"Error: PDs should not be defined when defining as dev effort %.",
IF(AND(P157=AS_DURATION_EFFORT,X157&lt;&gt;0),"Error: PDs should not be defined when defining as duration effort %.","")))))</f>
        <v/>
      </c>
    </row>
    <row r="158" spans="1:30" ht="87" outlineLevel="2" x14ac:dyDescent="0.35">
      <c r="A158" s="86" t="s">
        <v>0</v>
      </c>
      <c r="B158" s="18"/>
      <c r="C158" s="78"/>
      <c r="D158" s="78"/>
      <c r="E158" s="78"/>
      <c r="F158" s="79"/>
      <c r="G158" s="19" t="s">
        <v>23</v>
      </c>
      <c r="H158" s="19" t="s">
        <v>23</v>
      </c>
      <c r="I158" s="20" t="s">
        <v>23</v>
      </c>
      <c r="J158" s="19" t="s">
        <v>23</v>
      </c>
      <c r="K158" s="35"/>
      <c r="L158" s="19"/>
      <c r="M158" s="263">
        <f t="shared" ca="1" si="25"/>
        <v>7.2</v>
      </c>
      <c r="N158" s="20" t="s">
        <v>1224</v>
      </c>
      <c r="O158" s="20"/>
      <c r="P158" s="20"/>
      <c r="Q158" s="134"/>
      <c r="R158" s="127"/>
      <c r="S158" s="157">
        <f t="shared" si="26"/>
        <v>5.5</v>
      </c>
      <c r="T158" s="158"/>
      <c r="U158" s="21">
        <v>0</v>
      </c>
      <c r="V158" s="21">
        <v>1</v>
      </c>
      <c r="W158" s="21">
        <v>0</v>
      </c>
      <c r="X158" s="156">
        <v>5.5</v>
      </c>
      <c r="Y158" s="157">
        <f t="shared" si="27"/>
        <v>5.5</v>
      </c>
      <c r="Z158" s="22"/>
      <c r="AA158" s="157">
        <f t="shared" si="28"/>
        <v>5.5</v>
      </c>
      <c r="AB158" s="20"/>
      <c r="AC158" s="34"/>
      <c r="AD158" s="23" t="str">
        <f t="shared" si="29"/>
        <v/>
      </c>
    </row>
    <row r="159" spans="1:30" ht="43.5" outlineLevel="2" x14ac:dyDescent="0.35">
      <c r="A159" s="86" t="s">
        <v>0</v>
      </c>
      <c r="B159" s="18"/>
      <c r="C159" s="78"/>
      <c r="D159" s="78"/>
      <c r="E159" s="78"/>
      <c r="F159" s="79"/>
      <c r="G159" s="19" t="s">
        <v>23</v>
      </c>
      <c r="H159" s="19" t="s">
        <v>23</v>
      </c>
      <c r="I159" s="20" t="s">
        <v>23</v>
      </c>
      <c r="J159" s="19" t="s">
        <v>23</v>
      </c>
      <c r="K159" s="35"/>
      <c r="L159" s="19"/>
      <c r="M159" s="263">
        <f t="shared" ca="1" si="25"/>
        <v>7.3</v>
      </c>
      <c r="N159" s="20" t="s">
        <v>1190</v>
      </c>
      <c r="O159" s="20"/>
      <c r="P159" s="20"/>
      <c r="Q159" s="134"/>
      <c r="R159" s="127"/>
      <c r="S159" s="157">
        <f t="shared" si="26"/>
        <v>3</v>
      </c>
      <c r="T159" s="158"/>
      <c r="U159" s="21">
        <v>0</v>
      </c>
      <c r="V159" s="21">
        <v>1</v>
      </c>
      <c r="W159" s="21">
        <v>0</v>
      </c>
      <c r="X159" s="156">
        <v>3</v>
      </c>
      <c r="Y159" s="157">
        <f t="shared" si="27"/>
        <v>3</v>
      </c>
      <c r="Z159" s="22"/>
      <c r="AA159" s="157">
        <f t="shared" si="28"/>
        <v>3</v>
      </c>
      <c r="AB159" s="20" t="s">
        <v>1191</v>
      </c>
      <c r="AC159" s="34"/>
      <c r="AD159" s="23" t="str">
        <f t="shared" si="29"/>
        <v/>
      </c>
    </row>
    <row r="160" spans="1:30" ht="43.5" outlineLevel="2" x14ac:dyDescent="0.35">
      <c r="A160" s="86" t="s">
        <v>0</v>
      </c>
      <c r="B160" s="18"/>
      <c r="C160" s="78"/>
      <c r="D160" s="78"/>
      <c r="E160" s="78"/>
      <c r="F160" s="79"/>
      <c r="G160" s="19" t="s">
        <v>23</v>
      </c>
      <c r="H160" s="19" t="s">
        <v>23</v>
      </c>
      <c r="I160" s="20" t="s">
        <v>23</v>
      </c>
      <c r="J160" s="19" t="s">
        <v>23</v>
      </c>
      <c r="K160" s="35"/>
      <c r="L160" s="19"/>
      <c r="M160" s="263">
        <f t="shared" ca="1" si="25"/>
        <v>7.4</v>
      </c>
      <c r="N160" s="20" t="s">
        <v>1192</v>
      </c>
      <c r="O160" s="20"/>
      <c r="P160" s="20"/>
      <c r="Q160" s="134"/>
      <c r="R160" s="127"/>
      <c r="S160" s="157">
        <f t="shared" si="26"/>
        <v>3</v>
      </c>
      <c r="T160" s="158"/>
      <c r="U160" s="21">
        <v>0</v>
      </c>
      <c r="V160" s="21">
        <v>1</v>
      </c>
      <c r="W160" s="21">
        <v>0</v>
      </c>
      <c r="X160" s="156">
        <v>3</v>
      </c>
      <c r="Y160" s="157">
        <f t="shared" si="27"/>
        <v>3</v>
      </c>
      <c r="Z160" s="22"/>
      <c r="AA160" s="157">
        <f t="shared" si="28"/>
        <v>3</v>
      </c>
      <c r="AB160" s="20" t="s">
        <v>1193</v>
      </c>
      <c r="AC160" s="34"/>
      <c r="AD160" s="23" t="str">
        <f t="shared" si="29"/>
        <v/>
      </c>
    </row>
    <row r="161" spans="1:30" ht="58" outlineLevel="2" x14ac:dyDescent="0.35">
      <c r="A161" s="86" t="s">
        <v>0</v>
      </c>
      <c r="B161" s="18"/>
      <c r="C161" s="78"/>
      <c r="D161" s="78"/>
      <c r="E161" s="78"/>
      <c r="F161" s="79"/>
      <c r="G161" s="19" t="s">
        <v>23</v>
      </c>
      <c r="H161" s="19" t="s">
        <v>23</v>
      </c>
      <c r="I161" s="20" t="s">
        <v>23</v>
      </c>
      <c r="J161" s="19" t="s">
        <v>23</v>
      </c>
      <c r="K161" s="35"/>
      <c r="L161" s="19"/>
      <c r="M161" s="263">
        <f t="shared" ca="1" si="25"/>
        <v>7.5</v>
      </c>
      <c r="N161" s="20" t="s">
        <v>1194</v>
      </c>
      <c r="O161" s="20"/>
      <c r="P161" s="20"/>
      <c r="Q161" s="134"/>
      <c r="R161" s="127"/>
      <c r="S161" s="157">
        <f t="shared" si="26"/>
        <v>2</v>
      </c>
      <c r="T161" s="158"/>
      <c r="U161" s="21">
        <v>0</v>
      </c>
      <c r="V161" s="21">
        <v>1</v>
      </c>
      <c r="W161" s="21">
        <v>0</v>
      </c>
      <c r="X161" s="156">
        <v>2</v>
      </c>
      <c r="Y161" s="157">
        <f t="shared" si="27"/>
        <v>2</v>
      </c>
      <c r="Z161" s="22"/>
      <c r="AA161" s="157">
        <f t="shared" si="28"/>
        <v>2</v>
      </c>
      <c r="AB161" s="20" t="s">
        <v>1195</v>
      </c>
      <c r="AC161" s="34"/>
      <c r="AD161" s="23" t="str">
        <f t="shared" si="29"/>
        <v/>
      </c>
    </row>
    <row r="162" spans="1:30" ht="72.5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>
        <f t="shared" ca="1" si="25"/>
        <v>7.6</v>
      </c>
      <c r="N162" s="20" t="s">
        <v>1225</v>
      </c>
      <c r="O162" s="20"/>
      <c r="P162" s="20"/>
      <c r="Q162" s="134"/>
      <c r="R162" s="127"/>
      <c r="S162" s="157">
        <f t="shared" si="26"/>
        <v>3</v>
      </c>
      <c r="T162" s="158"/>
      <c r="U162" s="21">
        <v>0</v>
      </c>
      <c r="V162" s="21">
        <v>1</v>
      </c>
      <c r="W162" s="21">
        <v>0</v>
      </c>
      <c r="X162" s="156">
        <v>3</v>
      </c>
      <c r="Y162" s="157">
        <f t="shared" si="27"/>
        <v>3</v>
      </c>
      <c r="Z162" s="22"/>
      <c r="AA162" s="157">
        <f t="shared" si="28"/>
        <v>3</v>
      </c>
      <c r="AB162" s="20"/>
      <c r="AC162" s="34"/>
      <c r="AD162" s="23" t="str">
        <f t="shared" si="29"/>
        <v/>
      </c>
    </row>
    <row r="163" spans="1:30" s="9" customFormat="1" ht="7.5" customHeight="1" outlineLevel="2" x14ac:dyDescent="0.35">
      <c r="A163" s="86" t="s">
        <v>132</v>
      </c>
      <c r="B163" s="15"/>
      <c r="C163" s="72"/>
      <c r="D163" s="72"/>
      <c r="E163" s="72"/>
      <c r="F163" s="72"/>
      <c r="M163" s="252"/>
      <c r="T163" s="15"/>
      <c r="X163" s="15"/>
      <c r="AB163" s="10"/>
      <c r="AC163" s="10"/>
      <c r="AD163" s="10"/>
    </row>
    <row r="164" spans="1:30" s="14" customFormat="1" ht="29" outlineLevel="1" x14ac:dyDescent="0.35">
      <c r="A164" s="86" t="s">
        <v>100</v>
      </c>
      <c r="B164" s="18"/>
      <c r="C164" s="77"/>
      <c r="D164" s="77"/>
      <c r="E164" s="77"/>
      <c r="F164" s="76"/>
      <c r="G164" s="29"/>
      <c r="H164" s="29"/>
      <c r="I164" s="29"/>
      <c r="J164" s="29"/>
      <c r="K164" s="29"/>
      <c r="L164" s="17">
        <f ca="1">LOOKUP(1000,INDIRECT("L1:"&amp;CELL("address",INDIRECT("R[-1]C",FALSE))))+1</f>
        <v>8</v>
      </c>
      <c r="M164" s="296" t="s">
        <v>1226</v>
      </c>
      <c r="N164" s="296"/>
      <c r="O164" s="5"/>
      <c r="P164" s="30"/>
      <c r="Q164" s="30"/>
      <c r="R164" s="30"/>
      <c r="S164" s="30"/>
      <c r="T164" s="155">
        <f>IF($S$6="Exclude", SUMIFS(S165:S173, J165:J173, "&lt;&gt;Yes", G165:G173, "&lt;&gt;Yes"), SUMIFS(S165:S173, J165:J173, "&lt;&gt;Yes"))</f>
        <v>17</v>
      </c>
      <c r="U164" s="30"/>
      <c r="V164" s="30"/>
      <c r="W164" s="30"/>
      <c r="X164" s="31"/>
      <c r="Y164" s="32"/>
      <c r="Z164" s="32"/>
      <c r="AA164" s="32"/>
      <c r="AB164" s="219" t="s">
        <v>1227</v>
      </c>
      <c r="AC164" s="33"/>
      <c r="AD164" s="23" t="str">
        <f>IF(M164="", "Error: Task name cannot be empty.", "")</f>
        <v/>
      </c>
    </row>
    <row r="165" spans="1:30" s="12" customFormat="1" ht="1.5" customHeight="1" outlineLevel="2" x14ac:dyDescent="0.35">
      <c r="A165" s="86" t="s">
        <v>101</v>
      </c>
      <c r="B165" s="18"/>
      <c r="C165" s="77"/>
      <c r="D165" s="77"/>
      <c r="E165" s="77"/>
      <c r="F165" s="76"/>
      <c r="G165" s="29"/>
      <c r="H165" s="29"/>
      <c r="I165" s="29"/>
      <c r="J165" s="29"/>
      <c r="K165" s="29"/>
      <c r="L165" s="163">
        <f ca="1">L164</f>
        <v>8</v>
      </c>
      <c r="M165" s="164" t="s">
        <v>105</v>
      </c>
      <c r="N165" s="161"/>
      <c r="O165" s="162"/>
      <c r="P165" s="30"/>
      <c r="Q165" s="30"/>
      <c r="R165" s="30"/>
      <c r="S165" s="30"/>
      <c r="T165" s="155"/>
      <c r="U165" s="30"/>
      <c r="V165" s="30"/>
      <c r="W165" s="30"/>
      <c r="X165" s="31"/>
      <c r="Y165" s="32"/>
      <c r="Z165" s="32"/>
      <c r="AA165" s="32"/>
      <c r="AB165" s="33"/>
      <c r="AC165" s="33"/>
      <c r="AD165" s="23"/>
    </row>
    <row r="166" spans="1:30" ht="58" outlineLevel="2" x14ac:dyDescent="0.35">
      <c r="A166" s="86" t="s">
        <v>0</v>
      </c>
      <c r="B166" s="18"/>
      <c r="C166" s="78"/>
      <c r="D166" s="78"/>
      <c r="E166" s="78"/>
      <c r="F166" s="79"/>
      <c r="G166" s="19" t="s">
        <v>23</v>
      </c>
      <c r="H166" s="19" t="s">
        <v>23</v>
      </c>
      <c r="I166" s="20" t="s">
        <v>23</v>
      </c>
      <c r="J166" s="19" t="s">
        <v>23</v>
      </c>
      <c r="K166" s="35"/>
      <c r="L166" s="19"/>
      <c r="M166" s="263" t="str">
        <f ca="1">IFERROR(OFFSET(M166,-1,,1,1)+0.1,OFFSET(M166,-1,-1,1,1)&amp;".1")</f>
        <v>8.1</v>
      </c>
      <c r="N166" s="20" t="s">
        <v>1228</v>
      </c>
      <c r="O166" s="20"/>
      <c r="P166" s="20"/>
      <c r="Q166" s="134"/>
      <c r="R166" s="127"/>
      <c r="S166" s="157">
        <f>CEILING((IF(J166="Yes", 0, IF(H166="-",AA166,AA166+AA166*VLOOKUP(H166,BUFFERS_BY_TYPE,2,FALSE)))) +
   (IF(J166="Yes", 0, IF(H166="-",AA166,AA166+AA166*VLOOKUP(H166,BUFFERS_BY_TYPE,2,FALSE))))*VLOOKUP($S$5, SALES_CALL_SCALE_ARRAY, 2,FALSE),0.25)</f>
        <v>3</v>
      </c>
      <c r="T166" s="158"/>
      <c r="U166" s="21">
        <v>0</v>
      </c>
      <c r="V166" s="21">
        <v>1</v>
      </c>
      <c r="W166" s="21">
        <v>0</v>
      </c>
      <c r="X166" s="156">
        <v>3</v>
      </c>
      <c r="Y166" s="157">
        <f>CEILING((IF(P166=AS_DEV_EFFORT, DEV_EFFORT*Q166%,
                           IF(P166=AS_DURATION_EFFORT, (MANUAL_DURATION*5)*Q166%,
                                    (IF(Q166&lt;=1,X166,
                                          IF(SUM(U166:W166)=0,(Q166*X166),
                                               (((Q166*U166)*(X166+(X166*EXTRA_FOR_H)))+
                                               ((Q166*V166)*X166)+
                                               ((Q166*W166)*(X166-(X166*LESS_FOR_L)))
                                    )*IF(R166=0,1,R166))))))+Z166), 0.25)</f>
        <v>3</v>
      </c>
      <c r="Z166" s="22"/>
      <c r="AA166" s="157">
        <f>Y166+Y166*VLOOKUP(I166,EXTRAS_ARRAY,2,FALSE)</f>
        <v>3</v>
      </c>
      <c r="AB166" s="20"/>
      <c r="AC166" s="34"/>
      <c r="AD166" s="23" t="str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spans="1:30" ht="58" outlineLevel="2" x14ac:dyDescent="0.35">
      <c r="A167" s="86" t="s">
        <v>0</v>
      </c>
      <c r="B167" s="18"/>
      <c r="C167" s="78"/>
      <c r="D167" s="78"/>
      <c r="E167" s="78"/>
      <c r="F167" s="79"/>
      <c r="G167" s="19" t="s">
        <v>23</v>
      </c>
      <c r="H167" s="19" t="s">
        <v>23</v>
      </c>
      <c r="I167" s="20" t="s">
        <v>23</v>
      </c>
      <c r="J167" s="19" t="s">
        <v>23</v>
      </c>
      <c r="K167" s="35"/>
      <c r="L167" s="19"/>
      <c r="M167" s="263">
        <f ca="1">IFERROR(OFFSET(M167,-1,,1,1)+0.1,OFFSET(M167,-1,-1,1,1)&amp;".1")</f>
        <v>8.2</v>
      </c>
      <c r="N167" s="20" t="s">
        <v>1229</v>
      </c>
      <c r="O167" s="20"/>
      <c r="P167" s="20"/>
      <c r="Q167" s="134"/>
      <c r="R167" s="127"/>
      <c r="S167" s="157">
        <f>CEILING((IF(J167="Yes", 0, IF(H167="-",AA167,AA167+AA167*VLOOKUP(H167,BUFFERS_BY_TYPE,2,FALSE)))) +
   (IF(J167="Yes", 0, IF(H167="-",AA167,AA167+AA167*VLOOKUP(H167,BUFFERS_BY_TYPE,2,FALSE))))*VLOOKUP($S$5, SALES_CALL_SCALE_ARRAY, 2,FALSE),0.25)</f>
        <v>3</v>
      </c>
      <c r="T167" s="158"/>
      <c r="U167" s="21">
        <v>0</v>
      </c>
      <c r="V167" s="21">
        <v>1</v>
      </c>
      <c r="W167" s="21">
        <v>0</v>
      </c>
      <c r="X167" s="156">
        <v>3</v>
      </c>
      <c r="Y167" s="157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3</v>
      </c>
      <c r="Z167" s="22"/>
      <c r="AA167" s="157">
        <f>Y167+Y167*VLOOKUP(I167,EXTRAS_ARRAY,2,FALSE)</f>
        <v>3</v>
      </c>
      <c r="AB167" s="20"/>
      <c r="AC167" s="34"/>
      <c r="AD167" s="23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ht="43.5" outlineLevel="2" x14ac:dyDescent="0.35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>
        <f ca="1">IFERROR(OFFSET(M168,-1,,1,1)+0.1,OFFSET(M168,-1,-1,1,1)&amp;".1")</f>
        <v>8.3</v>
      </c>
      <c r="N168" s="20" t="s">
        <v>1230</v>
      </c>
      <c r="O168" s="20"/>
      <c r="P168" s="20"/>
      <c r="Q168" s="134"/>
      <c r="R168" s="127"/>
      <c r="S168" s="157">
        <f>CEILING((IF(J168="Yes", 0, IF(H168="-",AA168,AA168+AA168*VLOOKUP(H168,BUFFERS_BY_TYPE,2,FALSE)))) +
   (IF(J168="Yes", 0, IF(H168="-",AA168,AA168+AA168*VLOOKUP(H168,BUFFERS_BY_TYPE,2,FALSE))))*VLOOKUP($S$5, SALES_CALL_SCALE_ARRAY, 2,FALSE),0.25)</f>
        <v>2</v>
      </c>
      <c r="T168" s="158"/>
      <c r="U168" s="21">
        <v>0</v>
      </c>
      <c r="V168" s="21">
        <v>1</v>
      </c>
      <c r="W168" s="21">
        <v>0</v>
      </c>
      <c r="X168" s="156">
        <v>2</v>
      </c>
      <c r="Y168" s="157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2</v>
      </c>
      <c r="Z168" s="22"/>
      <c r="AA168" s="157">
        <f>Y168+Y168*VLOOKUP(I168,EXTRAS_ARRAY,2,FALSE)</f>
        <v>2</v>
      </c>
      <c r="AB168" s="20"/>
      <c r="AC168" s="34"/>
      <c r="AD168" s="23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spans="1:30" ht="58" outlineLevel="2" x14ac:dyDescent="0.35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/>
      <c r="L169" s="19"/>
      <c r="M169" s="263">
        <f ca="1">IFERROR(OFFSET(M169,-1,,1,1)+0.1,OFFSET(M169,-1,-1,1,1)&amp;".1")</f>
        <v>8.4</v>
      </c>
      <c r="N169" s="20" t="s">
        <v>1231</v>
      </c>
      <c r="O169" s="20"/>
      <c r="P169" s="20"/>
      <c r="Q169" s="134"/>
      <c r="R169" s="127"/>
      <c r="S169" s="157">
        <f>CEILING((IF(J169="Yes", 0, IF(H169="-",AA169,AA169+AA169*VLOOKUP(H169,BUFFERS_BY_TYPE,2,FALSE)))) +
   (IF(J169="Yes", 0, IF(H169="-",AA169,AA169+AA169*VLOOKUP(H169,BUFFERS_BY_TYPE,2,FALSE))))*VLOOKUP($S$5, SALES_CALL_SCALE_ARRAY, 2,FALSE),0.25)</f>
        <v>2.5</v>
      </c>
      <c r="T169" s="158"/>
      <c r="U169" s="21">
        <v>0</v>
      </c>
      <c r="V169" s="21">
        <v>1</v>
      </c>
      <c r="W169" s="21">
        <v>0</v>
      </c>
      <c r="X169" s="156">
        <v>2.5</v>
      </c>
      <c r="Y169" s="157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2.5</v>
      </c>
      <c r="Z169" s="22"/>
      <c r="AA169" s="157">
        <f>Y169+Y169*VLOOKUP(I169,EXTRAS_ARRAY,2,FALSE)</f>
        <v>2.5</v>
      </c>
      <c r="AB169" s="20"/>
      <c r="AC169" s="34"/>
      <c r="AD169" s="23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spans="1:30" ht="29" outlineLevel="2" x14ac:dyDescent="0.35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/>
      <c r="L170" s="19"/>
      <c r="M170" s="263">
        <f ca="1">IFERROR(OFFSET(M170,-1,,1,1)+0.1,OFFSET(M170,-1,-1,1,1)&amp;".1")</f>
        <v>8.5</v>
      </c>
      <c r="N170" s="20" t="s">
        <v>1232</v>
      </c>
      <c r="O170" s="20"/>
      <c r="P170" s="20"/>
      <c r="Q170" s="134"/>
      <c r="R170" s="127"/>
      <c r="S170" s="157">
        <f>CEILING((IF(J170="Yes", 0, IF(H170="-",AA170,AA170+AA170*VLOOKUP(H170,BUFFERS_BY_TYPE,2,FALSE)))) +
   (IF(J170="Yes", 0, IF(H170="-",AA170,AA170+AA170*VLOOKUP(H170,BUFFERS_BY_TYPE,2,FALSE))))*VLOOKUP($S$5, SALES_CALL_SCALE_ARRAY, 2,FALSE),0.25)</f>
        <v>1</v>
      </c>
      <c r="T170" s="158"/>
      <c r="U170" s="21">
        <v>0</v>
      </c>
      <c r="V170" s="21">
        <v>1</v>
      </c>
      <c r="W170" s="21">
        <v>0</v>
      </c>
      <c r="X170" s="156">
        <v>1</v>
      </c>
      <c r="Y170" s="157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1</v>
      </c>
      <c r="Z170" s="22"/>
      <c r="AA170" s="157">
        <f>Y170+Y170*VLOOKUP(I170,EXTRAS_ARRAY,2,FALSE)</f>
        <v>1</v>
      </c>
      <c r="AB170" s="20"/>
      <c r="AC170" s="34"/>
      <c r="AD170" s="23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spans="1:30" ht="58" outlineLevel="2" x14ac:dyDescent="0.35">
      <c r="A171" s="86" t="s">
        <v>0</v>
      </c>
      <c r="B171" s="18"/>
      <c r="C171" s="78"/>
      <c r="D171" s="78"/>
      <c r="E171" s="78"/>
      <c r="F171" s="79"/>
      <c r="G171" s="19" t="s">
        <v>23</v>
      </c>
      <c r="H171" s="19" t="s">
        <v>23</v>
      </c>
      <c r="I171" s="20" t="s">
        <v>23</v>
      </c>
      <c r="J171" s="19" t="s">
        <v>23</v>
      </c>
      <c r="K171" s="35"/>
      <c r="L171" s="19"/>
      <c r="M171" s="263">
        <f ca="1">IFERROR(OFFSET(M171,-1,,1,1)+0.1,OFFSET(M171,-1,-1,1,1)&amp;".1")</f>
        <v>8.6</v>
      </c>
      <c r="N171" s="20" t="inlineStr">
        <is>
          <t xml:space="preserve">Shield Advanced; WAF rule admitting the Internal Portal only from corporate ranges; Okta device assurance for staff</t>
        </is>
      </c>
      <c r="O171" s="20"/>
      <c r="P171" s="20"/>
      <c r="Q171" s="134"/>
      <c r="R171" s="127"/>
      <c r="S171" s="157">
        <f>CEILING((IF(J171="Yes", 0, IF(H171="-",AA171,AA171+AA171*VLOOKUP(H171,BUFFERS_BY_TYPE,2,FALSE)))) +
   (IF(J171="Yes", 0, IF(H171="-",AA171,AA171+AA171*VLOOKUP(H171,BUFFERS_BY_TYPE,2,FALSE))))*VLOOKUP($S$5, SALES_CALL_SCALE_ARRAY, 2,FALSE),0.25)</f>
        <v>1.5</v>
      </c>
      <c r="T171" s="158"/>
      <c r="U171" s="21">
        <v>0</v>
      </c>
      <c r="V171" s="21">
        <v>1</v>
      </c>
      <c r="W171" s="21">
        <v>0</v>
      </c>
      <c r="X171" s="156">
        <v>1.5</v>
      </c>
      <c r="Y171" s="157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1.5</v>
      </c>
      <c r="Z171" s="22"/>
      <c r="AA171" s="157">
        <f>Y171+Y171*VLOOKUP(I171,EXTRAS_ARRAY,2,FALSE)</f>
        <v>1.5</v>
      </c>
      <c r="AB171" s="20" t="inlineStr">
        <is>
          <t xml:space="preserve">SAD v2.0 §4 Layer 2</t>
        </is>
      </c>
      <c r="AC171" s="34"/>
      <c r="AD171" s="23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ht="58" outlineLevel="2" x14ac:dyDescent="0.35">
      <c r="A172" s="86" t="s">
        <v>0</v>
      </c>
      <c r="B172" s="18"/>
      <c r="C172" s="78"/>
      <c r="D172" s="78"/>
      <c r="E172" s="78"/>
      <c r="F172" s="79"/>
      <c r="G172" s="19" t="s">
        <v>23</v>
      </c>
      <c r="H172" s="19" t="s">
        <v>23</v>
      </c>
      <c r="I172" s="20" t="s">
        <v>23</v>
      </c>
      <c r="J172" s="19" t="s">
        <v>23</v>
      </c>
      <c r="K172" s="35"/>
      <c r="L172" s="19"/>
      <c r="M172" s="263">
        <f ca="1">IFERROR(OFFSET(M172,-1,,1,1)+0.1,OFFSET(M172,-1,-1,1,1)&amp;".1")</f>
        <v>8.7</v>
      </c>
      <c r="N172" s="20" t="inlineStr">
        <is>
          <t xml:space="preserve">Data classification; field-level encryption of Restricted fields (AWS Encryption SDK, a KMS key per class); personal data masked in logs (logging library, CloudWatch Logs data protection)</t>
        </is>
      </c>
      <c r="O172" s="20"/>
      <c r="P172" s="20"/>
      <c r="Q172" s="134"/>
      <c r="R172" s="127"/>
      <c r="S172" s="157">
        <f>CEILING((IF(J172="Yes", 0, IF(H172="-",AA172,AA172+AA172*VLOOKUP(H172,BUFFERS_BY_TYPE,2,FALSE)))) +
   (IF(J172="Yes", 0, IF(H172="-",AA172,AA172+AA172*VLOOKUP(H172,BUFFERS_BY_TYPE,2,FALSE))))*VLOOKUP($S$5, SALES_CALL_SCALE_ARRAY, 2,FALSE),0.25)</f>
        <v>4</v>
      </c>
      <c r="T172" s="158"/>
      <c r="U172" s="21">
        <v>0</v>
      </c>
      <c r="V172" s="21">
        <v>1</v>
      </c>
      <c r="W172" s="21">
        <v>0</v>
      </c>
      <c r="X172" s="156">
        <v>4</v>
      </c>
      <c r="Y172" s="157">
        <f>CEILING((IF(P172=AS_DEV_EFFORT, DEV_EFFORT*Q172%,
                           IF(P172=AS_DURATION_EFFORT, (MANUAL_DURATION*5)*Q172%,
                                    (IF(Q172&lt;=1,X172,
                                          IF(SUM(U172:W172)=0,(Q172*X172),
                                               (((Q172*U172)*(X172+(X172*EXTRA_FOR_H)))+
                                               ((Q172*V172)*X172)+
                                               ((Q172*W172)*(X172-(X172*LESS_FOR_L)))
                                    )*IF(R172=0,1,R172))))))+Z172), 0.25)</f>
        <v>4</v>
      </c>
      <c r="Z172" s="22"/>
      <c r="AA172" s="157">
        <f>Y172+Y172*VLOOKUP(I172,EXTRAS_ARRAY,2,FALSE)</f>
        <v>4</v>
      </c>
      <c r="AB172" s="20" t="inlineStr">
        <is>
          <t xml:space="preserve">SAD v2.0 §4, Data protection and regulatory compliance</t>
        </is>
      </c>
      <c r="AC172" s="34"/>
      <c r="AD172" s="23" t="str">
        <f>IF(J172&lt;&gt;"Yes",
IF(S172&lt;=0,"Error: Effort value is not defined or is invalid.",
IF(AND(SUM(U172:W172)&gt;0,SUM(U172:W172)&lt;&gt;1),"Error: Complexity % distribution should sum to 100%.",
IF(AND(P172=AS_DEV_EFFORT,X172&lt;&gt;0),"Error: PDs should not be defined when defining as dev effort %.",
IF(AND(P172=AS_DURATION_EFFORT,X172&lt;&gt;0),"Error: PDs should not be defined when defining as duration effort %.","")))))</f>
        <v/>
      </c>
    </row>
    <row r="173" spans="1:30" s="9" customFormat="1" ht="7.5" customHeight="1" outlineLevel="2" x14ac:dyDescent="0.35">
      <c r="A173" s="86" t="s">
        <v>132</v>
      </c>
      <c r="B173" s="15"/>
      <c r="C173" s="72"/>
      <c r="D173" s="72"/>
      <c r="E173" s="72"/>
      <c r="F173" s="72"/>
      <c r="M173" s="252"/>
      <c r="T173" s="15"/>
      <c r="X173" s="15"/>
      <c r="AB173" s="10"/>
      <c r="AC173" s="10"/>
      <c r="AD173" s="10"/>
    </row>
    <row r="174" spans="1:30" s="14" customFormat="1" ht="15.5" outlineLevel="1" x14ac:dyDescent="0.35">
      <c r="A174" s="86" t="s">
        <v>107</v>
      </c>
      <c r="B174" s="18"/>
      <c r="C174" s="77"/>
      <c r="D174" s="77"/>
      <c r="E174" s="77"/>
      <c r="F174" s="76"/>
      <c r="G174" s="170"/>
      <c r="H174" s="170"/>
      <c r="I174" s="170"/>
      <c r="J174" s="170"/>
      <c r="K174" s="170"/>
      <c r="L174" s="85" t="s">
        <v>109</v>
      </c>
      <c r="M174" s="297" t="s">
        <v>1025</v>
      </c>
      <c r="N174" s="297"/>
      <c r="O174" s="80"/>
      <c r="P174" s="81"/>
      <c r="Q174" s="81"/>
      <c r="R174" s="81"/>
      <c r="S174" s="293">
        <f>SUMGROUP(ROW(), "T")</f>
        <v>97.5</v>
      </c>
      <c r="T174" s="293"/>
      <c r="U174" s="294"/>
      <c r="V174" s="294"/>
      <c r="W174" s="294"/>
      <c r="X174" s="82"/>
      <c r="Y174" s="83"/>
      <c r="Z174" s="83"/>
      <c r="AA174" s="83"/>
      <c r="AB174" s="221"/>
      <c r="AC174" s="84"/>
      <c r="AD174" s="23" t="str">
        <f>IF(M174="", "Error: Module name cannot be empty.", "")</f>
        <v/>
      </c>
    </row>
    <row r="175" spans="1:30" s="14" customFormat="1" ht="29" outlineLevel="1" collapsed="1" x14ac:dyDescent="0.35">
      <c r="A175" s="86" t="s">
        <v>100</v>
      </c>
      <c r="B175" s="18"/>
      <c r="C175" s="77"/>
      <c r="D175" s="77"/>
      <c r="E175" s="77"/>
      <c r="F175" s="76"/>
      <c r="G175" s="29"/>
      <c r="H175" s="29"/>
      <c r="I175" s="29"/>
      <c r="J175" s="29"/>
      <c r="K175" s="29"/>
      <c r="L175" s="17">
        <f ca="1">LOOKUP(1000,INDIRECT("L1:"&amp;CELL("address",INDIRECT("R[-1]C",FALSE))))+1</f>
        <v>9</v>
      </c>
      <c r="M175" s="295" t="s">
        <v>1026</v>
      </c>
      <c r="N175" s="296"/>
      <c r="O175" s="5"/>
      <c r="P175" s="30"/>
      <c r="Q175" s="30"/>
      <c r="R175" s="30"/>
      <c r="S175" s="30"/>
      <c r="T175" s="155">
        <f>IF($S$6="Exclude", SUMIFS(S176:S182, J176:J182, "&lt;&gt;Yes", G176:G182, "&lt;&gt;Yes"), SUMIFS(S176:S182, J176:J182, "&lt;&gt;Yes"))</f>
        <v>18</v>
      </c>
      <c r="U175" s="30"/>
      <c r="V175" s="30"/>
      <c r="W175" s="30"/>
      <c r="X175" s="31"/>
      <c r="Y175" s="32"/>
      <c r="Z175" s="32"/>
      <c r="AA175" s="32"/>
      <c r="AB175" s="219" t="s">
        <v>1027</v>
      </c>
      <c r="AC175" s="33"/>
      <c r="AD175" s="23" t="str">
        <f>IF(M175="", "Error: Task name cannot be empty.", "")</f>
        <v/>
      </c>
    </row>
    <row r="176" spans="1:30" s="12" customFormat="1" ht="1.5" hidden="1" customHeight="1" outlineLevel="2" x14ac:dyDescent="0.35">
      <c r="A176" s="86" t="s">
        <v>101</v>
      </c>
      <c r="B176" s="18"/>
      <c r="C176" s="77"/>
      <c r="D176" s="77"/>
      <c r="E176" s="77"/>
      <c r="F176" s="76"/>
      <c r="G176" s="29"/>
      <c r="H176" s="29"/>
      <c r="I176" s="29"/>
      <c r="J176" s="29"/>
      <c r="K176" s="29"/>
      <c r="L176" s="163">
        <f ca="1">L175</f>
        <v>9</v>
      </c>
      <c r="M176" s="164" t="s">
        <v>105</v>
      </c>
      <c r="N176" s="161"/>
      <c r="O176" s="162"/>
      <c r="P176" s="30"/>
      <c r="Q176" s="30"/>
      <c r="R176" s="30"/>
      <c r="S176" s="30"/>
      <c r="T176" s="155"/>
      <c r="U176" s="30"/>
      <c r="V176" s="30"/>
      <c r="W176" s="30"/>
      <c r="X176" s="31"/>
      <c r="Y176" s="32"/>
      <c r="Z176" s="32"/>
      <c r="AA176" s="32"/>
      <c r="AB176" s="33"/>
      <c r="AC176" s="33"/>
      <c r="AD176" s="23"/>
    </row>
    <row r="177" spans="1:30" ht="15.5" hidden="1" outlineLevel="2" x14ac:dyDescent="0.35">
      <c r="A177" s="86" t="s">
        <v>0</v>
      </c>
      <c r="B177" s="18"/>
      <c r="C177" s="78"/>
      <c r="D177" s="78"/>
      <c r="E177" s="78"/>
      <c r="F177" s="79"/>
      <c r="G177" s="19" t="s">
        <v>23</v>
      </c>
      <c r="H177" s="19" t="s">
        <v>23</v>
      </c>
      <c r="I177" s="20" t="s">
        <v>23</v>
      </c>
      <c r="J177" s="19" t="s">
        <v>23</v>
      </c>
      <c r="K177" s="35"/>
      <c r="L177" s="19"/>
      <c r="M177" s="263" t="str">
        <f ca="1">IFERROR(OFFSET(M177,-1,,1,1)+0.1,OFFSET(M177,-1,-1,1,1)&amp;".1")</f>
        <v>9.1</v>
      </c>
      <c r="N177" s="20" t="s">
        <v>1028</v>
      </c>
      <c r="O177" s="20"/>
      <c r="P177" s="20"/>
      <c r="Q177" s="134"/>
      <c r="R177" s="127"/>
      <c r="S177" s="157">
        <f>CEILING((IF(J177="Yes", 0, IF(H177="-",AA177,AA177+AA177*VLOOKUP(H177,BUFFERS_BY_TYPE,2,FALSE)))) +
   (IF(J177="Yes", 0, IF(H177="-",AA177,AA177+AA177*VLOOKUP(H177,BUFFERS_BY_TYPE,2,FALSE))))*VLOOKUP($S$5, SALES_CALL_SCALE_ARRAY, 2,FALSE),0.25)</f>
        <v>4</v>
      </c>
      <c r="T177" s="158"/>
      <c r="U177" s="21">
        <v>0</v>
      </c>
      <c r="V177" s="21">
        <v>1</v>
      </c>
      <c r="W177" s="21">
        <v>0</v>
      </c>
      <c r="X177" s="156">
        <v>4</v>
      </c>
      <c r="Y177" s="157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4</v>
      </c>
      <c r="Z177" s="22"/>
      <c r="AA177" s="157">
        <f>Y177+Y177*VLOOKUP(I177,EXTRAS_ARRAY,2,FALSE)</f>
        <v>4</v>
      </c>
      <c r="AB177" s="20"/>
      <c r="AC177" s="34"/>
      <c r="AD177" s="23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ht="15.5" hidden="1" outlineLevel="2" x14ac:dyDescent="0.35">
      <c r="A178" s="86" t="s">
        <v>0</v>
      </c>
      <c r="B178" s="18"/>
      <c r="C178" s="78"/>
      <c r="D178" s="78"/>
      <c r="E178" s="78"/>
      <c r="F178" s="79"/>
      <c r="G178" s="19" t="s">
        <v>23</v>
      </c>
      <c r="H178" s="19" t="s">
        <v>23</v>
      </c>
      <c r="I178" s="20" t="s">
        <v>23</v>
      </c>
      <c r="J178" s="19" t="s">
        <v>23</v>
      </c>
      <c r="K178" s="35"/>
      <c r="L178" s="19"/>
      <c r="M178" s="263">
        <f ca="1">IFERROR(OFFSET(M178,-1,,1,1)+0.1,OFFSET(M178,-1,-1,1,1)&amp;".1")</f>
        <v>9.2</v>
      </c>
      <c r="N178" s="20" t="s">
        <v>1029</v>
      </c>
      <c r="O178" s="20"/>
      <c r="P178" s="20"/>
      <c r="Q178" s="134"/>
      <c r="R178" s="127"/>
      <c r="S178" s="157">
        <f>CEILING((IF(J178="Yes", 0, IF(H178="-",AA178,AA178+AA178*VLOOKUP(H178,BUFFERS_BY_TYPE,2,FALSE)))) +
   (IF(J178="Yes", 0, IF(H178="-",AA178,AA178+AA178*VLOOKUP(H178,BUFFERS_BY_TYPE,2,FALSE))))*VLOOKUP($S$5, SALES_CALL_SCALE_ARRAY, 2,FALSE),0.25)</f>
        <v>5</v>
      </c>
      <c r="T178" s="158"/>
      <c r="U178" s="21">
        <v>0</v>
      </c>
      <c r="V178" s="21">
        <v>1</v>
      </c>
      <c r="W178" s="21">
        <v>0</v>
      </c>
      <c r="X178" s="156">
        <v>5</v>
      </c>
      <c r="Y178" s="157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5</v>
      </c>
      <c r="Z178" s="22"/>
      <c r="AA178" s="157">
        <f>Y178+Y178*VLOOKUP(I178,EXTRAS_ARRAY,2,FALSE)</f>
        <v>5</v>
      </c>
      <c r="AB178" s="20"/>
      <c r="AC178" s="34"/>
      <c r="AD178" s="23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spans="1:30" ht="15.5" hidden="1" outlineLevel="2" x14ac:dyDescent="0.35">
      <c r="A179" s="86" t="s">
        <v>0</v>
      </c>
      <c r="B179" s="18"/>
      <c r="C179" s="78"/>
      <c r="D179" s="78"/>
      <c r="E179" s="78"/>
      <c r="F179" s="79"/>
      <c r="G179" s="19" t="s">
        <v>23</v>
      </c>
      <c r="H179" s="19" t="s">
        <v>23</v>
      </c>
      <c r="I179" s="20" t="s">
        <v>23</v>
      </c>
      <c r="J179" s="19" t="s">
        <v>23</v>
      </c>
      <c r="K179" s="35"/>
      <c r="L179" s="19"/>
      <c r="M179" s="263">
        <f ca="1">IFERROR(OFFSET(M179,-1,,1,1)+0.1,OFFSET(M179,-1,-1,1,1)&amp;".1")</f>
        <v>9.3</v>
      </c>
      <c r="N179" s="20" t="s">
        <v>1030</v>
      </c>
      <c r="O179" s="20"/>
      <c r="P179" s="20"/>
      <c r="Q179" s="134"/>
      <c r="R179" s="127"/>
      <c r="S179" s="157">
        <f>CEILING((IF(J179="Yes", 0, IF(H179="-",AA179,AA179+AA179*VLOOKUP(H179,BUFFERS_BY_TYPE,2,FALSE)))) +
   (IF(J179="Yes", 0, IF(H179="-",AA179,AA179+AA179*VLOOKUP(H179,BUFFERS_BY_TYPE,2,FALSE))))*VLOOKUP($S$5, SALES_CALL_SCALE_ARRAY, 2,FALSE),0.25)</f>
        <v>4</v>
      </c>
      <c r="T179" s="158"/>
      <c r="U179" s="21">
        <v>0</v>
      </c>
      <c r="V179" s="21">
        <v>1</v>
      </c>
      <c r="W179" s="21">
        <v>0</v>
      </c>
      <c r="X179" s="156">
        <v>4</v>
      </c>
      <c r="Y179" s="157">
        <f>CEILING((IF(P179=AS_DEV_EFFORT, DEV_EFFORT*Q179%,
                           IF(P179=AS_DURATION_EFFORT, (MANUAL_DURATION*5)*Q179%,
                                    (IF(Q179&lt;=1,X179,
                                          IF(SUM(U179:W179)=0,(Q179*X179),
                                               (((Q179*U179)*(X179+(X179*EXTRA_FOR_H)))+
                                               ((Q179*V179)*X179)+
                                               ((Q179*W179)*(X179-(X179*LESS_FOR_L)))
                                    )*IF(R179=0,1,R179))))))+Z179), 0.25)</f>
        <v>4</v>
      </c>
      <c r="Z179" s="22"/>
      <c r="AA179" s="157">
        <f>Y179+Y179*VLOOKUP(I179,EXTRAS_ARRAY,2,FALSE)</f>
        <v>4</v>
      </c>
      <c r="AB179" s="20"/>
      <c r="AC179" s="34"/>
      <c r="AD179" s="23" t="str">
        <f>IF(J179&lt;&gt;"Yes",
IF(S179&lt;=0,"Error: Effort value is not defined or is invalid.",
IF(AND(SUM(U179:W179)&gt;0,SUM(U179:W179)&lt;&gt;1),"Error: Complexity % distribution should sum to 100%.",
IF(AND(P179=AS_DEV_EFFORT,X179&lt;&gt;0),"Error: PDs should not be defined when defining as dev effort %.",
IF(AND(P179=AS_DURATION_EFFORT,X179&lt;&gt;0),"Error: PDs should not be defined when defining as duration effort %.","")))))</f>
        <v/>
      </c>
    </row>
    <row r="180" spans="1:30" ht="15.5" hidden="1" outlineLevel="2" x14ac:dyDescent="0.35">
      <c r="A180" s="86" t="s">
        <v>0</v>
      </c>
      <c r="B180" s="18"/>
      <c r="C180" s="78"/>
      <c r="D180" s="78"/>
      <c r="E180" s="78"/>
      <c r="F180" s="79"/>
      <c r="G180" s="19" t="s">
        <v>23</v>
      </c>
      <c r="H180" s="19" t="s">
        <v>23</v>
      </c>
      <c r="I180" s="20" t="s">
        <v>23</v>
      </c>
      <c r="J180" s="19" t="s">
        <v>23</v>
      </c>
      <c r="K180" s="35"/>
      <c r="L180" s="19"/>
      <c r="M180" s="263">
        <f ca="1">IFERROR(OFFSET(M180,-1,,1,1)+0.1,OFFSET(M180,-1,-1,1,1)&amp;".1")</f>
        <v>9.4</v>
      </c>
      <c r="N180" s="20" t="s">
        <v>1031</v>
      </c>
      <c r="O180" s="20"/>
      <c r="P180" s="20"/>
      <c r="Q180" s="134"/>
      <c r="R180" s="127"/>
      <c r="S180" s="157">
        <f>CEILING((IF(J180="Yes", 0, IF(H180="-",AA180,AA180+AA180*VLOOKUP(H180,BUFFERS_BY_TYPE,2,FALSE)))) +
   (IF(J180="Yes", 0, IF(H180="-",AA180,AA180+AA180*VLOOKUP(H180,BUFFERS_BY_TYPE,2,FALSE))))*VLOOKUP($S$5, SALES_CALL_SCALE_ARRAY, 2,FALSE),0.25)</f>
        <v>2.5</v>
      </c>
      <c r="T180" s="158"/>
      <c r="U180" s="21">
        <v>0</v>
      </c>
      <c r="V180" s="21">
        <v>1</v>
      </c>
      <c r="W180" s="21">
        <v>0</v>
      </c>
      <c r="X180" s="156">
        <v>2.5</v>
      </c>
      <c r="Y180" s="157">
        <f>CEILING((IF(P180=AS_DEV_EFFORT, DEV_EFFORT*Q180%,
                           IF(P180=AS_DURATION_EFFORT, (MANUAL_DURATION*5)*Q180%,
                                    (IF(Q180&lt;=1,X180,
                                          IF(SUM(U180:W180)=0,(Q180*X180),
                                               (((Q180*U180)*(X180+(X180*EXTRA_FOR_H)))+
                                               ((Q180*V180)*X180)+
                                               ((Q180*W180)*(X180-(X180*LESS_FOR_L)))
                                    )*IF(R180=0,1,R180))))))+Z180), 0.25)</f>
        <v>2.5</v>
      </c>
      <c r="Z180" s="22"/>
      <c r="AA180" s="157">
        <f>Y180+Y180*VLOOKUP(I180,EXTRAS_ARRAY,2,FALSE)</f>
        <v>2.5</v>
      </c>
      <c r="AB180" s="20"/>
      <c r="AC180" s="34"/>
      <c r="AD180" s="23" t="str">
        <f>IF(J180&lt;&gt;"Yes",
IF(S180&lt;=0,"Error: Effort value is not defined or is invalid.",
IF(AND(SUM(U180:W180)&gt;0,SUM(U180:W180)&lt;&gt;1),"Error: Complexity % distribution should sum to 100%.",
IF(AND(P180=AS_DEV_EFFORT,X180&lt;&gt;0),"Error: PDs should not be defined when defining as dev effort %.",
IF(AND(P180=AS_DURATION_EFFORT,X180&lt;&gt;0),"Error: PDs should not be defined when defining as duration effort %.","")))))</f>
        <v/>
      </c>
    </row>
    <row r="181" spans="1:30" ht="15.5" hidden="1" outlineLevel="2" x14ac:dyDescent="0.35">
      <c r="A181" s="86" t="s">
        <v>0</v>
      </c>
      <c r="B181" s="18"/>
      <c r="C181" s="78"/>
      <c r="D181" s="78"/>
      <c r="E181" s="78"/>
      <c r="F181" s="79"/>
      <c r="G181" s="19" t="s">
        <v>23</v>
      </c>
      <c r="H181" s="19" t="s">
        <v>23</v>
      </c>
      <c r="I181" s="20" t="s">
        <v>23</v>
      </c>
      <c r="J181" s="19" t="s">
        <v>23</v>
      </c>
      <c r="K181" s="35"/>
      <c r="L181" s="19"/>
      <c r="M181" s="263">
        <f ca="1">IFERROR(OFFSET(M181,-1,,1,1)+0.1,OFFSET(M181,-1,-1,1,1)&amp;".1")</f>
        <v>9.5</v>
      </c>
      <c r="N181" s="20" t="s">
        <v>1032</v>
      </c>
      <c r="O181" s="20"/>
      <c r="P181" s="20"/>
      <c r="Q181" s="134"/>
      <c r="R181" s="127"/>
      <c r="S181" s="157">
        <f>CEILING((IF(J181="Yes", 0, IF(H181="-",AA181,AA181+AA181*VLOOKUP(H181,BUFFERS_BY_TYPE,2,FALSE)))) +
   (IF(J181="Yes", 0, IF(H181="-",AA181,AA181+AA181*VLOOKUP(H181,BUFFERS_BY_TYPE,2,FALSE))))*VLOOKUP($S$5, SALES_CALL_SCALE_ARRAY, 2,FALSE),0.25)</f>
        <v>2.5</v>
      </c>
      <c r="T181" s="158"/>
      <c r="U181" s="21">
        <v>0</v>
      </c>
      <c r="V181" s="21">
        <v>1</v>
      </c>
      <c r="W181" s="21">
        <v>0</v>
      </c>
      <c r="X181" s="156">
        <v>2.5</v>
      </c>
      <c r="Y181" s="157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2.5</v>
      </c>
      <c r="Z181" s="22"/>
      <c r="AA181" s="157">
        <f>Y181+Y181*VLOOKUP(I181,EXTRAS_ARRAY,2,FALSE)</f>
        <v>2.5</v>
      </c>
      <c r="AB181" s="20"/>
      <c r="AC181" s="34"/>
      <c r="AD181" s="23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s="9" customFormat="1" ht="7.5" hidden="1" customHeight="1" outlineLevel="2" x14ac:dyDescent="0.35">
      <c r="A182" s="86" t="s">
        <v>132</v>
      </c>
      <c r="B182" s="15"/>
      <c r="C182" s="72"/>
      <c r="D182" s="72"/>
      <c r="E182" s="72"/>
      <c r="F182" s="72"/>
      <c r="M182" s="252"/>
      <c r="T182" s="15"/>
      <c r="X182" s="15"/>
      <c r="AB182" s="10"/>
      <c r="AC182" s="10"/>
      <c r="AD182" s="10"/>
    </row>
    <row r="183" spans="1:30" s="14" customFormat="1" ht="15.65" customHeight="1" outlineLevel="1" x14ac:dyDescent="0.35">
      <c r="A183" s="86" t="s">
        <v>100</v>
      </c>
      <c r="B183" s="18"/>
      <c r="C183" s="77"/>
      <c r="D183" s="77"/>
      <c r="E183" s="77"/>
      <c r="F183" s="76"/>
      <c r="G183" s="29"/>
      <c r="H183" s="29"/>
      <c r="I183" s="29"/>
      <c r="J183" s="29"/>
      <c r="K183" s="29"/>
      <c r="L183" s="17">
        <f ca="1">LOOKUP(1000,INDIRECT("L1:"&amp;CELL("address",INDIRECT("R[-1]C",FALSE))))+1</f>
        <v>10</v>
      </c>
      <c r="M183" s="295" t="s">
        <v>1033</v>
      </c>
      <c r="N183" s="295"/>
      <c r="O183" s="5"/>
      <c r="P183" s="30"/>
      <c r="Q183" s="30"/>
      <c r="R183" s="30"/>
      <c r="S183" s="30"/>
      <c r="T183" s="155">
        <f>IF($S$6="Exclude", SUMIFS(S184:S191, J184:J191, "&lt;&gt;Yes", G184:G191, "&lt;&gt;Yes"), SUMIFS(S184:S191, J184:J191, "&lt;&gt;Yes"))</f>
        <v>16</v>
      </c>
      <c r="U183" s="30"/>
      <c r="V183" s="30"/>
      <c r="W183" s="30"/>
      <c r="X183" s="31"/>
      <c r="Y183" s="32"/>
      <c r="Z183" s="32"/>
      <c r="AA183" s="32"/>
      <c r="AB183" s="219" t="s">
        <v>1034</v>
      </c>
      <c r="AC183" s="33"/>
      <c r="AD183" s="23" t="str">
        <f>IF(M183="", "Error: Task name cannot be empty.", "")</f>
        <v/>
      </c>
    </row>
    <row r="184" spans="1:30" s="12" customFormat="1" ht="1.5" customHeight="1" outlineLevel="2" x14ac:dyDescent="0.35">
      <c r="A184" s="86" t="s">
        <v>101</v>
      </c>
      <c r="B184" s="18"/>
      <c r="C184" s="77"/>
      <c r="D184" s="77"/>
      <c r="E184" s="77"/>
      <c r="F184" s="76"/>
      <c r="G184" s="29"/>
      <c r="H184" s="29"/>
      <c r="I184" s="29"/>
      <c r="J184" s="29"/>
      <c r="K184" s="29"/>
      <c r="L184" s="163">
        <f ca="1">L183</f>
        <v>10</v>
      </c>
      <c r="M184" s="164" t="s">
        <v>105</v>
      </c>
      <c r="N184" s="161"/>
      <c r="O184" s="162"/>
      <c r="P184" s="30"/>
      <c r="Q184" s="30"/>
      <c r="R184" s="30"/>
      <c r="S184" s="30"/>
      <c r="T184" s="155"/>
      <c r="U184" s="30"/>
      <c r="V184" s="30"/>
      <c r="W184" s="30"/>
      <c r="X184" s="31"/>
      <c r="Y184" s="32"/>
      <c r="Z184" s="32"/>
      <c r="AA184" s="32"/>
      <c r="AB184" s="33"/>
      <c r="AC184" s="33"/>
      <c r="AD184" s="23"/>
    </row>
    <row r="185" spans="1:30" ht="15.5" outlineLevel="2" x14ac:dyDescent="0.35">
      <c r="A185" s="86" t="s">
        <v>0</v>
      </c>
      <c r="B185" s="18"/>
      <c r="C185" s="78"/>
      <c r="D185" s="78"/>
      <c r="E185" s="78"/>
      <c r="F185" s="79"/>
      <c r="G185" s="19" t="s">
        <v>23</v>
      </c>
      <c r="H185" s="19" t="s">
        <v>23</v>
      </c>
      <c r="I185" s="20" t="s">
        <v>23</v>
      </c>
      <c r="J185" s="19" t="s">
        <v>23</v>
      </c>
      <c r="K185" s="35"/>
      <c r="L185" s="19"/>
      <c r="M185" s="263" t="str">
        <f ca="1">IFERROR(OFFSET(M185,-1,,1,1)+0.1,OFFSET(M185,-1,-1,1,1)&amp;".1")</f>
        <v>10.1</v>
      </c>
      <c r="N185" s="20" t="s">
        <v>1035</v>
      </c>
      <c r="O185" s="20"/>
      <c r="P185" s="20"/>
      <c r="Q185" s="134"/>
      <c r="R185" s="127"/>
      <c r="S185" s="157">
        <f>CEILING((IF(J185="Yes", 0, IF(H185="-",AA185,AA185+AA185*VLOOKUP(H185,BUFFERS_BY_TYPE,2,FALSE)))) +
   (IF(J185="Yes", 0, IF(H185="-",AA185,AA185+AA185*VLOOKUP(H185,BUFFERS_BY_TYPE,2,FALSE))))*VLOOKUP($S$5, SALES_CALL_SCALE_ARRAY, 2,FALSE),0.25)</f>
        <v>3</v>
      </c>
      <c r="T185" s="158"/>
      <c r="U185" s="21">
        <v>0</v>
      </c>
      <c r="V185" s="21">
        <v>1</v>
      </c>
      <c r="W185" s="21">
        <v>0</v>
      </c>
      <c r="X185" s="156">
        <v>3</v>
      </c>
      <c r="Y185" s="157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3</v>
      </c>
      <c r="Z185" s="22"/>
      <c r="AA185" s="157">
        <f>Y185+Y185*VLOOKUP(I185,EXTRAS_ARRAY,2,FALSE)</f>
        <v>3</v>
      </c>
      <c r="AB185" s="20"/>
      <c r="AC185" s="34"/>
      <c r="AD185" s="23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ht="15.5" outlineLevel="2" x14ac:dyDescent="0.35">
      <c r="A186" s="86" t="s">
        <v>0</v>
      </c>
      <c r="B186" s="18"/>
      <c r="C186" s="78"/>
      <c r="D186" s="78"/>
      <c r="E186" s="78"/>
      <c r="F186" s="79"/>
      <c r="G186" s="19" t="s">
        <v>23</v>
      </c>
      <c r="H186" s="19" t="s">
        <v>23</v>
      </c>
      <c r="I186" s="20" t="s">
        <v>23</v>
      </c>
      <c r="J186" s="19" t="s">
        <v>23</v>
      </c>
      <c r="K186" s="35"/>
      <c r="L186" s="19"/>
      <c r="M186" s="263">
        <f ca="1">IFERROR(OFFSET(M186,-1,,1,1)+0.1,OFFSET(M186,-1,-1,1,1)&amp;".1")</f>
        <v>10.2</v>
      </c>
      <c r="N186" s="20" t="s">
        <v>1036</v>
      </c>
      <c r="O186" s="20"/>
      <c r="P186" s="20"/>
      <c r="Q186" s="134"/>
      <c r="R186" s="127"/>
      <c r="S186" s="157">
        <f>CEILING((IF(J186="Yes", 0, IF(H186="-",AA186,AA186+AA186*VLOOKUP(H186,BUFFERS_BY_TYPE,2,FALSE)))) +
   (IF(J186="Yes", 0, IF(H186="-",AA186,AA186+AA186*VLOOKUP(H186,BUFFERS_BY_TYPE,2,FALSE))))*VLOOKUP($S$5, SALES_CALL_SCALE_ARRAY, 2,FALSE),0.25)</f>
        <v>4</v>
      </c>
      <c r="T186" s="158"/>
      <c r="U186" s="21">
        <v>0</v>
      </c>
      <c r="V186" s="21">
        <v>1</v>
      </c>
      <c r="W186" s="21">
        <v>0</v>
      </c>
      <c r="X186" s="156">
        <v>4</v>
      </c>
      <c r="Y186" s="157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4</v>
      </c>
      <c r="Z186" s="22"/>
      <c r="AA186" s="157">
        <f>Y186+Y186*VLOOKUP(I186,EXTRAS_ARRAY,2,FALSE)</f>
        <v>4</v>
      </c>
      <c r="AB186" s="20"/>
      <c r="AC186" s="34"/>
      <c r="AD186" s="23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spans="1:30" ht="15.5" outlineLevel="2" x14ac:dyDescent="0.35">
      <c r="A187" s="86" t="s">
        <v>0</v>
      </c>
      <c r="B187" s="18"/>
      <c r="C187" s="78"/>
      <c r="D187" s="78"/>
      <c r="E187" s="78"/>
      <c r="F187" s="79"/>
      <c r="G187" s="19" t="s">
        <v>23</v>
      </c>
      <c r="H187" s="19" t="s">
        <v>23</v>
      </c>
      <c r="I187" s="20" t="s">
        <v>23</v>
      </c>
      <c r="J187" s="19" t="s">
        <v>23</v>
      </c>
      <c r="K187" s="35"/>
      <c r="L187" s="19"/>
      <c r="M187" s="263">
        <f ca="1">IFERROR(OFFSET(M187,-1,,1,1)+0.1,OFFSET(M187,-1,-1,1,1)&amp;".1")</f>
        <v>10.3</v>
      </c>
      <c r="N187" s="20" t="s">
        <v>1037</v>
      </c>
      <c r="O187" s="20"/>
      <c r="P187" s="20"/>
      <c r="Q187" s="134"/>
      <c r="R187" s="127"/>
      <c r="S187" s="157">
        <f>CEILING((IF(J187="Yes", 0, IF(H187="-",AA187,AA187+AA187*VLOOKUP(H187,BUFFERS_BY_TYPE,2,FALSE)))) +
   (IF(J187="Yes", 0, IF(H187="-",AA187,AA187+AA187*VLOOKUP(H187,BUFFERS_BY_TYPE,2,FALSE))))*VLOOKUP($S$5, SALES_CALL_SCALE_ARRAY, 2,FALSE),0.25)</f>
        <v>4</v>
      </c>
      <c r="T187" s="158"/>
      <c r="U187" s="21">
        <v>0</v>
      </c>
      <c r="V187" s="21">
        <v>1</v>
      </c>
      <c r="W187" s="21">
        <v>0</v>
      </c>
      <c r="X187" s="156">
        <v>4</v>
      </c>
      <c r="Y187" s="157">
        <f>CEILING((IF(P187=AS_DEV_EFFORT, DEV_EFFORT*Q187%,
                           IF(P187=AS_DURATION_EFFORT, (MANUAL_DURATION*5)*Q187%,
                                    (IF(Q187&lt;=1,X187,
                                          IF(SUM(U187:W187)=0,(Q187*X187),
                                               (((Q187*U187)*(X187+(X187*EXTRA_FOR_H)))+
                                               ((Q187*V187)*X187)+
                                               ((Q187*W187)*(X187-(X187*LESS_FOR_L)))
                                    )*IF(R187=0,1,R187))))))+Z187), 0.25)</f>
        <v>4</v>
      </c>
      <c r="Z187" s="22"/>
      <c r="AA187" s="157">
        <f>Y187+Y187*VLOOKUP(I187,EXTRAS_ARRAY,2,FALSE)</f>
        <v>4</v>
      </c>
      <c r="AB187" s="20"/>
      <c r="AC187" s="34"/>
      <c r="AD187" s="23" t="str">
        <f>IF(J187&lt;&gt;"Yes",
IF(S187&lt;=0,"Error: Effort value is not defined or is invalid.",
IF(AND(SUM(U187:W187)&gt;0,SUM(U187:W187)&lt;&gt;1),"Error: Complexity % distribution should sum to 100%.",
IF(AND(P187=AS_DEV_EFFORT,X187&lt;&gt;0),"Error: PDs should not be defined when defining as dev effort %.",
IF(AND(P187=AS_DURATION_EFFORT,X187&lt;&gt;0),"Error: PDs should not be defined when defining as duration effort %.","")))))</f>
        <v/>
      </c>
    </row>
    <row r="188" spans="1:30" ht="15.5" outlineLevel="2" x14ac:dyDescent="0.35">
      <c r="A188" s="86" t="s">
        <v>0</v>
      </c>
      <c r="B188" s="18"/>
      <c r="C188" s="78"/>
      <c r="D188" s="78"/>
      <c r="E188" s="78"/>
      <c r="F188" s="79"/>
      <c r="G188" s="19" t="s">
        <v>23</v>
      </c>
      <c r="H188" s="19" t="s">
        <v>23</v>
      </c>
      <c r="I188" s="20" t="s">
        <v>23</v>
      </c>
      <c r="J188" s="19" t="s">
        <v>23</v>
      </c>
      <c r="K188" s="35"/>
      <c r="L188" s="19"/>
      <c r="M188" s="263">
        <f ca="1">IFERROR(OFFSET(M188,-1,,1,1)+0.1,OFFSET(M188,-1,-1,1,1)&amp;".1")</f>
        <v>10.4</v>
      </c>
      <c r="N188" s="20" t="s">
        <v>1038</v>
      </c>
      <c r="O188" s="20"/>
      <c r="P188" s="20"/>
      <c r="Q188" s="134"/>
      <c r="R188" s="127"/>
      <c r="S188" s="157">
        <f>CEILING((IF(J188="Yes", 0, IF(H188="-",AA188,AA188+AA188*VLOOKUP(H188,BUFFERS_BY_TYPE,2,FALSE)))) +
   (IF(J188="Yes", 0, IF(H188="-",AA188,AA188+AA188*VLOOKUP(H188,BUFFERS_BY_TYPE,2,FALSE))))*VLOOKUP($S$5, SALES_CALL_SCALE_ARRAY, 2,FALSE),0.25)</f>
        <v>2</v>
      </c>
      <c r="T188" s="158"/>
      <c r="U188" s="21">
        <v>0</v>
      </c>
      <c r="V188" s="21">
        <v>1</v>
      </c>
      <c r="W188" s="21">
        <v>0</v>
      </c>
      <c r="X188" s="156">
        <v>2</v>
      </c>
      <c r="Y188" s="157">
        <f>CEILING((IF(P188=AS_DEV_EFFORT, DEV_EFFORT*Q188%,
                           IF(P188=AS_DURATION_EFFORT, (MANUAL_DURATION*5)*Q188%,
                                    (IF(Q188&lt;=1,X188,
                                          IF(SUM(U188:W188)=0,(Q188*X188),
                                               (((Q188*U188)*(X188+(X188*EXTRA_FOR_H)))+
                                               ((Q188*V188)*X188)+
                                               ((Q188*W188)*(X188-(X188*LESS_FOR_L)))
                                    )*IF(R188=0,1,R188))))))+Z188), 0.25)</f>
        <v>2</v>
      </c>
      <c r="Z188" s="22"/>
      <c r="AA188" s="157">
        <f>Y188+Y188*VLOOKUP(I188,EXTRAS_ARRAY,2,FALSE)</f>
        <v>2</v>
      </c>
      <c r="AB188" s="20"/>
      <c r="AC188" s="34"/>
      <c r="AD188" s="23" t="str">
        <f>IF(J188&lt;&gt;"Yes",
IF(S188&lt;=0,"Error: Effort value is not defined or is invalid.",
IF(AND(SUM(U188:W188)&gt;0,SUM(U188:W188)&lt;&gt;1),"Error: Complexity % distribution should sum to 100%.",
IF(AND(P188=AS_DEV_EFFORT,X188&lt;&gt;0),"Error: PDs should not be defined when defining as dev effort %.",
IF(AND(P188=AS_DURATION_EFFORT,X188&lt;&gt;0),"Error: PDs should not be defined when defining as duration effort %.","")))))</f>
        <v/>
      </c>
    </row>
    <row r="189" spans="1:30" ht="15.5" outlineLevel="2" x14ac:dyDescent="0.35">
      <c r="A189" s="86" t="s">
        <v>0</v>
      </c>
      <c r="B189" s="18"/>
      <c r="C189" s="78"/>
      <c r="D189" s="78"/>
      <c r="E189" s="78"/>
      <c r="F189" s="79"/>
      <c r="G189" s="19" t="s">
        <v>23</v>
      </c>
      <c r="H189" s="19" t="s">
        <v>23</v>
      </c>
      <c r="I189" s="20" t="s">
        <v>23</v>
      </c>
      <c r="J189" s="19" t="s">
        <v>23</v>
      </c>
      <c r="K189" s="35"/>
      <c r="L189" s="19"/>
      <c r="M189" s="263">
        <f ca="1">IFERROR(OFFSET(M189,-1,,1,1)+0.1,OFFSET(M189,-1,-1,1,1)&amp;".1")</f>
        <v>10.5</v>
      </c>
      <c r="N189" s="20" t="s">
        <v>1039</v>
      </c>
      <c r="O189" s="20"/>
      <c r="P189" s="20"/>
      <c r="Q189" s="134"/>
      <c r="R189" s="127"/>
      <c r="S189" s="157">
        <f>CEILING((IF(J189="Yes", 0, IF(H189="-",AA189,AA189+AA189*VLOOKUP(H189,BUFFERS_BY_TYPE,2,FALSE)))) +
   (IF(J189="Yes", 0, IF(H189="-",AA189,AA189+AA189*VLOOKUP(H189,BUFFERS_BY_TYPE,2,FALSE))))*VLOOKUP($S$5, SALES_CALL_SCALE_ARRAY, 2,FALSE),0.25)</f>
        <v>2</v>
      </c>
      <c r="T189" s="158"/>
      <c r="U189" s="21">
        <v>0</v>
      </c>
      <c r="V189" s="21">
        <v>1</v>
      </c>
      <c r="W189" s="21">
        <v>0</v>
      </c>
      <c r="X189" s="156">
        <v>2</v>
      </c>
      <c r="Y189" s="157">
        <f>CEILING((IF(P189=AS_DEV_EFFORT, DEV_EFFORT*Q189%,
                           IF(P189=AS_DURATION_EFFORT, (MANUAL_DURATION*5)*Q189%,
                                    (IF(Q189&lt;=1,X189,
                                          IF(SUM(U189:W189)=0,(Q189*X189),
                                               (((Q189*U189)*(X189+(X189*EXTRA_FOR_H)))+
                                               ((Q189*V189)*X189)+
                                               ((Q189*W189)*(X189-(X189*LESS_FOR_L)))
                                    )*IF(R189=0,1,R189))))))+Z189), 0.25)</f>
        <v>2</v>
      </c>
      <c r="Z189" s="22"/>
      <c r="AA189" s="157">
        <f>Y189+Y189*VLOOKUP(I189,EXTRAS_ARRAY,2,FALSE)</f>
        <v>2</v>
      </c>
      <c r="AB189" s="20"/>
      <c r="AC189" s="34"/>
      <c r="AD189" s="23" t="str">
        <f>IF(J189&lt;&gt;"Yes",
IF(S189&lt;=0,"Error: Effort value is not defined or is invalid.",
IF(AND(SUM(U189:W189)&gt;0,SUM(U189:W189)&lt;&gt;1),"Error: Complexity % distribution should sum to 100%.",
IF(AND(P189=AS_DEV_EFFORT,X189&lt;&gt;0),"Error: PDs should not be defined when defining as dev effort %.",
IF(AND(P189=AS_DURATION_EFFORT,X189&lt;&gt;0),"Error: PDs should not be defined when defining as duration effort %.","")))))</f>
        <v/>
      </c>
    </row>
    <row r="190" spans="1:30" ht="58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>
        <f ca="1">IFERROR(OFFSET(M190,-1,,1,1)+0.1,OFFSET(M190,-1,-1,1,1)&amp;".1")</f>
        <v>10.6</v>
      </c>
      <c r="N190" s="20" t="inlineStr">
        <is>
          <t xml:space="preserve">Region hierarchy, claim types, total-loss threshold and dispute window</t>
        </is>
      </c>
      <c r="O190" s="20"/>
      <c r="P190" s="20"/>
      <c r="Q190" s="134"/>
      <c r="R190" s="127"/>
      <c r="S190" s="157">
        <f>CEILING((IF(J190="Yes", 0, IF(H190="-",AA190,AA190+AA190*VLOOKUP(H190,BUFFERS_BY_TYPE,2,FALSE)))) +
   (IF(J190="Yes", 0, IF(H190="-",AA190,AA190+AA190*VLOOKUP(H190,BUFFERS_BY_TYPE,2,FALSE))))*VLOOKUP($S$5, SALES_CALL_SCALE_ARRAY, 2,FALSE),0.25)</f>
        <v>1</v>
      </c>
      <c r="T190" s="158"/>
      <c r="U190" s="21">
        <v>0</v>
      </c>
      <c r="V190" s="21">
        <v>1</v>
      </c>
      <c r="W190" s="21">
        <v>0</v>
      </c>
      <c r="X190" s="156">
        <v>1</v>
      </c>
      <c r="Y190" s="157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1</v>
      </c>
      <c r="Z190" s="22"/>
      <c r="AA190" s="157">
        <f>Y190+Y190*VLOOKUP(I190,EXTRAS_ARRAY,2,FALSE)</f>
        <v>1</v>
      </c>
      <c r="AB190" s="20"/>
      <c r="AC190" s="34"/>
      <c r="AD190" s="23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s="9" customFormat="1" ht="7.5" customHeight="1" outlineLevel="2" x14ac:dyDescent="0.35">
      <c r="A191" s="86" t="s">
        <v>132</v>
      </c>
      <c r="B191" s="15"/>
      <c r="C191" s="72"/>
      <c r="D191" s="72"/>
      <c r="E191" s="72"/>
      <c r="F191" s="72"/>
      <c r="M191" s="252"/>
      <c r="T191" s="15"/>
      <c r="X191" s="15"/>
      <c r="AB191" s="10"/>
      <c r="AC191" s="10"/>
      <c r="AD191" s="10"/>
    </row>
    <row r="192" spans="1:30" s="14" customFormat="1" ht="15.5" outlineLevel="1" x14ac:dyDescent="0.35">
      <c r="A192" s="86" t="s">
        <v>100</v>
      </c>
      <c r="B192" s="18"/>
      <c r="C192" s="77"/>
      <c r="D192" s="77"/>
      <c r="E192" s="77"/>
      <c r="F192" s="76"/>
      <c r="G192" s="29"/>
      <c r="H192" s="29"/>
      <c r="I192" s="29"/>
      <c r="J192" s="29"/>
      <c r="K192" s="29"/>
      <c r="L192" s="17">
        <f ca="1">LOOKUP(1000,INDIRECT("L1:"&amp;CELL("address",INDIRECT("R[-1]C",FALSE))))+1</f>
        <v>11</v>
      </c>
      <c r="M192" s="295" t="s">
        <v>1040</v>
      </c>
      <c r="N192" s="296"/>
      <c r="O192" s="5"/>
      <c r="P192" s="30"/>
      <c r="Q192" s="30"/>
      <c r="R192" s="30"/>
      <c r="S192" s="30"/>
      <c r="T192" s="155">
        <f>IF($S$6="Exclude", SUMIFS(S193:S200, J193:J200, "&lt;&gt;Yes", G193:G200, "&lt;&gt;Yes"), SUMIFS(S193:S200, J193:J200, "&lt;&gt;Yes"))</f>
        <v>16.5</v>
      </c>
      <c r="U192" s="30"/>
      <c r="V192" s="30"/>
      <c r="W192" s="30"/>
      <c r="X192" s="31"/>
      <c r="Y192" s="32"/>
      <c r="Z192" s="32"/>
      <c r="AA192" s="32"/>
      <c r="AB192" s="219" t="s">
        <v>1041</v>
      </c>
      <c r="AC192" s="33"/>
      <c r="AD192" s="23" t="str">
        <f>IF(M192="", "Error: Task name cannot be empty.", "")</f>
        <v/>
      </c>
    </row>
    <row r="193" spans="1:30" s="12" customFormat="1" ht="1.5" customHeight="1" outlineLevel="2" x14ac:dyDescent="0.35">
      <c r="A193" s="86" t="s">
        <v>101</v>
      </c>
      <c r="B193" s="18"/>
      <c r="C193" s="77"/>
      <c r="D193" s="77"/>
      <c r="E193" s="77"/>
      <c r="F193" s="76"/>
      <c r="G193" s="29"/>
      <c r="H193" s="29"/>
      <c r="I193" s="29"/>
      <c r="J193" s="29"/>
      <c r="K193" s="29"/>
      <c r="L193" s="163">
        <f ca="1">L192</f>
        <v>11</v>
      </c>
      <c r="M193" s="164" t="s">
        <v>105</v>
      </c>
      <c r="N193" s="161"/>
      <c r="O193" s="162"/>
      <c r="P193" s="30"/>
      <c r="Q193" s="30"/>
      <c r="R193" s="30"/>
      <c r="S193" s="30"/>
      <c r="T193" s="155"/>
      <c r="U193" s="30"/>
      <c r="V193" s="30"/>
      <c r="W193" s="30"/>
      <c r="X193" s="31"/>
      <c r="Y193" s="32"/>
      <c r="Z193" s="32"/>
      <c r="AA193" s="32"/>
      <c r="AB193" s="33"/>
      <c r="AC193" s="33"/>
      <c r="AD193" s="23"/>
    </row>
    <row r="194" spans="1:30" ht="15.5" outlineLevel="2" x14ac:dyDescent="0.35">
      <c r="A194" s="86" t="s">
        <v>0</v>
      </c>
      <c r="B194" s="18"/>
      <c r="C194" s="78"/>
      <c r="D194" s="78"/>
      <c r="E194" s="78"/>
      <c r="F194" s="79"/>
      <c r="G194" s="19" t="s">
        <v>23</v>
      </c>
      <c r="H194" s="19" t="s">
        <v>23</v>
      </c>
      <c r="I194" s="20" t="s">
        <v>23</v>
      </c>
      <c r="J194" s="19" t="s">
        <v>23</v>
      </c>
      <c r="K194" s="35"/>
      <c r="L194" s="19"/>
      <c r="M194" s="263" t="str">
        <f ca="1">IFERROR(OFFSET(M194,-1,,1,1)+0.1,OFFSET(M194,-1,-1,1,1)&amp;".1")</f>
        <v>11.1</v>
      </c>
      <c r="N194" s="20" t="s">
        <v>1042</v>
      </c>
      <c r="O194" s="20"/>
      <c r="P194" s="20"/>
      <c r="Q194" s="134"/>
      <c r="R194" s="127"/>
      <c r="S194" s="157">
        <f>CEILING((IF(J194="Yes", 0, IF(H194="-",AA194,AA194+AA194*VLOOKUP(H194,BUFFERS_BY_TYPE,2,FALSE)))) +
   (IF(J194="Yes", 0, IF(H194="-",AA194,AA194+AA194*VLOOKUP(H194,BUFFERS_BY_TYPE,2,FALSE))))*VLOOKUP($S$5, SALES_CALL_SCALE_ARRAY, 2,FALSE),0.25)</f>
        <v>3</v>
      </c>
      <c r="T194" s="158"/>
      <c r="U194" s="21">
        <v>0</v>
      </c>
      <c r="V194" s="21">
        <v>1</v>
      </c>
      <c r="W194" s="21">
        <v>0</v>
      </c>
      <c r="X194" s="156">
        <v>3</v>
      </c>
      <c r="Y194" s="157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3</v>
      </c>
      <c r="Z194" s="22"/>
      <c r="AA194" s="157">
        <f>Y194+Y194*VLOOKUP(I194,EXTRAS_ARRAY,2,FALSE)</f>
        <v>3</v>
      </c>
      <c r="AB194" s="20"/>
      <c r="AC194" s="34"/>
      <c r="AD194" s="23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ht="15.5" outlineLevel="2" x14ac:dyDescent="0.35">
      <c r="A195" s="86" t="s">
        <v>0</v>
      </c>
      <c r="B195" s="18"/>
      <c r="C195" s="78"/>
      <c r="D195" s="78"/>
      <c r="E195" s="78"/>
      <c r="F195" s="79"/>
      <c r="G195" s="19" t="s">
        <v>23</v>
      </c>
      <c r="H195" s="19" t="s">
        <v>23</v>
      </c>
      <c r="I195" s="20" t="s">
        <v>23</v>
      </c>
      <c r="J195" s="19" t="s">
        <v>23</v>
      </c>
      <c r="K195" s="35"/>
      <c r="L195" s="19"/>
      <c r="M195" s="263">
        <f ca="1">IFERROR(OFFSET(M195,-1,,1,1)+0.1,OFFSET(M195,-1,-1,1,1)&amp;".1")</f>
        <v>11.2</v>
      </c>
      <c r="N195" s="20" t="s">
        <v>1043</v>
      </c>
      <c r="O195" s="20"/>
      <c r="P195" s="20"/>
      <c r="Q195" s="134"/>
      <c r="R195" s="127"/>
      <c r="S195" s="157">
        <f>CEILING((IF(J195="Yes", 0, IF(H195="-",AA195,AA195+AA195*VLOOKUP(H195,BUFFERS_BY_TYPE,2,FALSE)))) +
   (IF(J195="Yes", 0, IF(H195="-",AA195,AA195+AA195*VLOOKUP(H195,BUFFERS_BY_TYPE,2,FALSE))))*VLOOKUP($S$5, SALES_CALL_SCALE_ARRAY, 2,FALSE),0.25)</f>
        <v>3</v>
      </c>
      <c r="T195" s="158"/>
      <c r="U195" s="21">
        <v>0</v>
      </c>
      <c r="V195" s="21">
        <v>1</v>
      </c>
      <c r="W195" s="21">
        <v>0</v>
      </c>
      <c r="X195" s="156">
        <v>3</v>
      </c>
      <c r="Y195" s="157">
        <f>CEILING((IF(P195=AS_DEV_EFFORT, DEV_EFFORT*Q195%,
                           IF(P195=AS_DURATION_EFFORT, (MANUAL_DURATION*5)*Q195%,
                                    (IF(Q195&lt;=1,X195,
                                          IF(SUM(U195:W195)=0,(Q195*X195),
                                               (((Q195*U195)*(X195+(X195*EXTRA_FOR_H)))+
                                               ((Q195*V195)*X195)+
                                               ((Q195*W195)*(X195-(X195*LESS_FOR_L)))
                                    )*IF(R195=0,1,R195))))))+Z195), 0.25)</f>
        <v>3</v>
      </c>
      <c r="Z195" s="22"/>
      <c r="AA195" s="157">
        <f>Y195+Y195*VLOOKUP(I195,EXTRAS_ARRAY,2,FALSE)</f>
        <v>3</v>
      </c>
      <c r="AB195" s="20"/>
      <c r="AC195" s="34"/>
      <c r="AD195" s="23" t="str">
        <f>IF(J195&lt;&gt;"Yes",
IF(S195&lt;=0,"Error: Effort value is not defined or is invalid.",
IF(AND(SUM(U195:W195)&gt;0,SUM(U195:W195)&lt;&gt;1),"Error: Complexity % distribution should sum to 100%.",
IF(AND(P195=AS_DEV_EFFORT,X195&lt;&gt;0),"Error: PDs should not be defined when defining as dev effort %.",
IF(AND(P195=AS_DURATION_EFFORT,X195&lt;&gt;0),"Error: PDs should not be defined when defining as duration effort %.","")))))</f>
        <v/>
      </c>
    </row>
    <row r="196" spans="1:30" ht="15.5" outlineLevel="2" x14ac:dyDescent="0.35">
      <c r="A196" s="86" t="s">
        <v>0</v>
      </c>
      <c r="B196" s="18"/>
      <c r="C196" s="78"/>
      <c r="D196" s="78"/>
      <c r="E196" s="78"/>
      <c r="F196" s="79"/>
      <c r="G196" s="19" t="s">
        <v>23</v>
      </c>
      <c r="H196" s="19" t="s">
        <v>23</v>
      </c>
      <c r="I196" s="20" t="s">
        <v>23</v>
      </c>
      <c r="J196" s="19" t="s">
        <v>23</v>
      </c>
      <c r="K196" s="35"/>
      <c r="L196" s="19"/>
      <c r="M196" s="263">
        <f ca="1">IFERROR(OFFSET(M196,-1,,1,1)+0.1,OFFSET(M196,-1,-1,1,1)&amp;".1")</f>
        <v>11.3</v>
      </c>
      <c r="N196" s="20" t="s">
        <v>880</v>
      </c>
      <c r="O196" s="20"/>
      <c r="P196" s="20"/>
      <c r="Q196" s="134"/>
      <c r="R196" s="127"/>
      <c r="S196" s="157">
        <f>CEILING((IF(J196="Yes", 0, IF(H196="-",AA196,AA196+AA196*VLOOKUP(H196,BUFFERS_BY_TYPE,2,FALSE)))) +
   (IF(J196="Yes", 0, IF(H196="-",AA196,AA196+AA196*VLOOKUP(H196,BUFFERS_BY_TYPE,2,FALSE))))*VLOOKUP($S$5, SALES_CALL_SCALE_ARRAY, 2,FALSE),0.25)</f>
        <v>4</v>
      </c>
      <c r="T196" s="158"/>
      <c r="U196" s="21">
        <v>0</v>
      </c>
      <c r="V196" s="21">
        <v>1</v>
      </c>
      <c r="W196" s="21">
        <v>0</v>
      </c>
      <c r="X196" s="156">
        <v>4</v>
      </c>
      <c r="Y196" s="157">
        <f>CEILING((IF(P196=AS_DEV_EFFORT, DEV_EFFORT*Q196%,
                           IF(P196=AS_DURATION_EFFORT, (MANUAL_DURATION*5)*Q196%,
                                    (IF(Q196&lt;=1,X196,
                                          IF(SUM(U196:W196)=0,(Q196*X196),
                                               (((Q196*U196)*(X196+(X196*EXTRA_FOR_H)))+
                                               ((Q196*V196)*X196)+
                                               ((Q196*W196)*(X196-(X196*LESS_FOR_L)))
                                    )*IF(R196=0,1,R196))))))+Z196), 0.25)</f>
        <v>4</v>
      </c>
      <c r="Z196" s="22"/>
      <c r="AA196" s="157">
        <f>Y196+Y196*VLOOKUP(I196,EXTRAS_ARRAY,2,FALSE)</f>
        <v>4</v>
      </c>
      <c r="AB196" s="20"/>
      <c r="AC196" s="34"/>
      <c r="AD196" s="23" t="str">
        <f>IF(J196&lt;&gt;"Yes",
IF(S196&lt;=0,"Error: Effort value is not defined or is invalid.",
IF(AND(SUM(U196:W196)&gt;0,SUM(U196:W196)&lt;&gt;1),"Error: Complexity % distribution should sum to 100%.",
IF(AND(P196=AS_DEV_EFFORT,X196&lt;&gt;0),"Error: PDs should not be defined when defining as dev effort %.",
IF(AND(P196=AS_DURATION_EFFORT,X196&lt;&gt;0),"Error: PDs should not be defined when defining as duration effort %.","")))))</f>
        <v/>
      </c>
    </row>
    <row r="197" spans="1:30" ht="15.5" outlineLevel="2" x14ac:dyDescent="0.35">
      <c r="A197" s="86" t="s">
        <v>0</v>
      </c>
      <c r="B197" s="18"/>
      <c r="C197" s="78"/>
      <c r="D197" s="78"/>
      <c r="E197" s="78"/>
      <c r="F197" s="79"/>
      <c r="G197" s="19" t="s">
        <v>23</v>
      </c>
      <c r="H197" s="19" t="s">
        <v>23</v>
      </c>
      <c r="I197" s="20" t="s">
        <v>23</v>
      </c>
      <c r="J197" s="19" t="s">
        <v>23</v>
      </c>
      <c r="K197" s="35"/>
      <c r="L197" s="19"/>
      <c r="M197" s="263">
        <f ca="1">IFERROR(OFFSET(M197,-1,,1,1)+0.1,OFFSET(M197,-1,-1,1,1)&amp;".1")</f>
        <v>11.4</v>
      </c>
      <c r="N197" s="20" t="s">
        <v>1044</v>
      </c>
      <c r="O197" s="20"/>
      <c r="P197" s="20"/>
      <c r="Q197" s="134"/>
      <c r="R197" s="127"/>
      <c r="S197" s="157">
        <f>CEILING((IF(J197="Yes", 0, IF(H197="-",AA197,AA197+AA197*VLOOKUP(H197,BUFFERS_BY_TYPE,2,FALSE)))) +
   (IF(J197="Yes", 0, IF(H197="-",AA197,AA197+AA197*VLOOKUP(H197,BUFFERS_BY_TYPE,2,FALSE))))*VLOOKUP($S$5, SALES_CALL_SCALE_ARRAY, 2,FALSE),0.25)</f>
        <v>3</v>
      </c>
      <c r="T197" s="158"/>
      <c r="U197" s="21">
        <v>0</v>
      </c>
      <c r="V197" s="21">
        <v>1</v>
      </c>
      <c r="W197" s="21">
        <v>0</v>
      </c>
      <c r="X197" s="156">
        <v>3</v>
      </c>
      <c r="Y197" s="157">
        <f>CEILING((IF(P197=AS_DEV_EFFORT, DEV_EFFORT*Q197%,
                           IF(P197=AS_DURATION_EFFORT, (MANUAL_DURATION*5)*Q197%,
                                    (IF(Q197&lt;=1,X197,
                                          IF(SUM(U197:W197)=0,(Q197*X197),
                                               (((Q197*U197)*(X197+(X197*EXTRA_FOR_H)))+
                                               ((Q197*V197)*X197)+
                                               ((Q197*W197)*(X197-(X197*LESS_FOR_L)))
                                    )*IF(R197=0,1,R197))))))+Z197), 0.25)</f>
        <v>3</v>
      </c>
      <c r="Z197" s="22"/>
      <c r="AA197" s="157">
        <f>Y197+Y197*VLOOKUP(I197,EXTRAS_ARRAY,2,FALSE)</f>
        <v>3</v>
      </c>
      <c r="AB197" s="20"/>
      <c r="AC197" s="34"/>
      <c r="AD197" s="23" t="str">
        <f>IF(J197&lt;&gt;"Yes",
IF(S197&lt;=0,"Error: Effort value is not defined or is invalid.",
IF(AND(SUM(U197:W197)&gt;0,SUM(U197:W197)&lt;&gt;1),"Error: Complexity % distribution should sum to 100%.",
IF(AND(P197=AS_DEV_EFFORT,X197&lt;&gt;0),"Error: PDs should not be defined when defining as dev effort %.",
IF(AND(P197=AS_DURATION_EFFORT,X197&lt;&gt;0),"Error: PDs should not be defined when defining as duration effort %.","")))))</f>
        <v/>
      </c>
    </row>
    <row r="198" spans="1:30" ht="15.5" outlineLevel="2" x14ac:dyDescent="0.35">
      <c r="A198" s="86" t="s">
        <v>0</v>
      </c>
      <c r="B198" s="18"/>
      <c r="C198" s="78"/>
      <c r="D198" s="78"/>
      <c r="E198" s="78"/>
      <c r="F198" s="79"/>
      <c r="G198" s="19" t="s">
        <v>23</v>
      </c>
      <c r="H198" s="19" t="s">
        <v>23</v>
      </c>
      <c r="I198" s="20" t="s">
        <v>23</v>
      </c>
      <c r="J198" s="19" t="s">
        <v>23</v>
      </c>
      <c r="K198" s="35"/>
      <c r="L198" s="19"/>
      <c r="M198" s="263">
        <f ca="1">IFERROR(OFFSET(M198,-1,,1,1)+0.1,OFFSET(M198,-1,-1,1,1)&amp;".1")</f>
        <v>11.5</v>
      </c>
      <c r="N198" s="20" t="s">
        <v>1045</v>
      </c>
      <c r="O198" s="20"/>
      <c r="P198" s="20"/>
      <c r="Q198" s="134"/>
      <c r="R198" s="127"/>
      <c r="S198" s="157">
        <f>CEILING((IF(J198="Yes", 0, IF(H198="-",AA198,AA198+AA198*VLOOKUP(H198,BUFFERS_BY_TYPE,2,FALSE)))) +
   (IF(J198="Yes", 0, IF(H198="-",AA198,AA198+AA198*VLOOKUP(H198,BUFFERS_BY_TYPE,2,FALSE))))*VLOOKUP($S$5, SALES_CALL_SCALE_ARRAY, 2,FALSE),0.25)</f>
        <v>2</v>
      </c>
      <c r="T198" s="158"/>
      <c r="U198" s="21">
        <v>0</v>
      </c>
      <c r="V198" s="21">
        <v>1</v>
      </c>
      <c r="W198" s="21">
        <v>0</v>
      </c>
      <c r="X198" s="156">
        <v>2</v>
      </c>
      <c r="Y198" s="157">
        <f>CEILING((IF(P198=AS_DEV_EFFORT, DEV_EFFORT*Q198%,
                           IF(P198=AS_DURATION_EFFORT, (MANUAL_DURATION*5)*Q198%,
                                    (IF(Q198&lt;=1,X198,
                                          IF(SUM(U198:W198)=0,(Q198*X198),
                                               (((Q198*U198)*(X198+(X198*EXTRA_FOR_H)))+
                                               ((Q198*V198)*X198)+
                                               ((Q198*W198)*(X198-(X198*LESS_FOR_L)))
                                    )*IF(R198=0,1,R198))))))+Z198), 0.25)</f>
        <v>2</v>
      </c>
      <c r="Z198" s="22"/>
      <c r="AA198" s="157">
        <f>Y198+Y198*VLOOKUP(I198,EXTRAS_ARRAY,2,FALSE)</f>
        <v>2</v>
      </c>
      <c r="AB198" s="20"/>
      <c r="AC198" s="34"/>
      <c r="AD198" s="23" t="str">
        <f>IF(J198&lt;&gt;"Yes",
IF(S198&lt;=0,"Error: Effort value is not defined or is invalid.",
IF(AND(SUM(U198:W198)&gt;0,SUM(U198:W198)&lt;&gt;1),"Error: Complexity % distribution should sum to 100%.",
IF(AND(P198=AS_DEV_EFFORT,X198&lt;&gt;0),"Error: PDs should not be defined when defining as dev effort %.",
IF(AND(P198=AS_DURATION_EFFORT,X198&lt;&gt;0),"Error: PDs should not be defined when defining as duration effort %.","")))))</f>
        <v/>
      </c>
    </row>
    <row r="199" spans="1:30" ht="58" outlineLevel="2" x14ac:dyDescent="0.35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>
        <f ca="1">IFERROR(OFFSET(M199,-1,,1,1)+0.1,OFFSET(M199,-1,-1,1,1)&amp;".1")</f>
        <v>11.6</v>
      </c>
      <c r="N199" s="20" t="inlineStr">
        <is>
          <t xml:space="preserve">Information Requested and Disputed states: SLA clock paused, 30-day dispute window, Case Manager resolution</t>
        </is>
      </c>
      <c r="O199" s="20"/>
      <c r="P199" s="20"/>
      <c r="Q199" s="134"/>
      <c r="R199" s="127"/>
      <c r="S199" s="157">
        <f>CEILING((IF(J199="Yes", 0, IF(H199="-",AA199,AA199+AA199*VLOOKUP(H199,BUFFERS_BY_TYPE,2,FALSE)))) +
   (IF(J199="Yes", 0, IF(H199="-",AA199,AA199+AA199*VLOOKUP(H199,BUFFERS_BY_TYPE,2,FALSE))))*VLOOKUP($S$5, SALES_CALL_SCALE_ARRAY, 2,FALSE),0.25)</f>
        <v>1.5</v>
      </c>
      <c r="T199" s="158"/>
      <c r="U199" s="21">
        <v>0</v>
      </c>
      <c r="V199" s="21">
        <v>1</v>
      </c>
      <c r="W199" s="21">
        <v>0</v>
      </c>
      <c r="X199" s="156">
        <v>1.5</v>
      </c>
      <c r="Y199" s="157">
        <f>CEILING((IF(P199=AS_DEV_EFFORT, DEV_EFFORT*Q199%,
                           IF(P199=AS_DURATION_EFFORT, (MANUAL_DURATION*5)*Q199%,
                                    (IF(Q199&lt;=1,X199,
                                          IF(SUM(U199:W199)=0,(Q199*X199),
                                               (((Q199*U199)*(X199+(X199*EXTRA_FOR_H)))+
                                               ((Q199*V199)*X199)+
                                               ((Q199*W199)*(X199-(X199*LESS_FOR_L)))
                                    )*IF(R199=0,1,R199))))))+Z199), 0.25)</f>
        <v>1.5</v>
      </c>
      <c r="Z199" s="22"/>
      <c r="AA199" s="157">
        <f>Y199+Y199*VLOOKUP(I199,EXTRAS_ARRAY,2,FALSE)</f>
        <v>1.5</v>
      </c>
      <c r="AB199" s="20" t="inlineStr">
        <is>
          <t xml:space="preserve">SAD v2.0 §3</t>
        </is>
      </c>
      <c r="AC199" s="34"/>
      <c r="AD199" s="23" t="str">
        <f>IF(J199&lt;&gt;"Yes",
IF(S199&lt;=0,"Error: Effort value is not defined or is invalid.",
IF(AND(SUM(U199:W199)&gt;0,SUM(U199:W199)&lt;&gt;1),"Error: Complexity % distribution should sum to 100%.",
IF(AND(P199=AS_DEV_EFFORT,X199&lt;&gt;0),"Error: PDs should not be defined when defining as dev effort %.",
IF(AND(P199=AS_DURATION_EFFORT,X199&lt;&gt;0),"Error: PDs should not be defined when defining as duration effort %.","")))))</f>
        <v/>
      </c>
    </row>
    <row r="200" spans="1:30" s="9" customFormat="1" ht="7.5" customHeight="1" outlineLevel="2" x14ac:dyDescent="0.35">
      <c r="A200" s="86" t="s">
        <v>132</v>
      </c>
      <c r="B200" s="15"/>
      <c r="C200" s="72"/>
      <c r="D200" s="72"/>
      <c r="E200" s="72"/>
      <c r="F200" s="72"/>
      <c r="M200" s="252"/>
      <c r="T200" s="15"/>
      <c r="X200" s="15"/>
      <c r="AB200" s="10"/>
      <c r="AC200" s="10"/>
      <c r="AD200" s="10"/>
    </row>
    <row r="201" spans="1:30" s="14" customFormat="1" ht="15.5" outlineLevel="1" x14ac:dyDescent="0.35">
      <c r="A201" s="86" t="s">
        <v>100</v>
      </c>
      <c r="B201" s="18"/>
      <c r="C201" s="77"/>
      <c r="D201" s="77"/>
      <c r="E201" s="77"/>
      <c r="F201" s="76"/>
      <c r="G201" s="29"/>
      <c r="H201" s="29"/>
      <c r="I201" s="29"/>
      <c r="J201" s="29"/>
      <c r="K201" s="29"/>
      <c r="L201" s="17">
        <f ca="1">LOOKUP(1000,INDIRECT("L1:"&amp;CELL("address",INDIRECT("R[-1]C",FALSE))))+1</f>
        <v>12</v>
      </c>
      <c r="M201" s="295" t="s">
        <v>1046</v>
      </c>
      <c r="N201" s="296"/>
      <c r="O201" s="5"/>
      <c r="P201" s="30"/>
      <c r="Q201" s="30"/>
      <c r="R201" s="30"/>
      <c r="S201" s="30"/>
      <c r="T201" s="155">
        <f>IF($S$6="Exclude", SUMIFS(S202:S208, J202:J208, "&lt;&gt;Yes", G202:G208, "&lt;&gt;Yes"), SUMIFS(S202:S208, J202:J208, "&lt;&gt;Yes"))</f>
        <v>21</v>
      </c>
      <c r="U201" s="30"/>
      <c r="V201" s="30"/>
      <c r="W201" s="30"/>
      <c r="X201" s="31"/>
      <c r="Y201" s="32"/>
      <c r="Z201" s="32"/>
      <c r="AA201" s="32"/>
      <c r="AB201" s="219" t="s">
        <v>950</v>
      </c>
      <c r="AC201" s="33"/>
      <c r="AD201" s="23" t="str">
        <f>IF(M201="", "Error: Task name cannot be empty.", "")</f>
        <v/>
      </c>
    </row>
    <row r="202" spans="1:30" s="12" customFormat="1" ht="1.5" customHeight="1" outlineLevel="2" x14ac:dyDescent="0.35">
      <c r="A202" s="86" t="s">
        <v>101</v>
      </c>
      <c r="B202" s="18"/>
      <c r="C202" s="77"/>
      <c r="D202" s="77"/>
      <c r="E202" s="77"/>
      <c r="F202" s="76"/>
      <c r="G202" s="29"/>
      <c r="H202" s="29"/>
      <c r="I202" s="29"/>
      <c r="J202" s="29"/>
      <c r="K202" s="29"/>
      <c r="L202" s="163">
        <f ca="1">L201</f>
        <v>12</v>
      </c>
      <c r="M202" s="164" t="s">
        <v>105</v>
      </c>
      <c r="N202" s="161"/>
      <c r="O202" s="162"/>
      <c r="P202" s="30"/>
      <c r="Q202" s="30"/>
      <c r="R202" s="30"/>
      <c r="S202" s="30"/>
      <c r="T202" s="155"/>
      <c r="U202" s="30"/>
      <c r="V202" s="30"/>
      <c r="W202" s="30"/>
      <c r="X202" s="31"/>
      <c r="Y202" s="32"/>
      <c r="Z202" s="32"/>
      <c r="AA202" s="32"/>
      <c r="AB202" s="33"/>
      <c r="AC202" s="33"/>
      <c r="AD202" s="23"/>
    </row>
    <row r="203" spans="1:30" ht="29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 t="str">
        <f ca="1">IFERROR(OFFSET(M203,-1,,1,1)+0.1,OFFSET(M203,-1,-1,1,1)&amp;".1")</f>
        <v>12.1</v>
      </c>
      <c r="N203" s="20" t="s">
        <v>1047</v>
      </c>
      <c r="O203" s="20"/>
      <c r="P203" s="20"/>
      <c r="Q203" s="134"/>
      <c r="R203" s="127"/>
      <c r="S203" s="157">
        <f>CEILING((IF(J203="Yes", 0, IF(H203="-",AA203,AA203+AA203*VLOOKUP(H203,BUFFERS_BY_TYPE,2,FALSE)))) +
   (IF(J203="Yes", 0, IF(H203="-",AA203,AA203+AA203*VLOOKUP(H203,BUFFERS_BY_TYPE,2,FALSE))))*VLOOKUP($S$5, SALES_CALL_SCALE_ARRAY, 2,FALSE),0.25)</f>
        <v>6</v>
      </c>
      <c r="T203" s="158"/>
      <c r="U203" s="21">
        <v>0</v>
      </c>
      <c r="V203" s="21">
        <v>1</v>
      </c>
      <c r="W203" s="21">
        <v>0</v>
      </c>
      <c r="X203" s="156">
        <v>6</v>
      </c>
      <c r="Y203" s="157">
        <f>CEILING((IF(P203=AS_DEV_EFFORT, DEV_EFFORT*Q203%,
                           IF(P203=AS_DURATION_EFFORT, (MANUAL_DURATION*5)*Q203%,
                                    (IF(Q203&lt;=1,X203,
                                          IF(SUM(U203:W203)=0,(Q203*X203),
                                               (((Q203*U203)*(X203+(X203*EXTRA_FOR_H)))+
                                               ((Q203*V203)*X203)+
                                               ((Q203*W203)*(X203-(X203*LESS_FOR_L)))
                                    )*IF(R203=0,1,R203))))))+Z203), 0.25)</f>
        <v>6</v>
      </c>
      <c r="Z203" s="22"/>
      <c r="AA203" s="157">
        <f>Y203+Y203*VLOOKUP(I203,EXTRAS_ARRAY,2,FALSE)</f>
        <v>6</v>
      </c>
      <c r="AB203" s="20"/>
      <c r="AC203" s="34"/>
      <c r="AD203" s="23" t="str">
        <f>IF(J203&lt;&gt;"Yes",
IF(S203&lt;=0,"Error: Effort value is not defined or is invalid.",
IF(AND(SUM(U203:W203)&gt;0,SUM(U203:W203)&lt;&gt;1),"Error: Complexity % distribution should sum to 100%.",
IF(AND(P203=AS_DEV_EFFORT,X203&lt;&gt;0),"Error: PDs should not be defined when defining as dev effort %.",
IF(AND(P203=AS_DURATION_EFFORT,X203&lt;&gt;0),"Error: PDs should not be defined when defining as duration effort %.","")))))</f>
        <v/>
      </c>
    </row>
    <row r="204" spans="1:30" ht="15.5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ca="1">IFERROR(OFFSET(M204,-1,,1,1)+0.1,OFFSET(M204,-1,-1,1,1)&amp;".1")</f>
        <v>12.2</v>
      </c>
      <c r="N204" s="20" t="s">
        <v>1048</v>
      </c>
      <c r="O204" s="20"/>
      <c r="P204" s="20"/>
      <c r="Q204" s="134"/>
      <c r="R204" s="127"/>
      <c r="S204" s="157">
        <f>CEILING((IF(J204="Yes", 0, IF(H204="-",AA204,AA204+AA204*VLOOKUP(H204,BUFFERS_BY_TYPE,2,FALSE)))) +
   (IF(J204="Yes", 0, IF(H204="-",AA204,AA204+AA204*VLOOKUP(H204,BUFFERS_BY_TYPE,2,FALSE))))*VLOOKUP($S$5, SALES_CALL_SCALE_ARRAY, 2,FALSE),0.25)</f>
        <v>5</v>
      </c>
      <c r="T204" s="158"/>
      <c r="U204" s="21">
        <v>0</v>
      </c>
      <c r="V204" s="21">
        <v>1</v>
      </c>
      <c r="W204" s="21">
        <v>0</v>
      </c>
      <c r="X204" s="156">
        <v>5</v>
      </c>
      <c r="Y204" s="157">
        <f>CEILING((IF(P204=AS_DEV_EFFORT, DEV_EFFORT*Q204%,
                           IF(P204=AS_DURATION_EFFORT, (MANUAL_DURATION*5)*Q204%,
                                    (IF(Q204&lt;=1,X204,
                                          IF(SUM(U204:W204)=0,(Q204*X204),
                                               (((Q204*U204)*(X204+(X204*EXTRA_FOR_H)))+
                                               ((Q204*V204)*X204)+
                                               ((Q204*W204)*(X204-(X204*LESS_FOR_L)))
                                    )*IF(R204=0,1,R204))))))+Z204), 0.25)</f>
        <v>5</v>
      </c>
      <c r="Z204" s="22"/>
      <c r="AA204" s="157">
        <f>Y204+Y204*VLOOKUP(I204,EXTRAS_ARRAY,2,FALSE)</f>
        <v>5</v>
      </c>
      <c r="AB204" s="20"/>
      <c r="AC204" s="34"/>
      <c r="AD204" s="23" t="str">
        <f>IF(J204&lt;&gt;"Yes",
IF(S204&lt;=0,"Error: Effort value is not defined or is invalid.",
IF(AND(SUM(U204:W204)&gt;0,SUM(U204:W204)&lt;&gt;1),"Error: Complexity % distribution should sum to 100%.",
IF(AND(P204=AS_DEV_EFFORT,X204&lt;&gt;0),"Error: PDs should not be defined when defining as dev effort %.",
IF(AND(P204=AS_DURATION_EFFORT,X204&lt;&gt;0),"Error: PDs should not be defined when defining as duration effort %.","")))))</f>
        <v/>
      </c>
    </row>
    <row r="205" spans="1:30" ht="15.5" outlineLevel="2" x14ac:dyDescent="0.35">
      <c r="A205" s="86" t="s">
        <v>0</v>
      </c>
      <c r="B205" s="18"/>
      <c r="C205" s="78"/>
      <c r="D205" s="78"/>
      <c r="E205" s="78"/>
      <c r="F205" s="79"/>
      <c r="G205" s="19" t="s">
        <v>23</v>
      </c>
      <c r="H205" s="19" t="s">
        <v>23</v>
      </c>
      <c r="I205" s="20" t="s">
        <v>23</v>
      </c>
      <c r="J205" s="19" t="s">
        <v>23</v>
      </c>
      <c r="K205" s="35"/>
      <c r="L205" s="19"/>
      <c r="M205" s="263">
        <f ca="1">IFERROR(OFFSET(M205,-1,,1,1)+0.1,OFFSET(M205,-1,-1,1,1)&amp;".1")</f>
        <v>12.3</v>
      </c>
      <c r="N205" s="20" t="s">
        <v>1049</v>
      </c>
      <c r="O205" s="20"/>
      <c r="P205" s="20"/>
      <c r="Q205" s="134"/>
      <c r="R205" s="127"/>
      <c r="S205" s="157">
        <f>CEILING((IF(J205="Yes", 0, IF(H205="-",AA205,AA205+AA205*VLOOKUP(H205,BUFFERS_BY_TYPE,2,FALSE)))) +
   (IF(J205="Yes", 0, IF(H205="-",AA205,AA205+AA205*VLOOKUP(H205,BUFFERS_BY_TYPE,2,FALSE))))*VLOOKUP($S$5, SALES_CALL_SCALE_ARRAY, 2,FALSE),0.25)</f>
        <v>4</v>
      </c>
      <c r="T205" s="158"/>
      <c r="U205" s="21">
        <v>0</v>
      </c>
      <c r="V205" s="21">
        <v>1</v>
      </c>
      <c r="W205" s="21">
        <v>0</v>
      </c>
      <c r="X205" s="156">
        <v>4</v>
      </c>
      <c r="Y205" s="157">
        <f>CEILING((IF(P205=AS_DEV_EFFORT, DEV_EFFORT*Q205%,
                           IF(P205=AS_DURATION_EFFORT, (MANUAL_DURATION*5)*Q205%,
                                    (IF(Q205&lt;=1,X205,
                                          IF(SUM(U205:W205)=0,(Q205*X205),
                                               (((Q205*U205)*(X205+(X205*EXTRA_FOR_H)))+
                                               ((Q205*V205)*X205)+
                                               ((Q205*W205)*(X205-(X205*LESS_FOR_L)))
                                    )*IF(R205=0,1,R205))))))+Z205), 0.25)</f>
        <v>4</v>
      </c>
      <c r="Z205" s="22"/>
      <c r="AA205" s="157">
        <f>Y205+Y205*VLOOKUP(I205,EXTRAS_ARRAY,2,FALSE)</f>
        <v>4</v>
      </c>
      <c r="AB205" s="20"/>
      <c r="AC205" s="34"/>
      <c r="AD205" s="23" t="str">
        <f>IF(J205&lt;&gt;"Yes",
IF(S205&lt;=0,"Error: Effort value is not defined or is invalid.",
IF(AND(SUM(U205:W205)&gt;0,SUM(U205:W205)&lt;&gt;1),"Error: Complexity % distribution should sum to 100%.",
IF(AND(P205=AS_DEV_EFFORT,X205&lt;&gt;0),"Error: PDs should not be defined when defining as dev effort %.",
IF(AND(P205=AS_DURATION_EFFORT,X205&lt;&gt;0),"Error: PDs should not be defined when defining as duration effort %.","")))))</f>
        <v/>
      </c>
    </row>
    <row r="206" spans="1:30" ht="15.5" outlineLevel="2" x14ac:dyDescent="0.35">
      <c r="A206" s="86" t="s">
        <v>0</v>
      </c>
      <c r="B206" s="18"/>
      <c r="C206" s="78"/>
      <c r="D206" s="78"/>
      <c r="E206" s="78"/>
      <c r="F206" s="79"/>
      <c r="G206" s="19" t="s">
        <v>23</v>
      </c>
      <c r="H206" s="19" t="s">
        <v>23</v>
      </c>
      <c r="I206" s="20" t="s">
        <v>23</v>
      </c>
      <c r="J206" s="19" t="s">
        <v>23</v>
      </c>
      <c r="K206" s="35"/>
      <c r="L206" s="19"/>
      <c r="M206" s="263">
        <f ca="1">IFERROR(OFFSET(M206,-1,,1,1)+0.1,OFFSET(M206,-1,-1,1,1)&amp;".1")</f>
        <v>12.4</v>
      </c>
      <c r="N206" s="20" t="s">
        <v>1050</v>
      </c>
      <c r="O206" s="20"/>
      <c r="P206" s="20"/>
      <c r="Q206" s="134"/>
      <c r="R206" s="127"/>
      <c r="S206" s="157">
        <f>CEILING((IF(J206="Yes", 0, IF(H206="-",AA206,AA206+AA206*VLOOKUP(H206,BUFFERS_BY_TYPE,2,FALSE)))) +
   (IF(J206="Yes", 0, IF(H206="-",AA206,AA206+AA206*VLOOKUP(H206,BUFFERS_BY_TYPE,2,FALSE))))*VLOOKUP($S$5, SALES_CALL_SCALE_ARRAY, 2,FALSE),0.25)</f>
        <v>3</v>
      </c>
      <c r="T206" s="158"/>
      <c r="U206" s="21">
        <v>0</v>
      </c>
      <c r="V206" s="21">
        <v>1</v>
      </c>
      <c r="W206" s="21">
        <v>0</v>
      </c>
      <c r="X206" s="156">
        <v>3</v>
      </c>
      <c r="Y206" s="157">
        <f>CEILING((IF(P206=AS_DEV_EFFORT, DEV_EFFORT*Q206%,
                           IF(P206=AS_DURATION_EFFORT, (MANUAL_DURATION*5)*Q206%,
                                    (IF(Q206&lt;=1,X206,
                                          IF(SUM(U206:W206)=0,(Q206*X206),
                                               (((Q206*U206)*(X206+(X206*EXTRA_FOR_H)))+
                                               ((Q206*V206)*X206)+
                                               ((Q206*W206)*(X206-(X206*LESS_FOR_L)))
                                    )*IF(R206=0,1,R206))))))+Z206), 0.25)</f>
        <v>3</v>
      </c>
      <c r="Z206" s="22"/>
      <c r="AA206" s="157">
        <f>Y206+Y206*VLOOKUP(I206,EXTRAS_ARRAY,2,FALSE)</f>
        <v>3</v>
      </c>
      <c r="AB206" s="20"/>
      <c r="AC206" s="34"/>
      <c r="AD206" s="23" t="str">
        <f>IF(J206&lt;&gt;"Yes",
IF(S206&lt;=0,"Error: Effort value is not defined or is invalid.",
IF(AND(SUM(U206:W206)&gt;0,SUM(U206:W206)&lt;&gt;1),"Error: Complexity % distribution should sum to 100%.",
IF(AND(P206=AS_DEV_EFFORT,X206&lt;&gt;0),"Error: PDs should not be defined when defining as dev effort %.",
IF(AND(P206=AS_DURATION_EFFORT,X206&lt;&gt;0),"Error: PDs should not be defined when defining as duration effort %.","")))))</f>
        <v/>
      </c>
    </row>
    <row r="207" spans="1:30" ht="58" outlineLevel="2" x14ac:dyDescent="0.35">
      <c r="A207" s="86" t="s">
        <v>0</v>
      </c>
      <c r="B207" s="18"/>
      <c r="C207" s="78"/>
      <c r="D207" s="78"/>
      <c r="E207" s="78"/>
      <c r="F207" s="79"/>
      <c r="G207" s="19" t="s">
        <v>23</v>
      </c>
      <c r="H207" s="19" t="s">
        <v>23</v>
      </c>
      <c r="I207" s="20" t="s">
        <v>23</v>
      </c>
      <c r="J207" s="19" t="s">
        <v>23</v>
      </c>
      <c r="K207" s="35"/>
      <c r="L207" s="19"/>
      <c r="M207" s="263">
        <f ca="1">IFERROR(OFFSET(M207,-1,,1,1)+0.1,OFFSET(M207,-1,-1,1,1)&amp;".1")</f>
        <v>12.5</v>
      </c>
      <c r="N207" s="20" t="inlineStr">
        <is>
          <t xml:space="preserve">Workflow definitions per claim type: total loss and theft; a survey that declares a total loss switches the definition</t>
        </is>
      </c>
      <c r="O207" s="20"/>
      <c r="P207" s="20"/>
      <c r="Q207" s="134"/>
      <c r="R207" s="127"/>
      <c r="S207" s="157">
        <f>CEILING((IF(J207="Yes", 0, IF(H207="-",AA207,AA207+AA207*VLOOKUP(H207,BUFFERS_BY_TYPE,2,FALSE)))) +
   (IF(J207="Yes", 0, IF(H207="-",AA207,AA207+AA207*VLOOKUP(H207,BUFFERS_BY_TYPE,2,FALSE))))*VLOOKUP($S$5, SALES_CALL_SCALE_ARRAY, 2,FALSE),0.25)</f>
        <v>3</v>
      </c>
      <c r="T207" s="158"/>
      <c r="U207" s="21">
        <v>0</v>
      </c>
      <c r="V207" s="21">
        <v>1</v>
      </c>
      <c r="W207" s="21">
        <v>0</v>
      </c>
      <c r="X207" s="156">
        <v>3</v>
      </c>
      <c r="Y207" s="157">
        <f>CEILING((IF(P207=AS_DEV_EFFORT, DEV_EFFORT*Q207%,
                           IF(P207=AS_DURATION_EFFORT, (MANUAL_DURATION*5)*Q207%,
                                    (IF(Q207&lt;=1,X207,
                                          IF(SUM(U207:W207)=0,(Q207*X207),
                                               (((Q207*U207)*(X207+(X207*EXTRA_FOR_H)))+
                                               ((Q207*V207)*X207)+
                                               ((Q207*W207)*(X207-(X207*LESS_FOR_L)))
                                    )*IF(R207=0,1,R207))))))+Z207), 0.25)</f>
        <v>3</v>
      </c>
      <c r="Z207" s="22"/>
      <c r="AA207" s="157">
        <f>Y207+Y207*VLOOKUP(I207,EXTRAS_ARRAY,2,FALSE)</f>
        <v>3</v>
      </c>
      <c r="AB207" s="20" t="inlineStr">
        <is>
          <t xml:space="preserve">SAD v2.0 §6, Workflow 6</t>
        </is>
      </c>
      <c r="AC207" s="34"/>
      <c r="AD207" s="23" t="str">
        <f>IF(J207&lt;&gt;"Yes",
IF(S207&lt;=0,"Error: Effort value is not defined or is invalid.",
IF(AND(SUM(U207:W207)&gt;0,SUM(U207:W207)&lt;&gt;1),"Error: Complexity % distribution should sum to 100%.",
IF(AND(P207=AS_DEV_EFFORT,X207&lt;&gt;0),"Error: PDs should not be defined when defining as dev effort %.",
IF(AND(P207=AS_DURATION_EFFORT,X207&lt;&gt;0),"Error: PDs should not be defined when defining as duration effort %.","")))))</f>
        <v/>
      </c>
    </row>
    <row r="208" spans="1:30" s="9" customFormat="1" ht="7.5" customHeight="1" outlineLevel="2" x14ac:dyDescent="0.35">
      <c r="A208" s="86" t="s">
        <v>132</v>
      </c>
      <c r="B208" s="15"/>
      <c r="C208" s="72"/>
      <c r="D208" s="72"/>
      <c r="E208" s="72"/>
      <c r="F208" s="72"/>
      <c r="M208" s="252"/>
      <c r="T208" s="15"/>
      <c r="X208" s="15"/>
      <c r="AB208" s="10"/>
      <c r="AC208" s="10"/>
      <c r="AD208" s="10"/>
    </row>
    <row r="209" spans="1:30" s="14" customFormat="1" ht="15.5" outlineLevel="1" x14ac:dyDescent="0.35">
      <c r="A209" s="86" t="s">
        <v>100</v>
      </c>
      <c r="B209" s="18"/>
      <c r="C209" s="77"/>
      <c r="D209" s="77"/>
      <c r="E209" s="77"/>
      <c r="F209" s="76"/>
      <c r="G209" s="29"/>
      <c r="H209" s="29"/>
      <c r="I209" s="29"/>
      <c r="J209" s="29"/>
      <c r="K209" s="29"/>
      <c r="L209" s="17">
        <f ca="1">LOOKUP(1000,INDIRECT("L1:"&amp;CELL("address",INDIRECT("R[-1]C",FALSE))))+1</f>
        <v>13</v>
      </c>
      <c r="M209" s="295" t="s">
        <v>1051</v>
      </c>
      <c r="N209" s="296"/>
      <c r="O209" s="5"/>
      <c r="P209" s="30"/>
      <c r="Q209" s="30"/>
      <c r="R209" s="30"/>
      <c r="S209" s="30"/>
      <c r="T209" s="155">
        <f>IF($S$6="Exclude", SUMIFS(S210:S216, J210:J216, "&lt;&gt;Yes", G210:G216, "&lt;&gt;Yes"), SUMIFS(S210:S216, J210:J216, "&lt;&gt;Yes"))</f>
        <v>12</v>
      </c>
      <c r="U209" s="30"/>
      <c r="V209" s="30"/>
      <c r="W209" s="30"/>
      <c r="X209" s="31"/>
      <c r="Y209" s="32"/>
      <c r="Z209" s="32"/>
      <c r="AA209" s="32"/>
      <c r="AB209" s="219" t="s">
        <v>1052</v>
      </c>
      <c r="AC209" s="33"/>
      <c r="AD209" s="23" t="str">
        <f>IF(M209="", "Error: Task name cannot be empty.", "")</f>
        <v/>
      </c>
    </row>
    <row r="210" spans="1:30" s="12" customFormat="1" ht="1.5" customHeight="1" outlineLevel="2" x14ac:dyDescent="0.35">
      <c r="A210" s="86" t="s">
        <v>101</v>
      </c>
      <c r="B210" s="18"/>
      <c r="C210" s="77"/>
      <c r="D210" s="77"/>
      <c r="E210" s="77"/>
      <c r="F210" s="76"/>
      <c r="G210" s="29"/>
      <c r="H210" s="29"/>
      <c r="I210" s="29"/>
      <c r="J210" s="29"/>
      <c r="K210" s="29"/>
      <c r="L210" s="163">
        <f ca="1">L209</f>
        <v>13</v>
      </c>
      <c r="M210" s="164" t="s">
        <v>105</v>
      </c>
      <c r="N210" s="161"/>
      <c r="O210" s="162"/>
      <c r="P210" s="30"/>
      <c r="Q210" s="30"/>
      <c r="R210" s="30"/>
      <c r="S210" s="30"/>
      <c r="T210" s="155"/>
      <c r="U210" s="30"/>
      <c r="V210" s="30"/>
      <c r="W210" s="30"/>
      <c r="X210" s="31"/>
      <c r="Y210" s="32"/>
      <c r="Z210" s="32"/>
      <c r="AA210" s="32"/>
      <c r="AB210" s="33"/>
      <c r="AC210" s="33"/>
      <c r="AD210" s="23"/>
    </row>
    <row r="211" spans="1:30" ht="15.5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 t="str">
        <f ca="1">IFERROR(OFFSET(M211,-1,,1,1)+0.1,OFFSET(M211,-1,-1,1,1)&amp;".1")</f>
        <v>13.1</v>
      </c>
      <c r="N211" s="20" t="s">
        <v>1053</v>
      </c>
      <c r="O211" s="20"/>
      <c r="P211" s="20"/>
      <c r="Q211" s="134"/>
      <c r="R211" s="127"/>
      <c r="S211" s="157">
        <f>CEILING((IF(J211="Yes", 0, IF(H211="-",AA211,AA211+AA211*VLOOKUP(H211,BUFFERS_BY_TYPE,2,FALSE)))) +
   (IF(J211="Yes", 0, IF(H211="-",AA211,AA211+AA211*VLOOKUP(H211,BUFFERS_BY_TYPE,2,FALSE))))*VLOOKUP($S$5, SALES_CALL_SCALE_ARRAY, 2,FALSE),0.25)</f>
        <v>2.5</v>
      </c>
      <c r="T211" s="158"/>
      <c r="U211" s="21">
        <v>0</v>
      </c>
      <c r="V211" s="21">
        <v>1</v>
      </c>
      <c r="W211" s="21">
        <v>0</v>
      </c>
      <c r="X211" s="156">
        <v>2.5</v>
      </c>
      <c r="Y211" s="157">
        <f>CEILING((IF(P211=AS_DEV_EFFORT, DEV_EFFORT*Q211%,
                           IF(P211=AS_DURATION_EFFORT, (MANUAL_DURATION*5)*Q211%,
                                    (IF(Q211&lt;=1,X211,
                                          IF(SUM(U211:W211)=0,(Q211*X211),
                                               (((Q211*U211)*(X211+(X211*EXTRA_FOR_H)))+
                                               ((Q211*V211)*X211)+
                                               ((Q211*W211)*(X211-(X211*LESS_FOR_L)))
                                    )*IF(R211=0,1,R211))))))+Z211), 0.25)</f>
        <v>2.5</v>
      </c>
      <c r="Z211" s="22"/>
      <c r="AA211" s="157">
        <f>Y211+Y211*VLOOKUP(I211,EXTRAS_ARRAY,2,FALSE)</f>
        <v>2.5</v>
      </c>
      <c r="AB211" s="20"/>
      <c r="AC211" s="34"/>
      <c r="AD211" s="23" t="str">
        <f>IF(J211&lt;&gt;"Yes",
IF(S211&lt;=0,"Error: Effort value is not defined or is invalid.",
IF(AND(SUM(U211:W211)&gt;0,SUM(U211:W211)&lt;&gt;1),"Error: Complexity % distribution should sum to 100%.",
IF(AND(P211=AS_DEV_EFFORT,X211&lt;&gt;0),"Error: PDs should not be defined when defining as dev effort %.",
IF(AND(P211=AS_DURATION_EFFORT,X211&lt;&gt;0),"Error: PDs should not be defined when defining as duration effort %.","")))))</f>
        <v/>
      </c>
    </row>
    <row r="212" spans="1:30" ht="15.5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ca="1">IFERROR(OFFSET(M212,-1,,1,1)+0.1,OFFSET(M212,-1,-1,1,1)&amp;".1")</f>
        <v>13.2</v>
      </c>
      <c r="N212" s="20" t="s">
        <v>1054</v>
      </c>
      <c r="O212" s="20"/>
      <c r="P212" s="20"/>
      <c r="Q212" s="134"/>
      <c r="R212" s="127"/>
      <c r="S212" s="157">
        <f>CEILING((IF(J212="Yes", 0, IF(H212="-",AA212,AA212+AA212*VLOOKUP(H212,BUFFERS_BY_TYPE,2,FALSE)))) +
   (IF(J212="Yes", 0, IF(H212="-",AA212,AA212+AA212*VLOOKUP(H212,BUFFERS_BY_TYPE,2,FALSE))))*VLOOKUP($S$5, SALES_CALL_SCALE_ARRAY, 2,FALSE),0.25)</f>
        <v>3</v>
      </c>
      <c r="T212" s="158"/>
      <c r="U212" s="21">
        <v>0</v>
      </c>
      <c r="V212" s="21">
        <v>1</v>
      </c>
      <c r="W212" s="21">
        <v>0</v>
      </c>
      <c r="X212" s="156">
        <v>3</v>
      </c>
      <c r="Y212" s="157">
        <f>CEILING((IF(P212=AS_DEV_EFFORT, DEV_EFFORT*Q212%,
                           IF(P212=AS_DURATION_EFFORT, (MANUAL_DURATION*5)*Q212%,
                                    (IF(Q212&lt;=1,X212,
                                          IF(SUM(U212:W212)=0,(Q212*X212),
                                               (((Q212*U212)*(X212+(X212*EXTRA_FOR_H)))+
                                               ((Q212*V212)*X212)+
                                               ((Q212*W212)*(X212-(X212*LESS_FOR_L)))
                                    )*IF(R212=0,1,R212))))))+Z212), 0.25)</f>
        <v>3</v>
      </c>
      <c r="Z212" s="22"/>
      <c r="AA212" s="157">
        <f>Y212+Y212*VLOOKUP(I212,EXTRAS_ARRAY,2,FALSE)</f>
        <v>3</v>
      </c>
      <c r="AB212" s="20"/>
      <c r="AC212" s="34"/>
      <c r="AD212" s="23" t="str">
        <f>IF(J212&lt;&gt;"Yes",
IF(S212&lt;=0,"Error: Effort value is not defined or is invalid.",
IF(AND(SUM(U212:W212)&gt;0,SUM(U212:W212)&lt;&gt;1),"Error: Complexity % distribution should sum to 100%.",
IF(AND(P212=AS_DEV_EFFORT,X212&lt;&gt;0),"Error: PDs should not be defined when defining as dev effort %.",
IF(AND(P212=AS_DURATION_EFFORT,X212&lt;&gt;0),"Error: PDs should not be defined when defining as duration effort %.","")))))</f>
        <v/>
      </c>
    </row>
    <row r="213" spans="1:30" ht="15.5" outlineLevel="2" x14ac:dyDescent="0.35">
      <c r="A213" s="86" t="s">
        <v>0</v>
      </c>
      <c r="B213" s="18"/>
      <c r="C213" s="78"/>
      <c r="D213" s="78"/>
      <c r="E213" s="78"/>
      <c r="F213" s="79"/>
      <c r="G213" s="19" t="s">
        <v>23</v>
      </c>
      <c r="H213" s="19" t="s">
        <v>23</v>
      </c>
      <c r="I213" s="20" t="s">
        <v>23</v>
      </c>
      <c r="J213" s="19" t="s">
        <v>23</v>
      </c>
      <c r="K213" s="35"/>
      <c r="L213" s="19"/>
      <c r="M213" s="263">
        <f ca="1">IFERROR(OFFSET(M213,-1,,1,1)+0.1,OFFSET(M213,-1,-1,1,1)&amp;".1")</f>
        <v>13.3</v>
      </c>
      <c r="N213" s="20" t="s">
        <v>1055</v>
      </c>
      <c r="O213" s="20"/>
      <c r="P213" s="20"/>
      <c r="Q213" s="134"/>
      <c r="R213" s="127"/>
      <c r="S213" s="157">
        <f>CEILING((IF(J213="Yes", 0, IF(H213="-",AA213,AA213+AA213*VLOOKUP(H213,BUFFERS_BY_TYPE,2,FALSE)))) +
   (IF(J213="Yes", 0, IF(H213="-",AA213,AA213+AA213*VLOOKUP(H213,BUFFERS_BY_TYPE,2,FALSE))))*VLOOKUP($S$5, SALES_CALL_SCALE_ARRAY, 2,FALSE),0.25)</f>
        <v>2.5</v>
      </c>
      <c r="T213" s="158"/>
      <c r="U213" s="21">
        <v>0</v>
      </c>
      <c r="V213" s="21">
        <v>1</v>
      </c>
      <c r="W213" s="21">
        <v>0</v>
      </c>
      <c r="X213" s="156">
        <v>2.5</v>
      </c>
      <c r="Y213" s="157">
        <f>CEILING((IF(P213=AS_DEV_EFFORT, DEV_EFFORT*Q213%,
                           IF(P213=AS_DURATION_EFFORT, (MANUAL_DURATION*5)*Q213%,
                                    (IF(Q213&lt;=1,X213,
                                          IF(SUM(U213:W213)=0,(Q213*X213),
                                               (((Q213*U213)*(X213+(X213*EXTRA_FOR_H)))+
                                               ((Q213*V213)*X213)+
                                               ((Q213*W213)*(X213-(X213*LESS_FOR_L)))
                                    )*IF(R213=0,1,R213))))))+Z213), 0.25)</f>
        <v>2.5</v>
      </c>
      <c r="Z213" s="22"/>
      <c r="AA213" s="157">
        <f>Y213+Y213*VLOOKUP(I213,EXTRAS_ARRAY,2,FALSE)</f>
        <v>2.5</v>
      </c>
      <c r="AB213" s="20"/>
      <c r="AC213" s="34"/>
      <c r="AD213" s="23" t="str">
        <f>IF(J213&lt;&gt;"Yes",
IF(S213&lt;=0,"Error: Effort value is not defined or is invalid.",
IF(AND(SUM(U213:W213)&gt;0,SUM(U213:W213)&lt;&gt;1),"Error: Complexity % distribution should sum to 100%.",
IF(AND(P213=AS_DEV_EFFORT,X213&lt;&gt;0),"Error: PDs should not be defined when defining as dev effort %.",
IF(AND(P213=AS_DURATION_EFFORT,X213&lt;&gt;0),"Error: PDs should not be defined when defining as duration effort %.","")))))</f>
        <v/>
      </c>
    </row>
    <row r="214" spans="1:30" ht="15.5" outlineLevel="2" x14ac:dyDescent="0.35">
      <c r="A214" s="86" t="s">
        <v>0</v>
      </c>
      <c r="B214" s="18"/>
      <c r="C214" s="78"/>
      <c r="D214" s="78"/>
      <c r="E214" s="78"/>
      <c r="F214" s="79"/>
      <c r="G214" s="19" t="s">
        <v>23</v>
      </c>
      <c r="H214" s="19" t="s">
        <v>23</v>
      </c>
      <c r="I214" s="20" t="s">
        <v>23</v>
      </c>
      <c r="J214" s="19" t="s">
        <v>23</v>
      </c>
      <c r="K214" s="35"/>
      <c r="L214" s="19"/>
      <c r="M214" s="263">
        <f ca="1">IFERROR(OFFSET(M214,-1,,1,1)+0.1,OFFSET(M214,-1,-1,1,1)&amp;".1")</f>
        <v>13.4</v>
      </c>
      <c r="N214" s="20" t="s">
        <v>1056</v>
      </c>
      <c r="O214" s="20"/>
      <c r="P214" s="20"/>
      <c r="Q214" s="134"/>
      <c r="R214" s="127"/>
      <c r="S214" s="157">
        <f>CEILING((IF(J214="Yes", 0, IF(H214="-",AA214,AA214+AA214*VLOOKUP(H214,BUFFERS_BY_TYPE,2,FALSE)))) +
   (IF(J214="Yes", 0, IF(H214="-",AA214,AA214+AA214*VLOOKUP(H214,BUFFERS_BY_TYPE,2,FALSE))))*VLOOKUP($S$5, SALES_CALL_SCALE_ARRAY, 2,FALSE),0.25)</f>
        <v>2</v>
      </c>
      <c r="T214" s="158"/>
      <c r="U214" s="21">
        <v>0</v>
      </c>
      <c r="V214" s="21">
        <v>1</v>
      </c>
      <c r="W214" s="21">
        <v>0</v>
      </c>
      <c r="X214" s="156">
        <v>2</v>
      </c>
      <c r="Y214" s="157">
        <f>CEILING((IF(P214=AS_DEV_EFFORT, DEV_EFFORT*Q214%,
                           IF(P214=AS_DURATION_EFFORT, (MANUAL_DURATION*5)*Q214%,
                                    (IF(Q214&lt;=1,X214,
                                          IF(SUM(U214:W214)=0,(Q214*X214),
                                               (((Q214*U214)*(X214+(X214*EXTRA_FOR_H)))+
                                               ((Q214*V214)*X214)+
                                               ((Q214*W214)*(X214-(X214*LESS_FOR_L)))
                                    )*IF(R214=0,1,R214))))))+Z214), 0.25)</f>
        <v>2</v>
      </c>
      <c r="Z214" s="22"/>
      <c r="AA214" s="157">
        <f>Y214+Y214*VLOOKUP(I214,EXTRAS_ARRAY,2,FALSE)</f>
        <v>2</v>
      </c>
      <c r="AB214" s="20"/>
      <c r="AC214" s="34"/>
      <c r="AD214" s="23" t="str">
        <f>IF(J214&lt;&gt;"Yes",
IF(S214&lt;=0,"Error: Effort value is not defined or is invalid.",
IF(AND(SUM(U214:W214)&gt;0,SUM(U214:W214)&lt;&gt;1),"Error: Complexity % distribution should sum to 100%.",
IF(AND(P214=AS_DEV_EFFORT,X214&lt;&gt;0),"Error: PDs should not be defined when defining as dev effort %.",
IF(AND(P214=AS_DURATION_EFFORT,X214&lt;&gt;0),"Error: PDs should not be defined when defining as duration effort %.","")))))</f>
        <v/>
      </c>
    </row>
    <row r="215" spans="1:30" ht="15.5" outlineLevel="2" x14ac:dyDescent="0.35">
      <c r="A215" s="86" t="s">
        <v>0</v>
      </c>
      <c r="B215" s="18"/>
      <c r="C215" s="78"/>
      <c r="D215" s="78"/>
      <c r="E215" s="78"/>
      <c r="F215" s="79"/>
      <c r="G215" s="19" t="s">
        <v>23</v>
      </c>
      <c r="H215" s="19" t="s">
        <v>23</v>
      </c>
      <c r="I215" s="20" t="s">
        <v>23</v>
      </c>
      <c r="J215" s="19" t="s">
        <v>23</v>
      </c>
      <c r="K215" s="35"/>
      <c r="L215" s="19"/>
      <c r="M215" s="263">
        <f ca="1">IFERROR(OFFSET(M215,-1,,1,1)+0.1,OFFSET(M215,-1,-1,1,1)&amp;".1")</f>
        <v>13.5</v>
      </c>
      <c r="N215" s="20" t="s">
        <v>1057</v>
      </c>
      <c r="O215" s="20"/>
      <c r="P215" s="20"/>
      <c r="Q215" s="134"/>
      <c r="R215" s="127"/>
      <c r="S215" s="157">
        <f>CEILING((IF(J215="Yes", 0, IF(H215="-",AA215,AA215+AA215*VLOOKUP(H215,BUFFERS_BY_TYPE,2,FALSE)))) +
   (IF(J215="Yes", 0, IF(H215="-",AA215,AA215+AA215*VLOOKUP(H215,BUFFERS_BY_TYPE,2,FALSE))))*VLOOKUP($S$5, SALES_CALL_SCALE_ARRAY, 2,FALSE),0.25)</f>
        <v>2</v>
      </c>
      <c r="T215" s="158"/>
      <c r="U215" s="21">
        <v>0</v>
      </c>
      <c r="V215" s="21">
        <v>1</v>
      </c>
      <c r="W215" s="21">
        <v>0</v>
      </c>
      <c r="X215" s="156">
        <v>2</v>
      </c>
      <c r="Y215" s="157">
        <f>CEILING((IF(P215=AS_DEV_EFFORT, DEV_EFFORT*Q215%,
                           IF(P215=AS_DURATION_EFFORT, (MANUAL_DURATION*5)*Q215%,
                                    (IF(Q215&lt;=1,X215,
                                          IF(SUM(U215:W215)=0,(Q215*X215),
                                               (((Q215*U215)*(X215+(X215*EXTRA_FOR_H)))+
                                               ((Q215*V215)*X215)+
                                               ((Q215*W215)*(X215-(X215*LESS_FOR_L)))
                                    )*IF(R215=0,1,R215))))))+Z215), 0.25)</f>
        <v>2</v>
      </c>
      <c r="Z215" s="22"/>
      <c r="AA215" s="157">
        <f>Y215+Y215*VLOOKUP(I215,EXTRAS_ARRAY,2,FALSE)</f>
        <v>2</v>
      </c>
      <c r="AB215" s="20"/>
      <c r="AC215" s="34"/>
      <c r="AD215" s="23" t="str">
        <f>IF(J215&lt;&gt;"Yes",
IF(S215&lt;=0,"Error: Effort value is not defined or is invalid.",
IF(AND(SUM(U215:W215)&gt;0,SUM(U215:W215)&lt;&gt;1),"Error: Complexity % distribution should sum to 100%.",
IF(AND(P215=AS_DEV_EFFORT,X215&lt;&gt;0),"Error: PDs should not be defined when defining as dev effort %.",
IF(AND(P215=AS_DURATION_EFFORT,X215&lt;&gt;0),"Error: PDs should not be defined when defining as duration effort %.","")))))</f>
        <v/>
      </c>
    </row>
    <row r="216" spans="1:30" s="9" customFormat="1" ht="7.5" customHeight="1" outlineLevel="2" x14ac:dyDescent="0.35">
      <c r="A216" s="86" t="s">
        <v>132</v>
      </c>
      <c r="B216" s="15"/>
      <c r="C216" s="72"/>
      <c r="D216" s="72"/>
      <c r="E216" s="72"/>
      <c r="F216" s="72"/>
      <c r="M216" s="252"/>
      <c r="T216" s="15"/>
      <c r="X216" s="15"/>
      <c r="AB216" s="10"/>
      <c r="AC216" s="10"/>
      <c r="AD216" s="10"/>
    </row>
    <row r="217" spans="1:30" s="14" customFormat="1" ht="43.5" outlineLevel="1" x14ac:dyDescent="0.35">
      <c r="A217" s="86" t="s">
        <v>100</v>
      </c>
      <c r="B217" s="18"/>
      <c r="C217" s="77"/>
      <c r="D217" s="77"/>
      <c r="E217" s="77"/>
      <c r="F217" s="76"/>
      <c r="G217" s="29"/>
      <c r="H217" s="29"/>
      <c r="I217" s="29"/>
      <c r="J217" s="29"/>
      <c r="K217" s="29"/>
      <c r="L217" s="17">
        <f ca="1">LOOKUP(1000,INDIRECT("L1:"&amp;CELL("address",INDIRECT("R[-1]C",FALSE))))+1</f>
        <v>14</v>
      </c>
      <c r="M217" s="296" t="s">
        <v>1233</v>
      </c>
      <c r="N217" s="296"/>
      <c r="O217" s="5"/>
      <c r="P217" s="30"/>
      <c r="Q217" s="30"/>
      <c r="R217" s="30"/>
      <c r="S217" s="30"/>
      <c r="T217" s="155">
        <f>IF($S$6="Exclude", SUMIFS(S218:S225, J218:J225, "&lt;&gt;Yes", G218:G225, "&lt;&gt;Yes"), SUMIFS(S218:S225, J218:J225, "&lt;&gt;Yes"))</f>
        <v>14</v>
      </c>
      <c r="U217" s="30"/>
      <c r="V217" s="30"/>
      <c r="W217" s="30"/>
      <c r="X217" s="31"/>
      <c r="Y217" s="32"/>
      <c r="Z217" s="32"/>
      <c r="AA217" s="32"/>
      <c r="AB217" s="219" t="s">
        <v>1234</v>
      </c>
      <c r="AC217" s="33"/>
      <c r="AD217" s="23" t="str">
        <f>IF(M217="", "Error: Task name cannot be empty.", "")</f>
        <v/>
      </c>
    </row>
    <row r="218" spans="1:30" s="12" customFormat="1" ht="1.5" customHeight="1" outlineLevel="2" x14ac:dyDescent="0.35">
      <c r="A218" s="86" t="s">
        <v>101</v>
      </c>
      <c r="B218" s="18"/>
      <c r="C218" s="77"/>
      <c r="D218" s="77"/>
      <c r="E218" s="77"/>
      <c r="F218" s="76"/>
      <c r="G218" s="29"/>
      <c r="H218" s="29"/>
      <c r="I218" s="29"/>
      <c r="J218" s="29"/>
      <c r="K218" s="29"/>
      <c r="L218" s="163">
        <f ca="1">L217</f>
        <v>14</v>
      </c>
      <c r="M218" s="164" t="s">
        <v>105</v>
      </c>
      <c r="N218" s="161"/>
      <c r="O218" s="162"/>
      <c r="P218" s="30"/>
      <c r="Q218" s="30"/>
      <c r="R218" s="30"/>
      <c r="S218" s="30"/>
      <c r="T218" s="155"/>
      <c r="U218" s="30"/>
      <c r="V218" s="30"/>
      <c r="W218" s="30"/>
      <c r="X218" s="31"/>
      <c r="Y218" s="32"/>
      <c r="Z218" s="32"/>
      <c r="AA218" s="32"/>
      <c r="AB218" s="33"/>
      <c r="AC218" s="33"/>
      <c r="AD218" s="23"/>
    </row>
    <row r="219" spans="1:30" ht="43.5" outlineLevel="2" x14ac:dyDescent="0.35">
      <c r="A219" s="86" t="s">
        <v>0</v>
      </c>
      <c r="B219" s="18"/>
      <c r="C219" s="78"/>
      <c r="D219" s="78"/>
      <c r="E219" s="78"/>
      <c r="F219" s="79"/>
      <c r="G219" s="19" t="s">
        <v>23</v>
      </c>
      <c r="H219" s="19" t="s">
        <v>23</v>
      </c>
      <c r="I219" s="20" t="s">
        <v>23</v>
      </c>
      <c r="J219" s="19" t="s">
        <v>23</v>
      </c>
      <c r="K219" s="35"/>
      <c r="L219" s="19"/>
      <c r="M219" s="263" t="str">
        <f t="shared" ref="M219:M224" ca="1" si="30">IFERROR(OFFSET(M219,-1,,1,1)+0.1,OFFSET(M219,-1,-1,1,1)&amp;".1")</f>
        <v>14.1</v>
      </c>
      <c r="N219" s="20" t="s">
        <v>1235</v>
      </c>
      <c r="O219" s="20"/>
      <c r="P219" s="20"/>
      <c r="Q219" s="134"/>
      <c r="R219" s="127"/>
      <c r="S219" s="157">
        <f t="shared" ref="S219:S224" si="31">CEILING((IF(J219="Yes", 0, IF(H219="-",AA219,AA219+AA219*VLOOKUP(H219,BUFFERS_BY_TYPE,2,FALSE)))) +
   (IF(J219="Yes", 0, IF(H219="-",AA219,AA219+AA219*VLOOKUP(H219,BUFFERS_BY_TYPE,2,FALSE))))*VLOOKUP($S$5, SALES_CALL_SCALE_ARRAY, 2,FALSE),0.25)</f>
        <v>2.5</v>
      </c>
      <c r="T219" s="158"/>
      <c r="U219" s="21">
        <v>0</v>
      </c>
      <c r="V219" s="21">
        <v>1</v>
      </c>
      <c r="W219" s="21">
        <v>0</v>
      </c>
      <c r="X219" s="156">
        <v>2.5</v>
      </c>
      <c r="Y219" s="157">
        <f t="shared" ref="Y219:Y224" si="32"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2.5</v>
      </c>
      <c r="Z219" s="22"/>
      <c r="AA219" s="157">
        <f t="shared" ref="AA219:AA224" si="33">Y219+Y219*VLOOKUP(I219,EXTRAS_ARRAY,2,FALSE)</f>
        <v>2.5</v>
      </c>
      <c r="AB219" s="20"/>
      <c r="AC219" s="34"/>
      <c r="AD219" s="23" t="str">
        <f t="shared" ref="AD219:AD224" si="34"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43.5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>
        <f t="shared" ca="1" si="30"/>
        <v>14.2</v>
      </c>
      <c r="N220" s="20" t="s">
        <v>1236</v>
      </c>
      <c r="O220" s="20"/>
      <c r="P220" s="20"/>
      <c r="Q220" s="134"/>
      <c r="R220" s="127"/>
      <c r="S220" s="157">
        <f t="shared" si="31"/>
        <v>3</v>
      </c>
      <c r="T220" s="158"/>
      <c r="U220" s="21">
        <v>0</v>
      </c>
      <c r="V220" s="21">
        <v>1</v>
      </c>
      <c r="W220" s="21">
        <v>0</v>
      </c>
      <c r="X220" s="156">
        <v>3</v>
      </c>
      <c r="Y220" s="157">
        <f t="shared" si="32"/>
        <v>3</v>
      </c>
      <c r="Z220" s="22"/>
      <c r="AA220" s="157">
        <f t="shared" si="33"/>
        <v>3</v>
      </c>
      <c r="AB220" s="20"/>
      <c r="AC220" s="34"/>
      <c r="AD220" s="23" t="str">
        <f t="shared" si="34"/>
        <v/>
      </c>
    </row>
    <row r="221" spans="1:30" ht="43.5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t="shared" ca="1" si="30"/>
        <v>14.3</v>
      </c>
      <c r="N221" s="20" t="s">
        <v>1237</v>
      </c>
      <c r="O221" s="20"/>
      <c r="P221" s="20"/>
      <c r="Q221" s="134"/>
      <c r="R221" s="127"/>
      <c r="S221" s="157">
        <f t="shared" si="31"/>
        <v>3</v>
      </c>
      <c r="T221" s="158"/>
      <c r="U221" s="21">
        <v>0</v>
      </c>
      <c r="V221" s="21">
        <v>1</v>
      </c>
      <c r="W221" s="21">
        <v>0</v>
      </c>
      <c r="X221" s="156">
        <v>3</v>
      </c>
      <c r="Y221" s="157">
        <f t="shared" si="32"/>
        <v>3</v>
      </c>
      <c r="Z221" s="22"/>
      <c r="AA221" s="157">
        <f t="shared" si="33"/>
        <v>3</v>
      </c>
      <c r="AB221" s="20"/>
      <c r="AC221" s="34"/>
      <c r="AD221" s="23" t="str">
        <f t="shared" si="34"/>
        <v/>
      </c>
    </row>
    <row r="222" spans="1:30" ht="29" outlineLevel="2" x14ac:dyDescent="0.35">
      <c r="A222" s="86" t="s">
        <v>0</v>
      </c>
      <c r="B222" s="18"/>
      <c r="C222" s="78"/>
      <c r="D222" s="78"/>
      <c r="E222" s="78"/>
      <c r="F222" s="79"/>
      <c r="G222" s="19" t="s">
        <v>23</v>
      </c>
      <c r="H222" s="19" t="s">
        <v>23</v>
      </c>
      <c r="I222" s="20" t="s">
        <v>23</v>
      </c>
      <c r="J222" s="19" t="s">
        <v>23</v>
      </c>
      <c r="K222" s="35"/>
      <c r="L222" s="19"/>
      <c r="M222" s="263">
        <f t="shared" ca="1" si="30"/>
        <v>14.4</v>
      </c>
      <c r="N222" s="20" t="s">
        <v>1238</v>
      </c>
      <c r="O222" s="20"/>
      <c r="P222" s="20"/>
      <c r="Q222" s="134"/>
      <c r="R222" s="127"/>
      <c r="S222" s="157">
        <f t="shared" si="31"/>
        <v>2</v>
      </c>
      <c r="T222" s="158"/>
      <c r="U222" s="21">
        <v>0</v>
      </c>
      <c r="V222" s="21">
        <v>1</v>
      </c>
      <c r="W222" s="21">
        <v>0</v>
      </c>
      <c r="X222" s="156">
        <v>2</v>
      </c>
      <c r="Y222" s="157">
        <f t="shared" si="32"/>
        <v>2</v>
      </c>
      <c r="Z222" s="22"/>
      <c r="AA222" s="157">
        <f t="shared" si="33"/>
        <v>2</v>
      </c>
      <c r="AB222" s="20"/>
      <c r="AC222" s="34"/>
      <c r="AD222" s="23" t="str">
        <f t="shared" si="34"/>
        <v/>
      </c>
    </row>
    <row r="223" spans="1:30" ht="29" outlineLevel="2" x14ac:dyDescent="0.35">
      <c r="A223" s="86" t="s">
        <v>0</v>
      </c>
      <c r="B223" s="18"/>
      <c r="C223" s="78"/>
      <c r="D223" s="78"/>
      <c r="E223" s="78"/>
      <c r="F223" s="79"/>
      <c r="G223" s="19" t="s">
        <v>23</v>
      </c>
      <c r="H223" s="19" t="s">
        <v>23</v>
      </c>
      <c r="I223" s="20" t="s">
        <v>23</v>
      </c>
      <c r="J223" s="19" t="s">
        <v>23</v>
      </c>
      <c r="K223" s="35"/>
      <c r="L223" s="19"/>
      <c r="M223" s="263">
        <f t="shared" ca="1" si="30"/>
        <v>14.5</v>
      </c>
      <c r="N223" s="20" t="s">
        <v>1239</v>
      </c>
      <c r="O223" s="20"/>
      <c r="P223" s="20"/>
      <c r="Q223" s="134"/>
      <c r="R223" s="127"/>
      <c r="S223" s="157">
        <f t="shared" si="31"/>
        <v>2</v>
      </c>
      <c r="T223" s="158"/>
      <c r="U223" s="21">
        <v>0</v>
      </c>
      <c r="V223" s="21">
        <v>1</v>
      </c>
      <c r="W223" s="21">
        <v>0</v>
      </c>
      <c r="X223" s="156">
        <v>2</v>
      </c>
      <c r="Y223" s="157">
        <f t="shared" si="32"/>
        <v>2</v>
      </c>
      <c r="Z223" s="22"/>
      <c r="AA223" s="157">
        <f t="shared" si="33"/>
        <v>2</v>
      </c>
      <c r="AB223" s="20"/>
      <c r="AC223" s="34"/>
      <c r="AD223" s="23" t="str">
        <f t="shared" si="34"/>
        <v/>
      </c>
    </row>
    <row r="224" spans="1:30" ht="15.5" outlineLevel="2" x14ac:dyDescent="0.35">
      <c r="A224" s="86" t="s">
        <v>0</v>
      </c>
      <c r="B224" s="18"/>
      <c r="C224" s="78"/>
      <c r="D224" s="78"/>
      <c r="E224" s="78"/>
      <c r="F224" s="79"/>
      <c r="G224" s="19" t="s">
        <v>23</v>
      </c>
      <c r="H224" s="19" t="s">
        <v>23</v>
      </c>
      <c r="I224" s="20" t="s">
        <v>23</v>
      </c>
      <c r="J224" s="19" t="s">
        <v>23</v>
      </c>
      <c r="K224" s="35"/>
      <c r="L224" s="19"/>
      <c r="M224" s="263">
        <f t="shared" ca="1" si="30"/>
        <v>14.6</v>
      </c>
      <c r="N224" s="20" t="s">
        <v>1240</v>
      </c>
      <c r="O224" s="20"/>
      <c r="P224" s="20"/>
      <c r="Q224" s="134"/>
      <c r="R224" s="127"/>
      <c r="S224" s="157">
        <f t="shared" si="31"/>
        <v>1.5</v>
      </c>
      <c r="T224" s="158"/>
      <c r="U224" s="21">
        <v>0</v>
      </c>
      <c r="V224" s="21">
        <v>1</v>
      </c>
      <c r="W224" s="21">
        <v>0</v>
      </c>
      <c r="X224" s="156">
        <v>1.5</v>
      </c>
      <c r="Y224" s="157">
        <f t="shared" si="32"/>
        <v>1.5</v>
      </c>
      <c r="Z224" s="22"/>
      <c r="AA224" s="157">
        <f t="shared" si="33"/>
        <v>1.5</v>
      </c>
      <c r="AB224" s="20"/>
      <c r="AC224" s="34"/>
      <c r="AD224" s="23" t="str">
        <f t="shared" si="34"/>
        <v/>
      </c>
    </row>
    <row r="225" spans="1:30" s="9" customFormat="1" ht="7.5" customHeight="1" outlineLevel="2" x14ac:dyDescent="0.35">
      <c r="A225" s="86" t="s">
        <v>132</v>
      </c>
      <c r="B225" s="15"/>
      <c r="C225" s="72"/>
      <c r="D225" s="72"/>
      <c r="E225" s="72"/>
      <c r="F225" s="72"/>
      <c r="M225" s="252"/>
      <c r="T225" s="15"/>
      <c r="X225" s="15"/>
      <c r="AB225" s="10"/>
      <c r="AC225" s="10"/>
      <c r="AD225" s="10"/>
    </row>
    <row r="226" spans="1:30" s="14" customFormat="1" ht="15.5" outlineLevel="1" x14ac:dyDescent="0.35">
      <c r="A226" s="86" t="s">
        <v>107</v>
      </c>
      <c r="B226" s="18"/>
      <c r="C226" s="77"/>
      <c r="D226" s="77"/>
      <c r="E226" s="77"/>
      <c r="F226" s="76"/>
      <c r="G226" s="170"/>
      <c r="H226" s="170"/>
      <c r="I226" s="170"/>
      <c r="J226" s="170"/>
      <c r="K226" s="170"/>
      <c r="L226" s="85" t="s">
        <v>109</v>
      </c>
      <c r="M226" s="297" t="s">
        <v>881</v>
      </c>
      <c r="N226" s="297"/>
      <c r="O226" s="80"/>
      <c r="P226" s="81"/>
      <c r="Q226" s="81"/>
      <c r="R226" s="81"/>
      <c r="S226" s="293">
        <f>SUMGROUP(ROW(), "T")</f>
        <v>99.5</v>
      </c>
      <c r="T226" s="293"/>
      <c r="U226" s="294"/>
      <c r="V226" s="294"/>
      <c r="W226" s="294"/>
      <c r="X226" s="82"/>
      <c r="Y226" s="83"/>
      <c r="Z226" s="83"/>
      <c r="AA226" s="83"/>
      <c r="AB226" s="221"/>
      <c r="AC226" s="84"/>
      <c r="AD226" s="23" t="str">
        <f>IF(M226="", "Error: Module name cannot be empty.", "")</f>
        <v/>
      </c>
    </row>
    <row r="227" spans="1:30" s="14" customFormat="1" ht="15.5" outlineLevel="1" x14ac:dyDescent="0.35">
      <c r="A227" s="86" t="s">
        <v>100</v>
      </c>
      <c r="B227" s="18"/>
      <c r="C227" s="77"/>
      <c r="D227" s="77"/>
      <c r="E227" s="77"/>
      <c r="F227" s="76"/>
      <c r="G227" s="29"/>
      <c r="H227" s="29"/>
      <c r="I227" s="29"/>
      <c r="J227" s="29"/>
      <c r="K227" s="29"/>
      <c r="L227" s="17">
        <f ca="1">LOOKUP(1000,INDIRECT("L1:"&amp;CELL("address",INDIRECT("R[-1]C",FALSE))))+1</f>
        <v>15</v>
      </c>
      <c r="M227" s="295" t="s">
        <v>1058</v>
      </c>
      <c r="N227" s="296"/>
      <c r="O227" s="5"/>
      <c r="P227" s="30"/>
      <c r="Q227" s="30"/>
      <c r="R227" s="30"/>
      <c r="S227" s="30"/>
      <c r="T227" s="155">
        <f>IF($S$6="Exclude", SUMIFS(S228:S237, J228:J237, "&lt;&gt;Yes", G228:G237, "&lt;&gt;Yes"), SUMIFS(S228:S237, J228:J237, "&lt;&gt;Yes"))</f>
        <v>31.5</v>
      </c>
      <c r="U227" s="30"/>
      <c r="V227" s="30"/>
      <c r="W227" s="30"/>
      <c r="X227" s="31"/>
      <c r="Y227" s="32"/>
      <c r="Z227" s="32"/>
      <c r="AA227" s="32"/>
      <c r="AB227" s="219" t="s">
        <v>951</v>
      </c>
      <c r="AC227" s="33"/>
      <c r="AD227" s="23" t="str">
        <f>IF(M227="", "Error: Task name cannot be empty.", "")</f>
        <v/>
      </c>
    </row>
    <row r="228" spans="1:30" s="12" customFormat="1" ht="1.5" customHeight="1" outlineLevel="2" x14ac:dyDescent="0.35">
      <c r="A228" s="86" t="s">
        <v>101</v>
      </c>
      <c r="B228" s="18"/>
      <c r="C228" s="77"/>
      <c r="D228" s="77"/>
      <c r="E228" s="77"/>
      <c r="F228" s="76"/>
      <c r="G228" s="29"/>
      <c r="H228" s="29"/>
      <c r="I228" s="29"/>
      <c r="J228" s="29"/>
      <c r="K228" s="29"/>
      <c r="L228" s="163">
        <f ca="1">L227</f>
        <v>15</v>
      </c>
      <c r="M228" s="164" t="s">
        <v>105</v>
      </c>
      <c r="N228" s="161"/>
      <c r="O228" s="162"/>
      <c r="P228" s="30"/>
      <c r="Q228" s="30"/>
      <c r="R228" s="30"/>
      <c r="S228" s="30"/>
      <c r="T228" s="155"/>
      <c r="U228" s="30"/>
      <c r="V228" s="30"/>
      <c r="W228" s="30"/>
      <c r="X228" s="31"/>
      <c r="Y228" s="32"/>
      <c r="Z228" s="32"/>
      <c r="AA228" s="32"/>
      <c r="AB228" s="33"/>
      <c r="AC228" s="33"/>
      <c r="AD228" s="23"/>
    </row>
    <row r="229" spans="1:30" ht="15.5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 t="str">
        <f t="shared" ref="M229:M234" ca="1" si="35">IFERROR(OFFSET(M229,-1,,1,1)+0.1,OFFSET(M229,-1,-1,1,1)&amp;".1")</f>
        <v>15.1</v>
      </c>
      <c r="N229" s="20" t="s">
        <v>1059</v>
      </c>
      <c r="O229" s="20"/>
      <c r="P229" s="20"/>
      <c r="Q229" s="134"/>
      <c r="R229" s="127"/>
      <c r="S229" s="157">
        <f t="shared" ref="S229:S234" si="36">CEILING((IF(J229="Yes", 0, IF(H229="-",AA229,AA229+AA229*VLOOKUP(H229,BUFFERS_BY_TYPE,2,FALSE)))) +
   (IF(J229="Yes", 0, IF(H229="-",AA229,AA229+AA229*VLOOKUP(H229,BUFFERS_BY_TYPE,2,FALSE))))*VLOOKUP($S$5, SALES_CALL_SCALE_ARRAY, 2,FALSE),0.25)</f>
        <v>5</v>
      </c>
      <c r="T229" s="158"/>
      <c r="U229" s="21">
        <v>0</v>
      </c>
      <c r="V229" s="21">
        <v>1</v>
      </c>
      <c r="W229" s="21">
        <v>0</v>
      </c>
      <c r="X229" s="156">
        <v>5</v>
      </c>
      <c r="Y229" s="157">
        <f t="shared" ref="Y229:Y234" si="37"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5</v>
      </c>
      <c r="Z229" s="22"/>
      <c r="AA229" s="157">
        <f t="shared" ref="AA229:AA234" si="38">Y229+Y229*VLOOKUP(I229,EXTRAS_ARRAY,2,FALSE)</f>
        <v>5</v>
      </c>
      <c r="AB229" s="20"/>
      <c r="AC229" s="34"/>
      <c r="AD229" s="23" t="str">
        <f t="shared" ref="AD229:AD234" si="39"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ht="15.5" outlineLevel="2" x14ac:dyDescent="0.35">
      <c r="A230" s="86" t="s">
        <v>0</v>
      </c>
      <c r="B230" s="18"/>
      <c r="C230" s="78"/>
      <c r="D230" s="78"/>
      <c r="E230" s="78"/>
      <c r="F230" s="79"/>
      <c r="G230" s="19" t="s">
        <v>23</v>
      </c>
      <c r="H230" s="19" t="s">
        <v>23</v>
      </c>
      <c r="I230" s="20" t="s">
        <v>23</v>
      </c>
      <c r="J230" s="19" t="s">
        <v>23</v>
      </c>
      <c r="K230" s="35"/>
      <c r="L230" s="19"/>
      <c r="M230" s="263">
        <f t="shared" ca="1" si="35"/>
        <v>15.2</v>
      </c>
      <c r="N230" s="20" t="s">
        <v>1060</v>
      </c>
      <c r="O230" s="20"/>
      <c r="P230" s="20"/>
      <c r="Q230" s="134"/>
      <c r="R230" s="127"/>
      <c r="S230" s="157">
        <f t="shared" si="36"/>
        <v>5</v>
      </c>
      <c r="T230" s="158"/>
      <c r="U230" s="21">
        <v>0</v>
      </c>
      <c r="V230" s="21">
        <v>1</v>
      </c>
      <c r="W230" s="21">
        <v>0</v>
      </c>
      <c r="X230" s="156">
        <v>5</v>
      </c>
      <c r="Y230" s="157">
        <f t="shared" si="37"/>
        <v>5</v>
      </c>
      <c r="Z230" s="22"/>
      <c r="AA230" s="157">
        <f t="shared" si="38"/>
        <v>5</v>
      </c>
      <c r="AB230" s="20"/>
      <c r="AC230" s="34"/>
      <c r="AD230" s="23" t="str">
        <f t="shared" si="39"/>
        <v/>
      </c>
    </row>
    <row r="231" spans="1:30" ht="15.5" outlineLevel="2" x14ac:dyDescent="0.35">
      <c r="A231" s="86" t="s">
        <v>0</v>
      </c>
      <c r="B231" s="18"/>
      <c r="C231" s="78"/>
      <c r="D231" s="78"/>
      <c r="E231" s="78"/>
      <c r="F231" s="79"/>
      <c r="G231" s="19" t="s">
        <v>23</v>
      </c>
      <c r="H231" s="19" t="s">
        <v>23</v>
      </c>
      <c r="I231" s="20" t="s">
        <v>23</v>
      </c>
      <c r="J231" s="19" t="s">
        <v>23</v>
      </c>
      <c r="K231" s="35"/>
      <c r="L231" s="19"/>
      <c r="M231" s="263">
        <f t="shared" ca="1" si="35"/>
        <v>15.3</v>
      </c>
      <c r="N231" s="20" t="s">
        <v>1061</v>
      </c>
      <c r="O231" s="20"/>
      <c r="P231" s="20"/>
      <c r="Q231" s="134"/>
      <c r="R231" s="127"/>
      <c r="S231" s="157">
        <f t="shared" si="36"/>
        <v>4</v>
      </c>
      <c r="T231" s="158"/>
      <c r="U231" s="21">
        <v>0</v>
      </c>
      <c r="V231" s="21">
        <v>1</v>
      </c>
      <c r="W231" s="21">
        <v>0</v>
      </c>
      <c r="X231" s="156">
        <v>4</v>
      </c>
      <c r="Y231" s="157">
        <f t="shared" si="37"/>
        <v>4</v>
      </c>
      <c r="Z231" s="22"/>
      <c r="AA231" s="157">
        <f t="shared" si="38"/>
        <v>4</v>
      </c>
      <c r="AB231" s="20"/>
      <c r="AC231" s="34"/>
      <c r="AD231" s="23" t="str">
        <f t="shared" si="39"/>
        <v/>
      </c>
    </row>
    <row r="232" spans="1:30" ht="15.5" outlineLevel="2" x14ac:dyDescent="0.35">
      <c r="A232" s="86" t="s">
        <v>0</v>
      </c>
      <c r="B232" s="18"/>
      <c r="C232" s="78"/>
      <c r="D232" s="78"/>
      <c r="E232" s="78"/>
      <c r="F232" s="79"/>
      <c r="G232" s="19" t="s">
        <v>23</v>
      </c>
      <c r="H232" s="19" t="s">
        <v>23</v>
      </c>
      <c r="I232" s="20" t="s">
        <v>23</v>
      </c>
      <c r="J232" s="19" t="s">
        <v>23</v>
      </c>
      <c r="K232" s="35"/>
      <c r="L232" s="19"/>
      <c r="M232" s="263">
        <f t="shared" ca="1" si="35"/>
        <v>15.4</v>
      </c>
      <c r="N232" s="20" t="s">
        <v>1062</v>
      </c>
      <c r="O232" s="20"/>
      <c r="P232" s="20"/>
      <c r="Q232" s="134"/>
      <c r="R232" s="127"/>
      <c r="S232" s="157">
        <f t="shared" si="36"/>
        <v>5</v>
      </c>
      <c r="T232" s="158"/>
      <c r="U232" s="21">
        <v>0</v>
      </c>
      <c r="V232" s="21">
        <v>1</v>
      </c>
      <c r="W232" s="21">
        <v>0</v>
      </c>
      <c r="X232" s="156">
        <v>5</v>
      </c>
      <c r="Y232" s="157">
        <f t="shared" si="37"/>
        <v>5</v>
      </c>
      <c r="Z232" s="22"/>
      <c r="AA232" s="157">
        <f t="shared" si="38"/>
        <v>5</v>
      </c>
      <c r="AB232" s="20"/>
      <c r="AC232" s="34"/>
      <c r="AD232" s="23" t="str">
        <f t="shared" si="39"/>
        <v/>
      </c>
    </row>
    <row r="233" spans="1:30" ht="15.5" outlineLevel="2" x14ac:dyDescent="0.35">
      <c r="A233" s="86" t="s">
        <v>0</v>
      </c>
      <c r="B233" s="18"/>
      <c r="C233" s="78"/>
      <c r="D233" s="78"/>
      <c r="E233" s="78"/>
      <c r="F233" s="79"/>
      <c r="G233" s="19" t="s">
        <v>23</v>
      </c>
      <c r="H233" s="19" t="s">
        <v>23</v>
      </c>
      <c r="I233" s="20" t="s">
        <v>23</v>
      </c>
      <c r="J233" s="19" t="s">
        <v>23</v>
      </c>
      <c r="K233" s="35"/>
      <c r="L233" s="19"/>
      <c r="M233" s="263">
        <f t="shared" ca="1" si="35"/>
        <v>15.5</v>
      </c>
      <c r="N233" s="20" t="s">
        <v>1063</v>
      </c>
      <c r="O233" s="20"/>
      <c r="P233" s="20"/>
      <c r="Q233" s="134"/>
      <c r="R233" s="127"/>
      <c r="S233" s="157">
        <f t="shared" si="36"/>
        <v>4.5</v>
      </c>
      <c r="T233" s="158"/>
      <c r="U233" s="21">
        <v>0</v>
      </c>
      <c r="V233" s="21">
        <v>1</v>
      </c>
      <c r="W233" s="21">
        <v>0</v>
      </c>
      <c r="X233" s="156">
        <v>4.5</v>
      </c>
      <c r="Y233" s="157">
        <f t="shared" si="37"/>
        <v>4.5</v>
      </c>
      <c r="Z233" s="22"/>
      <c r="AA233" s="157">
        <f t="shared" si="38"/>
        <v>4.5</v>
      </c>
      <c r="AB233" s="20"/>
      <c r="AC233" s="34"/>
      <c r="AD233" s="23" t="str">
        <f t="shared" si="39"/>
        <v/>
      </c>
    </row>
    <row r="234" spans="1:30" ht="15.5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>
        <f t="shared" ca="1" si="35"/>
        <v>15.6</v>
      </c>
      <c r="N234" s="20" t="s">
        <v>1064</v>
      </c>
      <c r="O234" s="20"/>
      <c r="P234" s="20"/>
      <c r="Q234" s="134"/>
      <c r="R234" s="127"/>
      <c r="S234" s="157">
        <f t="shared" si="36"/>
        <v>4.5</v>
      </c>
      <c r="T234" s="158"/>
      <c r="U234" s="21">
        <v>0</v>
      </c>
      <c r="V234" s="21">
        <v>1</v>
      </c>
      <c r="W234" s="21">
        <v>0</v>
      </c>
      <c r="X234" s="156">
        <v>4.5</v>
      </c>
      <c r="Y234" s="157">
        <f t="shared" si="37"/>
        <v>4.5</v>
      </c>
      <c r="Z234" s="22"/>
      <c r="AA234" s="157">
        <f t="shared" si="38"/>
        <v>4.5</v>
      </c>
      <c r="AB234" s="20"/>
      <c r="AC234" s="34"/>
      <c r="AD234" s="23" t="str">
        <f t="shared" si="39"/>
        <v/>
      </c>
    </row>
    <row r="235" spans="1:30" ht="58" outlineLevel="2" x14ac:dyDescent="0.35">
      <c r="A235" s="86" t="s">
        <v>0</v>
      </c>
      <c r="B235" s="18"/>
      <c r="C235" s="78"/>
      <c r="D235" s="78"/>
      <c r="E235" s="78"/>
      <c r="F235" s="79"/>
      <c r="G235" s="19" t="s">
        <v>23</v>
      </c>
      <c r="H235" s="19" t="s">
        <v>23</v>
      </c>
      <c r="I235" s="20" t="s">
        <v>23</v>
      </c>
      <c r="J235" s="19" t="s">
        <v>23</v>
      </c>
      <c r="K235" s="35"/>
      <c r="L235" s="19"/>
      <c r="M235" s="263">
        <f ca="1">IFERROR(OFFSET(M235,-1,,1,1)+0.1,OFFSET(M235,-1,-1,1,1)&amp;".1")</f>
        <v>15.7</v>
      </c>
      <c r="N235" s="20" t="inlineStr">
        <is>
          <t xml:space="preserve">Click-to-sign and settlement acceptance: consent, signed PDF (WeasyPrint) with its digest, audit record (SettlementAccepted)</t>
        </is>
      </c>
      <c r="O235" s="20"/>
      <c r="P235" s="20"/>
      <c r="Q235" s="134"/>
      <c r="R235" s="127"/>
      <c r="S235" s="157">
        <f>CEILING((IF(J235="Yes", 0, IF(H235="-",AA235,AA235+AA235*VLOOKUP(H235,BUFFERS_BY_TYPE,2,FALSE)))) +
   (IF(J235="Yes", 0, IF(H235="-",AA235,AA235+AA235*VLOOKUP(H235,BUFFERS_BY_TYPE,2,FALSE))))*VLOOKUP($S$5, SALES_CALL_SCALE_ARRAY, 2,FALSE),0.25)</f>
        <v>3</v>
      </c>
      <c r="T235" s="158"/>
      <c r="U235" s="21">
        <v>0</v>
      </c>
      <c r="V235" s="21">
        <v>1</v>
      </c>
      <c r="W235" s="21">
        <v>0</v>
      </c>
      <c r="X235" s="156">
        <v>3</v>
      </c>
      <c r="Y235" s="157">
        <f>CEILING((IF(P235=AS_DEV_EFFORT, DEV_EFFORT*Q235%,
                           IF(P235=AS_DURATION_EFFORT, (MANUAL_DURATION*5)*Q235%,
                                    (IF(Q235&lt;=1,X235,
                                          IF(SUM(U235:W235)=0,(Q235*X235),
                                               (((Q235*U235)*(X235+(X235*EXTRA_FOR_H)))+
                                               ((Q235*V235)*X235)+
                                               ((Q235*W235)*(X235-(X235*LESS_FOR_L)))
                                    )*IF(R235=0,1,R235))))))+Z235), 0.25)</f>
        <v>3</v>
      </c>
      <c r="Z235" s="22"/>
      <c r="AA235" s="157">
        <f>Y235+Y235*VLOOKUP(I235,EXTRAS_ARRAY,2,FALSE)</f>
        <v>3</v>
      </c>
      <c r="AB235" s="20" t="inlineStr">
        <is>
          <t xml:space="preserve">SAD v2.0 §4, Information requests, disputes and electronic signature</t>
        </is>
      </c>
      <c r="AC235" s="34"/>
      <c r="AD235" s="23" t="str">
        <f>IF(J235&lt;&gt;"Yes",
IF(S235&lt;=0,"Error: Effort value is not defined or is invalid.",
IF(AND(SUM(U235:W235)&gt;0,SUM(U235:W235)&lt;&gt;1),"Error: Complexity % distribution should sum to 100%.",
IF(AND(P235=AS_DEV_EFFORT,X235&lt;&gt;0),"Error: PDs should not be defined when defining as dev effort %.",
IF(AND(P235=AS_DURATION_EFFORT,X235&lt;&gt;0),"Error: PDs should not be defined when defining as duration effort %.","")))))</f>
        <v/>
      </c>
    </row>
    <row r="236" spans="1:30" ht="58" outlineLevel="2" x14ac:dyDescent="0.35">
      <c r="A236" s="86" t="s">
        <v>0</v>
      </c>
      <c r="B236" s="18"/>
      <c r="C236" s="78"/>
      <c r="D236" s="78"/>
      <c r="E236" s="78"/>
      <c r="F236" s="79"/>
      <c r="G236" s="19" t="s">
        <v>23</v>
      </c>
      <c r="H236" s="19" t="s">
        <v>23</v>
      </c>
      <c r="I236" s="20" t="s">
        <v>23</v>
      </c>
      <c r="J236" s="19" t="s">
        <v>23</v>
      </c>
      <c r="K236" s="35"/>
      <c r="L236" s="19"/>
      <c r="M236" s="263">
        <f ca="1">IFERROR(OFFSET(M236,-1,,1,1)+0.1,OFFSET(M236,-1,-1,1,1)&amp;".1")</f>
        <v>15.8</v>
      </c>
      <c r="N236" s="20" t="inlineStr">
        <is>
          <t xml:space="preserve">Claim region from the loss location at first notice of loss</t>
        </is>
      </c>
      <c r="O236" s="20"/>
      <c r="P236" s="20"/>
      <c r="Q236" s="134"/>
      <c r="R236" s="127"/>
      <c r="S236" s="157">
        <f>CEILING((IF(J236="Yes", 0, IF(H236="-",AA236,AA236+AA236*VLOOKUP(H236,BUFFERS_BY_TYPE,2,FALSE)))) +
   (IF(J236="Yes", 0, IF(H236="-",AA236,AA236+AA236*VLOOKUP(H236,BUFFERS_BY_TYPE,2,FALSE))))*VLOOKUP($S$5, SALES_CALL_SCALE_ARRAY, 2,FALSE),0.25)</f>
        <v>0.5</v>
      </c>
      <c r="T236" s="158"/>
      <c r="U236" s="21">
        <v>0</v>
      </c>
      <c r="V236" s="21">
        <v>1</v>
      </c>
      <c r="W236" s="21">
        <v>0</v>
      </c>
      <c r="X236" s="156">
        <v>0.5</v>
      </c>
      <c r="Y236" s="157">
        <f>CEILING((IF(P236=AS_DEV_EFFORT, DEV_EFFORT*Q236%,
                           IF(P236=AS_DURATION_EFFORT, (MANUAL_DURATION*5)*Q236%,
                                    (IF(Q236&lt;=1,X236,
                                          IF(SUM(U236:W236)=0,(Q236*X236),
                                               (((Q236*U236)*(X236+(X236*EXTRA_FOR_H)))+
                                               ((Q236*V236)*X236)+
                                               ((Q236*W236)*(X236-(X236*LESS_FOR_L)))
                                    )*IF(R236=0,1,R236))))))+Z236), 0.25)</f>
        <v>0.5</v>
      </c>
      <c r="Z236" s="22"/>
      <c r="AA236" s="157">
        <f>Y236+Y236*VLOOKUP(I236,EXTRAS_ARRAY,2,FALSE)</f>
        <v>0.5</v>
      </c>
      <c r="AB236" s="20"/>
      <c r="AC236" s="34"/>
      <c r="AD236" s="23" t="str">
        <f>IF(J236&lt;&gt;"Yes",
IF(S236&lt;=0,"Error: Effort value is not defined or is invalid.",
IF(AND(SUM(U236:W236)&gt;0,SUM(U236:W236)&lt;&gt;1),"Error: Complexity % distribution should sum to 100%.",
IF(AND(P236=AS_DEV_EFFORT,X236&lt;&gt;0),"Error: PDs should not be defined when defining as dev effort %.",
IF(AND(P236=AS_DURATION_EFFORT,X236&lt;&gt;0),"Error: PDs should not be defined when defining as duration effort %.","")))))</f>
        <v/>
      </c>
    </row>
    <row r="237" spans="1:30" s="9" customFormat="1" ht="7.5" customHeight="1" outlineLevel="2" x14ac:dyDescent="0.35">
      <c r="A237" s="86" t="s">
        <v>132</v>
      </c>
      <c r="B237" s="15"/>
      <c r="C237" s="72"/>
      <c r="D237" s="72"/>
      <c r="E237" s="72"/>
      <c r="F237" s="72"/>
      <c r="M237" s="252"/>
      <c r="T237" s="15"/>
      <c r="X237" s="15"/>
      <c r="AB237" s="10"/>
      <c r="AC237" s="10"/>
      <c r="AD237" s="10"/>
    </row>
    <row r="238" spans="1:30" s="14" customFormat="1" ht="15.5" outlineLevel="1" x14ac:dyDescent="0.35">
      <c r="A238" s="86" t="s">
        <v>100</v>
      </c>
      <c r="B238" s="18"/>
      <c r="C238" s="77"/>
      <c r="D238" s="77"/>
      <c r="E238" s="77"/>
      <c r="F238" s="76"/>
      <c r="G238" s="29"/>
      <c r="H238" s="29"/>
      <c r="I238" s="29"/>
      <c r="J238" s="29"/>
      <c r="K238" s="29"/>
      <c r="L238" s="17">
        <f ca="1">LOOKUP(1000,INDIRECT("L1:"&amp;CELL("address",INDIRECT("R[-1]C",FALSE))))+1</f>
        <v>16</v>
      </c>
      <c r="M238" s="295" t="s">
        <v>1065</v>
      </c>
      <c r="N238" s="296"/>
      <c r="O238" s="5"/>
      <c r="P238" s="30"/>
      <c r="Q238" s="30"/>
      <c r="R238" s="30"/>
      <c r="S238" s="30"/>
      <c r="T238" s="155">
        <f>IF($S$6="Exclude", SUMIFS(S239:S247, J239:J247, "&lt;&gt;Yes", G239:G247, "&lt;&gt;Yes"), SUMIFS(S239:S247, J239:J247, "&lt;&gt;Yes"))</f>
        <v>23.5</v>
      </c>
      <c r="U238" s="30"/>
      <c r="V238" s="30"/>
      <c r="W238" s="30"/>
      <c r="X238" s="31"/>
      <c r="Y238" s="32"/>
      <c r="Z238" s="32"/>
      <c r="AA238" s="32"/>
      <c r="AB238" s="219" t="s">
        <v>1066</v>
      </c>
      <c r="AC238" s="33"/>
      <c r="AD238" s="23" t="str">
        <f>IF(M238="", "Error: Task name cannot be empty.", "")</f>
        <v/>
      </c>
    </row>
    <row r="239" spans="1:30" s="12" customFormat="1" ht="1.5" customHeight="1" outlineLevel="2" x14ac:dyDescent="0.35">
      <c r="A239" s="86" t="s">
        <v>101</v>
      </c>
      <c r="B239" s="18"/>
      <c r="C239" s="77"/>
      <c r="D239" s="77"/>
      <c r="E239" s="77"/>
      <c r="F239" s="76"/>
      <c r="G239" s="29"/>
      <c r="H239" s="29"/>
      <c r="I239" s="29"/>
      <c r="J239" s="29"/>
      <c r="K239" s="29"/>
      <c r="L239" s="163">
        <f ca="1">L238</f>
        <v>16</v>
      </c>
      <c r="M239" s="164" t="s">
        <v>105</v>
      </c>
      <c r="N239" s="161"/>
      <c r="O239" s="162"/>
      <c r="P239" s="30"/>
      <c r="Q239" s="30"/>
      <c r="R239" s="30"/>
      <c r="S239" s="30"/>
      <c r="T239" s="155"/>
      <c r="U239" s="30"/>
      <c r="V239" s="30"/>
      <c r="W239" s="30"/>
      <c r="X239" s="31"/>
      <c r="Y239" s="32"/>
      <c r="Z239" s="32"/>
      <c r="AA239" s="32"/>
      <c r="AB239" s="33"/>
      <c r="AC239" s="33"/>
      <c r="AD239" s="23"/>
    </row>
    <row r="240" spans="1:30" ht="15.5" outlineLevel="2" x14ac:dyDescent="0.35">
      <c r="A240" s="86" t="s">
        <v>0</v>
      </c>
      <c r="B240" s="18"/>
      <c r="C240" s="78"/>
      <c r="D240" s="78"/>
      <c r="E240" s="78"/>
      <c r="F240" s="79"/>
      <c r="G240" s="19" t="s">
        <v>23</v>
      </c>
      <c r="H240" s="19" t="s">
        <v>23</v>
      </c>
      <c r="I240" s="20" t="s">
        <v>23</v>
      </c>
      <c r="J240" s="19" t="s">
        <v>23</v>
      </c>
      <c r="K240" s="35"/>
      <c r="L240" s="19"/>
      <c r="M240" s="263" t="str">
        <f t="shared" ref="M240:M245" ca="1" si="40">IFERROR(OFFSET(M240,-1,,1,1)+0.1,OFFSET(M240,-1,-1,1,1)&amp;".1")</f>
        <v>16.1</v>
      </c>
      <c r="N240" s="20" t="s">
        <v>1067</v>
      </c>
      <c r="O240" s="20"/>
      <c r="P240" s="20"/>
      <c r="Q240" s="134"/>
      <c r="R240" s="127"/>
      <c r="S240" s="157">
        <f t="shared" ref="S240:S245" si="41">CEILING((IF(J240="Yes", 0, IF(H240="-",AA240,AA240+AA240*VLOOKUP(H240,BUFFERS_BY_TYPE,2,FALSE)))) +
   (IF(J240="Yes", 0, IF(H240="-",AA240,AA240+AA240*VLOOKUP(H240,BUFFERS_BY_TYPE,2,FALSE))))*VLOOKUP($S$5, SALES_CALL_SCALE_ARRAY, 2,FALSE),0.25)</f>
        <v>4</v>
      </c>
      <c r="T240" s="158"/>
      <c r="U240" s="21">
        <v>0</v>
      </c>
      <c r="V240" s="21">
        <v>1</v>
      </c>
      <c r="W240" s="21">
        <v>0</v>
      </c>
      <c r="X240" s="156">
        <v>4</v>
      </c>
      <c r="Y240" s="157">
        <f t="shared" ref="Y240:Y245" si="42">CEILING((IF(P240=AS_DEV_EFFORT, DEV_EFFORT*Q240%,
                           IF(P240=AS_DURATION_EFFORT, (MANUAL_DURATION*5)*Q240%,
                                    (IF(Q240&lt;=1,X240,
                                          IF(SUM(U240:W240)=0,(Q240*X240),
                                               (((Q240*U240)*(X240+(X240*EXTRA_FOR_H)))+
                                               ((Q240*V240)*X240)+
                                               ((Q240*W240)*(X240-(X240*LESS_FOR_L)))
                                    )*IF(R240=0,1,R240))))))+Z240), 0.25)</f>
        <v>4</v>
      </c>
      <c r="Z240" s="22"/>
      <c r="AA240" s="157">
        <f t="shared" ref="AA240:AA245" si="43">Y240+Y240*VLOOKUP(I240,EXTRAS_ARRAY,2,FALSE)</f>
        <v>4</v>
      </c>
      <c r="AB240" s="20"/>
      <c r="AC240" s="34"/>
      <c r="AD240" s="23" t="str">
        <f t="shared" ref="AD240:AD245" si="44">IF(J240&lt;&gt;"Yes",
IF(S240&lt;=0,"Error: Effort value is not defined or is invalid.",
IF(AND(SUM(U240:W240)&gt;0,SUM(U240:W240)&lt;&gt;1),"Error: Complexity % distribution should sum to 100%.",
IF(AND(P240=AS_DEV_EFFORT,X240&lt;&gt;0),"Error: PDs should not be defined when defining as dev effort %.",
IF(AND(P240=AS_DURATION_EFFORT,X240&lt;&gt;0),"Error: PDs should not be defined when defining as duration effort %.","")))))</f>
        <v/>
      </c>
    </row>
    <row r="241" spans="1:30" ht="15.5" outlineLevel="2" x14ac:dyDescent="0.35">
      <c r="A241" s="86" t="s">
        <v>0</v>
      </c>
      <c r="B241" s="18"/>
      <c r="C241" s="78"/>
      <c r="D241" s="78"/>
      <c r="E241" s="78"/>
      <c r="F241" s="79"/>
      <c r="G241" s="19" t="s">
        <v>23</v>
      </c>
      <c r="H241" s="19" t="s">
        <v>23</v>
      </c>
      <c r="I241" s="20" t="s">
        <v>23</v>
      </c>
      <c r="J241" s="19" t="s">
        <v>23</v>
      </c>
      <c r="K241" s="35"/>
      <c r="L241" s="19"/>
      <c r="M241" s="263">
        <f t="shared" ca="1" si="40"/>
        <v>16.2</v>
      </c>
      <c r="N241" s="20" t="s">
        <v>1068</v>
      </c>
      <c r="O241" s="20"/>
      <c r="P241" s="20"/>
      <c r="Q241" s="134"/>
      <c r="R241" s="127"/>
      <c r="S241" s="157">
        <f t="shared" si="41"/>
        <v>5</v>
      </c>
      <c r="T241" s="158"/>
      <c r="U241" s="21">
        <v>0</v>
      </c>
      <c r="V241" s="21">
        <v>1</v>
      </c>
      <c r="W241" s="21">
        <v>0</v>
      </c>
      <c r="X241" s="156">
        <v>5</v>
      </c>
      <c r="Y241" s="157">
        <f t="shared" si="42"/>
        <v>5</v>
      </c>
      <c r="Z241" s="22"/>
      <c r="AA241" s="157">
        <f t="shared" si="43"/>
        <v>5</v>
      </c>
      <c r="AB241" s="20"/>
      <c r="AC241" s="34"/>
      <c r="AD241" s="23" t="str">
        <f t="shared" si="44"/>
        <v/>
      </c>
    </row>
    <row r="242" spans="1:30" ht="15.5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>
        <f t="shared" ca="1" si="40"/>
        <v>16.3</v>
      </c>
      <c r="N242" s="20" t="s">
        <v>1069</v>
      </c>
      <c r="O242" s="20"/>
      <c r="P242" s="20"/>
      <c r="Q242" s="134"/>
      <c r="R242" s="127"/>
      <c r="S242" s="157">
        <f t="shared" si="41"/>
        <v>4.5</v>
      </c>
      <c r="T242" s="158"/>
      <c r="U242" s="21">
        <v>0</v>
      </c>
      <c r="V242" s="21">
        <v>1</v>
      </c>
      <c r="W242" s="21">
        <v>0</v>
      </c>
      <c r="X242" s="156">
        <v>4.5</v>
      </c>
      <c r="Y242" s="157">
        <f t="shared" si="42"/>
        <v>4.5</v>
      </c>
      <c r="Z242" s="22"/>
      <c r="AA242" s="157">
        <f t="shared" si="43"/>
        <v>4.5</v>
      </c>
      <c r="AB242" s="20"/>
      <c r="AC242" s="34"/>
      <c r="AD242" s="23" t="str">
        <f t="shared" si="44"/>
        <v/>
      </c>
    </row>
    <row r="243" spans="1:30" ht="15.5" outlineLevel="2" x14ac:dyDescent="0.35">
      <c r="A243" s="86" t="s">
        <v>0</v>
      </c>
      <c r="B243" s="18"/>
      <c r="C243" s="78"/>
      <c r="D243" s="78"/>
      <c r="E243" s="78"/>
      <c r="F243" s="79"/>
      <c r="G243" s="19" t="s">
        <v>23</v>
      </c>
      <c r="H243" s="19" t="s">
        <v>23</v>
      </c>
      <c r="I243" s="20" t="s">
        <v>23</v>
      </c>
      <c r="J243" s="19" t="s">
        <v>23</v>
      </c>
      <c r="K243" s="35"/>
      <c r="L243" s="19"/>
      <c r="M243" s="263">
        <f t="shared" ca="1" si="40"/>
        <v>16.4</v>
      </c>
      <c r="N243" s="20" t="s">
        <v>1070</v>
      </c>
      <c r="O243" s="20"/>
      <c r="P243" s="20"/>
      <c r="Q243" s="134"/>
      <c r="R243" s="127"/>
      <c r="S243" s="157">
        <f t="shared" si="41"/>
        <v>4.5</v>
      </c>
      <c r="T243" s="158"/>
      <c r="U243" s="21">
        <v>0</v>
      </c>
      <c r="V243" s="21">
        <v>1</v>
      </c>
      <c r="W243" s="21">
        <v>0</v>
      </c>
      <c r="X243" s="156">
        <v>4.5</v>
      </c>
      <c r="Y243" s="157">
        <f t="shared" si="42"/>
        <v>4.5</v>
      </c>
      <c r="Z243" s="22"/>
      <c r="AA243" s="157">
        <f t="shared" si="43"/>
        <v>4.5</v>
      </c>
      <c r="AB243" s="20"/>
      <c r="AC243" s="34"/>
      <c r="AD243" s="23" t="str">
        <f t="shared" si="44"/>
        <v/>
      </c>
    </row>
    <row r="244" spans="1:30" ht="15.5" outlineLevel="2" x14ac:dyDescent="0.35">
      <c r="A244" s="86" t="s">
        <v>0</v>
      </c>
      <c r="B244" s="18"/>
      <c r="C244" s="78"/>
      <c r="D244" s="78"/>
      <c r="E244" s="78"/>
      <c r="F244" s="79"/>
      <c r="G244" s="19" t="s">
        <v>23</v>
      </c>
      <c r="H244" s="19" t="s">
        <v>23</v>
      </c>
      <c r="I244" s="20" t="s">
        <v>23</v>
      </c>
      <c r="J244" s="19" t="s">
        <v>23</v>
      </c>
      <c r="K244" s="35"/>
      <c r="L244" s="19"/>
      <c r="M244" s="263">
        <f t="shared" ca="1" si="40"/>
        <v>16.5</v>
      </c>
      <c r="N244" s="20" t="s">
        <v>1071</v>
      </c>
      <c r="O244" s="20"/>
      <c r="P244" s="20"/>
      <c r="Q244" s="134"/>
      <c r="R244" s="127"/>
      <c r="S244" s="157">
        <f t="shared" si="41"/>
        <v>2.5</v>
      </c>
      <c r="T244" s="158"/>
      <c r="U244" s="21">
        <v>0</v>
      </c>
      <c r="V244" s="21">
        <v>1</v>
      </c>
      <c r="W244" s="21">
        <v>0</v>
      </c>
      <c r="X244" s="156">
        <v>2.5</v>
      </c>
      <c r="Y244" s="157">
        <f t="shared" si="42"/>
        <v>2.5</v>
      </c>
      <c r="Z244" s="22"/>
      <c r="AA244" s="157">
        <f t="shared" si="43"/>
        <v>2.5</v>
      </c>
      <c r="AB244" s="20"/>
      <c r="AC244" s="34"/>
      <c r="AD244" s="23" t="str">
        <f t="shared" si="44"/>
        <v/>
      </c>
    </row>
    <row r="245" spans="1:30" ht="15.5" outlineLevel="2" x14ac:dyDescent="0.35">
      <c r="A245" s="86" t="s">
        <v>0</v>
      </c>
      <c r="B245" s="18"/>
      <c r="C245" s="78"/>
      <c r="D245" s="78"/>
      <c r="E245" s="78"/>
      <c r="F245" s="79"/>
      <c r="G245" s="19" t="s">
        <v>23</v>
      </c>
      <c r="H245" s="19" t="s">
        <v>23</v>
      </c>
      <c r="I245" s="20" t="s">
        <v>23</v>
      </c>
      <c r="J245" s="19" t="s">
        <v>23</v>
      </c>
      <c r="K245" s="35"/>
      <c r="L245" s="19"/>
      <c r="M245" s="263">
        <f t="shared" ca="1" si="40"/>
        <v>16.6</v>
      </c>
      <c r="N245" s="20" t="s">
        <v>1072</v>
      </c>
      <c r="O245" s="20"/>
      <c r="P245" s="20"/>
      <c r="Q245" s="134"/>
      <c r="R245" s="127"/>
      <c r="S245" s="157">
        <f t="shared" si="41"/>
        <v>1.5</v>
      </c>
      <c r="T245" s="158"/>
      <c r="U245" s="21">
        <v>0</v>
      </c>
      <c r="V245" s="21">
        <v>1</v>
      </c>
      <c r="W245" s="21">
        <v>0</v>
      </c>
      <c r="X245" s="156">
        <v>1.5</v>
      </c>
      <c r="Y245" s="157">
        <f t="shared" si="42"/>
        <v>1.5</v>
      </c>
      <c r="Z245" s="22"/>
      <c r="AA245" s="157">
        <f t="shared" si="43"/>
        <v>1.5</v>
      </c>
      <c r="AB245" s="20"/>
      <c r="AC245" s="34"/>
      <c r="AD245" s="23" t="str">
        <f t="shared" si="44"/>
        <v/>
      </c>
    </row>
    <row r="246" spans="1:30" ht="58" outlineLevel="2" x14ac:dyDescent="0.35">
      <c r="A246" s="86" t="s">
        <v>0</v>
      </c>
      <c r="B246" s="18"/>
      <c r="C246" s="78"/>
      <c r="D246" s="78"/>
      <c r="E246" s="78"/>
      <c r="F246" s="79"/>
      <c r="G246" s="19" t="s">
        <v>23</v>
      </c>
      <c r="H246" s="19" t="s">
        <v>23</v>
      </c>
      <c r="I246" s="20" t="s">
        <v>23</v>
      </c>
      <c r="J246" s="19" t="s">
        <v>23</v>
      </c>
      <c r="K246" s="35"/>
      <c r="L246" s="19"/>
      <c r="M246" s="263">
        <f ca="1">IFERROR(OFFSET(M246,-1,,1,1)+0.1,OFFSET(M246,-1,-1,1,1)&amp;".1")</f>
        <v>16.7</v>
      </c>
      <c r="N246" s="20" t="inlineStr">
        <is>
          <t xml:space="preserve">Surveyor assigned when the vehicle's location is known (AppointmentBooked, VehicleLocationSet)</t>
        </is>
      </c>
      <c r="O246" s="20"/>
      <c r="P246" s="20"/>
      <c r="Q246" s="134"/>
      <c r="R246" s="127"/>
      <c r="S246" s="157">
        <f>CEILING((IF(J246="Yes", 0, IF(H246="-",AA246,AA246+AA246*VLOOKUP(H246,BUFFERS_BY_TYPE,2,FALSE)))) +
   (IF(J246="Yes", 0, IF(H246="-",AA246,AA246+AA246*VLOOKUP(H246,BUFFERS_BY_TYPE,2,FALSE))))*VLOOKUP($S$5, SALES_CALL_SCALE_ARRAY, 2,FALSE),0.25)</f>
        <v>1.5</v>
      </c>
      <c r="T246" s="158"/>
      <c r="U246" s="21">
        <v>0</v>
      </c>
      <c r="V246" s="21">
        <v>1</v>
      </c>
      <c r="W246" s="21">
        <v>0</v>
      </c>
      <c r="X246" s="156">
        <v>1.5</v>
      </c>
      <c r="Y246" s="157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1.5</v>
      </c>
      <c r="Z246" s="22"/>
      <c r="AA246" s="157">
        <f>Y246+Y246*VLOOKUP(I246,EXTRAS_ARRAY,2,FALSE)</f>
        <v>1.5</v>
      </c>
      <c r="AB246" s="20" t="inlineStr">
        <is>
          <t xml:space="preserve">SAD v2.0 §4, Repair location, surveyor assignment and rental</t>
        </is>
      </c>
      <c r="AC246" s="34"/>
      <c r="AD246" s="23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s="9" customFormat="1" ht="7.5" customHeight="1" outlineLevel="2" x14ac:dyDescent="0.35">
      <c r="A247" s="86" t="s">
        <v>132</v>
      </c>
      <c r="B247" s="15"/>
      <c r="C247" s="72"/>
      <c r="D247" s="72"/>
      <c r="E247" s="72"/>
      <c r="F247" s="72"/>
      <c r="M247" s="252"/>
      <c r="T247" s="15"/>
      <c r="X247" s="15"/>
      <c r="AB247" s="10"/>
      <c r="AC247" s="10"/>
      <c r="AD247" s="10"/>
    </row>
    <row r="248" spans="1:30" s="14" customFormat="1" ht="29" outlineLevel="1" x14ac:dyDescent="0.35">
      <c r="A248" s="86" t="s">
        <v>100</v>
      </c>
      <c r="B248" s="18"/>
      <c r="C248" s="77"/>
      <c r="D248" s="77"/>
      <c r="E248" s="77"/>
      <c r="F248" s="76"/>
      <c r="G248" s="29"/>
      <c r="H248" s="29"/>
      <c r="I248" s="29"/>
      <c r="J248" s="29"/>
      <c r="K248" s="29"/>
      <c r="L248" s="17">
        <f ca="1">LOOKUP(1000,INDIRECT("L1:"&amp;CELL("address",INDIRECT("R[-1]C",FALSE))))+1</f>
        <v>17</v>
      </c>
      <c r="M248" s="295" t="s">
        <v>1073</v>
      </c>
      <c r="N248" s="296"/>
      <c r="O248" s="5"/>
      <c r="P248" s="30"/>
      <c r="Q248" s="30"/>
      <c r="R248" s="30"/>
      <c r="S248" s="30"/>
      <c r="T248" s="155">
        <f>IF($S$6="Exclude", SUMIFS(S249:S256, J249:J256, "&lt;&gt;Yes", G249:G256, "&lt;&gt;Yes"), SUMIFS(S249:S256, J249:J256, "&lt;&gt;Yes"))</f>
        <v>18</v>
      </c>
      <c r="U248" s="30"/>
      <c r="V248" s="30"/>
      <c r="W248" s="30"/>
      <c r="X248" s="31"/>
      <c r="Y248" s="32"/>
      <c r="Z248" s="32"/>
      <c r="AA248" s="32"/>
      <c r="AB248" s="219" t="s">
        <v>1074</v>
      </c>
      <c r="AC248" s="33"/>
      <c r="AD248" s="23" t="str">
        <f>IF(M248="", "Error: Task name cannot be empty.", "")</f>
        <v/>
      </c>
    </row>
    <row r="249" spans="1:30" s="12" customFormat="1" ht="1.5" customHeight="1" outlineLevel="2" x14ac:dyDescent="0.35">
      <c r="A249" s="86" t="s">
        <v>101</v>
      </c>
      <c r="B249" s="18"/>
      <c r="C249" s="77"/>
      <c r="D249" s="77"/>
      <c r="E249" s="77"/>
      <c r="F249" s="76"/>
      <c r="G249" s="29"/>
      <c r="H249" s="29"/>
      <c r="I249" s="29"/>
      <c r="J249" s="29"/>
      <c r="K249" s="29"/>
      <c r="L249" s="163">
        <f ca="1">L248</f>
        <v>17</v>
      </c>
      <c r="M249" s="164" t="s">
        <v>105</v>
      </c>
      <c r="N249" s="161"/>
      <c r="O249" s="162"/>
      <c r="P249" s="30"/>
      <c r="Q249" s="30"/>
      <c r="R249" s="30"/>
      <c r="S249" s="30"/>
      <c r="T249" s="155"/>
      <c r="U249" s="30"/>
      <c r="V249" s="30"/>
      <c r="W249" s="30"/>
      <c r="X249" s="31"/>
      <c r="Y249" s="32"/>
      <c r="Z249" s="32"/>
      <c r="AA249" s="32"/>
      <c r="AB249" s="33"/>
      <c r="AC249" s="33"/>
      <c r="AD249" s="23"/>
    </row>
    <row r="250" spans="1:30" ht="15.5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 t="str">
        <f ca="1">IFERROR(OFFSET(M250,-1,,1,1)+0.1,OFFSET(M250,-1,-1,1,1)&amp;".1")</f>
        <v>17.1</v>
      </c>
      <c r="N250" s="20" t="s">
        <v>1075</v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4</v>
      </c>
      <c r="T250" s="158"/>
      <c r="U250" s="21">
        <v>0</v>
      </c>
      <c r="V250" s="21">
        <v>1</v>
      </c>
      <c r="W250" s="21">
        <v>0</v>
      </c>
      <c r="X250" s="156">
        <v>4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4</v>
      </c>
      <c r="Z250" s="22"/>
      <c r="AA250" s="157">
        <f>Y250+Y250*VLOOKUP(I250,EXTRAS_ARRAY,2,FALSE)</f>
        <v>4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outlineLevel="2" x14ac:dyDescent="0.35">
      <c r="A251" s="86" t="s">
        <v>0</v>
      </c>
      <c r="B251" s="18"/>
      <c r="C251" s="78"/>
      <c r="D251" s="78"/>
      <c r="E251" s="78"/>
      <c r="F251" s="79"/>
      <c r="G251" s="19" t="s">
        <v>23</v>
      </c>
      <c r="H251" s="19" t="s">
        <v>23</v>
      </c>
      <c r="I251" s="20" t="s">
        <v>23</v>
      </c>
      <c r="J251" s="19" t="s">
        <v>23</v>
      </c>
      <c r="K251" s="35"/>
      <c r="L251" s="19"/>
      <c r="M251" s="263">
        <f ca="1">IFERROR(OFFSET(M251,-1,,1,1)+0.1,OFFSET(M251,-1,-1,1,1)&amp;".1")</f>
        <v>17.2</v>
      </c>
      <c r="N251" s="20" t="s">
        <v>1076</v>
      </c>
      <c r="O251" s="20"/>
      <c r="P251" s="20"/>
      <c r="Q251" s="134"/>
      <c r="R251" s="127"/>
      <c r="S251" s="157">
        <f>CEILING((IF(J251="Yes", 0, IF(H251="-",AA251,AA251+AA251*VLOOKUP(H251,BUFFERS_BY_TYPE,2,FALSE)))) +
   (IF(J251="Yes", 0, IF(H251="-",AA251,AA251+AA251*VLOOKUP(H251,BUFFERS_BY_TYPE,2,FALSE))))*VLOOKUP($S$5, SALES_CALL_SCALE_ARRAY, 2,FALSE),0.25)</f>
        <v>4</v>
      </c>
      <c r="T251" s="158"/>
      <c r="U251" s="21">
        <v>0</v>
      </c>
      <c r="V251" s="21">
        <v>1</v>
      </c>
      <c r="W251" s="21">
        <v>0</v>
      </c>
      <c r="X251" s="156">
        <v>4</v>
      </c>
      <c r="Y251" s="157">
        <f>CEILING((IF(P251=AS_DEV_EFFORT, DEV_EFFORT*Q251%,
                           IF(P251=AS_DURATION_EFFORT, (MANUAL_DURATION*5)*Q251%,
                                    (IF(Q251&lt;=1,X251,
                                          IF(SUM(U251:W251)=0,(Q251*X251),
                                               (((Q251*U251)*(X251+(X251*EXTRA_FOR_H)))+
                                               ((Q251*V251)*X251)+
                                               ((Q251*W251)*(X251-(X251*LESS_FOR_L)))
                                    )*IF(R251=0,1,R251))))))+Z251), 0.25)</f>
        <v>4</v>
      </c>
      <c r="Z251" s="22"/>
      <c r="AA251" s="157">
        <f>Y251+Y251*VLOOKUP(I251,EXTRAS_ARRAY,2,FALSE)</f>
        <v>4</v>
      </c>
      <c r="AB251" s="20"/>
      <c r="AC251" s="34"/>
      <c r="AD251" s="23" t="str">
        <f>IF(J251&lt;&gt;"Yes",
IF(S251&lt;=0,"Error: Effort value is not defined or is invalid.",
IF(AND(SUM(U251:W251)&gt;0,SUM(U251:W251)&lt;&gt;1),"Error: Complexity % distribution should sum to 100%.",
IF(AND(P251=AS_DEV_EFFORT,X251&lt;&gt;0),"Error: PDs should not be defined when defining as dev effort %.",
IF(AND(P251=AS_DURATION_EFFORT,X251&lt;&gt;0),"Error: PDs should not be defined when defining as duration effort %.","")))))</f>
        <v/>
      </c>
    </row>
    <row r="252" spans="1:30" ht="15.5" outlineLevel="2" x14ac:dyDescent="0.35">
      <c r="A252" s="86" t="s">
        <v>0</v>
      </c>
      <c r="B252" s="18"/>
      <c r="C252" s="78"/>
      <c r="D252" s="78"/>
      <c r="E252" s="78"/>
      <c r="F252" s="79"/>
      <c r="G252" s="19" t="s">
        <v>23</v>
      </c>
      <c r="H252" s="19" t="s">
        <v>23</v>
      </c>
      <c r="I252" s="20" t="s">
        <v>23</v>
      </c>
      <c r="J252" s="19" t="s">
        <v>23</v>
      </c>
      <c r="K252" s="35"/>
      <c r="L252" s="19"/>
      <c r="M252" s="263">
        <f ca="1">IFERROR(OFFSET(M252,-1,,1,1)+0.1,OFFSET(M252,-1,-1,1,1)&amp;".1")</f>
        <v>17.3</v>
      </c>
      <c r="N252" s="20" t="s">
        <v>1077</v>
      </c>
      <c r="O252" s="20"/>
      <c r="P252" s="20"/>
      <c r="Q252" s="134"/>
      <c r="R252" s="127"/>
      <c r="S252" s="157">
        <f>CEILING((IF(J252="Yes", 0, IF(H252="-",AA252,AA252+AA252*VLOOKUP(H252,BUFFERS_BY_TYPE,2,FALSE)))) +
   (IF(J252="Yes", 0, IF(H252="-",AA252,AA252+AA252*VLOOKUP(H252,BUFFERS_BY_TYPE,2,FALSE))))*VLOOKUP($S$5, SALES_CALL_SCALE_ARRAY, 2,FALSE),0.25)</f>
        <v>2.5</v>
      </c>
      <c r="T252" s="158"/>
      <c r="U252" s="21">
        <v>0</v>
      </c>
      <c r="V252" s="21">
        <v>1</v>
      </c>
      <c r="W252" s="21">
        <v>0</v>
      </c>
      <c r="X252" s="156">
        <v>2.5</v>
      </c>
      <c r="Y252" s="157">
        <f>CEILING((IF(P252=AS_DEV_EFFORT, DEV_EFFORT*Q252%,
                           IF(P252=AS_DURATION_EFFORT, (MANUAL_DURATION*5)*Q252%,
                                    (IF(Q252&lt;=1,X252,
                                          IF(SUM(U252:W252)=0,(Q252*X252),
                                               (((Q252*U252)*(X252+(X252*EXTRA_FOR_H)))+
                                               ((Q252*V252)*X252)+
                                               ((Q252*W252)*(X252-(X252*LESS_FOR_L)))
                                    )*IF(R252=0,1,R252))))))+Z252), 0.25)</f>
        <v>2.5</v>
      </c>
      <c r="Z252" s="22"/>
      <c r="AA252" s="157">
        <f>Y252+Y252*VLOOKUP(I252,EXTRAS_ARRAY,2,FALSE)</f>
        <v>2.5</v>
      </c>
      <c r="AB252" s="20"/>
      <c r="AC252" s="34"/>
      <c r="AD252" s="23" t="str">
        <f>IF(J252&lt;&gt;"Yes",
IF(S252&lt;=0,"Error: Effort value is not defined or is invalid.",
IF(AND(SUM(U252:W252)&gt;0,SUM(U252:W252)&lt;&gt;1),"Error: Complexity % distribution should sum to 100%.",
IF(AND(P252=AS_DEV_EFFORT,X252&lt;&gt;0),"Error: PDs should not be defined when defining as dev effort %.",
IF(AND(P252=AS_DURATION_EFFORT,X252&lt;&gt;0),"Error: PDs should not be defined when defining as duration effort %.","")))))</f>
        <v/>
      </c>
    </row>
    <row r="253" spans="1:30" ht="15.5" outlineLevel="2" x14ac:dyDescent="0.35">
      <c r="A253" s="86" t="s">
        <v>0</v>
      </c>
      <c r="B253" s="18"/>
      <c r="C253" s="78"/>
      <c r="D253" s="78"/>
      <c r="E253" s="78"/>
      <c r="F253" s="79"/>
      <c r="G253" s="19" t="s">
        <v>23</v>
      </c>
      <c r="H253" s="19" t="s">
        <v>23</v>
      </c>
      <c r="I253" s="20" t="s">
        <v>23</v>
      </c>
      <c r="J253" s="19" t="s">
        <v>23</v>
      </c>
      <c r="K253" s="35"/>
      <c r="L253" s="19"/>
      <c r="M253" s="263">
        <f ca="1">IFERROR(OFFSET(M253,-1,,1,1)+0.1,OFFSET(M253,-1,-1,1,1)&amp;".1")</f>
        <v>17.4</v>
      </c>
      <c r="N253" s="20" t="s">
        <v>1078</v>
      </c>
      <c r="O253" s="20"/>
      <c r="P253" s="20"/>
      <c r="Q253" s="134"/>
      <c r="R253" s="127"/>
      <c r="S253" s="157">
        <f>CEILING((IF(J253="Yes", 0, IF(H253="-",AA253,AA253+AA253*VLOOKUP(H253,BUFFERS_BY_TYPE,2,FALSE)))) +
   (IF(J253="Yes", 0, IF(H253="-",AA253,AA253+AA253*VLOOKUP(H253,BUFFERS_BY_TYPE,2,FALSE))))*VLOOKUP($S$5, SALES_CALL_SCALE_ARRAY, 2,FALSE),0.25)</f>
        <v>2</v>
      </c>
      <c r="T253" s="158"/>
      <c r="U253" s="21">
        <v>0</v>
      </c>
      <c r="V253" s="21">
        <v>1</v>
      </c>
      <c r="W253" s="21">
        <v>0</v>
      </c>
      <c r="X253" s="156">
        <v>2</v>
      </c>
      <c r="Y253" s="157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2</v>
      </c>
      <c r="Z253" s="22"/>
      <c r="AA253" s="157">
        <f>Y253+Y253*VLOOKUP(I253,EXTRAS_ARRAY,2,FALSE)</f>
        <v>2</v>
      </c>
      <c r="AB253" s="20"/>
      <c r="AC253" s="34"/>
      <c r="AD253" s="23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ht="15.5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>
        <f ca="1">IFERROR(OFFSET(M254,-1,,1,1)+0.1,OFFSET(M254,-1,-1,1,1)&amp;".1")</f>
        <v>17.5</v>
      </c>
      <c r="N254" s="20" t="s">
        <v>1079</v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1.5</v>
      </c>
      <c r="T254" s="158"/>
      <c r="U254" s="21">
        <v>0</v>
      </c>
      <c r="V254" s="21">
        <v>1</v>
      </c>
      <c r="W254" s="21">
        <v>0</v>
      </c>
      <c r="X254" s="156">
        <v>1.5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1.5</v>
      </c>
      <c r="Z254" s="22"/>
      <c r="AA254" s="157">
        <f>Y254+Y254*VLOOKUP(I254,EXTRAS_ARRAY,2,FALSE)</f>
        <v>1.5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ht="58" outlineLevel="2" x14ac:dyDescent="0.35">
      <c r="A255" s="86" t="s">
        <v>0</v>
      </c>
      <c r="B255" s="18"/>
      <c r="C255" s="78"/>
      <c r="D255" s="78"/>
      <c r="E255" s="78"/>
      <c r="F255" s="79"/>
      <c r="G255" s="19" t="s">
        <v>23</v>
      </c>
      <c r="H255" s="19" t="s">
        <v>23</v>
      </c>
      <c r="I255" s="20" t="s">
        <v>23</v>
      </c>
      <c r="J255" s="19" t="s">
        <v>23</v>
      </c>
      <c r="K255" s="35"/>
      <c r="L255" s="19"/>
      <c r="M255" s="263">
        <f ca="1">IFERROR(OFFSET(M255,-1,,1,1)+0.1,OFFSET(M255,-1,-1,1,1)&amp;".1")</f>
        <v>17.6</v>
      </c>
      <c r="N255" s="20" t="inlineStr">
        <is>
          <t xml:space="preserve">ISO ClaimSearch adapter: query and report at first notice of loss; matches as a rule input; rental invoices scored</t>
        </is>
      </c>
      <c r="O255" s="20"/>
      <c r="P255" s="20"/>
      <c r="Q255" s="134"/>
      <c r="R255" s="127"/>
      <c r="S255" s="157">
        <f>CEILING((IF(J255="Yes", 0, IF(H255="-",AA255,AA255+AA255*VLOOKUP(H255,BUFFERS_BY_TYPE,2,FALSE)))) +
   (IF(J255="Yes", 0, IF(H255="-",AA255,AA255+AA255*VLOOKUP(H255,BUFFERS_BY_TYPE,2,FALSE))))*VLOOKUP($S$5, SALES_CALL_SCALE_ARRAY, 2,FALSE),0.25)</f>
        <v>4</v>
      </c>
      <c r="T255" s="158"/>
      <c r="U255" s="21">
        <v>0</v>
      </c>
      <c r="V255" s="21">
        <v>1</v>
      </c>
      <c r="W255" s="21">
        <v>0</v>
      </c>
      <c r="X255" s="156">
        <v>4</v>
      </c>
      <c r="Y255" s="157">
        <f>CEILING((IF(P255=AS_DEV_EFFORT, DEV_EFFORT*Q255%,
                           IF(P255=AS_DURATION_EFFORT, (MANUAL_DURATION*5)*Q255%,
                                    (IF(Q255&lt;=1,X255,
                                          IF(SUM(U255:W255)=0,(Q255*X255),
                                               (((Q255*U255)*(X255+(X255*EXTRA_FOR_H)))+
                                               ((Q255*V255)*X255)+
                                               ((Q255*W255)*(X255-(X255*LESS_FOR_L)))
                                    )*IF(R255=0,1,R255))))))+Z255), 0.25)</f>
        <v>4</v>
      </c>
      <c r="Z255" s="22"/>
      <c r="AA255" s="157">
        <f>Y255+Y255*VLOOKUP(I255,EXTRAS_ARRAY,2,FALSE)</f>
        <v>4</v>
      </c>
      <c r="AB255" s="20" t="inlineStr">
        <is>
          <t xml:space="preserve">YCompany holds the membership (SAD Assumption 21)</t>
        </is>
      </c>
      <c r="AC255" s="34"/>
      <c r="AD255" s="23" t="str">
        <f>IF(J255&lt;&gt;"Yes",
IF(S255&lt;=0,"Error: Effort value is not defined or is invalid.",
IF(AND(SUM(U255:W255)&gt;0,SUM(U255:W255)&lt;&gt;1),"Error: Complexity % distribution should sum to 100%.",
IF(AND(P255=AS_DEV_EFFORT,X255&lt;&gt;0),"Error: PDs should not be defined when defining as dev effort %.",
IF(AND(P255=AS_DURATION_EFFORT,X255&lt;&gt;0),"Error: PDs should not be defined when defining as duration effort %.","")))))</f>
        <v/>
      </c>
    </row>
    <row r="256" spans="1:30" s="9" customFormat="1" ht="7.5" customHeight="1" outlineLevel="2" x14ac:dyDescent="0.35">
      <c r="A256" s="86" t="s">
        <v>132</v>
      </c>
      <c r="B256" s="15"/>
      <c r="C256" s="72"/>
      <c r="D256" s="72"/>
      <c r="E256" s="72"/>
      <c r="F256" s="72"/>
      <c r="M256" s="252"/>
      <c r="T256" s="15"/>
      <c r="X256" s="15"/>
      <c r="AB256" s="10"/>
      <c r="AC256" s="10"/>
      <c r="AD256" s="10"/>
    </row>
    <row r="257" spans="1:30" s="14" customFormat="1" ht="43.5" outlineLevel="1" x14ac:dyDescent="0.35">
      <c r="A257" s="86" t="s">
        <v>100</v>
      </c>
      <c r="B257" s="18"/>
      <c r="C257" s="77"/>
      <c r="D257" s="77"/>
      <c r="E257" s="77"/>
      <c r="F257" s="76"/>
      <c r="G257" s="29"/>
      <c r="H257" s="29"/>
      <c r="I257" s="29"/>
      <c r="J257" s="29"/>
      <c r="K257" s="29"/>
      <c r="L257" s="17">
        <f ca="1">LOOKUP(1000,INDIRECT("L1:"&amp;CELL("address",INDIRECT("R[-1]C",FALSE))))+1</f>
        <v>18</v>
      </c>
      <c r="M257" s="296" t="s">
        <v>1241</v>
      </c>
      <c r="N257" s="296"/>
      <c r="O257" s="5"/>
      <c r="P257" s="30"/>
      <c r="Q257" s="30"/>
      <c r="R257" s="30"/>
      <c r="S257" s="30"/>
      <c r="T257" s="155">
        <f>IF($S$6="Exclude", SUMIFS(S258:S265, J258:J265, "&lt;&gt;Yes", G258:G265, "&lt;&gt;Yes"), SUMIFS(S258:S265, J258:J265, "&lt;&gt;Yes"))</f>
        <v>14</v>
      </c>
      <c r="U257" s="30"/>
      <c r="V257" s="30"/>
      <c r="W257" s="30"/>
      <c r="X257" s="31"/>
      <c r="Y257" s="32"/>
      <c r="Z257" s="32"/>
      <c r="AA257" s="32"/>
      <c r="AB257" s="219" t="s">
        <v>1242</v>
      </c>
      <c r="AC257" s="33"/>
      <c r="AD257" s="23" t="str">
        <f>IF(M257="", "Error: Task name cannot be empty.", "")</f>
        <v/>
      </c>
    </row>
    <row r="258" spans="1:30" s="12" customFormat="1" ht="1.5" customHeight="1" outlineLevel="2" x14ac:dyDescent="0.35">
      <c r="A258" s="86" t="s">
        <v>101</v>
      </c>
      <c r="B258" s="18"/>
      <c r="C258" s="77"/>
      <c r="D258" s="77"/>
      <c r="E258" s="77"/>
      <c r="F258" s="76"/>
      <c r="G258" s="29"/>
      <c r="H258" s="29"/>
      <c r="I258" s="29"/>
      <c r="J258" s="29"/>
      <c r="K258" s="29"/>
      <c r="L258" s="163">
        <f ca="1">L257</f>
        <v>18</v>
      </c>
      <c r="M258" s="164" t="s">
        <v>105</v>
      </c>
      <c r="N258" s="161"/>
      <c r="O258" s="162"/>
      <c r="P258" s="30"/>
      <c r="Q258" s="30"/>
      <c r="R258" s="30"/>
      <c r="S258" s="30"/>
      <c r="T258" s="155"/>
      <c r="U258" s="30"/>
      <c r="V258" s="30"/>
      <c r="W258" s="30"/>
      <c r="X258" s="31"/>
      <c r="Y258" s="32"/>
      <c r="Z258" s="32"/>
      <c r="AA258" s="32"/>
      <c r="AB258" s="33"/>
      <c r="AC258" s="33"/>
      <c r="AD258" s="23"/>
    </row>
    <row r="259" spans="1:30" ht="43.5" outlineLevel="2" x14ac:dyDescent="0.35">
      <c r="A259" s="86" t="s">
        <v>0</v>
      </c>
      <c r="B259" s="18"/>
      <c r="C259" s="78"/>
      <c r="D259" s="78"/>
      <c r="E259" s="78"/>
      <c r="F259" s="79"/>
      <c r="G259" s="19" t="s">
        <v>23</v>
      </c>
      <c r="H259" s="19" t="s">
        <v>23</v>
      </c>
      <c r="I259" s="20" t="s">
        <v>23</v>
      </c>
      <c r="J259" s="19" t="s">
        <v>23</v>
      </c>
      <c r="K259" s="35"/>
      <c r="L259" s="19"/>
      <c r="M259" s="263" t="str">
        <f ca="1">IFERROR(OFFSET(M259,-1,,1,1)+0.1,OFFSET(M259,-1,-1,1,1)&amp;".1")</f>
        <v>18.1</v>
      </c>
      <c r="N259" s="20" t="s">
        <v>1243</v>
      </c>
      <c r="O259" s="20"/>
      <c r="P259" s="20"/>
      <c r="Q259" s="134"/>
      <c r="R259" s="127"/>
      <c r="S259" s="157">
        <f>CEILING((IF(J259="Yes", 0, IF(H259="-",AA259,AA259+AA259*VLOOKUP(H259,BUFFERS_BY_TYPE,2,FALSE)))) +
   (IF(J259="Yes", 0, IF(H259="-",AA259,AA259+AA259*VLOOKUP(H259,BUFFERS_BY_TYPE,2,FALSE))))*VLOOKUP($S$5, SALES_CALL_SCALE_ARRAY, 2,FALSE),0.25)</f>
        <v>2.5</v>
      </c>
      <c r="T259" s="158"/>
      <c r="U259" s="21">
        <v>0</v>
      </c>
      <c r="V259" s="21">
        <v>1</v>
      </c>
      <c r="W259" s="21">
        <v>0</v>
      </c>
      <c r="X259" s="156">
        <v>2.5</v>
      </c>
      <c r="Y259" s="157">
        <f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2.5</v>
      </c>
      <c r="Z259" s="22"/>
      <c r="AA259" s="157">
        <f>Y259+Y259*VLOOKUP(I259,EXTRAS_ARRAY,2,FALSE)</f>
        <v>2.5</v>
      </c>
      <c r="AB259" s="20"/>
      <c r="AC259" s="34"/>
      <c r="AD259" s="23" t="str">
        <f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43.5" outlineLevel="2" x14ac:dyDescent="0.35">
      <c r="A260" s="86" t="s">
        <v>0</v>
      </c>
      <c r="B260" s="18"/>
      <c r="C260" s="78"/>
      <c r="D260" s="78"/>
      <c r="E260" s="78"/>
      <c r="F260" s="79"/>
      <c r="G260" s="19" t="s">
        <v>23</v>
      </c>
      <c r="H260" s="19" t="s">
        <v>23</v>
      </c>
      <c r="I260" s="20" t="s">
        <v>23</v>
      </c>
      <c r="J260" s="19" t="s">
        <v>23</v>
      </c>
      <c r="K260" s="35"/>
      <c r="L260" s="19"/>
      <c r="M260" s="263">
        <f ca="1">IFERROR(OFFSET(M260,-1,,1,1)+0.1,OFFSET(M260,-1,-1,1,1)&amp;".1")</f>
        <v>18.2</v>
      </c>
      <c r="N260" s="20" t="s">
        <v>1244</v>
      </c>
      <c r="O260" s="20"/>
      <c r="P260" s="20"/>
      <c r="Q260" s="134"/>
      <c r="R260" s="127"/>
      <c r="S260" s="157">
        <f>CEILING((IF(J260="Yes", 0, IF(H260="-",AA260,AA260+AA260*VLOOKUP(H260,BUFFERS_BY_TYPE,2,FALSE)))) +
   (IF(J260="Yes", 0, IF(H260="-",AA260,AA260+AA260*VLOOKUP(H260,BUFFERS_BY_TYPE,2,FALSE))))*VLOOKUP($S$5, SALES_CALL_SCALE_ARRAY, 2,FALSE),0.25)</f>
        <v>3</v>
      </c>
      <c r="T260" s="158"/>
      <c r="U260" s="21">
        <v>0</v>
      </c>
      <c r="V260" s="21">
        <v>1</v>
      </c>
      <c r="W260" s="21">
        <v>0</v>
      </c>
      <c r="X260" s="156">
        <v>3</v>
      </c>
      <c r="Y260" s="157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3</v>
      </c>
      <c r="Z260" s="22"/>
      <c r="AA260" s="157">
        <f>Y260+Y260*VLOOKUP(I260,EXTRAS_ARRAY,2,FALSE)</f>
        <v>3</v>
      </c>
      <c r="AB260" s="20"/>
      <c r="AC260" s="34"/>
      <c r="AD260" s="23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ht="43.5" outlineLevel="2" x14ac:dyDescent="0.35">
      <c r="A261" s="86" t="s">
        <v>0</v>
      </c>
      <c r="B261" s="18"/>
      <c r="C261" s="78"/>
      <c r="D261" s="78"/>
      <c r="E261" s="78"/>
      <c r="F261" s="79"/>
      <c r="G261" s="19" t="s">
        <v>23</v>
      </c>
      <c r="H261" s="19" t="s">
        <v>23</v>
      </c>
      <c r="I261" s="20" t="s">
        <v>23</v>
      </c>
      <c r="J261" s="19" t="s">
        <v>23</v>
      </c>
      <c r="K261" s="35"/>
      <c r="L261" s="19"/>
      <c r="M261" s="263">
        <f ca="1">IFERROR(OFFSET(M261,-1,,1,1)+0.1,OFFSET(M261,-1,-1,1,1)&amp;".1")</f>
        <v>18.3</v>
      </c>
      <c r="N261" s="20" t="s">
        <v>1245</v>
      </c>
      <c r="O261" s="20"/>
      <c r="P261" s="20"/>
      <c r="Q261" s="134"/>
      <c r="R261" s="127"/>
      <c r="S261" s="157">
        <f>CEILING((IF(J261="Yes", 0, IF(H261="-",AA261,AA261+AA261*VLOOKUP(H261,BUFFERS_BY_TYPE,2,FALSE)))) +
   (IF(J261="Yes", 0, IF(H261="-",AA261,AA261+AA261*VLOOKUP(H261,BUFFERS_BY_TYPE,2,FALSE))))*VLOOKUP($S$5, SALES_CALL_SCALE_ARRAY, 2,FALSE),0.25)</f>
        <v>2.5</v>
      </c>
      <c r="T261" s="158"/>
      <c r="U261" s="21">
        <v>0</v>
      </c>
      <c r="V261" s="21">
        <v>1</v>
      </c>
      <c r="W261" s="21">
        <v>0</v>
      </c>
      <c r="X261" s="156">
        <v>2.5</v>
      </c>
      <c r="Y261" s="157">
        <f>CEILING((IF(P261=AS_DEV_EFFORT, DEV_EFFORT*Q261%,
                           IF(P261=AS_DURATION_EFFORT, (MANUAL_DURATION*5)*Q261%,
                                    (IF(Q261&lt;=1,X261,
                                          IF(SUM(U261:W261)=0,(Q261*X261),
                                               (((Q261*U261)*(X261+(X261*EXTRA_FOR_H)))+
                                               ((Q261*V261)*X261)+
                                               ((Q261*W261)*(X261-(X261*LESS_FOR_L)))
                                    )*IF(R261=0,1,R261))))))+Z261), 0.25)</f>
        <v>2.5</v>
      </c>
      <c r="Z261" s="22"/>
      <c r="AA261" s="157">
        <f>Y261+Y261*VLOOKUP(I261,EXTRAS_ARRAY,2,FALSE)</f>
        <v>2.5</v>
      </c>
      <c r="AB261" s="20"/>
      <c r="AC261" s="34"/>
      <c r="AD261" s="23" t="str">
        <f>IF(J261&lt;&gt;"Yes",
IF(S261&lt;=0,"Error: Effort value is not defined or is invalid.",
IF(AND(SUM(U261:W261)&gt;0,SUM(U261:W261)&lt;&gt;1),"Error: Complexity % distribution should sum to 100%.",
IF(AND(P261=AS_DEV_EFFORT,X261&lt;&gt;0),"Error: PDs should not be defined when defining as dev effort %.",
IF(AND(P261=AS_DURATION_EFFORT,X261&lt;&gt;0),"Error: PDs should not be defined when defining as duration effort %.","")))))</f>
        <v/>
      </c>
    </row>
    <row r="262" spans="1:30" ht="58" outlineLevel="2" x14ac:dyDescent="0.35">
      <c r="A262" s="86" t="s">
        <v>0</v>
      </c>
      <c r="B262" s="18"/>
      <c r="C262" s="78"/>
      <c r="D262" s="78"/>
      <c r="E262" s="78"/>
      <c r="F262" s="79"/>
      <c r="G262" s="19" t="s">
        <v>23</v>
      </c>
      <c r="H262" s="19" t="s">
        <v>23</v>
      </c>
      <c r="I262" s="20" t="s">
        <v>23</v>
      </c>
      <c r="J262" s="19" t="s">
        <v>23</v>
      </c>
      <c r="K262" s="35"/>
      <c r="L262" s="19"/>
      <c r="M262" s="263">
        <f ca="1">IFERROR(OFFSET(M262,-1,,1,1)+0.1,OFFSET(M262,-1,-1,1,1)&amp;".1")</f>
        <v>18.4</v>
      </c>
      <c r="N262" s="20" t="s">
        <v>1246</v>
      </c>
      <c r="O262" s="20"/>
      <c r="P262" s="20"/>
      <c r="Q262" s="134"/>
      <c r="R262" s="127"/>
      <c r="S262" s="157">
        <f>CEILING((IF(J262="Yes", 0, IF(H262="-",AA262,AA262+AA262*VLOOKUP(H262,BUFFERS_BY_TYPE,2,FALSE)))) +
   (IF(J262="Yes", 0, IF(H262="-",AA262,AA262+AA262*VLOOKUP(H262,BUFFERS_BY_TYPE,2,FALSE))))*VLOOKUP($S$5, SALES_CALL_SCALE_ARRAY, 2,FALSE),0.25)</f>
        <v>3</v>
      </c>
      <c r="T262" s="158"/>
      <c r="U262" s="21">
        <v>0</v>
      </c>
      <c r="V262" s="21">
        <v>1</v>
      </c>
      <c r="W262" s="21">
        <v>0</v>
      </c>
      <c r="X262" s="156">
        <v>3</v>
      </c>
      <c r="Y262" s="157">
        <f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3</v>
      </c>
      <c r="Z262" s="22"/>
      <c r="AA262" s="157">
        <f>Y262+Y262*VLOOKUP(I262,EXTRAS_ARRAY,2,FALSE)</f>
        <v>3</v>
      </c>
      <c r="AB262" s="20"/>
      <c r="AC262" s="34"/>
      <c r="AD262" s="23" t="str">
        <f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ht="15.5" outlineLevel="2" x14ac:dyDescent="0.35">
      <c r="A263" s="86" t="s">
        <v>0</v>
      </c>
      <c r="B263" s="18"/>
      <c r="C263" s="78"/>
      <c r="D263" s="78"/>
      <c r="E263" s="78"/>
      <c r="F263" s="79"/>
      <c r="G263" s="19" t="s">
        <v>23</v>
      </c>
      <c r="H263" s="19" t="s">
        <v>23</v>
      </c>
      <c r="I263" s="20" t="s">
        <v>23</v>
      </c>
      <c r="J263" s="19" t="s">
        <v>23</v>
      </c>
      <c r="K263" s="35"/>
      <c r="L263" s="19"/>
      <c r="M263" s="263">
        <f ca="1">IFERROR(OFFSET(M263,-1,,1,1)+0.1,OFFSET(M263,-1,-1,1,1)&amp;".1")</f>
        <v>18.5</v>
      </c>
      <c r="N263" s="20" t="s">
        <v>1247</v>
      </c>
      <c r="O263" s="20"/>
      <c r="P263" s="20"/>
      <c r="Q263" s="134"/>
      <c r="R263" s="127"/>
      <c r="S263" s="157">
        <f>CEILING((IF(J263="Yes", 0, IF(H263="-",AA263,AA263+AA263*VLOOKUP(H263,BUFFERS_BY_TYPE,2,FALSE)))) +
   (IF(J263="Yes", 0, IF(H263="-",AA263,AA263+AA263*VLOOKUP(H263,BUFFERS_BY_TYPE,2,FALSE))))*VLOOKUP($S$5, SALES_CALL_SCALE_ARRAY, 2,FALSE),0.25)</f>
        <v>2</v>
      </c>
      <c r="T263" s="158"/>
      <c r="U263" s="21">
        <v>0</v>
      </c>
      <c r="V263" s="21">
        <v>1</v>
      </c>
      <c r="W263" s="21">
        <v>0</v>
      </c>
      <c r="X263" s="156">
        <v>2</v>
      </c>
      <c r="Y263" s="157">
        <f>CEILING((IF(P263=AS_DEV_EFFORT, DEV_EFFORT*Q263%,
                           IF(P263=AS_DURATION_EFFORT, (MANUAL_DURATION*5)*Q263%,
                                    (IF(Q263&lt;=1,X263,
                                          IF(SUM(U263:W263)=0,(Q263*X263),
                                               (((Q263*U263)*(X263+(X263*EXTRA_FOR_H)))+
                                               ((Q263*V263)*X263)+
                                               ((Q263*W263)*(X263-(X263*LESS_FOR_L)))
                                    )*IF(R263=0,1,R263))))))+Z263), 0.25)</f>
        <v>2</v>
      </c>
      <c r="Z263" s="22"/>
      <c r="AA263" s="157">
        <f>Y263+Y263*VLOOKUP(I263,EXTRAS_ARRAY,2,FALSE)</f>
        <v>2</v>
      </c>
      <c r="AB263" s="20"/>
      <c r="AC263" s="34"/>
      <c r="AD263" s="23" t="str">
        <f>IF(J263&lt;&gt;"Yes",
IF(S263&lt;=0,"Error: Effort value is not defined or is invalid.",
IF(AND(SUM(U263:W263)&gt;0,SUM(U263:W263)&lt;&gt;1),"Error: Complexity % distribution should sum to 100%.",
IF(AND(P263=AS_DEV_EFFORT,X263&lt;&gt;0),"Error: PDs should not be defined when defining as dev effort %.",
IF(AND(P263=AS_DURATION_EFFORT,X263&lt;&gt;0),"Error: PDs should not be defined when defining as duration effort %.","")))))</f>
        <v/>
      </c>
    </row>
    <row r="264" spans="1:30" ht="58" outlineLevel="2" x14ac:dyDescent="0.35">
      <c r="A264" s="86" t="s">
        <v>0</v>
      </c>
      <c r="B264" s="18"/>
      <c r="C264" s="78"/>
      <c r="D264" s="78"/>
      <c r="E264" s="78"/>
      <c r="F264" s="79"/>
      <c r="G264" s="19" t="s">
        <v>23</v>
      </c>
      <c r="H264" s="19" t="s">
        <v>23</v>
      </c>
      <c r="I264" s="20" t="s">
        <v>23</v>
      </c>
      <c r="J264" s="19" t="s">
        <v>23</v>
      </c>
      <c r="K264" s="35"/>
      <c r="L264" s="19"/>
      <c r="M264" s="263">
        <f ca="1">IFERROR(OFFSET(M264,-1,,1,1)+0.1,OFFSET(M264,-1,-1,1,1)&amp;".1")</f>
        <v>18.6</v>
      </c>
      <c r="N264" s="20" t="inlineStr">
        <is>
          <t xml:space="preserve">Vehicle received and handed-back milestones (VehicleReceived, VehicleDelivered)</t>
        </is>
      </c>
      <c r="O264" s="20"/>
      <c r="P264" s="20"/>
      <c r="Q264" s="134"/>
      <c r="R264" s="127"/>
      <c r="S264" s="157">
        <f>CEILING((IF(J264="Yes", 0, IF(H264="-",AA264,AA264+AA264*VLOOKUP(H264,BUFFERS_BY_TYPE,2,FALSE)))) +
   (IF(J264="Yes", 0, IF(H264="-",AA264,AA264+AA264*VLOOKUP(H264,BUFFERS_BY_TYPE,2,FALSE))))*VLOOKUP($S$5, SALES_CALL_SCALE_ARRAY, 2,FALSE),0.25)</f>
        <v>1</v>
      </c>
      <c r="T264" s="158"/>
      <c r="U264" s="21">
        <v>0</v>
      </c>
      <c r="V264" s="21">
        <v>1</v>
      </c>
      <c r="W264" s="21">
        <v>0</v>
      </c>
      <c r="X264" s="156">
        <v>1</v>
      </c>
      <c r="Y264" s="157">
        <f>CEILING((IF(P264=AS_DEV_EFFORT, DEV_EFFORT*Q264%,
                           IF(P264=AS_DURATION_EFFORT, (MANUAL_DURATION*5)*Q264%,
                                    (IF(Q264&lt;=1,X264,
                                          IF(SUM(U264:W264)=0,(Q264*X264),
                                               (((Q264*U264)*(X264+(X264*EXTRA_FOR_H)))+
                                               ((Q264*V264)*X264)+
                                               ((Q264*W264)*(X264-(X264*LESS_FOR_L)))
                                    )*IF(R264=0,1,R264))))))+Z264), 0.25)</f>
        <v>1</v>
      </c>
      <c r="Z264" s="22"/>
      <c r="AA264" s="157">
        <f>Y264+Y264*VLOOKUP(I264,EXTRAS_ARRAY,2,FALSE)</f>
        <v>1</v>
      </c>
      <c r="AB264" s="20"/>
      <c r="AC264" s="34"/>
      <c r="AD264" s="23" t="str">
        <f>IF(J264&lt;&gt;"Yes",
IF(S264&lt;=0,"Error: Effort value is not defined or is invalid.",
IF(AND(SUM(U264:W264)&gt;0,SUM(U264:W264)&lt;&gt;1),"Error: Complexity % distribution should sum to 100%.",
IF(AND(P264=AS_DEV_EFFORT,X264&lt;&gt;0),"Error: PDs should not be defined when defining as dev effort %.",
IF(AND(P264=AS_DURATION_EFFORT,X264&lt;&gt;0),"Error: PDs should not be defined when defining as duration effort %.","")))))</f>
        <v/>
      </c>
    </row>
    <row r="265" spans="1:30" s="9" customFormat="1" ht="7.5" customHeight="1" outlineLevel="2" x14ac:dyDescent="0.35">
      <c r="A265" s="86" t="s">
        <v>132</v>
      </c>
      <c r="B265" s="15"/>
      <c r="C265" s="72"/>
      <c r="D265" s="72"/>
      <c r="E265" s="72"/>
      <c r="F265" s="72"/>
      <c r="M265" s="252"/>
      <c r="T265" s="15"/>
      <c r="X265" s="15"/>
      <c r="AB265" s="10"/>
      <c r="AC265" s="10"/>
      <c r="AD265" s="10"/>
    </row>
    <row r="266" spans="1:30" s="14" customFormat="1" ht="29" outlineLevel="1" x14ac:dyDescent="0.35">
      <c r="A266" s="86" t="s">
        <v>100</v>
      </c>
      <c r="B266" s="18"/>
      <c r="C266" s="77"/>
      <c r="D266" s="77"/>
      <c r="E266" s="77"/>
      <c r="F266" s="76"/>
      <c r="G266" s="29"/>
      <c r="H266" s="29"/>
      <c r="I266" s="29"/>
      <c r="J266" s="29"/>
      <c r="K266" s="29"/>
      <c r="L266" s="17">
        <f ca="1">LOOKUP(1000,INDIRECT("L1:"&amp;CELL("address",INDIRECT("R[-1]C",FALSE))))+1</f>
        <v>19</v>
      </c>
      <c r="M266" s="296" t="s">
        <v>1248</v>
      </c>
      <c r="N266" s="296"/>
      <c r="O266" s="5"/>
      <c r="P266" s="30"/>
      <c r="Q266" s="30"/>
      <c r="R266" s="30"/>
      <c r="S266" s="30"/>
      <c r="T266" s="155">
        <f>IF($S$6="Exclude", SUMIFS(S267:S273, J267:J273, "&lt;&gt;Yes", G267:G273, "&lt;&gt;Yes"), SUMIFS(S267:S273, J267:J273, "&lt;&gt;Yes"))</f>
        <v>12.5</v>
      </c>
      <c r="U266" s="30"/>
      <c r="V266" s="30"/>
      <c r="W266" s="30"/>
      <c r="X266" s="31"/>
      <c r="Y266" s="32"/>
      <c r="Z266" s="32"/>
      <c r="AA266" s="32"/>
      <c r="AB266" s="219" t="s">
        <v>1249</v>
      </c>
      <c r="AC266" s="33"/>
      <c r="AD266" s="23" t="str">
        <f>IF(M266="", "Error: Task name cannot be empty.", "")</f>
        <v/>
      </c>
    </row>
    <row r="267" spans="1:30" s="12" customFormat="1" ht="1.5" customHeight="1" outlineLevel="2" x14ac:dyDescent="0.35">
      <c r="A267" s="86" t="s">
        <v>101</v>
      </c>
      <c r="B267" s="18"/>
      <c r="C267" s="77"/>
      <c r="D267" s="77"/>
      <c r="E267" s="77"/>
      <c r="F267" s="76"/>
      <c r="G267" s="29"/>
      <c r="H267" s="29"/>
      <c r="I267" s="29"/>
      <c r="J267" s="29"/>
      <c r="K267" s="29"/>
      <c r="L267" s="163">
        <f ca="1">L266</f>
        <v>19</v>
      </c>
      <c r="M267" s="164" t="s">
        <v>105</v>
      </c>
      <c r="N267" s="161"/>
      <c r="O267" s="162"/>
      <c r="P267" s="30"/>
      <c r="Q267" s="30"/>
      <c r="R267" s="30"/>
      <c r="S267" s="30"/>
      <c r="T267" s="155"/>
      <c r="U267" s="30"/>
      <c r="V267" s="30"/>
      <c r="W267" s="30"/>
      <c r="X267" s="31"/>
      <c r="Y267" s="32"/>
      <c r="Z267" s="32"/>
      <c r="AA267" s="32"/>
      <c r="AB267" s="33"/>
      <c r="AC267" s="33"/>
      <c r="AD267" s="23"/>
    </row>
    <row r="268" spans="1:30" ht="43.5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 t="str">
        <f ca="1">IFERROR(OFFSET(M268,-1,,1,1)+0.1,OFFSET(M268,-1,-1,1,1)&amp;".1")</f>
        <v>19.1</v>
      </c>
      <c r="N268" s="20" t="s">
        <v>1250</v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2</v>
      </c>
      <c r="T268" s="158"/>
      <c r="U268" s="21">
        <v>0</v>
      </c>
      <c r="V268" s="21">
        <v>1</v>
      </c>
      <c r="W268" s="21">
        <v>0</v>
      </c>
      <c r="X268" s="156">
        <v>2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2</v>
      </c>
      <c r="Z268" s="22"/>
      <c r="AA268" s="157">
        <f>Y268+Y268*VLOOKUP(I268,EXTRAS_ARRAY,2,FALSE)</f>
        <v>2</v>
      </c>
      <c r="AB268" s="20"/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43.5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19.2</v>
      </c>
      <c r="N269" s="20" t="s">
        <v>1251</v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3</v>
      </c>
      <c r="T269" s="158"/>
      <c r="U269" s="21">
        <v>0</v>
      </c>
      <c r="V269" s="21">
        <v>1</v>
      </c>
      <c r="W269" s="21">
        <v>0</v>
      </c>
      <c r="X269" s="156">
        <v>3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3</v>
      </c>
      <c r="Z269" s="22"/>
      <c r="AA269" s="157">
        <f>Y269+Y269*VLOOKUP(I269,EXTRAS_ARRAY,2,FALSE)</f>
        <v>3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ht="43.5" outlineLevel="2" x14ac:dyDescent="0.35">
      <c r="A270" s="86" t="s">
        <v>0</v>
      </c>
      <c r="B270" s="18"/>
      <c r="C270" s="78"/>
      <c r="D270" s="78"/>
      <c r="E270" s="78"/>
      <c r="F270" s="79"/>
      <c r="G270" s="19" t="s">
        <v>23</v>
      </c>
      <c r="H270" s="19" t="s">
        <v>23</v>
      </c>
      <c r="I270" s="20" t="s">
        <v>23</v>
      </c>
      <c r="J270" s="19" t="s">
        <v>23</v>
      </c>
      <c r="K270" s="35"/>
      <c r="L270" s="19"/>
      <c r="M270" s="263">
        <f ca="1">IFERROR(OFFSET(M270,-1,,1,1)+0.1,OFFSET(M270,-1,-1,1,1)&amp;".1")</f>
        <v>19.3</v>
      </c>
      <c r="N270" s="20" t="s">
        <v>1252</v>
      </c>
      <c r="O270" s="20"/>
      <c r="P270" s="20"/>
      <c r="Q270" s="134"/>
      <c r="R270" s="127"/>
      <c r="S270" s="157">
        <f>CEILING((IF(J270="Yes", 0, IF(H270="-",AA270,AA270+AA270*VLOOKUP(H270,BUFFERS_BY_TYPE,2,FALSE)))) +
   (IF(J270="Yes", 0, IF(H270="-",AA270,AA270+AA270*VLOOKUP(H270,BUFFERS_BY_TYPE,2,FALSE))))*VLOOKUP($S$5, SALES_CALL_SCALE_ARRAY, 2,FALSE),0.25)</f>
        <v>3.5</v>
      </c>
      <c r="T270" s="158"/>
      <c r="U270" s="21">
        <v>0</v>
      </c>
      <c r="V270" s="21">
        <v>1</v>
      </c>
      <c r="W270" s="21">
        <v>0</v>
      </c>
      <c r="X270" s="156">
        <v>3.5</v>
      </c>
      <c r="Y270" s="157">
        <f>CEILING((IF(P270=AS_DEV_EFFORT, DEV_EFFORT*Q270%,
                           IF(P270=AS_DURATION_EFFORT, (MANUAL_DURATION*5)*Q270%,
                                    (IF(Q270&lt;=1,X270,
                                          IF(SUM(U270:W270)=0,(Q270*X270),
                                               (((Q270*U270)*(X270+(X270*EXTRA_FOR_H)))+
                                               ((Q270*V270)*X270)+
                                               ((Q270*W270)*(X270-(X270*LESS_FOR_L)))
                                    )*IF(R270=0,1,R270))))))+Z270), 0.25)</f>
        <v>3.5</v>
      </c>
      <c r="Z270" s="22"/>
      <c r="AA270" s="157">
        <f>Y270+Y270*VLOOKUP(I270,EXTRAS_ARRAY,2,FALSE)</f>
        <v>3.5</v>
      </c>
      <c r="AB270" s="20"/>
      <c r="AC270" s="34"/>
      <c r="AD270" s="23" t="str">
        <f>IF(J270&lt;&gt;"Yes",
IF(S270&lt;=0,"Error: Effort value is not defined or is invalid.",
IF(AND(SUM(U270:W270)&gt;0,SUM(U270:W270)&lt;&gt;1),"Error: Complexity % distribution should sum to 100%.",
IF(AND(P270=AS_DEV_EFFORT,X270&lt;&gt;0),"Error: PDs should not be defined when defining as dev effort %.",
IF(AND(P270=AS_DURATION_EFFORT,X270&lt;&gt;0),"Error: PDs should not be defined when defining as duration effort %.","")))))</f>
        <v/>
      </c>
    </row>
    <row r="271" spans="1:30" ht="15.5" outlineLevel="2" x14ac:dyDescent="0.35">
      <c r="A271" s="86" t="s">
        <v>0</v>
      </c>
      <c r="B271" s="18"/>
      <c r="C271" s="78"/>
      <c r="D271" s="78"/>
      <c r="E271" s="78"/>
      <c r="F271" s="79"/>
      <c r="G271" s="19" t="s">
        <v>23</v>
      </c>
      <c r="H271" s="19" t="s">
        <v>23</v>
      </c>
      <c r="I271" s="20" t="s">
        <v>23</v>
      </c>
      <c r="J271" s="19" t="s">
        <v>23</v>
      </c>
      <c r="K271" s="35"/>
      <c r="L271" s="19"/>
      <c r="M271" s="263">
        <f ca="1">IFERROR(OFFSET(M271,-1,,1,1)+0.1,OFFSET(M271,-1,-1,1,1)&amp;".1")</f>
        <v>19.4</v>
      </c>
      <c r="N271" s="20" t="s">
        <v>1253</v>
      </c>
      <c r="O271" s="20"/>
      <c r="P271" s="20"/>
      <c r="Q271" s="134"/>
      <c r="R271" s="127"/>
      <c r="S271" s="157">
        <f>CEILING((IF(J271="Yes", 0, IF(H271="-",AA271,AA271+AA271*VLOOKUP(H271,BUFFERS_BY_TYPE,2,FALSE)))) +
   (IF(J271="Yes", 0, IF(H271="-",AA271,AA271+AA271*VLOOKUP(H271,BUFFERS_BY_TYPE,2,FALSE))))*VLOOKUP($S$5, SALES_CALL_SCALE_ARRAY, 2,FALSE),0.25)</f>
        <v>1.5</v>
      </c>
      <c r="T271" s="158"/>
      <c r="U271" s="21">
        <v>0</v>
      </c>
      <c r="V271" s="21">
        <v>1</v>
      </c>
      <c r="W271" s="21">
        <v>0</v>
      </c>
      <c r="X271" s="156">
        <v>1.5</v>
      </c>
      <c r="Y271" s="157">
        <f>CEILING((IF(P271=AS_DEV_EFFORT, DEV_EFFORT*Q271%,
                           IF(P271=AS_DURATION_EFFORT, (MANUAL_DURATION*5)*Q271%,
                                    (IF(Q271&lt;=1,X271,
                                          IF(SUM(U271:W271)=0,(Q271*X271),
                                               (((Q271*U271)*(X271+(X271*EXTRA_FOR_H)))+
                                               ((Q271*V271)*X271)+
                                               ((Q271*W271)*(X271-(X271*LESS_FOR_L)))
                                    )*IF(R271=0,1,R271))))))+Z271), 0.25)</f>
        <v>1.5</v>
      </c>
      <c r="Z271" s="22"/>
      <c r="AA271" s="157">
        <f>Y271+Y271*VLOOKUP(I271,EXTRAS_ARRAY,2,FALSE)</f>
        <v>1.5</v>
      </c>
      <c r="AB271" s="20"/>
      <c r="AC271" s="34"/>
      <c r="AD271" s="23" t="str">
        <f>IF(J271&lt;&gt;"Yes",
IF(S271&lt;=0,"Error: Effort value is not defined or is invalid.",
IF(AND(SUM(U271:W271)&gt;0,SUM(U271:W271)&lt;&gt;1),"Error: Complexity % distribution should sum to 100%.",
IF(AND(P271=AS_DEV_EFFORT,X271&lt;&gt;0),"Error: PDs should not be defined when defining as dev effort %.",
IF(AND(P271=AS_DURATION_EFFORT,X271&lt;&gt;0),"Error: PDs should not be defined when defining as duration effort %.","")))))</f>
        <v/>
      </c>
    </row>
    <row r="272" spans="1:30" ht="58" outlineLevel="2" x14ac:dyDescent="0.35">
      <c r="A272" s="86" t="s">
        <v>0</v>
      </c>
      <c r="B272" s="18"/>
      <c r="C272" s="78"/>
      <c r="D272" s="78"/>
      <c r="E272" s="78"/>
      <c r="F272" s="79"/>
      <c r="G272" s="19" t="s">
        <v>23</v>
      </c>
      <c r="H272" s="19" t="s">
        <v>23</v>
      </c>
      <c r="I272" s="20" t="s">
        <v>23</v>
      </c>
      <c r="J272" s="19" t="s">
        <v>23</v>
      </c>
      <c r="K272" s="35"/>
      <c r="L272" s="19"/>
      <c r="M272" s="263">
        <f ca="1">IFERROR(OFFSET(M272,-1,,1,1)+0.1,OFFSET(M272,-1,-1,1,1)&amp;".1")</f>
        <v>19.5</v>
      </c>
      <c r="N272" s="20" t="inlineStr">
        <is>
          <t xml:space="preserve">Rental opened on drop-off, extended with the delivery date, ended on hand-back (RentalChanged); rental invoices (RentalInvoiceSubmitted); external-workshop address (VehicleLocationSet)</t>
        </is>
      </c>
      <c r="O272" s="20"/>
      <c r="P272" s="20"/>
      <c r="Q272" s="134"/>
      <c r="R272" s="127"/>
      <c r="S272" s="157">
        <f>CEILING((IF(J272="Yes", 0, IF(H272="-",AA272,AA272+AA272*VLOOKUP(H272,BUFFERS_BY_TYPE,2,FALSE)))) +
   (IF(J272="Yes", 0, IF(H272="-",AA272,AA272+AA272*VLOOKUP(H272,BUFFERS_BY_TYPE,2,FALSE))))*VLOOKUP($S$5, SALES_CALL_SCALE_ARRAY, 2,FALSE),0.25)</f>
        <v>2.5</v>
      </c>
      <c r="T272" s="158"/>
      <c r="U272" s="21">
        <v>0</v>
      </c>
      <c r="V272" s="21">
        <v>1</v>
      </c>
      <c r="W272" s="21">
        <v>0</v>
      </c>
      <c r="X272" s="156">
        <v>2.5</v>
      </c>
      <c r="Y272" s="157">
        <f>CEILING((IF(P272=AS_DEV_EFFORT, DEV_EFFORT*Q272%,
                           IF(P272=AS_DURATION_EFFORT, (MANUAL_DURATION*5)*Q272%,
                                    (IF(Q272&lt;=1,X272,
                                          IF(SUM(U272:W272)=0,(Q272*X272),
                                               (((Q272*U272)*(X272+(X272*EXTRA_FOR_H)))+
                                               ((Q272*V272)*X272)+
                                               ((Q272*W272)*(X272-(X272*LESS_FOR_L)))
                                    )*IF(R272=0,1,R272))))))+Z272), 0.25)</f>
        <v>2.5</v>
      </c>
      <c r="Z272" s="22"/>
      <c r="AA272" s="157">
        <f>Y272+Y272*VLOOKUP(I272,EXTRAS_ARRAY,2,FALSE)</f>
        <v>2.5</v>
      </c>
      <c r="AB272" s="20"/>
      <c r="AC272" s="34"/>
      <c r="AD272" s="23" t="str">
        <f>IF(J272&lt;&gt;"Yes",
IF(S272&lt;=0,"Error: Effort value is not defined or is invalid.",
IF(AND(SUM(U272:W272)&gt;0,SUM(U272:W272)&lt;&gt;1),"Error: Complexity % distribution should sum to 100%.",
IF(AND(P272=AS_DEV_EFFORT,X272&lt;&gt;0),"Error: PDs should not be defined when defining as dev effort %.",
IF(AND(P272=AS_DURATION_EFFORT,X272&lt;&gt;0),"Error: PDs should not be defined when defining as duration effort %.","")))))</f>
        <v/>
      </c>
    </row>
    <row r="273" spans="1:30" s="9" customFormat="1" ht="7.5" customHeight="1" outlineLevel="2" x14ac:dyDescent="0.35">
      <c r="A273" s="86" t="s">
        <v>132</v>
      </c>
      <c r="B273" s="15"/>
      <c r="C273" s="72"/>
      <c r="D273" s="72"/>
      <c r="E273" s="72"/>
      <c r="F273" s="72"/>
      <c r="M273" s="252"/>
      <c r="T273" s="15"/>
      <c r="X273" s="15"/>
      <c r="AB273" s="10"/>
      <c r="AC273" s="10"/>
      <c r="AD273" s="10"/>
    </row>
    <row r="274" spans="1:30" s="14" customFormat="1" ht="15.5" outlineLevel="1" x14ac:dyDescent="0.35">
      <c r="A274" s="86" t="s">
        <v>107</v>
      </c>
      <c r="B274" s="18"/>
      <c r="C274" s="77"/>
      <c r="D274" s="77"/>
      <c r="E274" s="77"/>
      <c r="F274" s="76"/>
      <c r="G274" s="170"/>
      <c r="H274" s="170"/>
      <c r="I274" s="170"/>
      <c r="J274" s="170"/>
      <c r="K274" s="170"/>
      <c r="L274" s="85" t="s">
        <v>109</v>
      </c>
      <c r="M274" s="297" t="s">
        <v>882</v>
      </c>
      <c r="N274" s="297"/>
      <c r="O274" s="80"/>
      <c r="P274" s="81"/>
      <c r="Q274" s="81"/>
      <c r="R274" s="81"/>
      <c r="S274" s="293">
        <f>SUMGROUP(ROW(), "T")</f>
        <v>106</v>
      </c>
      <c r="T274" s="293"/>
      <c r="U274" s="294"/>
      <c r="V274" s="294"/>
      <c r="W274" s="294"/>
      <c r="X274" s="82"/>
      <c r="Y274" s="83"/>
      <c r="Z274" s="83"/>
      <c r="AA274" s="83"/>
      <c r="AB274" s="221"/>
      <c r="AC274" s="84"/>
      <c r="AD274" s="23" t="str">
        <f>IF(M274="", "Error: Module name cannot be empty.", "")</f>
        <v/>
      </c>
    </row>
    <row r="275" spans="1:30" s="14" customFormat="1" ht="15.5" outlineLevel="1" x14ac:dyDescent="0.35">
      <c r="A275" s="86" t="s">
        <v>100</v>
      </c>
      <c r="B275" s="18"/>
      <c r="C275" s="77"/>
      <c r="D275" s="77"/>
      <c r="E275" s="77"/>
      <c r="F275" s="76"/>
      <c r="G275" s="29"/>
      <c r="H275" s="29"/>
      <c r="I275" s="29"/>
      <c r="J275" s="29"/>
      <c r="K275" s="29"/>
      <c r="L275" s="17">
        <f ca="1">LOOKUP(1000,INDIRECT("L1:"&amp;CELL("address",INDIRECT("R[-1]C",FALSE))))+1</f>
        <v>20</v>
      </c>
      <c r="M275" s="295" t="s">
        <v>1080</v>
      </c>
      <c r="N275" s="296"/>
      <c r="O275" s="5"/>
      <c r="P275" s="30"/>
      <c r="Q275" s="30"/>
      <c r="R275" s="30"/>
      <c r="S275" s="30"/>
      <c r="T275" s="155">
        <f>IF($S$6="Exclude", SUMIFS(S276:S285, J276:J285, "&lt;&gt;Yes", G276:G285, "&lt;&gt;Yes"), SUMIFS(S276:S285, J276:J285, "&lt;&gt;Yes"))</f>
        <v>21.5</v>
      </c>
      <c r="U275" s="30"/>
      <c r="V275" s="30"/>
      <c r="W275" s="30"/>
      <c r="X275" s="31"/>
      <c r="Y275" s="32"/>
      <c r="Z275" s="32"/>
      <c r="AA275" s="32"/>
      <c r="AB275" s="219" t="s">
        <v>952</v>
      </c>
      <c r="AC275" s="33"/>
      <c r="AD275" s="23" t="str">
        <f>IF(M275="", "Error: Task name cannot be empty.", "")</f>
        <v/>
      </c>
    </row>
    <row r="276" spans="1:30" s="12" customFormat="1" ht="1.5" customHeight="1" outlineLevel="2" x14ac:dyDescent="0.35">
      <c r="A276" s="86" t="s">
        <v>101</v>
      </c>
      <c r="B276" s="18"/>
      <c r="C276" s="77"/>
      <c r="D276" s="77"/>
      <c r="E276" s="77"/>
      <c r="F276" s="76"/>
      <c r="G276" s="29"/>
      <c r="H276" s="29"/>
      <c r="I276" s="29"/>
      <c r="J276" s="29"/>
      <c r="K276" s="29"/>
      <c r="L276" s="163">
        <f ca="1">L275</f>
        <v>20</v>
      </c>
      <c r="M276" s="164" t="s">
        <v>105</v>
      </c>
      <c r="N276" s="161"/>
      <c r="O276" s="162"/>
      <c r="P276" s="30"/>
      <c r="Q276" s="30"/>
      <c r="R276" s="30"/>
      <c r="S276" s="30"/>
      <c r="T276" s="155"/>
      <c r="U276" s="30"/>
      <c r="V276" s="30"/>
      <c r="W276" s="30"/>
      <c r="X276" s="31"/>
      <c r="Y276" s="32"/>
      <c r="Z276" s="32"/>
      <c r="AA276" s="32"/>
      <c r="AB276" s="33"/>
      <c r="AC276" s="33"/>
      <c r="AD276" s="23"/>
    </row>
    <row r="277" spans="1:30" ht="15.5" outlineLevel="2" x14ac:dyDescent="0.35">
      <c r="A277" s="86" t="s">
        <v>0</v>
      </c>
      <c r="B277" s="18"/>
      <c r="C277" s="78"/>
      <c r="D277" s="78"/>
      <c r="E277" s="78"/>
      <c r="F277" s="79"/>
      <c r="G277" s="19" t="s">
        <v>23</v>
      </c>
      <c r="H277" s="19" t="s">
        <v>23</v>
      </c>
      <c r="I277" s="20" t="s">
        <v>23</v>
      </c>
      <c r="J277" s="19" t="s">
        <v>23</v>
      </c>
      <c r="K277" s="35"/>
      <c r="L277" s="19"/>
      <c r="M277" s="263" t="str">
        <f t="shared" ref="M277:M284" ca="1" si="45">IFERROR(OFFSET(M277,-1,,1,1)+0.1,OFFSET(M277,-1,-1,1,1)&amp;".1")</f>
        <v>20.1</v>
      </c>
      <c r="N277" s="20" t="s">
        <v>1081</v>
      </c>
      <c r="O277" s="20"/>
      <c r="P277" s="20"/>
      <c r="Q277" s="134"/>
      <c r="R277" s="127"/>
      <c r="S277" s="157">
        <f t="shared" ref="S277:S284" si="46">CEILING((IF(J277="Yes", 0, IF(H277="-",AA277,AA277+AA277*VLOOKUP(H277,BUFFERS_BY_TYPE,2,FALSE)))) +
   (IF(J277="Yes", 0, IF(H277="-",AA277,AA277+AA277*VLOOKUP(H277,BUFFERS_BY_TYPE,2,FALSE))))*VLOOKUP($S$5, SALES_CALL_SCALE_ARRAY, 2,FALSE),0.25)</f>
        <v>3</v>
      </c>
      <c r="T277" s="158"/>
      <c r="U277" s="21">
        <v>0</v>
      </c>
      <c r="V277" s="21">
        <v>1</v>
      </c>
      <c r="W277" s="21">
        <v>0</v>
      </c>
      <c r="X277" s="156">
        <v>3</v>
      </c>
      <c r="Y277" s="157">
        <f t="shared" ref="Y277:Y284" si="47">CEILING((IF(P277=AS_DEV_EFFORT, DEV_EFFORT*Q277%,
                           IF(P277=AS_DURATION_EFFORT, (MANUAL_DURATION*5)*Q277%,
                                    (IF(Q277&lt;=1,X277,
                                          IF(SUM(U277:W277)=0,(Q277*X277),
                                               (((Q277*U277)*(X277+(X277*EXTRA_FOR_H)))+
                                               ((Q277*V277)*X277)+
                                               ((Q277*W277)*(X277-(X277*LESS_FOR_L)))
                                    )*IF(R277=0,1,R277))))))+Z277), 0.25)</f>
        <v>3</v>
      </c>
      <c r="Z277" s="22"/>
      <c r="AA277" s="157">
        <f t="shared" ref="AA277:AA284" si="48">Y277+Y277*VLOOKUP(I277,EXTRAS_ARRAY,2,FALSE)</f>
        <v>3</v>
      </c>
      <c r="AB277" s="20"/>
      <c r="AC277" s="34"/>
      <c r="AD277" s="23" t="str">
        <f t="shared" ref="AD277:AD284" si="49">IF(J277&lt;&gt;"Yes",
IF(S277&lt;=0,"Error: Effort value is not defined or is invalid.",
IF(AND(SUM(U277:W277)&gt;0,SUM(U277:W277)&lt;&gt;1),"Error: Complexity % distribution should sum to 100%.",
IF(AND(P277=AS_DEV_EFFORT,X277&lt;&gt;0),"Error: PDs should not be defined when defining as dev effort %.",
IF(AND(P277=AS_DURATION_EFFORT,X277&lt;&gt;0),"Error: PDs should not be defined when defining as duration effort %.","")))))</f>
        <v/>
      </c>
    </row>
    <row r="278" spans="1:30" ht="15.5" outlineLevel="2" x14ac:dyDescent="0.35">
      <c r="A278" s="86" t="s">
        <v>0</v>
      </c>
      <c r="B278" s="18"/>
      <c r="C278" s="78"/>
      <c r="D278" s="78"/>
      <c r="E278" s="78"/>
      <c r="F278" s="79"/>
      <c r="G278" s="19" t="s">
        <v>23</v>
      </c>
      <c r="H278" s="19" t="s">
        <v>23</v>
      </c>
      <c r="I278" s="20" t="s">
        <v>23</v>
      </c>
      <c r="J278" s="19" t="s">
        <v>23</v>
      </c>
      <c r="K278" s="35"/>
      <c r="L278" s="19"/>
      <c r="M278" s="263">
        <f t="shared" ca="1" si="45"/>
        <v>20.2</v>
      </c>
      <c r="N278" s="20" t="s">
        <v>1082</v>
      </c>
      <c r="O278" s="20"/>
      <c r="P278" s="20"/>
      <c r="Q278" s="134"/>
      <c r="R278" s="127"/>
      <c r="S278" s="157">
        <f t="shared" si="46"/>
        <v>3</v>
      </c>
      <c r="T278" s="158"/>
      <c r="U278" s="21">
        <v>0</v>
      </c>
      <c r="V278" s="21">
        <v>1</v>
      </c>
      <c r="W278" s="21">
        <v>0</v>
      </c>
      <c r="X278" s="156">
        <v>3</v>
      </c>
      <c r="Y278" s="157">
        <f t="shared" si="47"/>
        <v>3</v>
      </c>
      <c r="Z278" s="22"/>
      <c r="AA278" s="157">
        <f t="shared" si="48"/>
        <v>3</v>
      </c>
      <c r="AB278" s="20"/>
      <c r="AC278" s="34"/>
      <c r="AD278" s="23" t="str">
        <f t="shared" si="49"/>
        <v/>
      </c>
    </row>
    <row r="279" spans="1:30" ht="15.5" outlineLevel="2" x14ac:dyDescent="0.35">
      <c r="A279" s="86" t="s">
        <v>0</v>
      </c>
      <c r="B279" s="18"/>
      <c r="C279" s="78"/>
      <c r="D279" s="78"/>
      <c r="E279" s="78"/>
      <c r="F279" s="79"/>
      <c r="G279" s="19" t="s">
        <v>23</v>
      </c>
      <c r="H279" s="19" t="s">
        <v>23</v>
      </c>
      <c r="I279" s="20" t="s">
        <v>23</v>
      </c>
      <c r="J279" s="19" t="s">
        <v>23</v>
      </c>
      <c r="K279" s="35"/>
      <c r="L279" s="19"/>
      <c r="M279" s="263">
        <f t="shared" ca="1" si="45"/>
        <v>20.3</v>
      </c>
      <c r="N279" s="20" t="s">
        <v>1083</v>
      </c>
      <c r="O279" s="20"/>
      <c r="P279" s="20"/>
      <c r="Q279" s="134"/>
      <c r="R279" s="127"/>
      <c r="S279" s="157">
        <f t="shared" si="46"/>
        <v>3</v>
      </c>
      <c r="T279" s="158"/>
      <c r="U279" s="21">
        <v>0</v>
      </c>
      <c r="V279" s="21">
        <v>1</v>
      </c>
      <c r="W279" s="21">
        <v>0</v>
      </c>
      <c r="X279" s="156">
        <v>3</v>
      </c>
      <c r="Y279" s="157">
        <f t="shared" si="47"/>
        <v>3</v>
      </c>
      <c r="Z279" s="22"/>
      <c r="AA279" s="157">
        <f t="shared" si="48"/>
        <v>3</v>
      </c>
      <c r="AB279" s="20"/>
      <c r="AC279" s="34"/>
      <c r="AD279" s="23" t="str">
        <f t="shared" si="49"/>
        <v/>
      </c>
    </row>
    <row r="280" spans="1:30" ht="15.5" outlineLevel="2" x14ac:dyDescent="0.35">
      <c r="A280" s="86" t="s">
        <v>0</v>
      </c>
      <c r="B280" s="18"/>
      <c r="C280" s="78"/>
      <c r="D280" s="78"/>
      <c r="E280" s="78"/>
      <c r="F280" s="79"/>
      <c r="G280" s="19" t="s">
        <v>23</v>
      </c>
      <c r="H280" s="19" t="s">
        <v>23</v>
      </c>
      <c r="I280" s="20" t="s">
        <v>23</v>
      </c>
      <c r="J280" s="19" t="s">
        <v>23</v>
      </c>
      <c r="K280" s="35"/>
      <c r="L280" s="19"/>
      <c r="M280" s="263">
        <f t="shared" ca="1" si="45"/>
        <v>20.4</v>
      </c>
      <c r="N280" s="20" t="s">
        <v>1084</v>
      </c>
      <c r="O280" s="20"/>
      <c r="P280" s="20"/>
      <c r="Q280" s="134"/>
      <c r="R280" s="127"/>
      <c r="S280" s="157">
        <f t="shared" si="46"/>
        <v>3</v>
      </c>
      <c r="T280" s="158"/>
      <c r="U280" s="21">
        <v>0</v>
      </c>
      <c r="V280" s="21">
        <v>1</v>
      </c>
      <c r="W280" s="21">
        <v>0</v>
      </c>
      <c r="X280" s="156">
        <v>3</v>
      </c>
      <c r="Y280" s="157">
        <f t="shared" si="47"/>
        <v>3</v>
      </c>
      <c r="Z280" s="22"/>
      <c r="AA280" s="157">
        <f t="shared" si="48"/>
        <v>3</v>
      </c>
      <c r="AB280" s="20"/>
      <c r="AC280" s="34"/>
      <c r="AD280" s="23" t="str">
        <f t="shared" si="49"/>
        <v/>
      </c>
    </row>
    <row r="281" spans="1:30" ht="15.5" outlineLevel="2" x14ac:dyDescent="0.35">
      <c r="A281" s="86" t="s">
        <v>0</v>
      </c>
      <c r="B281" s="18"/>
      <c r="C281" s="78"/>
      <c r="D281" s="78"/>
      <c r="E281" s="78"/>
      <c r="F281" s="79"/>
      <c r="G281" s="19" t="s">
        <v>23</v>
      </c>
      <c r="H281" s="19" t="s">
        <v>23</v>
      </c>
      <c r="I281" s="20" t="s">
        <v>23</v>
      </c>
      <c r="J281" s="19" t="s">
        <v>23</v>
      </c>
      <c r="K281" s="35"/>
      <c r="L281" s="19"/>
      <c r="M281" s="263">
        <f t="shared" ca="1" si="45"/>
        <v>20.5</v>
      </c>
      <c r="N281" s="20" t="s">
        <v>883</v>
      </c>
      <c r="O281" s="20"/>
      <c r="P281" s="20"/>
      <c r="Q281" s="134"/>
      <c r="R281" s="127"/>
      <c r="S281" s="157">
        <f t="shared" si="46"/>
        <v>2</v>
      </c>
      <c r="T281" s="158"/>
      <c r="U281" s="21">
        <v>0</v>
      </c>
      <c r="V281" s="21">
        <v>1</v>
      </c>
      <c r="W281" s="21">
        <v>0</v>
      </c>
      <c r="X281" s="156">
        <v>2</v>
      </c>
      <c r="Y281" s="157">
        <f t="shared" si="47"/>
        <v>2</v>
      </c>
      <c r="Z281" s="22"/>
      <c r="AA281" s="157">
        <f t="shared" si="48"/>
        <v>2</v>
      </c>
      <c r="AB281" s="20"/>
      <c r="AC281" s="34"/>
      <c r="AD281" s="23" t="str">
        <f t="shared" si="49"/>
        <v/>
      </c>
    </row>
    <row r="282" spans="1:30" ht="58" outlineLevel="2" x14ac:dyDescent="0.35">
      <c r="A282" s="86" t="s">
        <v>0</v>
      </c>
      <c r="B282" s="18"/>
      <c r="C282" s="78"/>
      <c r="D282" s="78"/>
      <c r="E282" s="78"/>
      <c r="F282" s="79"/>
      <c r="G282" s="19" t="s">
        <v>23</v>
      </c>
      <c r="H282" s="19" t="s">
        <v>23</v>
      </c>
      <c r="I282" s="20" t="s">
        <v>23</v>
      </c>
      <c r="J282" s="19" t="s">
        <v>23</v>
      </c>
      <c r="K282" s="35"/>
      <c r="L282" s="19"/>
      <c r="M282" s="263">
        <f t="shared" ca="1" si="45"/>
        <v>20.6</v>
      </c>
      <c r="N282" s="20" t="s">
        <v>1254</v>
      </c>
      <c r="O282" s="20"/>
      <c r="P282" s="20"/>
      <c r="Q282" s="134"/>
      <c r="R282" s="127"/>
      <c r="S282" s="157">
        <f t="shared" si="46"/>
        <v>4</v>
      </c>
      <c r="T282" s="158"/>
      <c r="U282" s="21">
        <v>0</v>
      </c>
      <c r="V282" s="21">
        <v>1</v>
      </c>
      <c r="W282" s="21">
        <v>0</v>
      </c>
      <c r="X282" s="156">
        <v>4</v>
      </c>
      <c r="Y282" s="157">
        <f t="shared" si="47"/>
        <v>4</v>
      </c>
      <c r="Z282" s="22"/>
      <c r="AA282" s="157">
        <f t="shared" si="48"/>
        <v>4</v>
      </c>
      <c r="AB282" s="20" t="s">
        <v>1255</v>
      </c>
      <c r="AC282" s="34"/>
      <c r="AD282" s="23" t="str">
        <f t="shared" si="49"/>
        <v/>
      </c>
    </row>
    <row r="283" spans="1:30" ht="58" outlineLevel="2" x14ac:dyDescent="0.35">
      <c r="A283" s="86" t="s">
        <v>0</v>
      </c>
      <c r="B283" s="18"/>
      <c r="C283" s="78"/>
      <c r="D283" s="78"/>
      <c r="E283" s="78"/>
      <c r="F283" s="79"/>
      <c r="G283" s="19" t="s">
        <v>23</v>
      </c>
      <c r="H283" s="19" t="s">
        <v>23</v>
      </c>
      <c r="I283" s="20" t="s">
        <v>23</v>
      </c>
      <c r="J283" s="19" t="s">
        <v>23</v>
      </c>
      <c r="K283" s="35"/>
      <c r="L283" s="19"/>
      <c r="M283" s="263">
        <f t="shared" ca="1" si="45"/>
        <v>20.7</v>
      </c>
      <c r="N283" s="20" t="s">
        <v>1256</v>
      </c>
      <c r="O283" s="20"/>
      <c r="P283" s="20"/>
      <c r="Q283" s="134"/>
      <c r="R283" s="127"/>
      <c r="S283" s="157">
        <f t="shared" si="46"/>
        <v>2</v>
      </c>
      <c r="T283" s="158"/>
      <c r="U283" s="21">
        <v>0</v>
      </c>
      <c r="V283" s="21">
        <v>1</v>
      </c>
      <c r="W283" s="21">
        <v>0</v>
      </c>
      <c r="X283" s="156">
        <v>2</v>
      </c>
      <c r="Y283" s="157">
        <f t="shared" si="47"/>
        <v>2</v>
      </c>
      <c r="Z283" s="22"/>
      <c r="AA283" s="157">
        <f t="shared" si="48"/>
        <v>2</v>
      </c>
      <c r="AB283" s="20" t="s">
        <v>1257</v>
      </c>
      <c r="AC283" s="34"/>
      <c r="AD283" s="23" t="str">
        <f t="shared" si="49"/>
        <v/>
      </c>
    </row>
    <row r="284" spans="1:30" ht="43.5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>
        <f t="shared" ca="1" si="45"/>
        <v>20.8</v>
      </c>
      <c r="N284" s="20" t="s">
        <v>1258</v>
      </c>
      <c r="O284" s="20"/>
      <c r="P284" s="20"/>
      <c r="Q284" s="134"/>
      <c r="R284" s="127"/>
      <c r="S284" s="157">
        <f t="shared" si="46"/>
        <v>1.5</v>
      </c>
      <c r="T284" s="158"/>
      <c r="U284" s="21">
        <v>0</v>
      </c>
      <c r="V284" s="21">
        <v>1</v>
      </c>
      <c r="W284" s="21">
        <v>0</v>
      </c>
      <c r="X284" s="156">
        <v>1.5</v>
      </c>
      <c r="Y284" s="157">
        <f t="shared" si="47"/>
        <v>1.5</v>
      </c>
      <c r="Z284" s="22"/>
      <c r="AA284" s="157">
        <f t="shared" si="48"/>
        <v>1.5</v>
      </c>
      <c r="AB284" s="20"/>
      <c r="AC284" s="34"/>
      <c r="AD284" s="23" t="str">
        <f t="shared" si="49"/>
        <v/>
      </c>
    </row>
    <row r="285" spans="1:30" s="9" customFormat="1" ht="7.5" customHeight="1" outlineLevel="2" x14ac:dyDescent="0.35">
      <c r="A285" s="86" t="s">
        <v>132</v>
      </c>
      <c r="B285" s="15"/>
      <c r="C285" s="72"/>
      <c r="D285" s="72"/>
      <c r="E285" s="72"/>
      <c r="F285" s="72"/>
      <c r="M285" s="252"/>
      <c r="T285" s="15"/>
      <c r="X285" s="15"/>
      <c r="AB285" s="10"/>
      <c r="AC285" s="10"/>
      <c r="AD285" s="10"/>
    </row>
    <row r="286" spans="1:30" s="14" customFormat="1" ht="15.5" outlineLevel="1" x14ac:dyDescent="0.35">
      <c r="A286" s="86" t="s">
        <v>100</v>
      </c>
      <c r="B286" s="18"/>
      <c r="C286" s="77"/>
      <c r="D286" s="77"/>
      <c r="E286" s="77"/>
      <c r="F286" s="76"/>
      <c r="G286" s="29"/>
      <c r="H286" s="29"/>
      <c r="I286" s="29"/>
      <c r="J286" s="29"/>
      <c r="K286" s="29"/>
      <c r="L286" s="17">
        <f ca="1">LOOKUP(1000,INDIRECT("L1:"&amp;CELL("address",INDIRECT("R[-1]C",FALSE))))+1</f>
        <v>21</v>
      </c>
      <c r="M286" s="295" t="s">
        <v>1085</v>
      </c>
      <c r="N286" s="296"/>
      <c r="O286" s="5"/>
      <c r="P286" s="30"/>
      <c r="Q286" s="30"/>
      <c r="R286" s="30"/>
      <c r="S286" s="30"/>
      <c r="T286" s="155">
        <f>IF($S$6="Exclude", SUMIFS(S287:S295, J287:J295, "&lt;&gt;Yes", G287:G295, "&lt;&gt;Yes"), SUMIFS(S287:S295, J287:J295, "&lt;&gt;Yes"))</f>
        <v>20.5</v>
      </c>
      <c r="U286" s="30"/>
      <c r="V286" s="30"/>
      <c r="W286" s="30"/>
      <c r="X286" s="31"/>
      <c r="Y286" s="32"/>
      <c r="Z286" s="32"/>
      <c r="AA286" s="32"/>
      <c r="AB286" s="219" t="s">
        <v>953</v>
      </c>
      <c r="AC286" s="33"/>
      <c r="AD286" s="23" t="str">
        <f>IF(M286="", "Error: Task name cannot be empty.", "")</f>
        <v/>
      </c>
    </row>
    <row r="287" spans="1:30" s="12" customFormat="1" ht="1.5" customHeight="1" outlineLevel="2" x14ac:dyDescent="0.35">
      <c r="A287" s="86" t="s">
        <v>101</v>
      </c>
      <c r="B287" s="18"/>
      <c r="C287" s="77"/>
      <c r="D287" s="77"/>
      <c r="E287" s="77"/>
      <c r="F287" s="76"/>
      <c r="G287" s="29"/>
      <c r="H287" s="29"/>
      <c r="I287" s="29"/>
      <c r="J287" s="29"/>
      <c r="K287" s="29"/>
      <c r="L287" s="163">
        <f ca="1">L286</f>
        <v>21</v>
      </c>
      <c r="M287" s="164" t="s">
        <v>105</v>
      </c>
      <c r="N287" s="161"/>
      <c r="O287" s="162"/>
      <c r="P287" s="30"/>
      <c r="Q287" s="30"/>
      <c r="R287" s="30"/>
      <c r="S287" s="30"/>
      <c r="T287" s="155"/>
      <c r="U287" s="30"/>
      <c r="V287" s="30"/>
      <c r="W287" s="30"/>
      <c r="X287" s="31"/>
      <c r="Y287" s="32"/>
      <c r="Z287" s="32"/>
      <c r="AA287" s="32"/>
      <c r="AB287" s="33"/>
      <c r="AC287" s="33"/>
      <c r="AD287" s="23"/>
    </row>
    <row r="288" spans="1:30" ht="15.5" outlineLevel="2" x14ac:dyDescent="0.35">
      <c r="A288" s="86" t="s">
        <v>0</v>
      </c>
      <c r="B288" s="18"/>
      <c r="C288" s="78"/>
      <c r="D288" s="78"/>
      <c r="E288" s="78"/>
      <c r="F288" s="79"/>
      <c r="G288" s="19" t="s">
        <v>23</v>
      </c>
      <c r="H288" s="19" t="s">
        <v>23</v>
      </c>
      <c r="I288" s="20" t="s">
        <v>23</v>
      </c>
      <c r="J288" s="19" t="s">
        <v>23</v>
      </c>
      <c r="K288" s="35"/>
      <c r="L288" s="19"/>
      <c r="M288" s="263" t="str">
        <f ca="1">IFERROR(OFFSET(M288,-1,,1,1)+0.1,OFFSET(M288,-1,-1,1,1)&amp;".1")</f>
        <v>21.1</v>
      </c>
      <c r="N288" s="20" t="s">
        <v>1086</v>
      </c>
      <c r="O288" s="20"/>
      <c r="P288" s="20"/>
      <c r="Q288" s="134"/>
      <c r="R288" s="127"/>
      <c r="S288" s="157">
        <f>CEILING((IF(J288="Yes", 0, IF(H288="-",AA288,AA288+AA288*VLOOKUP(H288,BUFFERS_BY_TYPE,2,FALSE)))) +
   (IF(J288="Yes", 0, IF(H288="-",AA288,AA288+AA288*VLOOKUP(H288,BUFFERS_BY_TYPE,2,FALSE))))*VLOOKUP($S$5, SALES_CALL_SCALE_ARRAY, 2,FALSE),0.25)</f>
        <v>3</v>
      </c>
      <c r="T288" s="158"/>
      <c r="U288" s="21">
        <v>0</v>
      </c>
      <c r="V288" s="21">
        <v>1</v>
      </c>
      <c r="W288" s="21">
        <v>0</v>
      </c>
      <c r="X288" s="156">
        <v>3</v>
      </c>
      <c r="Y288" s="157">
        <f>CEILING((IF(P288=AS_DEV_EFFORT, DEV_EFFORT*Q288%,
                           IF(P288=AS_DURATION_EFFORT, (MANUAL_DURATION*5)*Q288%,
                                    (IF(Q288&lt;=1,X288,
                                          IF(SUM(U288:W288)=0,(Q288*X288),
                                               (((Q288*U288)*(X288+(X288*EXTRA_FOR_H)))+
                                               ((Q288*V288)*X288)+
                                               ((Q288*W288)*(X288-(X288*LESS_FOR_L)))
                                    )*IF(R288=0,1,R288))))))+Z288), 0.25)</f>
        <v>3</v>
      </c>
      <c r="Z288" s="22"/>
      <c r="AA288" s="157">
        <f>Y288+Y288*VLOOKUP(I288,EXTRAS_ARRAY,2,FALSE)</f>
        <v>3</v>
      </c>
      <c r="AB288" s="20"/>
      <c r="AC288" s="34"/>
      <c r="AD288" s="23" t="str">
        <f>IF(J288&lt;&gt;"Yes",
IF(S288&lt;=0,"Error: Effort value is not defined or is invalid.",
IF(AND(SUM(U288:W288)&gt;0,SUM(U288:W288)&lt;&gt;1),"Error: Complexity % distribution should sum to 100%.",
IF(AND(P288=AS_DEV_EFFORT,X288&lt;&gt;0),"Error: PDs should not be defined when defining as dev effort %.",
IF(AND(P288=AS_DURATION_EFFORT,X288&lt;&gt;0),"Error: PDs should not be defined when defining as duration effort %.","")))))</f>
        <v/>
      </c>
    </row>
    <row r="289" spans="1:30" ht="15.5" outlineLevel="2" x14ac:dyDescent="0.35">
      <c r="A289" s="86" t="s">
        <v>0</v>
      </c>
      <c r="B289" s="18"/>
      <c r="C289" s="78"/>
      <c r="D289" s="78"/>
      <c r="E289" s="78"/>
      <c r="F289" s="79"/>
      <c r="G289" s="19" t="s">
        <v>23</v>
      </c>
      <c r="H289" s="19" t="s">
        <v>23</v>
      </c>
      <c r="I289" s="20" t="s">
        <v>23</v>
      </c>
      <c r="J289" s="19" t="s">
        <v>23</v>
      </c>
      <c r="K289" s="35"/>
      <c r="L289" s="19"/>
      <c r="M289" s="263">
        <f ca="1">IFERROR(OFFSET(M289,-1,,1,1)+0.1,OFFSET(M289,-1,-1,1,1)&amp;".1")</f>
        <v>21.2</v>
      </c>
      <c r="N289" s="20" t="s">
        <v>1087</v>
      </c>
      <c r="O289" s="20"/>
      <c r="P289" s="20"/>
      <c r="Q289" s="134"/>
      <c r="R289" s="127"/>
      <c r="S289" s="157">
        <f>CEILING((IF(J289="Yes", 0, IF(H289="-",AA289,AA289+AA289*VLOOKUP(H289,BUFFERS_BY_TYPE,2,FALSE)))) +
   (IF(J289="Yes", 0, IF(H289="-",AA289,AA289+AA289*VLOOKUP(H289,BUFFERS_BY_TYPE,2,FALSE))))*VLOOKUP($S$5, SALES_CALL_SCALE_ARRAY, 2,FALSE),0.25)</f>
        <v>4</v>
      </c>
      <c r="T289" s="158"/>
      <c r="U289" s="21">
        <v>0</v>
      </c>
      <c r="V289" s="21">
        <v>1</v>
      </c>
      <c r="W289" s="21">
        <v>0</v>
      </c>
      <c r="X289" s="156">
        <v>4</v>
      </c>
      <c r="Y289" s="157">
        <f>CEILING((IF(P289=AS_DEV_EFFORT, DEV_EFFORT*Q289%,
                           IF(P289=AS_DURATION_EFFORT, (MANUAL_DURATION*5)*Q289%,
                                    (IF(Q289&lt;=1,X289,
                                          IF(SUM(U289:W289)=0,(Q289*X289),
                                               (((Q289*U289)*(X289+(X289*EXTRA_FOR_H)))+
                                               ((Q289*V289)*X289)+
                                               ((Q289*W289)*(X289-(X289*LESS_FOR_L)))
                                    )*IF(R289=0,1,R289))))))+Z289), 0.25)</f>
        <v>4</v>
      </c>
      <c r="Z289" s="22"/>
      <c r="AA289" s="157">
        <f>Y289+Y289*VLOOKUP(I289,EXTRAS_ARRAY,2,FALSE)</f>
        <v>4</v>
      </c>
      <c r="AB289" s="20"/>
      <c r="AC289" s="34"/>
      <c r="AD289" s="23" t="str">
        <f>IF(J289&lt;&gt;"Yes",
IF(S289&lt;=0,"Error: Effort value is not defined or is invalid.",
IF(AND(SUM(U289:W289)&gt;0,SUM(U289:W289)&lt;&gt;1),"Error: Complexity % distribution should sum to 100%.",
IF(AND(P289=AS_DEV_EFFORT,X289&lt;&gt;0),"Error: PDs should not be defined when defining as dev effort %.",
IF(AND(P289=AS_DURATION_EFFORT,X289&lt;&gt;0),"Error: PDs should not be defined when defining as duration effort %.","")))))</f>
        <v/>
      </c>
    </row>
    <row r="290" spans="1:30" ht="15.5" outlineLevel="2" x14ac:dyDescent="0.35">
      <c r="A290" s="86" t="s">
        <v>0</v>
      </c>
      <c r="B290" s="18"/>
      <c r="C290" s="78"/>
      <c r="D290" s="78"/>
      <c r="E290" s="78"/>
      <c r="F290" s="79"/>
      <c r="G290" s="19" t="s">
        <v>23</v>
      </c>
      <c r="H290" s="19" t="s">
        <v>23</v>
      </c>
      <c r="I290" s="20" t="s">
        <v>23</v>
      </c>
      <c r="J290" s="19" t="s">
        <v>23</v>
      </c>
      <c r="K290" s="35"/>
      <c r="L290" s="19"/>
      <c r="M290" s="263">
        <f ca="1">IFERROR(OFFSET(M290,-1,,1,1)+0.1,OFFSET(M290,-1,-1,1,1)&amp;".1")</f>
        <v>21.3</v>
      </c>
      <c r="N290" s="20" t="s">
        <v>1088</v>
      </c>
      <c r="O290" s="20"/>
      <c r="P290" s="20"/>
      <c r="Q290" s="134"/>
      <c r="R290" s="127"/>
      <c r="S290" s="157">
        <f>CEILING((IF(J290="Yes", 0, IF(H290="-",AA290,AA290+AA290*VLOOKUP(H290,BUFFERS_BY_TYPE,2,FALSE)))) +
   (IF(J290="Yes", 0, IF(H290="-",AA290,AA290+AA290*VLOOKUP(H290,BUFFERS_BY_TYPE,2,FALSE))))*VLOOKUP($S$5, SALES_CALL_SCALE_ARRAY, 2,FALSE),0.25)</f>
        <v>4</v>
      </c>
      <c r="T290" s="158"/>
      <c r="U290" s="21">
        <v>0</v>
      </c>
      <c r="V290" s="21">
        <v>1</v>
      </c>
      <c r="W290" s="21">
        <v>0</v>
      </c>
      <c r="X290" s="156">
        <v>4</v>
      </c>
      <c r="Y290" s="157">
        <f>CEILING((IF(P290=AS_DEV_EFFORT, DEV_EFFORT*Q290%,
                           IF(P290=AS_DURATION_EFFORT, (MANUAL_DURATION*5)*Q290%,
                                    (IF(Q290&lt;=1,X290,
                                          IF(SUM(U290:W290)=0,(Q290*X290),
                                               (((Q290*U290)*(X290+(X290*EXTRA_FOR_H)))+
                                               ((Q290*V290)*X290)+
                                               ((Q290*W290)*(X290-(X290*LESS_FOR_L)))
                                    )*IF(R290=0,1,R290))))))+Z290), 0.25)</f>
        <v>4</v>
      </c>
      <c r="Z290" s="22"/>
      <c r="AA290" s="157">
        <f>Y290+Y290*VLOOKUP(I290,EXTRAS_ARRAY,2,FALSE)</f>
        <v>4</v>
      </c>
      <c r="AB290" s="20"/>
      <c r="AC290" s="34"/>
      <c r="AD290" s="23" t="str">
        <f>IF(J290&lt;&gt;"Yes",
IF(S290&lt;=0,"Error: Effort value is not defined or is invalid.",
IF(AND(SUM(U290:W290)&gt;0,SUM(U290:W290)&lt;&gt;1),"Error: Complexity % distribution should sum to 100%.",
IF(AND(P290=AS_DEV_EFFORT,X290&lt;&gt;0),"Error: PDs should not be defined when defining as dev effort %.",
IF(AND(P290=AS_DURATION_EFFORT,X290&lt;&gt;0),"Error: PDs should not be defined when defining as duration effort %.","")))))</f>
        <v/>
      </c>
    </row>
    <row r="291" spans="1:30" ht="15.5" outlineLevel="2" x14ac:dyDescent="0.35">
      <c r="A291" s="86" t="s">
        <v>0</v>
      </c>
      <c r="B291" s="18"/>
      <c r="C291" s="78"/>
      <c r="D291" s="78"/>
      <c r="E291" s="78"/>
      <c r="F291" s="79"/>
      <c r="G291" s="19" t="s">
        <v>23</v>
      </c>
      <c r="H291" s="19" t="s">
        <v>23</v>
      </c>
      <c r="I291" s="20" t="s">
        <v>23</v>
      </c>
      <c r="J291" s="19" t="s">
        <v>23</v>
      </c>
      <c r="K291" s="35"/>
      <c r="L291" s="19"/>
      <c r="M291" s="263">
        <f ca="1">IFERROR(OFFSET(M291,-1,,1,1)+0.1,OFFSET(M291,-1,-1,1,1)&amp;".1")</f>
        <v>21.4</v>
      </c>
      <c r="N291" s="20" t="s">
        <v>1089</v>
      </c>
      <c r="O291" s="20"/>
      <c r="P291" s="20"/>
      <c r="Q291" s="134"/>
      <c r="R291" s="127"/>
      <c r="S291" s="157">
        <f>CEILING((IF(J291="Yes", 0, IF(H291="-",AA291,AA291+AA291*VLOOKUP(H291,BUFFERS_BY_TYPE,2,FALSE)))) +
   (IF(J291="Yes", 0, IF(H291="-",AA291,AA291+AA291*VLOOKUP(H291,BUFFERS_BY_TYPE,2,FALSE))))*VLOOKUP($S$5, SALES_CALL_SCALE_ARRAY, 2,FALSE),0.25)</f>
        <v>2.5</v>
      </c>
      <c r="T291" s="158"/>
      <c r="U291" s="21">
        <v>0</v>
      </c>
      <c r="V291" s="21">
        <v>1</v>
      </c>
      <c r="W291" s="21">
        <v>0</v>
      </c>
      <c r="X291" s="156">
        <v>2.5</v>
      </c>
      <c r="Y291" s="157">
        <f>CEILING((IF(P291=AS_DEV_EFFORT, DEV_EFFORT*Q291%,
                           IF(P291=AS_DURATION_EFFORT, (MANUAL_DURATION*5)*Q291%,
                                    (IF(Q291&lt;=1,X291,
                                          IF(SUM(U291:W291)=0,(Q291*X291),
                                               (((Q291*U291)*(X291+(X291*EXTRA_FOR_H)))+
                                               ((Q291*V291)*X291)+
                                               ((Q291*W291)*(X291-(X291*LESS_FOR_L)))
                                    )*IF(R291=0,1,R291))))))+Z291), 0.25)</f>
        <v>2.5</v>
      </c>
      <c r="Z291" s="22"/>
      <c r="AA291" s="157">
        <f>Y291+Y291*VLOOKUP(I291,EXTRAS_ARRAY,2,FALSE)</f>
        <v>2.5</v>
      </c>
      <c r="AB291" s="20"/>
      <c r="AC291" s="34"/>
      <c r="AD291" s="23" t="str">
        <f>IF(J291&lt;&gt;"Yes",
IF(S291&lt;=0,"Error: Effort value is not defined or is invalid.",
IF(AND(SUM(U291:W291)&gt;0,SUM(U291:W291)&lt;&gt;1),"Error: Complexity % distribution should sum to 100%.",
IF(AND(P291=AS_DEV_EFFORT,X291&lt;&gt;0),"Error: PDs should not be defined when defining as dev effort %.",
IF(AND(P291=AS_DURATION_EFFORT,X291&lt;&gt;0),"Error: PDs should not be defined when defining as duration effort %.","")))))</f>
        <v/>
      </c>
    </row>
    <row r="292" spans="1:30" ht="15.5" outlineLevel="2" x14ac:dyDescent="0.35">
      <c r="A292" s="86" t="s">
        <v>0</v>
      </c>
      <c r="B292" s="18"/>
      <c r="C292" s="78"/>
      <c r="D292" s="78"/>
      <c r="E292" s="78"/>
      <c r="F292" s="79"/>
      <c r="G292" s="19" t="s">
        <v>23</v>
      </c>
      <c r="H292" s="19" t="s">
        <v>23</v>
      </c>
      <c r="I292" s="20" t="s">
        <v>23</v>
      </c>
      <c r="J292" s="19" t="s">
        <v>23</v>
      </c>
      <c r="K292" s="35"/>
      <c r="L292" s="19"/>
      <c r="M292" s="263">
        <f ca="1">IFERROR(OFFSET(M292,-1,,1,1)+0.1,OFFSET(M292,-1,-1,1,1)&amp;".1")</f>
        <v>21.5</v>
      </c>
      <c r="N292" s="20" t="s">
        <v>1090</v>
      </c>
      <c r="O292" s="20"/>
      <c r="P292" s="20"/>
      <c r="Q292" s="134"/>
      <c r="R292" s="127"/>
      <c r="S292" s="157">
        <f>CEILING((IF(J292="Yes", 0, IF(H292="-",AA292,AA292+AA292*VLOOKUP(H292,BUFFERS_BY_TYPE,2,FALSE)))) +
   (IF(J292="Yes", 0, IF(H292="-",AA292,AA292+AA292*VLOOKUP(H292,BUFFERS_BY_TYPE,2,FALSE))))*VLOOKUP($S$5, SALES_CALL_SCALE_ARRAY, 2,FALSE),0.25)</f>
        <v>2.5</v>
      </c>
      <c r="T292" s="158"/>
      <c r="U292" s="21">
        <v>0</v>
      </c>
      <c r="V292" s="21">
        <v>1</v>
      </c>
      <c r="W292" s="21">
        <v>0</v>
      </c>
      <c r="X292" s="156">
        <v>2.5</v>
      </c>
      <c r="Y292" s="157">
        <f>CEILING((IF(P292=AS_DEV_EFFORT, DEV_EFFORT*Q292%,
                           IF(P292=AS_DURATION_EFFORT, (MANUAL_DURATION*5)*Q292%,
                                    (IF(Q292&lt;=1,X292,
                                          IF(SUM(U292:W292)=0,(Q292*X292),
                                               (((Q292*U292)*(X292+(X292*EXTRA_FOR_H)))+
                                               ((Q292*V292)*X292)+
                                               ((Q292*W292)*(X292-(X292*LESS_FOR_L)))
                                    )*IF(R292=0,1,R292))))))+Z292), 0.25)</f>
        <v>2.5</v>
      </c>
      <c r="Z292" s="22"/>
      <c r="AA292" s="157">
        <f>Y292+Y292*VLOOKUP(I292,EXTRAS_ARRAY,2,FALSE)</f>
        <v>2.5</v>
      </c>
      <c r="AB292" s="20"/>
      <c r="AC292" s="34"/>
      <c r="AD292" s="23" t="str">
        <f>IF(J292&lt;&gt;"Yes",
IF(S292&lt;=0,"Error: Effort value is not defined or is invalid.",
IF(AND(SUM(U292:W292)&gt;0,SUM(U292:W292)&lt;&gt;1),"Error: Complexity % distribution should sum to 100%.",
IF(AND(P292=AS_DEV_EFFORT,X292&lt;&gt;0),"Error: PDs should not be defined when defining as dev effort %.",
IF(AND(P292=AS_DURATION_EFFORT,X292&lt;&gt;0),"Error: PDs should not be defined when defining as duration effort %.","")))))</f>
        <v/>
      </c>
    </row>
    <row r="293" spans="1:30" ht="58" outlineLevel="2" x14ac:dyDescent="0.35">
      <c r="A293" s="86" t="s">
        <v>0</v>
      </c>
      <c r="B293" s="18"/>
      <c r="C293" s="78"/>
      <c r="D293" s="78"/>
      <c r="E293" s="78"/>
      <c r="F293" s="79"/>
      <c r="G293" s="19" t="s">
        <v>23</v>
      </c>
      <c r="H293" s="19" t="s">
        <v>23</v>
      </c>
      <c r="I293" s="20" t="s">
        <v>23</v>
      </c>
      <c r="J293" s="19" t="s">
        <v>23</v>
      </c>
      <c r="K293" s="35"/>
      <c r="L293" s="19"/>
      <c r="M293" s="263">
        <f ca="1">IFERROR(OFFSET(M293,-1,,1,1)+0.1,OFFSET(M293,-1,-1,1,1)&amp;".1")</f>
        <v>21.6</v>
      </c>
      <c r="N293" s="20" t="inlineStr">
        <is>
          <t xml:space="preserve">Claim message threads and SES inbound replies in both Regions; received messages archived</t>
        </is>
      </c>
      <c r="O293" s="20"/>
      <c r="P293" s="20"/>
      <c r="Q293" s="134"/>
      <c r="R293" s="127"/>
      <c r="S293" s="157">
        <f>CEILING((IF(J293="Yes", 0, IF(H293="-",AA293,AA293+AA293*VLOOKUP(H293,BUFFERS_BY_TYPE,2,FALSE)))) +
   (IF(J293="Yes", 0, IF(H293="-",AA293,AA293+AA293*VLOOKUP(H293,BUFFERS_BY_TYPE,2,FALSE))))*VLOOKUP($S$5, SALES_CALL_SCALE_ARRAY, 2,FALSE),0.25)</f>
        <v>3</v>
      </c>
      <c r="T293" s="158"/>
      <c r="U293" s="21">
        <v>0</v>
      </c>
      <c r="V293" s="21">
        <v>1</v>
      </c>
      <c r="W293" s="21">
        <v>0</v>
      </c>
      <c r="X293" s="156">
        <v>3</v>
      </c>
      <c r="Y293" s="157">
        <f>CEILING((IF(P293=AS_DEV_EFFORT, DEV_EFFORT*Q293%,
                           IF(P293=AS_DURATION_EFFORT, (MANUAL_DURATION*5)*Q293%,
                                    (IF(Q293&lt;=1,X293,
                                          IF(SUM(U293:W293)=0,(Q293*X293),
                                               (((Q293*U293)*(X293+(X293*EXTRA_FOR_H)))+
                                               ((Q293*V293)*X293)+
                                               ((Q293*W293)*(X293-(X293*LESS_FOR_L)))
                                    )*IF(R293=0,1,R293))))))+Z293), 0.25)</f>
        <v>3</v>
      </c>
      <c r="Z293" s="22"/>
      <c r="AA293" s="157">
        <f>Y293+Y293*VLOOKUP(I293,EXTRAS_ARRAY,2,FALSE)</f>
        <v>3</v>
      </c>
      <c r="AB293" s="20"/>
      <c r="AC293" s="34"/>
      <c r="AD293" s="23" t="str">
        <f>IF(J293&lt;&gt;"Yes",
IF(S293&lt;=0,"Error: Effort value is not defined or is invalid.",
IF(AND(SUM(U293:W293)&gt;0,SUM(U293:W293)&lt;&gt;1),"Error: Complexity % distribution should sum to 100%.",
IF(AND(P293=AS_DEV_EFFORT,X293&lt;&gt;0),"Error: PDs should not be defined when defining as dev effort %.",
IF(AND(P293=AS_DURATION_EFFORT,X293&lt;&gt;0),"Error: PDs should not be defined when defining as duration effort %.","")))))</f>
        <v/>
      </c>
    </row>
    <row r="294" spans="1:30" ht="58" outlineLevel="2" x14ac:dyDescent="0.35">
      <c r="A294" s="86" t="s">
        <v>0</v>
      </c>
      <c r="B294" s="18"/>
      <c r="C294" s="78"/>
      <c r="D294" s="78"/>
      <c r="E294" s="78"/>
      <c r="F294" s="79"/>
      <c r="G294" s="19" t="s">
        <v>23</v>
      </c>
      <c r="H294" s="19" t="s">
        <v>23</v>
      </c>
      <c r="I294" s="20" t="s">
        <v>23</v>
      </c>
      <c r="J294" s="19" t="s">
        <v>23</v>
      </c>
      <c r="K294" s="35"/>
      <c r="L294" s="19"/>
      <c r="M294" s="263">
        <f ca="1">IFERROR(OFFSET(M294,-1,,1,1)+0.1,OFFSET(M294,-1,-1,1,1)&amp;".1")</f>
        <v>21.7</v>
      </c>
      <c r="N294" s="20" t="inlineStr">
        <is>
          <t xml:space="preserve">SMS sender registration (short code, toll-free fallback) in AWS End User Messaging SMS; opt-in and STOP handling</t>
        </is>
      </c>
      <c r="O294" s="20"/>
      <c r="P294" s="20"/>
      <c r="Q294" s="134"/>
      <c r="R294" s="127"/>
      <c r="S294" s="157">
        <f>CEILING((IF(J294="Yes", 0, IF(H294="-",AA294,AA294+AA294*VLOOKUP(H294,BUFFERS_BY_TYPE,2,FALSE)))) +
   (IF(J294="Yes", 0, IF(H294="-",AA294,AA294+AA294*VLOOKUP(H294,BUFFERS_BY_TYPE,2,FALSE))))*VLOOKUP($S$5, SALES_CALL_SCALE_ARRAY, 2,FALSE),0.25)</f>
        <v>1.5</v>
      </c>
      <c r="T294" s="158"/>
      <c r="U294" s="21">
        <v>0</v>
      </c>
      <c r="V294" s="21">
        <v>1</v>
      </c>
      <c r="W294" s="21">
        <v>0</v>
      </c>
      <c r="X294" s="156">
        <v>1.5</v>
      </c>
      <c r="Y294" s="157">
        <f>CEILING((IF(P294=AS_DEV_EFFORT, DEV_EFFORT*Q294%,
                           IF(P294=AS_DURATION_EFFORT, (MANUAL_DURATION*5)*Q294%,
                                    (IF(Q294&lt;=1,X294,
                                          IF(SUM(U294:W294)=0,(Q294*X294),
                                               (((Q294*U294)*(X294+(X294*EXTRA_FOR_H)))+
                                               ((Q294*V294)*X294)+
                                               ((Q294*W294)*(X294-(X294*LESS_FOR_L)))
                                    )*IF(R294=0,1,R294))))))+Z294), 0.25)</f>
        <v>1.5</v>
      </c>
      <c r="Z294" s="22"/>
      <c r="AA294" s="157">
        <f>Y294+Y294*VLOOKUP(I294,EXTRAS_ARRAY,2,FALSE)</f>
        <v>1.5</v>
      </c>
      <c r="AB294" s="20" t="inlineStr">
        <is>
          <t xml:space="preserve">SAD v2.0 Assumption 5</t>
        </is>
      </c>
      <c r="AC294" s="34"/>
      <c r="AD294" s="23" t="str">
        <f>IF(J294&lt;&gt;"Yes",
IF(S294&lt;=0,"Error: Effort value is not defined or is invalid.",
IF(AND(SUM(U294:W294)&gt;0,SUM(U294:W294)&lt;&gt;1),"Error: Complexity % distribution should sum to 100%.",
IF(AND(P294=AS_DEV_EFFORT,X294&lt;&gt;0),"Error: PDs should not be defined when defining as dev effort %.",
IF(AND(P294=AS_DURATION_EFFORT,X294&lt;&gt;0),"Error: PDs should not be defined when defining as duration effort %.","")))))</f>
        <v/>
      </c>
    </row>
    <row r="295" spans="1:30" s="9" customFormat="1" ht="7.5" customHeight="1" outlineLevel="2" x14ac:dyDescent="0.35">
      <c r="A295" s="86" t="s">
        <v>132</v>
      </c>
      <c r="B295" s="15"/>
      <c r="C295" s="72"/>
      <c r="D295" s="72"/>
      <c r="E295" s="72"/>
      <c r="F295" s="72"/>
      <c r="M295" s="252"/>
      <c r="T295" s="15"/>
      <c r="X295" s="15"/>
      <c r="AB295" s="10"/>
      <c r="AC295" s="10"/>
      <c r="AD295" s="10"/>
    </row>
    <row r="296" spans="1:30" s="14" customFormat="1" ht="15.5" outlineLevel="1" x14ac:dyDescent="0.35">
      <c r="A296" s="86" t="s">
        <v>100</v>
      </c>
      <c r="B296" s="18"/>
      <c r="C296" s="77"/>
      <c r="D296" s="77"/>
      <c r="E296" s="77"/>
      <c r="F296" s="76"/>
      <c r="G296" s="29"/>
      <c r="H296" s="29"/>
      <c r="I296" s="29"/>
      <c r="J296" s="29"/>
      <c r="K296" s="29"/>
      <c r="L296" s="17">
        <f ca="1">LOOKUP(1000,INDIRECT("L1:"&amp;CELL("address",INDIRECT("R[-1]C",FALSE))))+1</f>
        <v>22</v>
      </c>
      <c r="M296" s="295" t="s">
        <v>1091</v>
      </c>
      <c r="N296" s="296"/>
      <c r="O296" s="5"/>
      <c r="P296" s="30"/>
      <c r="Q296" s="30"/>
      <c r="R296" s="30"/>
      <c r="S296" s="30"/>
      <c r="T296" s="155">
        <f>IF($S$6="Exclude", SUMIFS(S297:S310, J297:J310, "&lt;&gt;Yes", G297:G310, "&lt;&gt;Yes"), SUMIFS(S297:S310, J297:J310, "&lt;&gt;Yes"))</f>
        <v>36.5</v>
      </c>
      <c r="U296" s="30"/>
      <c r="V296" s="30"/>
      <c r="W296" s="30"/>
      <c r="X296" s="31"/>
      <c r="Y296" s="32"/>
      <c r="Z296" s="32"/>
      <c r="AA296" s="32"/>
      <c r="AB296" s="219" t="s">
        <v>954</v>
      </c>
      <c r="AC296" s="33"/>
      <c r="AD296" s="23" t="str">
        <f>IF(M296="", "Error: Task name cannot be empty.", "")</f>
        <v/>
      </c>
    </row>
    <row r="297" spans="1:30" s="12" customFormat="1" ht="1.5" customHeight="1" outlineLevel="2" x14ac:dyDescent="0.35">
      <c r="A297" s="86" t="s">
        <v>101</v>
      </c>
      <c r="B297" s="18"/>
      <c r="C297" s="77"/>
      <c r="D297" s="77"/>
      <c r="E297" s="77"/>
      <c r="F297" s="76"/>
      <c r="G297" s="29"/>
      <c r="H297" s="29"/>
      <c r="I297" s="29"/>
      <c r="J297" s="29"/>
      <c r="K297" s="29"/>
      <c r="L297" s="163">
        <f ca="1">L296</f>
        <v>22</v>
      </c>
      <c r="M297" s="164" t="s">
        <v>105</v>
      </c>
      <c r="N297" s="161"/>
      <c r="O297" s="162"/>
      <c r="P297" s="30"/>
      <c r="Q297" s="30"/>
      <c r="R297" s="30"/>
      <c r="S297" s="30"/>
      <c r="T297" s="155"/>
      <c r="U297" s="30"/>
      <c r="V297" s="30"/>
      <c r="W297" s="30"/>
      <c r="X297" s="31"/>
      <c r="Y297" s="32"/>
      <c r="Z297" s="32"/>
      <c r="AA297" s="32"/>
      <c r="AB297" s="33"/>
      <c r="AC297" s="33"/>
      <c r="AD297" s="23"/>
    </row>
    <row r="298" spans="1:30" ht="29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 t="str">
        <f t="shared" ref="M298:M305" ca="1" si="50">IFERROR(OFFSET(M298,-1,,1,1)+0.1,OFFSET(M298,-1,-1,1,1)&amp;".1")</f>
        <v>22.1</v>
      </c>
      <c r="N298" s="20" t="s">
        <v>1092</v>
      </c>
      <c r="O298" s="20"/>
      <c r="P298" s="20"/>
      <c r="Q298" s="134"/>
      <c r="R298" s="127"/>
      <c r="S298" s="157">
        <f t="shared" ref="S298:S305" si="51">CEILING((IF(J298="Yes", 0, IF(H298="-",AA298,AA298+AA298*VLOOKUP(H298,BUFFERS_BY_TYPE,2,FALSE)))) +
   (IF(J298="Yes", 0, IF(H298="-",AA298,AA298+AA298*VLOOKUP(H298,BUFFERS_BY_TYPE,2,FALSE))))*VLOOKUP($S$5, SALES_CALL_SCALE_ARRAY, 2,FALSE),0.25)</f>
        <v>4.5</v>
      </c>
      <c r="T298" s="158"/>
      <c r="U298" s="21">
        <v>0</v>
      </c>
      <c r="V298" s="21">
        <v>1</v>
      </c>
      <c r="W298" s="21">
        <v>0</v>
      </c>
      <c r="X298" s="156">
        <v>4.5</v>
      </c>
      <c r="Y298" s="157">
        <f t="shared" ref="Y298:Y305" si="52">CEILING((IF(P298=AS_DEV_EFFORT, DEV_EFFORT*Q298%,
                           IF(P298=AS_DURATION_EFFORT, (MANUAL_DURATION*5)*Q298%,
                                    (IF(Q298&lt;=1,X298,
                                          IF(SUM(U298:W298)=0,(Q298*X298),
                                               (((Q298*U298)*(X298+(X298*EXTRA_FOR_H)))+
                                               ((Q298*V298)*X298)+
                                               ((Q298*W298)*(X298-(X298*LESS_FOR_L)))
                                    )*IF(R298=0,1,R298))))))+Z298), 0.25)</f>
        <v>4.5</v>
      </c>
      <c r="Z298" s="22"/>
      <c r="AA298" s="157">
        <f t="shared" ref="AA298:AA305" si="53">Y298+Y298*VLOOKUP(I298,EXTRAS_ARRAY,2,FALSE)</f>
        <v>4.5</v>
      </c>
      <c r="AB298" s="20"/>
      <c r="AC298" s="34"/>
      <c r="AD298" s="23" t="str">
        <f t="shared" ref="AD298:AD305" si="54">IF(J298&lt;&gt;"Yes",
IF(S298&lt;=0,"Error: Effort value is not defined or is invalid.",
IF(AND(SUM(U298:W298)&gt;0,SUM(U298:W298)&lt;&gt;1),"Error: Complexity % distribution should sum to 100%.",
IF(AND(P298=AS_DEV_EFFORT,X298&lt;&gt;0),"Error: PDs should not be defined when defining as dev effort %.",
IF(AND(P298=AS_DURATION_EFFORT,X298&lt;&gt;0),"Error: PDs should not be defined when defining as duration effort %.","")))))</f>
        <v/>
      </c>
    </row>
    <row r="299" spans="1:30" ht="15.5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t="shared" ca="1" si="50"/>
        <v>22.2</v>
      </c>
      <c r="N299" s="20" t="s">
        <v>1093</v>
      </c>
      <c r="O299" s="20"/>
      <c r="P299" s="20"/>
      <c r="Q299" s="134"/>
      <c r="R299" s="127"/>
      <c r="S299" s="157">
        <f t="shared" si="51"/>
        <v>4.5</v>
      </c>
      <c r="T299" s="158"/>
      <c r="U299" s="21">
        <v>0</v>
      </c>
      <c r="V299" s="21">
        <v>1</v>
      </c>
      <c r="W299" s="21">
        <v>0</v>
      </c>
      <c r="X299" s="156">
        <v>4.5</v>
      </c>
      <c r="Y299" s="157">
        <f t="shared" si="52"/>
        <v>4.5</v>
      </c>
      <c r="Z299" s="22"/>
      <c r="AA299" s="157">
        <f t="shared" si="53"/>
        <v>4.5</v>
      </c>
      <c r="AB299" s="20"/>
      <c r="AC299" s="34"/>
      <c r="AD299" s="23" t="str">
        <f t="shared" si="54"/>
        <v/>
      </c>
    </row>
    <row r="300" spans="1:30" ht="15.5" outlineLevel="2" x14ac:dyDescent="0.35">
      <c r="A300" s="86" t="s">
        <v>0</v>
      </c>
      <c r="B300" s="18"/>
      <c r="C300" s="78"/>
      <c r="D300" s="78"/>
      <c r="E300" s="78"/>
      <c r="F300" s="79"/>
      <c r="G300" s="19" t="s">
        <v>23</v>
      </c>
      <c r="H300" s="19" t="s">
        <v>23</v>
      </c>
      <c r="I300" s="20" t="s">
        <v>23</v>
      </c>
      <c r="J300" s="19" t="s">
        <v>23</v>
      </c>
      <c r="K300" s="35"/>
      <c r="L300" s="19"/>
      <c r="M300" s="263">
        <f t="shared" ca="1" si="50"/>
        <v>22.3</v>
      </c>
      <c r="N300" s="20" t="s">
        <v>1094</v>
      </c>
      <c r="O300" s="20"/>
      <c r="P300" s="20"/>
      <c r="Q300" s="134"/>
      <c r="R300" s="127"/>
      <c r="S300" s="157">
        <f t="shared" si="51"/>
        <v>4</v>
      </c>
      <c r="T300" s="158"/>
      <c r="U300" s="21">
        <v>0</v>
      </c>
      <c r="V300" s="21">
        <v>1</v>
      </c>
      <c r="W300" s="21">
        <v>0</v>
      </c>
      <c r="X300" s="156">
        <v>4</v>
      </c>
      <c r="Y300" s="157">
        <f t="shared" si="52"/>
        <v>4</v>
      </c>
      <c r="Z300" s="22"/>
      <c r="AA300" s="157">
        <f t="shared" si="53"/>
        <v>4</v>
      </c>
      <c r="AB300" s="20"/>
      <c r="AC300" s="34"/>
      <c r="AD300" s="23" t="str">
        <f t="shared" si="54"/>
        <v/>
      </c>
    </row>
    <row r="301" spans="1:30" ht="15.5" outlineLevel="2" x14ac:dyDescent="0.35">
      <c r="A301" s="86" t="s">
        <v>0</v>
      </c>
      <c r="B301" s="18"/>
      <c r="C301" s="78"/>
      <c r="D301" s="78"/>
      <c r="E301" s="78"/>
      <c r="F301" s="79"/>
      <c r="G301" s="19" t="s">
        <v>23</v>
      </c>
      <c r="H301" s="19" t="s">
        <v>23</v>
      </c>
      <c r="I301" s="20" t="s">
        <v>23</v>
      </c>
      <c r="J301" s="19" t="s">
        <v>23</v>
      </c>
      <c r="K301" s="35"/>
      <c r="L301" s="19"/>
      <c r="M301" s="263">
        <f t="shared" ca="1" si="50"/>
        <v>22.4</v>
      </c>
      <c r="N301" s="20" t="s">
        <v>1095</v>
      </c>
      <c r="O301" s="20"/>
      <c r="P301" s="20"/>
      <c r="Q301" s="134"/>
      <c r="R301" s="127"/>
      <c r="S301" s="157">
        <f t="shared" si="51"/>
        <v>3</v>
      </c>
      <c r="T301" s="158"/>
      <c r="U301" s="21">
        <v>0</v>
      </c>
      <c r="V301" s="21">
        <v>1</v>
      </c>
      <c r="W301" s="21">
        <v>0</v>
      </c>
      <c r="X301" s="156">
        <v>3</v>
      </c>
      <c r="Y301" s="157">
        <f t="shared" si="52"/>
        <v>3</v>
      </c>
      <c r="Z301" s="22"/>
      <c r="AA301" s="157">
        <f t="shared" si="53"/>
        <v>3</v>
      </c>
      <c r="AB301" s="20"/>
      <c r="AC301" s="34"/>
      <c r="AD301" s="23" t="str">
        <f t="shared" si="54"/>
        <v/>
      </c>
    </row>
    <row r="302" spans="1:30" ht="15.5" outlineLevel="2" x14ac:dyDescent="0.35">
      <c r="A302" s="86" t="s">
        <v>0</v>
      </c>
      <c r="B302" s="18"/>
      <c r="C302" s="78"/>
      <c r="D302" s="78"/>
      <c r="E302" s="78"/>
      <c r="F302" s="79"/>
      <c r="G302" s="19" t="s">
        <v>23</v>
      </c>
      <c r="H302" s="19" t="s">
        <v>23</v>
      </c>
      <c r="I302" s="20" t="s">
        <v>23</v>
      </c>
      <c r="J302" s="19" t="s">
        <v>23</v>
      </c>
      <c r="K302" s="35"/>
      <c r="L302" s="19"/>
      <c r="M302" s="263">
        <f t="shared" ca="1" si="50"/>
        <v>22.5</v>
      </c>
      <c r="N302" s="20" t="s">
        <v>1096</v>
      </c>
      <c r="O302" s="20"/>
      <c r="P302" s="20"/>
      <c r="Q302" s="134"/>
      <c r="R302" s="127"/>
      <c r="S302" s="157">
        <f t="shared" si="51"/>
        <v>2</v>
      </c>
      <c r="T302" s="158"/>
      <c r="U302" s="21">
        <v>0</v>
      </c>
      <c r="V302" s="21">
        <v>1</v>
      </c>
      <c r="W302" s="21">
        <v>0</v>
      </c>
      <c r="X302" s="156">
        <v>2</v>
      </c>
      <c r="Y302" s="157">
        <f t="shared" si="52"/>
        <v>2</v>
      </c>
      <c r="Z302" s="22"/>
      <c r="AA302" s="157">
        <f t="shared" si="53"/>
        <v>2</v>
      </c>
      <c r="AB302" s="20"/>
      <c r="AC302" s="34"/>
      <c r="AD302" s="23" t="str">
        <f t="shared" si="54"/>
        <v/>
      </c>
    </row>
    <row r="303" spans="1:30" ht="43.5" outlineLevel="2" x14ac:dyDescent="0.35">
      <c r="A303" s="86" t="s">
        <v>0</v>
      </c>
      <c r="B303" s="18"/>
      <c r="C303" s="78"/>
      <c r="D303" s="78"/>
      <c r="E303" s="78"/>
      <c r="F303" s="79"/>
      <c r="G303" s="19" t="s">
        <v>23</v>
      </c>
      <c r="H303" s="19" t="s">
        <v>23</v>
      </c>
      <c r="I303" s="20" t="s">
        <v>23</v>
      </c>
      <c r="J303" s="19" t="s">
        <v>23</v>
      </c>
      <c r="K303" s="35"/>
      <c r="L303" s="19"/>
      <c r="M303" s="263">
        <f t="shared" ca="1" si="50"/>
        <v>22.6</v>
      </c>
      <c r="N303" s="20" t="s">
        <v>1259</v>
      </c>
      <c r="O303" s="20"/>
      <c r="P303" s="20"/>
      <c r="Q303" s="134"/>
      <c r="R303" s="127"/>
      <c r="S303" s="157">
        <f t="shared" si="51"/>
        <v>3.5</v>
      </c>
      <c r="T303" s="158"/>
      <c r="U303" s="21">
        <v>0</v>
      </c>
      <c r="V303" s="21">
        <v>1</v>
      </c>
      <c r="W303" s="21">
        <v>0</v>
      </c>
      <c r="X303" s="156">
        <v>3.5</v>
      </c>
      <c r="Y303" s="157">
        <f t="shared" si="52"/>
        <v>3.5</v>
      </c>
      <c r="Z303" s="22"/>
      <c r="AA303" s="157">
        <f t="shared" si="53"/>
        <v>3.5</v>
      </c>
      <c r="AB303" s="20" t="s">
        <v>1260</v>
      </c>
      <c r="AC303" s="34"/>
      <c r="AD303" s="23" t="str">
        <f t="shared" si="54"/>
        <v/>
      </c>
    </row>
    <row r="304" spans="1:30" ht="72.5" outlineLevel="2" x14ac:dyDescent="0.35">
      <c r="A304" s="86" t="s">
        <v>0</v>
      </c>
      <c r="B304" s="18"/>
      <c r="C304" s="78"/>
      <c r="D304" s="78"/>
      <c r="E304" s="78"/>
      <c r="F304" s="79"/>
      <c r="G304" s="19" t="s">
        <v>23</v>
      </c>
      <c r="H304" s="19" t="s">
        <v>23</v>
      </c>
      <c r="I304" s="20" t="s">
        <v>23</v>
      </c>
      <c r="J304" s="19" t="s">
        <v>23</v>
      </c>
      <c r="K304" s="35"/>
      <c r="L304" s="19"/>
      <c r="M304" s="263">
        <f t="shared" ca="1" si="50"/>
        <v>22.7</v>
      </c>
      <c r="N304" s="20" t="s">
        <v>1261</v>
      </c>
      <c r="O304" s="20"/>
      <c r="P304" s="20"/>
      <c r="Q304" s="134"/>
      <c r="R304" s="127"/>
      <c r="S304" s="157">
        <f t="shared" si="51"/>
        <v>4</v>
      </c>
      <c r="T304" s="158"/>
      <c r="U304" s="21">
        <v>0</v>
      </c>
      <c r="V304" s="21">
        <v>1</v>
      </c>
      <c r="W304" s="21">
        <v>0</v>
      </c>
      <c r="X304" s="156">
        <v>4</v>
      </c>
      <c r="Y304" s="157">
        <f t="shared" si="52"/>
        <v>4</v>
      </c>
      <c r="Z304" s="22"/>
      <c r="AA304" s="157">
        <f t="shared" si="53"/>
        <v>4</v>
      </c>
      <c r="AB304" s="20"/>
      <c r="AC304" s="34"/>
      <c r="AD304" s="23" t="str">
        <f t="shared" si="54"/>
        <v/>
      </c>
    </row>
    <row r="305" spans="1:30" ht="58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>
        <f t="shared" ca="1" si="50"/>
        <v>22.8</v>
      </c>
      <c r="N305" s="20" t="s">
        <v>1262</v>
      </c>
      <c r="O305" s="20"/>
      <c r="P305" s="20"/>
      <c r="Q305" s="134"/>
      <c r="R305" s="127"/>
      <c r="S305" s="157">
        <f t="shared" si="51"/>
        <v>1.5</v>
      </c>
      <c r="T305" s="158"/>
      <c r="U305" s="21">
        <v>0</v>
      </c>
      <c r="V305" s="21">
        <v>1</v>
      </c>
      <c r="W305" s="21">
        <v>0</v>
      </c>
      <c r="X305" s="156">
        <v>1.5</v>
      </c>
      <c r="Y305" s="157">
        <f t="shared" si="52"/>
        <v>1.5</v>
      </c>
      <c r="Z305" s="22"/>
      <c r="AA305" s="157">
        <f t="shared" si="53"/>
        <v>1.5</v>
      </c>
      <c r="AB305" s="20"/>
      <c r="AC305" s="34"/>
      <c r="AD305" s="23" t="str">
        <f t="shared" si="54"/>
        <v/>
      </c>
    </row>
    <row r="306" spans="1:30" ht="58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ca="1">IFERROR(OFFSET(M306,-1,,1,1)+0.1,OFFSET(M306,-1,-1,1,1)&amp;".1")</f>
        <v>22.9</v>
      </c>
      <c r="N306" s="20" t="inlineStr">
        <is>
          <t xml:space="preserve">Rental-partner payouts for covered days; uncovered days billed to the customer</t>
        </is>
      </c>
      <c r="O306" s="20"/>
      <c r="P306" s="20"/>
      <c r="Q306" s="134"/>
      <c r="R306" s="127"/>
      <c r="S306" s="157">
        <f>CEILING((IF(J306="Yes", 0, IF(H306="-",AA306,AA306+AA306*VLOOKUP(H306,BUFFERS_BY_TYPE,2,FALSE)))) +
   (IF(J306="Yes", 0, IF(H306="-",AA306,AA306+AA306*VLOOKUP(H306,BUFFERS_BY_TYPE,2,FALSE))))*VLOOKUP($S$5, SALES_CALL_SCALE_ARRAY, 2,FALSE),0.25)</f>
        <v>2</v>
      </c>
      <c r="T306" s="158"/>
      <c r="U306" s="21">
        <v>0</v>
      </c>
      <c r="V306" s="21">
        <v>1</v>
      </c>
      <c r="W306" s="21">
        <v>0</v>
      </c>
      <c r="X306" s="156">
        <v>2</v>
      </c>
      <c r="Y306" s="157">
        <f>CEILING((IF(P306=AS_DEV_EFFORT, DEV_EFFORT*Q306%,
                           IF(P306=AS_DURATION_EFFORT, (MANUAL_DURATION*5)*Q306%,
                                    (IF(Q306&lt;=1,X306,
                                          IF(SUM(U306:W306)=0,(Q306*X306),
                                               (((Q306*U306)*(X306+(X306*EXTRA_FOR_H)))+
                                               ((Q306*V306)*X306)+
                                               ((Q306*W306)*(X306-(X306*LESS_FOR_L)))
                                    )*IF(R306=0,1,R306))))))+Z306), 0.25)</f>
        <v>2</v>
      </c>
      <c r="Z306" s="22"/>
      <c r="AA306" s="157">
        <f>Y306+Y306*VLOOKUP(I306,EXTRAS_ARRAY,2,FALSE)</f>
        <v>2</v>
      </c>
      <c r="AB306" s="20"/>
      <c r="AC306" s="34"/>
      <c r="AD306" s="23" t="str">
        <f>IF(J306&lt;&gt;"Yes",
IF(S306&lt;=0,"Error: Effort value is not defined or is invalid.",
IF(AND(SUM(U306:W306)&gt;0,SUM(U306:W306)&lt;&gt;1),"Error: Complexity % distribution should sum to 100%.",
IF(AND(P306=AS_DEV_EFFORT,X306&lt;&gt;0),"Error: PDs should not be defined when defining as dev effort %.",
IF(AND(P306=AS_DURATION_EFFORT,X306&lt;&gt;0),"Error: PDs should not be defined when defining as duration effort %.","")))))</f>
        <v/>
      </c>
    </row>
    <row r="307" spans="1:30" ht="58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ca="1">IFERROR(OFFSET(M307,-1,,1,1)+0.1,OFFSET(M307,-1,-1,1,1)&amp;".1")</f>
        <v>23</v>
      </c>
      <c r="N307" s="20" t="inlineStr">
        <is>
          <t xml:space="preserve">Total-loss and theft settlement payouts after SettlementAccepted</t>
        </is>
      </c>
      <c r="O307" s="20"/>
      <c r="P307" s="20"/>
      <c r="Q307" s="134"/>
      <c r="R307" s="127"/>
      <c r="S307" s="157">
        <f>CEILING((IF(J307="Yes", 0, IF(H307="-",AA307,AA307+AA307*VLOOKUP(H307,BUFFERS_BY_TYPE,2,FALSE)))) +
   (IF(J307="Yes", 0, IF(H307="-",AA307,AA307+AA307*VLOOKUP(H307,BUFFERS_BY_TYPE,2,FALSE))))*VLOOKUP($S$5, SALES_CALL_SCALE_ARRAY, 2,FALSE),0.25)</f>
        <v>1</v>
      </c>
      <c r="T307" s="158"/>
      <c r="U307" s="21">
        <v>0</v>
      </c>
      <c r="V307" s="21">
        <v>1</v>
      </c>
      <c r="W307" s="21">
        <v>0</v>
      </c>
      <c r="X307" s="156">
        <v>1</v>
      </c>
      <c r="Y307" s="157">
        <f>CEILING((IF(P307=AS_DEV_EFFORT, DEV_EFFORT*Q307%,
                           IF(P307=AS_DURATION_EFFORT, (MANUAL_DURATION*5)*Q307%,
                                    (IF(Q307&lt;=1,X307,
                                          IF(SUM(U307:W307)=0,(Q307*X307),
                                               (((Q307*U307)*(X307+(X307*EXTRA_FOR_H)))+
                                               ((Q307*V307)*X307)+
                                               ((Q307*W307)*(X307-(X307*LESS_FOR_L)))
                                    )*IF(R307=0,1,R307))))))+Z307), 0.25)</f>
        <v>1</v>
      </c>
      <c r="Z307" s="22"/>
      <c r="AA307" s="157">
        <f>Y307+Y307*VLOOKUP(I307,EXTRAS_ARRAY,2,FALSE)</f>
        <v>1</v>
      </c>
      <c r="AB307" s="20"/>
      <c r="AC307" s="34"/>
      <c r="AD307" s="23" t="str">
        <f>IF(J307&lt;&gt;"Yes",
IF(S307&lt;=0,"Error: Effort value is not defined or is invalid.",
IF(AND(SUM(U307:W307)&gt;0,SUM(U307:W307)&lt;&gt;1),"Error: Complexity % distribution should sum to 100%.",
IF(AND(P307=AS_DEV_EFFORT,X307&lt;&gt;0),"Error: PDs should not be defined when defining as dev effort %.",
IF(AND(P307=AS_DURATION_EFFORT,X307&lt;&gt;0),"Error: PDs should not be defined when defining as duration effort %.","")))))</f>
        <v/>
      </c>
    </row>
    <row r="308" spans="1:30" ht="58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ca="1">IFERROR(OFFSET(M308,-1,,1,1)+0.1,OFFSET(M308,-1,-1,1,1)&amp;".1")</f>
        <v>23.1</v>
      </c>
      <c r="N308" s="20" t="inlineStr">
        <is>
          <t xml:space="preserve">Premium payment on the hosted page, posted to E3 (PremiumPaid)</t>
        </is>
      </c>
      <c r="O308" s="20"/>
      <c r="P308" s="20"/>
      <c r="Q308" s="134"/>
      <c r="R308" s="127"/>
      <c r="S308" s="157">
        <f>CEILING((IF(J308="Yes", 0, IF(H308="-",AA308,AA308+AA308*VLOOKUP(H308,BUFFERS_BY_TYPE,2,FALSE)))) +
   (IF(J308="Yes", 0, IF(H308="-",AA308,AA308+AA308*VLOOKUP(H308,BUFFERS_BY_TYPE,2,FALSE))))*VLOOKUP($S$5, SALES_CALL_SCALE_ARRAY, 2,FALSE),0.25)</f>
        <v>3.5</v>
      </c>
      <c r="T308" s="158"/>
      <c r="U308" s="21">
        <v>0</v>
      </c>
      <c r="V308" s="21">
        <v>1</v>
      </c>
      <c r="W308" s="21">
        <v>0</v>
      </c>
      <c r="X308" s="156">
        <v>3.5</v>
      </c>
      <c r="Y308" s="157">
        <f>CEILING((IF(P308=AS_DEV_EFFORT, DEV_EFFORT*Q308%,
                           IF(P308=AS_DURATION_EFFORT, (MANUAL_DURATION*5)*Q308%,
                                    (IF(Q308&lt;=1,X308,
                                          IF(SUM(U308:W308)=0,(Q308*X308),
                                               (((Q308*U308)*(X308+(X308*EXTRA_FOR_H)))+
                                               ((Q308*V308)*X308)+
                                               ((Q308*W308)*(X308-(X308*LESS_FOR_L)))
                                    )*IF(R308=0,1,R308))))))+Z308), 0.25)</f>
        <v>3.5</v>
      </c>
      <c r="Z308" s="22"/>
      <c r="AA308" s="157">
        <f>Y308+Y308*VLOOKUP(I308,EXTRAS_ARRAY,2,FALSE)</f>
        <v>3.5</v>
      </c>
      <c r="AB308" s="20" t="inlineStr">
        <is>
          <t xml:space="preserve">E3 accepts postings (Assumption 19)</t>
        </is>
      </c>
      <c r="AC308" s="34"/>
      <c r="AD308" s="23" t="str">
        <f>IF(J308&lt;&gt;"Yes",
IF(S308&lt;=0,"Error: Effort value is not defined or is invalid.",
IF(AND(SUM(U308:W308)&gt;0,SUM(U308:W308)&lt;&gt;1),"Error: Complexity % distribution should sum to 100%.",
IF(AND(P308=AS_DEV_EFFORT,X308&lt;&gt;0),"Error: PDs should not be defined when defining as dev effort %.",
IF(AND(P308=AS_DURATION_EFFORT,X308&lt;&gt;0),"Error: PDs should not be defined when defining as duration effort %.","")))))</f>
        <v/>
      </c>
    </row>
    <row r="309" spans="1:30" ht="58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ca="1">IFERROR(OFFSET(M309,-1,,1,1)+0.1,OFFSET(M309,-1,-1,1,1)&amp;".1")</f>
        <v>23.2</v>
      </c>
      <c r="N309" s="20" t="inlineStr">
        <is>
          <t xml:space="preserve">Ledger postings for every payment, payout and refund to YCompany's general ledger (E4) through the outbox, over the private link</t>
        </is>
      </c>
      <c r="O309" s="20"/>
      <c r="P309" s="20"/>
      <c r="Q309" s="134"/>
      <c r="R309" s="127"/>
      <c r="S309" s="157">
        <f>CEILING((IF(J309="Yes", 0, IF(H309="-",AA309,AA309+AA309*VLOOKUP(H309,BUFFERS_BY_TYPE,2,FALSE)))) +
   (IF(J309="Yes", 0, IF(H309="-",AA309,AA309+AA309*VLOOKUP(H309,BUFFERS_BY_TYPE,2,FALSE))))*VLOOKUP($S$5, SALES_CALL_SCALE_ARRAY, 2,FALSE),0.25)</f>
        <v>3</v>
      </c>
      <c r="T309" s="158"/>
      <c r="U309" s="21">
        <v>0</v>
      </c>
      <c r="V309" s="21">
        <v>1</v>
      </c>
      <c r="W309" s="21">
        <v>0</v>
      </c>
      <c r="X309" s="156">
        <v>3</v>
      </c>
      <c r="Y309" s="157">
        <f>CEILING((IF(P309=AS_DEV_EFFORT, DEV_EFFORT*Q309%,
                           IF(P309=AS_DURATION_EFFORT, (MANUAL_DURATION*5)*Q309%,
                                    (IF(Q309&lt;=1,X309,
                                          IF(SUM(U309:W309)=0,(Q309*X309),
                                               (((Q309*U309)*(X309+(X309*EXTRA_FOR_H)))+
                                               ((Q309*V309)*X309)+
                                               ((Q309*W309)*(X309-(X309*LESS_FOR_L)))
                                    )*IF(R309=0,1,R309))))))+Z309), 0.25)</f>
        <v>3</v>
      </c>
      <c r="Z309" s="22"/>
      <c r="AA309" s="157">
        <f>Y309+Y309*VLOOKUP(I309,EXTRAS_ARRAY,2,FALSE)</f>
        <v>3</v>
      </c>
      <c r="AB309" s="20"/>
      <c r="AC309" s="34"/>
      <c r="AD309" s="23" t="str">
        <f>IF(J309&lt;&gt;"Yes",
IF(S309&lt;=0,"Error: Effort value is not defined or is invalid.",
IF(AND(SUM(U309:W309)&gt;0,SUM(U309:W309)&lt;&gt;1),"Error: Complexity % distribution should sum to 100%.",
IF(AND(P309=AS_DEV_EFFORT,X309&lt;&gt;0),"Error: PDs should not be defined when defining as dev effort %.",
IF(AND(P309=AS_DURATION_EFFORT,X309&lt;&gt;0),"Error: PDs should not be defined when defining as duration effort %.","")))))</f>
        <v/>
      </c>
    </row>
    <row r="310" spans="1:30" s="9" customFormat="1" ht="7.5" customHeight="1" outlineLevel="2" x14ac:dyDescent="0.35">
      <c r="A310" s="86" t="s">
        <v>132</v>
      </c>
      <c r="B310" s="15"/>
      <c r="C310" s="72"/>
      <c r="D310" s="72"/>
      <c r="E310" s="72"/>
      <c r="F310" s="72"/>
      <c r="M310" s="252"/>
      <c r="T310" s="15"/>
      <c r="X310" s="15"/>
      <c r="AB310" s="10"/>
      <c r="AC310" s="10"/>
      <c r="AD310" s="10"/>
    </row>
    <row r="311" spans="1:30" s="14" customFormat="1" ht="15.5" outlineLevel="1" x14ac:dyDescent="0.35">
      <c r="A311" s="86" t="s">
        <v>100</v>
      </c>
      <c r="B311" s="18"/>
      <c r="C311" s="77"/>
      <c r="D311" s="77"/>
      <c r="E311" s="77"/>
      <c r="F311" s="76"/>
      <c r="G311" s="29"/>
      <c r="H311" s="29"/>
      <c r="I311" s="29"/>
      <c r="J311" s="29"/>
      <c r="K311" s="29"/>
      <c r="L311" s="17">
        <f ca="1">LOOKUP(1000,INDIRECT("L1:"&amp;CELL("address",INDIRECT("R[-1]C",FALSE))))+1</f>
        <v>23</v>
      </c>
      <c r="M311" s="295" t="s">
        <v>1097</v>
      </c>
      <c r="N311" s="296"/>
      <c r="O311" s="5"/>
      <c r="P311" s="30"/>
      <c r="Q311" s="30"/>
      <c r="R311" s="30"/>
      <c r="S311" s="30"/>
      <c r="T311" s="155">
        <f>IF($S$6="Exclude", SUMIFS(S312:S322, J312:J322, "&lt;&gt;Yes", G312:G322, "&lt;&gt;Yes"), SUMIFS(S312:S322, J312:J322, "&lt;&gt;Yes"))</f>
        <v>27.5</v>
      </c>
      <c r="U311" s="30"/>
      <c r="V311" s="30"/>
      <c r="W311" s="30"/>
      <c r="X311" s="31"/>
      <c r="Y311" s="32"/>
      <c r="Z311" s="32"/>
      <c r="AA311" s="32"/>
      <c r="AB311" s="219" t="s">
        <v>955</v>
      </c>
      <c r="AC311" s="33"/>
      <c r="AD311" s="23" t="str">
        <f>IF(M311="", "Error: Task name cannot be empty.", "")</f>
        <v/>
      </c>
    </row>
    <row r="312" spans="1:30" s="12" customFormat="1" ht="1.5" customHeight="1" outlineLevel="2" x14ac:dyDescent="0.35">
      <c r="A312" s="86" t="s">
        <v>101</v>
      </c>
      <c r="B312" s="18"/>
      <c r="C312" s="77"/>
      <c r="D312" s="77"/>
      <c r="E312" s="77"/>
      <c r="F312" s="76"/>
      <c r="G312" s="29"/>
      <c r="H312" s="29"/>
      <c r="I312" s="29"/>
      <c r="J312" s="29"/>
      <c r="K312" s="29"/>
      <c r="L312" s="163">
        <f ca="1">L311</f>
        <v>23</v>
      </c>
      <c r="M312" s="164" t="s">
        <v>105</v>
      </c>
      <c r="N312" s="161"/>
      <c r="O312" s="162"/>
      <c r="P312" s="30"/>
      <c r="Q312" s="30"/>
      <c r="R312" s="30"/>
      <c r="S312" s="30"/>
      <c r="T312" s="155"/>
      <c r="U312" s="30"/>
      <c r="V312" s="30"/>
      <c r="W312" s="30"/>
      <c r="X312" s="31"/>
      <c r="Y312" s="32"/>
      <c r="Z312" s="32"/>
      <c r="AA312" s="32"/>
      <c r="AB312" s="33"/>
      <c r="AC312" s="33"/>
      <c r="AD312" s="23"/>
    </row>
    <row r="313" spans="1:30" ht="29" outlineLevel="2" x14ac:dyDescent="0.35">
      <c r="A313" s="86" t="s">
        <v>0</v>
      </c>
      <c r="B313" s="18"/>
      <c r="C313" s="78"/>
      <c r="D313" s="78"/>
      <c r="E313" s="78"/>
      <c r="F313" s="79"/>
      <c r="G313" s="19" t="s">
        <v>23</v>
      </c>
      <c r="H313" s="19" t="s">
        <v>23</v>
      </c>
      <c r="I313" s="20" t="s">
        <v>23</v>
      </c>
      <c r="J313" s="19" t="s">
        <v>23</v>
      </c>
      <c r="K313" s="35"/>
      <c r="L313" s="19"/>
      <c r="M313" s="263" t="str">
        <f t="shared" ref="M313:M321" ca="1" si="55">IFERROR(OFFSET(M313,-1,,1,1)+0.1,OFFSET(M313,-1,-1,1,1)&amp;".1")</f>
        <v>23.1</v>
      </c>
      <c r="N313" s="20" t="s">
        <v>1098</v>
      </c>
      <c r="O313" s="20"/>
      <c r="P313" s="20"/>
      <c r="Q313" s="134"/>
      <c r="R313" s="127"/>
      <c r="S313" s="157">
        <f t="shared" ref="S313:S321" si="56">CEILING((IF(J313="Yes", 0, IF(H313="-",AA313,AA313+AA313*VLOOKUP(H313,BUFFERS_BY_TYPE,2,FALSE)))) +
   (IF(J313="Yes", 0, IF(H313="-",AA313,AA313+AA313*VLOOKUP(H313,BUFFERS_BY_TYPE,2,FALSE))))*VLOOKUP($S$5, SALES_CALL_SCALE_ARRAY, 2,FALSE),0.25)</f>
        <v>4.5</v>
      </c>
      <c r="T313" s="158"/>
      <c r="U313" s="21">
        <v>0</v>
      </c>
      <c r="V313" s="21">
        <v>1</v>
      </c>
      <c r="W313" s="21">
        <v>0</v>
      </c>
      <c r="X313" s="156">
        <v>4.5</v>
      </c>
      <c r="Y313" s="157">
        <f t="shared" ref="Y313:Y321" si="57">CEILING((IF(P313=AS_DEV_EFFORT, DEV_EFFORT*Q313%,
                           IF(P313=AS_DURATION_EFFORT, (MANUAL_DURATION*5)*Q313%,
                                    (IF(Q313&lt;=1,X313,
                                          IF(SUM(U313:W313)=0,(Q313*X313),
                                               (((Q313*U313)*(X313+(X313*EXTRA_FOR_H)))+
                                               ((Q313*V313)*X313)+
                                               ((Q313*W313)*(X313-(X313*LESS_FOR_L)))
                                    )*IF(R313=0,1,R313))))))+Z313), 0.25)</f>
        <v>4.5</v>
      </c>
      <c r="Z313" s="22"/>
      <c r="AA313" s="157">
        <f t="shared" ref="AA313:AA321" si="58">Y313+Y313*VLOOKUP(I313,EXTRAS_ARRAY,2,FALSE)</f>
        <v>4.5</v>
      </c>
      <c r="AB313" s="20"/>
      <c r="AC313" s="34"/>
      <c r="AD313" s="23" t="str">
        <f t="shared" ref="AD313:AD321" si="59">IF(J313&lt;&gt;"Yes",
IF(S313&lt;=0,"Error: Effort value is not defined or is invalid.",
IF(AND(SUM(U313:W313)&gt;0,SUM(U313:W313)&lt;&gt;1),"Error: Complexity % distribution should sum to 100%.",
IF(AND(P313=AS_DEV_EFFORT,X313&lt;&gt;0),"Error: PDs should not be defined when defining as dev effort %.",
IF(AND(P313=AS_DURATION_EFFORT,X313&lt;&gt;0),"Error: PDs should not be defined when defining as duration effort %.","")))))</f>
        <v/>
      </c>
    </row>
    <row r="314" spans="1:30" ht="15.5" outlineLevel="2" x14ac:dyDescent="0.35">
      <c r="A314" s="86" t="s">
        <v>0</v>
      </c>
      <c r="B314" s="18"/>
      <c r="C314" s="78"/>
      <c r="D314" s="78"/>
      <c r="E314" s="78"/>
      <c r="F314" s="79"/>
      <c r="G314" s="19" t="s">
        <v>23</v>
      </c>
      <c r="H314" s="19" t="s">
        <v>23</v>
      </c>
      <c r="I314" s="20" t="s">
        <v>23</v>
      </c>
      <c r="J314" s="19" t="s">
        <v>23</v>
      </c>
      <c r="K314" s="35"/>
      <c r="L314" s="19"/>
      <c r="M314" s="263">
        <f t="shared" ca="1" si="55"/>
        <v>23.2</v>
      </c>
      <c r="N314" s="20" t="s">
        <v>1099</v>
      </c>
      <c r="O314" s="20"/>
      <c r="P314" s="20"/>
      <c r="Q314" s="134"/>
      <c r="R314" s="127"/>
      <c r="S314" s="157">
        <f t="shared" si="56"/>
        <v>4.5</v>
      </c>
      <c r="T314" s="158"/>
      <c r="U314" s="21">
        <v>0</v>
      </c>
      <c r="V314" s="21">
        <v>1</v>
      </c>
      <c r="W314" s="21">
        <v>0</v>
      </c>
      <c r="X314" s="156">
        <v>4.5</v>
      </c>
      <c r="Y314" s="157">
        <f t="shared" si="57"/>
        <v>4.5</v>
      </c>
      <c r="Z314" s="22"/>
      <c r="AA314" s="157">
        <f t="shared" si="58"/>
        <v>4.5</v>
      </c>
      <c r="AB314" s="20"/>
      <c r="AC314" s="34"/>
      <c r="AD314" s="23" t="str">
        <f t="shared" si="59"/>
        <v/>
      </c>
    </row>
    <row r="315" spans="1:30" ht="15.5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>
        <f t="shared" ca="1" si="55"/>
        <v>23.3</v>
      </c>
      <c r="N315" s="20" t="s">
        <v>1100</v>
      </c>
      <c r="O315" s="20"/>
      <c r="P315" s="20"/>
      <c r="Q315" s="134"/>
      <c r="R315" s="127"/>
      <c r="S315" s="157">
        <f t="shared" si="56"/>
        <v>3</v>
      </c>
      <c r="T315" s="158"/>
      <c r="U315" s="21">
        <v>0</v>
      </c>
      <c r="V315" s="21">
        <v>1</v>
      </c>
      <c r="W315" s="21">
        <v>0</v>
      </c>
      <c r="X315" s="156">
        <v>3</v>
      </c>
      <c r="Y315" s="157">
        <f t="shared" si="57"/>
        <v>3</v>
      </c>
      <c r="Z315" s="22"/>
      <c r="AA315" s="157">
        <f t="shared" si="58"/>
        <v>3</v>
      </c>
      <c r="AB315" s="20"/>
      <c r="AC315" s="34"/>
      <c r="AD315" s="23" t="str">
        <f t="shared" si="59"/>
        <v/>
      </c>
    </row>
    <row r="316" spans="1:30" ht="15.5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t="shared" ca="1" si="55"/>
        <v>23.4</v>
      </c>
      <c r="N316" s="20" t="s">
        <v>1101</v>
      </c>
      <c r="O316" s="20"/>
      <c r="P316" s="20"/>
      <c r="Q316" s="134"/>
      <c r="R316" s="127"/>
      <c r="S316" s="157">
        <f t="shared" si="56"/>
        <v>4</v>
      </c>
      <c r="T316" s="158"/>
      <c r="U316" s="21">
        <v>0</v>
      </c>
      <c r="V316" s="21">
        <v>1</v>
      </c>
      <c r="W316" s="21">
        <v>0</v>
      </c>
      <c r="X316" s="156">
        <v>4</v>
      </c>
      <c r="Y316" s="157">
        <f t="shared" si="57"/>
        <v>4</v>
      </c>
      <c r="Z316" s="22"/>
      <c r="AA316" s="157">
        <f t="shared" si="58"/>
        <v>4</v>
      </c>
      <c r="AB316" s="20"/>
      <c r="AC316" s="34"/>
      <c r="AD316" s="23" t="str">
        <f t="shared" si="59"/>
        <v/>
      </c>
    </row>
    <row r="317" spans="1:30" ht="15.5" outlineLevel="2" x14ac:dyDescent="0.35">
      <c r="A317" s="86" t="s">
        <v>0</v>
      </c>
      <c r="B317" s="18"/>
      <c r="C317" s="78"/>
      <c r="D317" s="78"/>
      <c r="E317" s="78"/>
      <c r="F317" s="79"/>
      <c r="G317" s="19" t="s">
        <v>23</v>
      </c>
      <c r="H317" s="19" t="s">
        <v>23</v>
      </c>
      <c r="I317" s="20" t="s">
        <v>23</v>
      </c>
      <c r="J317" s="19" t="s">
        <v>23</v>
      </c>
      <c r="K317" s="35"/>
      <c r="L317" s="19"/>
      <c r="M317" s="263">
        <f t="shared" ca="1" si="55"/>
        <v>23.5</v>
      </c>
      <c r="N317" s="20" t="s">
        <v>1102</v>
      </c>
      <c r="O317" s="20"/>
      <c r="P317" s="20"/>
      <c r="Q317" s="134"/>
      <c r="R317" s="127"/>
      <c r="S317" s="157">
        <f t="shared" si="56"/>
        <v>2</v>
      </c>
      <c r="T317" s="158"/>
      <c r="U317" s="21">
        <v>0</v>
      </c>
      <c r="V317" s="21">
        <v>1</v>
      </c>
      <c r="W317" s="21">
        <v>0</v>
      </c>
      <c r="X317" s="156">
        <v>2</v>
      </c>
      <c r="Y317" s="157">
        <f t="shared" si="57"/>
        <v>2</v>
      </c>
      <c r="Z317" s="22"/>
      <c r="AA317" s="157">
        <f t="shared" si="58"/>
        <v>2</v>
      </c>
      <c r="AB317" s="20"/>
      <c r="AC317" s="34"/>
      <c r="AD317" s="23" t="str">
        <f t="shared" si="59"/>
        <v/>
      </c>
    </row>
    <row r="318" spans="1:30" ht="72.5" outlineLevel="2" x14ac:dyDescent="0.35">
      <c r="A318" s="86" t="s">
        <v>0</v>
      </c>
      <c r="B318" s="18"/>
      <c r="C318" s="78"/>
      <c r="D318" s="78"/>
      <c r="E318" s="78"/>
      <c r="F318" s="79"/>
      <c r="G318" s="19" t="s">
        <v>23</v>
      </c>
      <c r="H318" s="19" t="s">
        <v>23</v>
      </c>
      <c r="I318" s="20" t="s">
        <v>23</v>
      </c>
      <c r="J318" s="19" t="s">
        <v>23</v>
      </c>
      <c r="K318" s="35"/>
      <c r="L318" s="19"/>
      <c r="M318" s="263">
        <f ca="1">IFERROR(OFFSET(M318,-1,,1,1)+0.1,OFFSET(M318,-1,-1,1,1)&amp;".1")</f>
        <v>23.6</v>
      </c>
      <c r="N318" s="20" t="s">
        <v>1263</v>
      </c>
      <c r="O318" s="20"/>
      <c r="P318" s="20"/>
      <c r="Q318" s="134"/>
      <c r="R318" s="127"/>
      <c r="S318" s="157">
        <f>CEILING((IF(J318="Yes", 0, IF(H318="-",AA318,AA318+AA318*VLOOKUP(H318,BUFFERS_BY_TYPE,2,FALSE)))) +
   (IF(J318="Yes", 0, IF(H318="-",AA318,AA318+AA318*VLOOKUP(H318,BUFFERS_BY_TYPE,2,FALSE))))*VLOOKUP($S$5, SALES_CALL_SCALE_ARRAY, 2,FALSE),0.25)</f>
        <v>3</v>
      </c>
      <c r="T318" s="158"/>
      <c r="U318" s="21">
        <v>0</v>
      </c>
      <c r="V318" s="21">
        <v>1</v>
      </c>
      <c r="W318" s="21">
        <v>0</v>
      </c>
      <c r="X318" s="156">
        <v>3</v>
      </c>
      <c r="Y318" s="157">
        <f>CEILING((IF(P318=AS_DEV_EFFORT, DEV_EFFORT*Q318%,
                           IF(P318=AS_DURATION_EFFORT, (MANUAL_DURATION*5)*Q318%,
                                    (IF(Q318&lt;=1,X318,
                                          IF(SUM(U318:W318)=0,(Q318*X318),
                                               (((Q318*U318)*(X318+(X318*EXTRA_FOR_H)))+
                                               ((Q318*V318)*X318)+
                                               ((Q318*W318)*(X318-(X318*LESS_FOR_L)))
                                    )*IF(R318=0,1,R318))))))+Z318), 0.25)</f>
        <v>3</v>
      </c>
      <c r="Z318" s="22"/>
      <c r="AA318" s="157">
        <f>Y318+Y318*VLOOKUP(I318,EXTRAS_ARRAY,2,FALSE)</f>
        <v>3</v>
      </c>
      <c r="AB318" s="20" t="s">
        <v>1264</v>
      </c>
      <c r="AC318" s="34"/>
      <c r="AD318" s="23" t="str">
        <f>IF(J318&lt;&gt;"Yes",
IF(S318&lt;=0,"Error: Effort value is not defined or is invalid.",
IF(AND(SUM(U318:W318)&gt;0,SUM(U318:W318)&lt;&gt;1),"Error: Complexity % distribution should sum to 100%.",
IF(AND(P318=AS_DEV_EFFORT,X318&lt;&gt;0),"Error: PDs should not be defined when defining as dev effort %.",
IF(AND(P318=AS_DURATION_EFFORT,X318&lt;&gt;0),"Error: PDs should not be defined when defining as duration effort %.","")))))</f>
        <v/>
      </c>
    </row>
    <row r="319" spans="1:30" ht="72.5" outlineLevel="2" x14ac:dyDescent="0.35">
      <c r="A319" s="86" t="s">
        <v>0</v>
      </c>
      <c r="B319" s="18"/>
      <c r="C319" s="78"/>
      <c r="D319" s="78"/>
      <c r="E319" s="78"/>
      <c r="F319" s="79"/>
      <c r="G319" s="19" t="s">
        <v>23</v>
      </c>
      <c r="H319" s="19" t="s">
        <v>23</v>
      </c>
      <c r="I319" s="20" t="s">
        <v>23</v>
      </c>
      <c r="J319" s="19" t="s">
        <v>23</v>
      </c>
      <c r="K319" s="35"/>
      <c r="L319" s="19"/>
      <c r="M319" s="263">
        <f ca="1">IFERROR(OFFSET(M319,-1,,1,1)+0.1,OFFSET(M319,-1,-1,1,1)&amp;".1")</f>
        <v>23.7</v>
      </c>
      <c r="N319" s="20" t="s">
        <v>1265</v>
      </c>
      <c r="O319" s="20"/>
      <c r="P319" s="20"/>
      <c r="Q319" s="134"/>
      <c r="R319" s="127"/>
      <c r="S319" s="157">
        <f>CEILING((IF(J319="Yes", 0, IF(H319="-",AA319,AA319+AA319*VLOOKUP(H319,BUFFERS_BY_TYPE,2,FALSE)))) +
   (IF(J319="Yes", 0, IF(H319="-",AA319,AA319+AA319*VLOOKUP(H319,BUFFERS_BY_TYPE,2,FALSE))))*VLOOKUP($S$5, SALES_CALL_SCALE_ARRAY, 2,FALSE),0.25)</f>
        <v>3</v>
      </c>
      <c r="T319" s="158"/>
      <c r="U319" s="21">
        <v>0</v>
      </c>
      <c r="V319" s="21">
        <v>1</v>
      </c>
      <c r="W319" s="21">
        <v>0</v>
      </c>
      <c r="X319" s="156">
        <v>3</v>
      </c>
      <c r="Y319" s="157">
        <f>CEILING((IF(P319=AS_DEV_EFFORT, DEV_EFFORT*Q319%,
                           IF(P319=AS_DURATION_EFFORT, (MANUAL_DURATION*5)*Q319%,
                                    (IF(Q319&lt;=1,X319,
                                          IF(SUM(U319:W319)=0,(Q319*X319),
                                               (((Q319*U319)*(X319+(X319*EXTRA_FOR_H)))+
                                               ((Q319*V319)*X319)+
                                               ((Q319*W319)*(X319-(X319*LESS_FOR_L)))
                                    )*IF(R319=0,1,R319))))))+Z319), 0.25)</f>
        <v>3</v>
      </c>
      <c r="Z319" s="22"/>
      <c r="AA319" s="157">
        <f>Y319+Y319*VLOOKUP(I319,EXTRAS_ARRAY,2,FALSE)</f>
        <v>3</v>
      </c>
      <c r="AB319" s="20"/>
      <c r="AC319" s="34"/>
      <c r="AD319" s="23" t="str">
        <f>IF(J319&lt;&gt;"Yes",
IF(S319&lt;=0,"Error: Effort value is not defined or is invalid.",
IF(AND(SUM(U319:W319)&gt;0,SUM(U319:W319)&lt;&gt;1),"Error: Complexity % distribution should sum to 100%.",
IF(AND(P319=AS_DEV_EFFORT,X319&lt;&gt;0),"Error: PDs should not be defined when defining as dev effort %.",
IF(AND(P319=AS_DURATION_EFFORT,X319&lt;&gt;0),"Error: PDs should not be defined when defining as duration effort %.","")))))</f>
        <v/>
      </c>
    </row>
    <row r="320" spans="1:30" ht="43.5" outlineLevel="2" x14ac:dyDescent="0.35">
      <c r="A320" s="86" t="s">
        <v>0</v>
      </c>
      <c r="B320" s="18"/>
      <c r="C320" s="78"/>
      <c r="D320" s="78"/>
      <c r="E320" s="78"/>
      <c r="F320" s="79"/>
      <c r="G320" s="19" t="s">
        <v>23</v>
      </c>
      <c r="H320" s="19" t="s">
        <v>23</v>
      </c>
      <c r="I320" s="20" t="s">
        <v>23</v>
      </c>
      <c r="J320" s="19" t="s">
        <v>23</v>
      </c>
      <c r="K320" s="35"/>
      <c r="L320" s="19"/>
      <c r="M320" s="263">
        <f ca="1">IFERROR(OFFSET(M320,-1,,1,1)+0.1,OFFSET(M320,-1,-1,1,1)&amp;".1")</f>
        <v>23.8</v>
      </c>
      <c r="N320" s="20" t="s">
        <v>1266</v>
      </c>
      <c r="O320" s="20"/>
      <c r="P320" s="20"/>
      <c r="Q320" s="134"/>
      <c r="R320" s="127"/>
      <c r="S320" s="157">
        <f>CEILING((IF(J320="Yes", 0, IF(H320="-",AA320,AA320+AA320*VLOOKUP(H320,BUFFERS_BY_TYPE,2,FALSE)))) +
   (IF(J320="Yes", 0, IF(H320="-",AA320,AA320+AA320*VLOOKUP(H320,BUFFERS_BY_TYPE,2,FALSE))))*VLOOKUP($S$5, SALES_CALL_SCALE_ARRAY, 2,FALSE),0.25)</f>
        <v>2</v>
      </c>
      <c r="T320" s="158"/>
      <c r="U320" s="21">
        <v>0</v>
      </c>
      <c r="V320" s="21">
        <v>1</v>
      </c>
      <c r="W320" s="21">
        <v>0</v>
      </c>
      <c r="X320" s="156">
        <v>2</v>
      </c>
      <c r="Y320" s="157">
        <f>CEILING((IF(P320=AS_DEV_EFFORT, DEV_EFFORT*Q320%,
                           IF(P320=AS_DURATION_EFFORT, (MANUAL_DURATION*5)*Q320%,
                                    (IF(Q320&lt;=1,X320,
                                          IF(SUM(U320:W320)=0,(Q320*X320),
                                               (((Q320*U320)*(X320+(X320*EXTRA_FOR_H)))+
                                               ((Q320*V320)*X320)+
                                               ((Q320*W320)*(X320-(X320*LESS_FOR_L)))
                                    )*IF(R320=0,1,R320))))))+Z320), 0.25)</f>
        <v>2</v>
      </c>
      <c r="Z320" s="22"/>
      <c r="AA320" s="157">
        <f>Y320+Y320*VLOOKUP(I320,EXTRAS_ARRAY,2,FALSE)</f>
        <v>2</v>
      </c>
      <c r="AB320" s="20"/>
      <c r="AC320" s="34"/>
      <c r="AD320" s="23" t="str">
        <f>IF(J320&lt;&gt;"Yes",
IF(S320&lt;=0,"Error: Effort value is not defined or is invalid.",
IF(AND(SUM(U320:W320)&gt;0,SUM(U320:W320)&lt;&gt;1),"Error: Complexity % distribution should sum to 100%.",
IF(AND(P320=AS_DEV_EFFORT,X320&lt;&gt;0),"Error: PDs should not be defined when defining as dev effort %.",
IF(AND(P320=AS_DURATION_EFFORT,X320&lt;&gt;0),"Error: PDs should not be defined when defining as duration effort %.","")))))</f>
        <v/>
      </c>
    </row>
    <row r="321" spans="1:30" ht="43.5" outlineLevel="2" x14ac:dyDescent="0.35">
      <c r="A321" s="86" t="s">
        <v>0</v>
      </c>
      <c r="B321" s="18"/>
      <c r="C321" s="78"/>
      <c r="D321" s="78"/>
      <c r="E321" s="78"/>
      <c r="F321" s="79"/>
      <c r="G321" s="19" t="s">
        <v>23</v>
      </c>
      <c r="H321" s="19" t="s">
        <v>23</v>
      </c>
      <c r="I321" s="20" t="s">
        <v>23</v>
      </c>
      <c r="J321" s="19" t="s">
        <v>23</v>
      </c>
      <c r="K321" s="35"/>
      <c r="L321" s="19"/>
      <c r="M321" s="263">
        <f t="shared" ca="1" si="55"/>
        <v>23.9</v>
      </c>
      <c r="N321" s="20" t="s">
        <v>1267</v>
      </c>
      <c r="O321" s="20"/>
      <c r="P321" s="20"/>
      <c r="Q321" s="134"/>
      <c r="R321" s="127"/>
      <c r="S321" s="157">
        <f t="shared" si="56"/>
        <v>1.5</v>
      </c>
      <c r="T321" s="158"/>
      <c r="U321" s="21">
        <v>0</v>
      </c>
      <c r="V321" s="21">
        <v>1</v>
      </c>
      <c r="W321" s="21">
        <v>0</v>
      </c>
      <c r="X321" s="156">
        <v>1.5</v>
      </c>
      <c r="Y321" s="157">
        <f t="shared" si="57"/>
        <v>1.5</v>
      </c>
      <c r="Z321" s="22"/>
      <c r="AA321" s="157">
        <f t="shared" si="58"/>
        <v>1.5</v>
      </c>
      <c r="AB321" s="20"/>
      <c r="AC321" s="34"/>
      <c r="AD321" s="23" t="str">
        <f t="shared" si="59"/>
        <v/>
      </c>
    </row>
    <row r="322" spans="1:30" s="9" customFormat="1" ht="7.5" customHeight="1" outlineLevel="2" x14ac:dyDescent="0.35">
      <c r="A322" s="86" t="s">
        <v>132</v>
      </c>
      <c r="B322" s="15"/>
      <c r="C322" s="72"/>
      <c r="D322" s="72"/>
      <c r="E322" s="72"/>
      <c r="F322" s="72"/>
      <c r="M322" s="252"/>
      <c r="T322" s="15"/>
      <c r="X322" s="15"/>
      <c r="AB322" s="10"/>
      <c r="AC322" s="10"/>
      <c r="AD322" s="10"/>
    </row>
    <row r="323" spans="1:30" s="14" customFormat="1" ht="15.5" outlineLevel="1" x14ac:dyDescent="0.35">
      <c r="A323" s="86" t="s">
        <v>107</v>
      </c>
      <c r="B323" s="18"/>
      <c r="C323" s="77"/>
      <c r="D323" s="77"/>
      <c r="E323" s="77"/>
      <c r="F323" s="76"/>
      <c r="G323" s="170"/>
      <c r="H323" s="170"/>
      <c r="I323" s="170"/>
      <c r="J323" s="170"/>
      <c r="K323" s="170"/>
      <c r="L323" s="85" t="s">
        <v>109</v>
      </c>
      <c r="M323" s="297" t="s">
        <v>1103</v>
      </c>
      <c r="N323" s="297"/>
      <c r="O323" s="80"/>
      <c r="P323" s="81"/>
      <c r="Q323" s="81"/>
      <c r="R323" s="81"/>
      <c r="S323" s="293">
        <f>SUMGROUP(ROW(), "T")</f>
        <v>23.5</v>
      </c>
      <c r="T323" s="293"/>
      <c r="U323" s="294"/>
      <c r="V323" s="294"/>
      <c r="W323" s="294"/>
      <c r="X323" s="82"/>
      <c r="Y323" s="83"/>
      <c r="Z323" s="83"/>
      <c r="AA323" s="83"/>
      <c r="AB323" s="221"/>
      <c r="AC323" s="84"/>
      <c r="AD323" s="23" t="str">
        <f>IF(M323="", "Error: Module name cannot be empty.", "")</f>
        <v/>
      </c>
    </row>
    <row r="324" spans="1:30" s="14" customFormat="1" ht="15.5" outlineLevel="1" collapsed="1" x14ac:dyDescent="0.35">
      <c r="A324" s="86" t="s">
        <v>100</v>
      </c>
      <c r="B324" s="18"/>
      <c r="C324" s="77"/>
      <c r="D324" s="77"/>
      <c r="E324" s="77"/>
      <c r="F324" s="76"/>
      <c r="G324" s="29"/>
      <c r="H324" s="29"/>
      <c r="I324" s="29"/>
      <c r="J324" s="29"/>
      <c r="K324" s="29"/>
      <c r="L324" s="17">
        <f ca="1">LOOKUP(1000,INDIRECT("L1:"&amp;CELL("address",INDIRECT("R[-1]C",FALSE))))+1</f>
        <v>24</v>
      </c>
      <c r="M324" s="295" t="s">
        <v>1104</v>
      </c>
      <c r="N324" s="296"/>
      <c r="O324" s="5"/>
      <c r="P324" s="30"/>
      <c r="Q324" s="30"/>
      <c r="R324" s="30"/>
      <c r="S324" s="30"/>
      <c r="T324" s="155">
        <f>IF($S$6="Exclude", SUMIFS(S325:S331, J325:J331, "&lt;&gt;Yes", G325:G331, "&lt;&gt;Yes"), SUMIFS(S325:S331, J325:J331, "&lt;&gt;Yes"))</f>
        <v>14</v>
      </c>
      <c r="U324" s="30"/>
      <c r="V324" s="30"/>
      <c r="W324" s="30"/>
      <c r="X324" s="31"/>
      <c r="Y324" s="32"/>
      <c r="Z324" s="32"/>
      <c r="AA324" s="32"/>
      <c r="AB324" s="219" t="s">
        <v>1105</v>
      </c>
      <c r="AC324" s="33"/>
      <c r="AD324" s="23" t="str">
        <f>IF(M324="", "Error: Task name cannot be empty.", "")</f>
        <v/>
      </c>
    </row>
    <row r="325" spans="1:30" s="12" customFormat="1" ht="1.5" hidden="1" customHeight="1" outlineLevel="2" x14ac:dyDescent="0.35">
      <c r="A325" s="86" t="s">
        <v>101</v>
      </c>
      <c r="B325" s="18"/>
      <c r="C325" s="77"/>
      <c r="D325" s="77"/>
      <c r="E325" s="77"/>
      <c r="F325" s="76"/>
      <c r="G325" s="29"/>
      <c r="H325" s="29"/>
      <c r="I325" s="29"/>
      <c r="J325" s="29"/>
      <c r="K325" s="29"/>
      <c r="L325" s="163">
        <f ca="1">L324</f>
        <v>24</v>
      </c>
      <c r="M325" s="164" t="s">
        <v>105</v>
      </c>
      <c r="N325" s="161"/>
      <c r="O325" s="162"/>
      <c r="P325" s="30"/>
      <c r="Q325" s="30"/>
      <c r="R325" s="30"/>
      <c r="S325" s="30"/>
      <c r="T325" s="155"/>
      <c r="U325" s="30"/>
      <c r="V325" s="30"/>
      <c r="W325" s="30"/>
      <c r="X325" s="31"/>
      <c r="Y325" s="32"/>
      <c r="Z325" s="32"/>
      <c r="AA325" s="32"/>
      <c r="AB325" s="33"/>
      <c r="AC325" s="33"/>
      <c r="AD325" s="23"/>
    </row>
    <row r="326" spans="1:30" ht="15.5" hidden="1" outlineLevel="2" x14ac:dyDescent="0.35">
      <c r="A326" s="86" t="s">
        <v>0</v>
      </c>
      <c r="B326" s="18"/>
      <c r="C326" s="78"/>
      <c r="D326" s="78"/>
      <c r="E326" s="78"/>
      <c r="F326" s="79"/>
      <c r="G326" s="19" t="s">
        <v>23</v>
      </c>
      <c r="H326" s="19" t="s">
        <v>23</v>
      </c>
      <c r="I326" s="20" t="s">
        <v>23</v>
      </c>
      <c r="J326" s="19" t="s">
        <v>23</v>
      </c>
      <c r="K326" s="35"/>
      <c r="L326" s="19"/>
      <c r="M326" s="263" t="str">
        <f ca="1">IFERROR(OFFSET(M326,-1,,1,1)+0.1,OFFSET(M326,-1,-1,1,1)&amp;".1")</f>
        <v>24.1</v>
      </c>
      <c r="N326" s="20" t="s">
        <v>1106</v>
      </c>
      <c r="O326" s="20"/>
      <c r="P326" s="20"/>
      <c r="Q326" s="134"/>
      <c r="R326" s="127"/>
      <c r="S326" s="157">
        <f>CEILING((IF(J326="Yes", 0, IF(H326="-",AA326,AA326+AA326*VLOOKUP(H326,BUFFERS_BY_TYPE,2,FALSE)))) +
   (IF(J326="Yes", 0, IF(H326="-",AA326,AA326+AA326*VLOOKUP(H326,BUFFERS_BY_TYPE,2,FALSE))))*VLOOKUP($S$5, SALES_CALL_SCALE_ARRAY, 2,FALSE),0.25)</f>
        <v>3.5</v>
      </c>
      <c r="T326" s="158"/>
      <c r="U326" s="21">
        <v>0</v>
      </c>
      <c r="V326" s="21">
        <v>1</v>
      </c>
      <c r="W326" s="21">
        <v>0</v>
      </c>
      <c r="X326" s="156">
        <v>3.5</v>
      </c>
      <c r="Y326" s="157">
        <f>CEILING((IF(P326=AS_DEV_EFFORT, DEV_EFFORT*Q326%,
                           IF(P326=AS_DURATION_EFFORT, (MANUAL_DURATION*5)*Q326%,
                                    (IF(Q326&lt;=1,X326,
                                          IF(SUM(U326:W326)=0,(Q326*X326),
                                               (((Q326*U326)*(X326+(X326*EXTRA_FOR_H)))+
                                               ((Q326*V326)*X326)+
                                               ((Q326*W326)*(X326-(X326*LESS_FOR_L)))
                                    )*IF(R326=0,1,R326))))))+Z326), 0.25)</f>
        <v>3.5</v>
      </c>
      <c r="Z326" s="22"/>
      <c r="AA326" s="157">
        <f>Y326+Y326*VLOOKUP(I326,EXTRAS_ARRAY,2,FALSE)</f>
        <v>3.5</v>
      </c>
      <c r="AB326" s="20"/>
      <c r="AC326" s="34"/>
      <c r="AD326" s="23" t="str">
        <f>IF(J326&lt;&gt;"Yes",
IF(S326&lt;=0,"Error: Effort value is not defined or is invalid.",
IF(AND(SUM(U326:W326)&gt;0,SUM(U326:W326)&lt;&gt;1),"Error: Complexity % distribution should sum to 100%.",
IF(AND(P326=AS_DEV_EFFORT,X326&lt;&gt;0),"Error: PDs should not be defined when defining as dev effort %.",
IF(AND(P326=AS_DURATION_EFFORT,X326&lt;&gt;0),"Error: PDs should not be defined when defining as duration effort %.","")))))</f>
        <v/>
      </c>
    </row>
    <row r="327" spans="1:30" ht="15.5" hidden="1" outlineLevel="2" x14ac:dyDescent="0.35">
      <c r="A327" s="86" t="s">
        <v>0</v>
      </c>
      <c r="B327" s="18"/>
      <c r="C327" s="78"/>
      <c r="D327" s="78"/>
      <c r="E327" s="78"/>
      <c r="F327" s="79"/>
      <c r="G327" s="19" t="s">
        <v>23</v>
      </c>
      <c r="H327" s="19" t="s">
        <v>23</v>
      </c>
      <c r="I327" s="20" t="s">
        <v>23</v>
      </c>
      <c r="J327" s="19" t="s">
        <v>23</v>
      </c>
      <c r="K327" s="35"/>
      <c r="L327" s="19"/>
      <c r="M327" s="263">
        <f ca="1">IFERROR(OFFSET(M327,-1,,1,1)+0.1,OFFSET(M327,-1,-1,1,1)&amp;".1")</f>
        <v>24.2</v>
      </c>
      <c r="N327" s="20" t="s">
        <v>1107</v>
      </c>
      <c r="O327" s="20"/>
      <c r="P327" s="20"/>
      <c r="Q327" s="134"/>
      <c r="R327" s="127"/>
      <c r="S327" s="157">
        <f>CEILING((IF(J327="Yes", 0, IF(H327="-",AA327,AA327+AA327*VLOOKUP(H327,BUFFERS_BY_TYPE,2,FALSE)))) +
   (IF(J327="Yes", 0, IF(H327="-",AA327,AA327+AA327*VLOOKUP(H327,BUFFERS_BY_TYPE,2,FALSE))))*VLOOKUP($S$5, SALES_CALL_SCALE_ARRAY, 2,FALSE),0.25)</f>
        <v>3.5</v>
      </c>
      <c r="T327" s="158"/>
      <c r="U327" s="21">
        <v>0</v>
      </c>
      <c r="V327" s="21">
        <v>1</v>
      </c>
      <c r="W327" s="21">
        <v>0</v>
      </c>
      <c r="X327" s="156">
        <v>3.5</v>
      </c>
      <c r="Y327" s="157">
        <f>CEILING((IF(P327=AS_DEV_EFFORT, DEV_EFFORT*Q327%,
                           IF(P327=AS_DURATION_EFFORT, (MANUAL_DURATION*5)*Q327%,
                                    (IF(Q327&lt;=1,X327,
                                          IF(SUM(U327:W327)=0,(Q327*X327),
                                               (((Q327*U327)*(X327+(X327*EXTRA_FOR_H)))+
                                               ((Q327*V327)*X327)+
                                               ((Q327*W327)*(X327-(X327*LESS_FOR_L)))
                                    )*IF(R327=0,1,R327))))))+Z327), 0.25)</f>
        <v>3.5</v>
      </c>
      <c r="Z327" s="22"/>
      <c r="AA327" s="157">
        <f>Y327+Y327*VLOOKUP(I327,EXTRAS_ARRAY,2,FALSE)</f>
        <v>3.5</v>
      </c>
      <c r="AB327" s="20"/>
      <c r="AC327" s="34"/>
      <c r="AD327" s="23" t="str">
        <f>IF(J327&lt;&gt;"Yes",
IF(S327&lt;=0,"Error: Effort value is not defined or is invalid.",
IF(AND(SUM(U327:W327)&gt;0,SUM(U327:W327)&lt;&gt;1),"Error: Complexity % distribution should sum to 100%.",
IF(AND(P327=AS_DEV_EFFORT,X327&lt;&gt;0),"Error: PDs should not be defined when defining as dev effort %.",
IF(AND(P327=AS_DURATION_EFFORT,X327&lt;&gt;0),"Error: PDs should not be defined when defining as duration effort %.","")))))</f>
        <v/>
      </c>
    </row>
    <row r="328" spans="1:30" ht="15.5" hidden="1" outlineLevel="2" x14ac:dyDescent="0.35">
      <c r="A328" s="86" t="s">
        <v>0</v>
      </c>
      <c r="B328" s="18"/>
      <c r="C328" s="78"/>
      <c r="D328" s="78"/>
      <c r="E328" s="78"/>
      <c r="F328" s="79"/>
      <c r="G328" s="19" t="s">
        <v>23</v>
      </c>
      <c r="H328" s="19" t="s">
        <v>23</v>
      </c>
      <c r="I328" s="20" t="s">
        <v>23</v>
      </c>
      <c r="J328" s="19" t="s">
        <v>23</v>
      </c>
      <c r="K328" s="35"/>
      <c r="L328" s="19"/>
      <c r="M328" s="263">
        <f ca="1">IFERROR(OFFSET(M328,-1,,1,1)+0.1,OFFSET(M328,-1,-1,1,1)&amp;".1")</f>
        <v>24.3</v>
      </c>
      <c r="N328" s="20" t="s">
        <v>1108</v>
      </c>
      <c r="O328" s="20"/>
      <c r="P328" s="20"/>
      <c r="Q328" s="134"/>
      <c r="R328" s="127"/>
      <c r="S328" s="157">
        <f>CEILING((IF(J328="Yes", 0, IF(H328="-",AA328,AA328+AA328*VLOOKUP(H328,BUFFERS_BY_TYPE,2,FALSE)))) +
   (IF(J328="Yes", 0, IF(H328="-",AA328,AA328+AA328*VLOOKUP(H328,BUFFERS_BY_TYPE,2,FALSE))))*VLOOKUP($S$5, SALES_CALL_SCALE_ARRAY, 2,FALSE),0.25)</f>
        <v>3</v>
      </c>
      <c r="T328" s="158"/>
      <c r="U328" s="21">
        <v>0</v>
      </c>
      <c r="V328" s="21">
        <v>1</v>
      </c>
      <c r="W328" s="21">
        <v>0</v>
      </c>
      <c r="X328" s="156">
        <v>3</v>
      </c>
      <c r="Y328" s="157">
        <f>CEILING((IF(P328=AS_DEV_EFFORT, DEV_EFFORT*Q328%,
                           IF(P328=AS_DURATION_EFFORT, (MANUAL_DURATION*5)*Q328%,
                                    (IF(Q328&lt;=1,X328,
                                          IF(SUM(U328:W328)=0,(Q328*X328),
                                               (((Q328*U328)*(X328+(X328*EXTRA_FOR_H)))+
                                               ((Q328*V328)*X328)+
                                               ((Q328*W328)*(X328-(X328*LESS_FOR_L)))
                                    )*IF(R328=0,1,R328))))))+Z328), 0.25)</f>
        <v>3</v>
      </c>
      <c r="Z328" s="22"/>
      <c r="AA328" s="157">
        <f>Y328+Y328*VLOOKUP(I328,EXTRAS_ARRAY,2,FALSE)</f>
        <v>3</v>
      </c>
      <c r="AB328" s="20"/>
      <c r="AC328" s="34"/>
      <c r="AD328" s="23" t="str">
        <f>IF(J328&lt;&gt;"Yes",
IF(S328&lt;=0,"Error: Effort value is not defined or is invalid.",
IF(AND(SUM(U328:W328)&gt;0,SUM(U328:W328)&lt;&gt;1),"Error: Complexity % distribution should sum to 100%.",
IF(AND(P328=AS_DEV_EFFORT,X328&lt;&gt;0),"Error: PDs should not be defined when defining as dev effort %.",
IF(AND(P328=AS_DURATION_EFFORT,X328&lt;&gt;0),"Error: PDs should not be defined when defining as duration effort %.","")))))</f>
        <v/>
      </c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>
        <f ca="1">IFERROR(OFFSET(M329,-1,,1,1)+0.1,OFFSET(M329,-1,-1,1,1)&amp;".1")</f>
        <v>24.4</v>
      </c>
      <c r="N329" s="20" t="s">
        <v>1109</v>
      </c>
      <c r="O329" s="20"/>
      <c r="P329" s="20"/>
      <c r="Q329" s="134"/>
      <c r="R329" s="127"/>
      <c r="S329" s="157">
        <f>CEILING((IF(J329="Yes", 0, IF(H329="-",AA329,AA329+AA329*VLOOKUP(H329,BUFFERS_BY_TYPE,2,FALSE)))) +
   (IF(J329="Yes", 0, IF(H329="-",AA329,AA329+AA329*VLOOKUP(H329,BUFFERS_BY_TYPE,2,FALSE))))*VLOOKUP($S$5, SALES_CALL_SCALE_ARRAY, 2,FALSE),0.25)</f>
        <v>2.5</v>
      </c>
      <c r="T329" s="158"/>
      <c r="U329" s="21">
        <v>0</v>
      </c>
      <c r="V329" s="21">
        <v>1</v>
      </c>
      <c r="W329" s="21">
        <v>0</v>
      </c>
      <c r="X329" s="156">
        <v>2.5</v>
      </c>
      <c r="Y329" s="157">
        <f>CEILING((IF(P329=AS_DEV_EFFORT, DEV_EFFORT*Q329%,
                           IF(P329=AS_DURATION_EFFORT, (MANUAL_DURATION*5)*Q329%,
                                    (IF(Q329&lt;=1,X329,
                                          IF(SUM(U329:W329)=0,(Q329*X329),
                                               (((Q329*U329)*(X329+(X329*EXTRA_FOR_H)))+
                                               ((Q329*V329)*X329)+
                                               ((Q329*W329)*(X329-(X329*LESS_FOR_L)))
                                    )*IF(R329=0,1,R329))))))+Z329), 0.25)</f>
        <v>2.5</v>
      </c>
      <c r="Z329" s="22"/>
      <c r="AA329" s="157">
        <f>Y329+Y329*VLOOKUP(I329,EXTRAS_ARRAY,2,FALSE)</f>
        <v>2.5</v>
      </c>
      <c r="AB329" s="20"/>
      <c r="AC329" s="34"/>
      <c r="AD329" s="23" t="str">
        <f>IF(J329&lt;&gt;"Yes",
IF(S329&lt;=0,"Error: Effort value is not defined or is invalid.",
IF(AND(SUM(U329:W329)&gt;0,SUM(U329:W329)&lt;&gt;1),"Error: Complexity % distribution should sum to 100%.",
IF(AND(P329=AS_DEV_EFFORT,X329&lt;&gt;0),"Error: PDs should not be defined when defining as dev effort %.",
IF(AND(P329=AS_DURATION_EFFORT,X329&lt;&gt;0),"Error: PDs should not be defined when defining as duration effort %.","")))))</f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ca="1">IFERROR(OFFSET(M330,-1,,1,1)+0.1,OFFSET(M330,-1,-1,1,1)&amp;".1")</f>
        <v>24.5</v>
      </c>
      <c r="N330" s="20" t="s">
        <v>1110</v>
      </c>
      <c r="O330" s="20"/>
      <c r="P330" s="20"/>
      <c r="Q330" s="134"/>
      <c r="R330" s="127"/>
      <c r="S330" s="157">
        <f>CEILING((IF(J330="Yes", 0, IF(H330="-",AA330,AA330+AA330*VLOOKUP(H330,BUFFERS_BY_TYPE,2,FALSE)))) +
   (IF(J330="Yes", 0, IF(H330="-",AA330,AA330+AA330*VLOOKUP(H330,BUFFERS_BY_TYPE,2,FALSE))))*VLOOKUP($S$5, SALES_CALL_SCALE_ARRAY, 2,FALSE),0.25)</f>
        <v>1.5</v>
      </c>
      <c r="T330" s="158"/>
      <c r="U330" s="21">
        <v>0</v>
      </c>
      <c r="V330" s="21">
        <v>1</v>
      </c>
      <c r="W330" s="21">
        <v>0</v>
      </c>
      <c r="X330" s="156">
        <v>1.5</v>
      </c>
      <c r="Y330" s="157">
        <f>CEILING((IF(P330=AS_DEV_EFFORT, DEV_EFFORT*Q330%,
                           IF(P330=AS_DURATION_EFFORT, (MANUAL_DURATION*5)*Q330%,
                                    (IF(Q330&lt;=1,X330,
                                          IF(SUM(U330:W330)=0,(Q330*X330),
                                               (((Q330*U330)*(X330+(X330*EXTRA_FOR_H)))+
                                               ((Q330*V330)*X330)+
                                               ((Q330*W330)*(X330-(X330*LESS_FOR_L)))
                                    )*IF(R330=0,1,R330))))))+Z330), 0.25)</f>
        <v>1.5</v>
      </c>
      <c r="Z330" s="22"/>
      <c r="AA330" s="157">
        <f>Y330+Y330*VLOOKUP(I330,EXTRAS_ARRAY,2,FALSE)</f>
        <v>1.5</v>
      </c>
      <c r="AB330" s="20"/>
      <c r="AC330" s="34"/>
      <c r="AD330" s="23" t="str">
        <f>IF(J330&lt;&gt;"Yes",
IF(S330&lt;=0,"Error: Effort value is not defined or is invalid.",
IF(AND(SUM(U330:W330)&gt;0,SUM(U330:W330)&lt;&gt;1),"Error: Complexity % distribution should sum to 100%.",
IF(AND(P330=AS_DEV_EFFORT,X330&lt;&gt;0),"Error: PDs should not be defined when defining as dev effort %.",
IF(AND(P330=AS_DURATION_EFFORT,X330&lt;&gt;0),"Error: PDs should not be defined when defining as duration effort %.","")))))</f>
        <v/>
      </c>
    </row>
    <row r="331" spans="1:30" s="9" customFormat="1" ht="7.5" hidden="1" customHeight="1" outlineLevel="2" x14ac:dyDescent="0.35">
      <c r="A331" s="86" t="s">
        <v>132</v>
      </c>
      <c r="B331" s="15"/>
      <c r="C331" s="72"/>
      <c r="D331" s="72"/>
      <c r="E331" s="72"/>
      <c r="F331" s="72"/>
      <c r="M331" s="252"/>
      <c r="T331" s="15"/>
      <c r="X331" s="15"/>
      <c r="AB331" s="10"/>
      <c r="AC331" s="10"/>
      <c r="AD331" s="10"/>
    </row>
    <row r="332" spans="1:30" s="14" customFormat="1" ht="15.5" outlineLevel="1" x14ac:dyDescent="0.35">
      <c r="A332" s="86" t="s">
        <v>100</v>
      </c>
      <c r="B332" s="18"/>
      <c r="C332" s="77"/>
      <c r="D332" s="77"/>
      <c r="E332" s="77"/>
      <c r="F332" s="76"/>
      <c r="G332" s="29"/>
      <c r="H332" s="29"/>
      <c r="I332" s="29"/>
      <c r="J332" s="29"/>
      <c r="K332" s="29"/>
      <c r="L332" s="17">
        <f ca="1">LOOKUP(1000,INDIRECT("L1:"&amp;CELL("address",INDIRECT("R[-1]C",FALSE))))+1</f>
        <v>25</v>
      </c>
      <c r="M332" s="295" t="s">
        <v>1111</v>
      </c>
      <c r="N332" s="296"/>
      <c r="O332" s="5"/>
      <c r="P332" s="30"/>
      <c r="Q332" s="30"/>
      <c r="R332" s="30"/>
      <c r="S332" s="30"/>
      <c r="T332" s="155">
        <f>IF($S$6="Exclude", SUMIFS(S333:S338, J333:J338, "&lt;&gt;Yes", G333:G338, "&lt;&gt;Yes"), SUMIFS(S333:S338, J333:J338, "&lt;&gt;Yes"))</f>
        <v>9.5</v>
      </c>
      <c r="U332" s="30"/>
      <c r="V332" s="30"/>
      <c r="W332" s="30"/>
      <c r="X332" s="31"/>
      <c r="Y332" s="32"/>
      <c r="Z332" s="32"/>
      <c r="AA332" s="32"/>
      <c r="AB332" s="219" t="s">
        <v>956</v>
      </c>
      <c r="AC332" s="33"/>
      <c r="AD332" s="23" t="str">
        <f>IF(M332="", "Error: Task name cannot be empty.", "")</f>
        <v/>
      </c>
    </row>
    <row r="333" spans="1:30" s="12" customFormat="1" ht="1.5" customHeight="1" outlineLevel="2" x14ac:dyDescent="0.35">
      <c r="A333" s="86" t="s">
        <v>101</v>
      </c>
      <c r="B333" s="18"/>
      <c r="C333" s="77"/>
      <c r="D333" s="77"/>
      <c r="E333" s="77"/>
      <c r="F333" s="76"/>
      <c r="G333" s="29"/>
      <c r="H333" s="29"/>
      <c r="I333" s="29"/>
      <c r="J333" s="29"/>
      <c r="K333" s="29"/>
      <c r="L333" s="163">
        <f ca="1">L332</f>
        <v>25</v>
      </c>
      <c r="M333" s="164" t="s">
        <v>105</v>
      </c>
      <c r="N333" s="161"/>
      <c r="O333" s="162"/>
      <c r="P333" s="30"/>
      <c r="Q333" s="30"/>
      <c r="R333" s="30"/>
      <c r="S333" s="30"/>
      <c r="T333" s="155"/>
      <c r="U333" s="30"/>
      <c r="V333" s="30"/>
      <c r="W333" s="30"/>
      <c r="X333" s="31"/>
      <c r="Y333" s="32"/>
      <c r="Z333" s="32"/>
      <c r="AA333" s="32"/>
      <c r="AB333" s="33"/>
      <c r="AC333" s="33"/>
      <c r="AD333" s="23"/>
    </row>
    <row r="334" spans="1:30" ht="29" outlineLevel="2" x14ac:dyDescent="0.35">
      <c r="A334" s="86" t="s">
        <v>0</v>
      </c>
      <c r="B334" s="18"/>
      <c r="C334" s="78"/>
      <c r="D334" s="78"/>
      <c r="E334" s="78"/>
      <c r="F334" s="79"/>
      <c r="G334" s="19" t="s">
        <v>23</v>
      </c>
      <c r="H334" s="19" t="s">
        <v>23</v>
      </c>
      <c r="I334" s="20" t="s">
        <v>23</v>
      </c>
      <c r="J334" s="19" t="s">
        <v>23</v>
      </c>
      <c r="K334" s="35"/>
      <c r="L334" s="19"/>
      <c r="M334" s="263" t="str">
        <f ca="1">IFERROR(OFFSET(M334,-1,,1,1)+0.1,OFFSET(M334,-1,-1,1,1)&amp;".1")</f>
        <v>25.1</v>
      </c>
      <c r="N334" s="20" t="s">
        <v>1268</v>
      </c>
      <c r="O334" s="20"/>
      <c r="P334" s="20"/>
      <c r="Q334" s="134"/>
      <c r="R334" s="127"/>
      <c r="S334" s="157">
        <f>CEILING((IF(J334="Yes", 0, IF(H334="-",AA334,AA334+AA334*VLOOKUP(H334,BUFFERS_BY_TYPE,2,FALSE)))) +
   (IF(J334="Yes", 0, IF(H334="-",AA334,AA334+AA334*VLOOKUP(H334,BUFFERS_BY_TYPE,2,FALSE))))*VLOOKUP($S$5, SALES_CALL_SCALE_ARRAY, 2,FALSE),0.25)</f>
        <v>2.5</v>
      </c>
      <c r="T334" s="158"/>
      <c r="U334" s="21">
        <v>0</v>
      </c>
      <c r="V334" s="21">
        <v>1</v>
      </c>
      <c r="W334" s="21">
        <v>0</v>
      </c>
      <c r="X334" s="156">
        <v>2.5</v>
      </c>
      <c r="Y334" s="157">
        <f>CEILING((IF(P334=AS_DEV_EFFORT, DEV_EFFORT*Q334%,
                           IF(P334=AS_DURATION_EFFORT, (MANUAL_DURATION*5)*Q334%,
                                    (IF(Q334&lt;=1,X334,
                                          IF(SUM(U334:W334)=0,(Q334*X334),
                                               (((Q334*U334)*(X334+(X334*EXTRA_FOR_H)))+
                                               ((Q334*V334)*X334)+
                                               ((Q334*W334)*(X334-(X334*LESS_FOR_L)))
                                    )*IF(R334=0,1,R334))))))+Z334), 0.25)</f>
        <v>2.5</v>
      </c>
      <c r="Z334" s="22"/>
      <c r="AA334" s="157">
        <f>Y334+Y334*VLOOKUP(I334,EXTRAS_ARRAY,2,FALSE)</f>
        <v>2.5</v>
      </c>
      <c r="AB334" s="20"/>
      <c r="AC334" s="34"/>
      <c r="AD334" s="23" t="str">
        <f>IF(J334&lt;&gt;"Yes",
IF(S334&lt;=0,"Error: Effort value is not defined or is invalid.",
IF(AND(SUM(U334:W334)&gt;0,SUM(U334:W334)&lt;&gt;1),"Error: Complexity % distribution should sum to 100%.",
IF(AND(P334=AS_DEV_EFFORT,X334&lt;&gt;0),"Error: PDs should not be defined when defining as dev effort %.",
IF(AND(P334=AS_DURATION_EFFORT,X334&lt;&gt;0),"Error: PDs should not be defined when defining as duration effort %.","")))))</f>
        <v/>
      </c>
    </row>
    <row r="335" spans="1:30" ht="58" outlineLevel="2" x14ac:dyDescent="0.35">
      <c r="A335" s="86" t="s">
        <v>0</v>
      </c>
      <c r="B335" s="18"/>
      <c r="C335" s="78"/>
      <c r="D335" s="78"/>
      <c r="E335" s="78"/>
      <c r="F335" s="79"/>
      <c r="G335" s="19" t="s">
        <v>23</v>
      </c>
      <c r="H335" s="19" t="s">
        <v>23</v>
      </c>
      <c r="I335" s="20" t="s">
        <v>23</v>
      </c>
      <c r="J335" s="19" t="s">
        <v>23</v>
      </c>
      <c r="K335" s="35"/>
      <c r="L335" s="19"/>
      <c r="M335" s="263">
        <f ca="1">IFERROR(OFFSET(M335,-1,,1,1)+0.1,OFFSET(M335,-1,-1,1,1)&amp;".1")</f>
        <v>25.2</v>
      </c>
      <c r="N335" s="20" t="s">
        <v>1112</v>
      </c>
      <c r="O335" s="20"/>
      <c r="P335" s="20"/>
      <c r="Q335" s="134"/>
      <c r="R335" s="127"/>
      <c r="S335" s="157">
        <f>CEILING((IF(J335="Yes", 0, IF(H335="-",AA335,AA335+AA335*VLOOKUP(H335,BUFFERS_BY_TYPE,2,FALSE)))) +
   (IF(J335="Yes", 0, IF(H335="-",AA335,AA335+AA335*VLOOKUP(H335,BUFFERS_BY_TYPE,2,FALSE))))*VLOOKUP($S$5, SALES_CALL_SCALE_ARRAY, 2,FALSE),0.25)</f>
        <v>3</v>
      </c>
      <c r="T335" s="158"/>
      <c r="U335" s="21">
        <v>0</v>
      </c>
      <c r="V335" s="21">
        <v>1</v>
      </c>
      <c r="W335" s="21">
        <v>0</v>
      </c>
      <c r="X335" s="156">
        <v>3</v>
      </c>
      <c r="Y335" s="157">
        <f>CEILING((IF(P335=AS_DEV_EFFORT, DEV_EFFORT*Q335%,
                           IF(P335=AS_DURATION_EFFORT, (MANUAL_DURATION*5)*Q335%,
                                    (IF(Q335&lt;=1,X335,
                                          IF(SUM(U335:W335)=0,(Q335*X335),
                                               (((Q335*U335)*(X335+(X335*EXTRA_FOR_H)))+
                                               ((Q335*V335)*X335)+
                                               ((Q335*W335)*(X335-(X335*LESS_FOR_L)))
                                    )*IF(R335=0,1,R335))))))+Z335), 0.25)</f>
        <v>3</v>
      </c>
      <c r="Z335" s="22"/>
      <c r="AA335" s="157">
        <f>Y335+Y335*VLOOKUP(I335,EXTRAS_ARRAY,2,FALSE)</f>
        <v>3</v>
      </c>
      <c r="AB335" s="20" t="s">
        <v>1269</v>
      </c>
      <c r="AC335" s="34"/>
      <c r="AD335" s="23" t="str">
        <f>IF(J335&lt;&gt;"Yes",
IF(S335&lt;=0,"Error: Effort value is not defined or is invalid.",
IF(AND(SUM(U335:W335)&gt;0,SUM(U335:W335)&lt;&gt;1),"Error: Complexity % distribution should sum to 100%.",
IF(AND(P335=AS_DEV_EFFORT,X335&lt;&gt;0),"Error: PDs should not be defined when defining as dev effort %.",
IF(AND(P335=AS_DURATION_EFFORT,X335&lt;&gt;0),"Error: PDs should not be defined when defining as duration effort %.","")))))</f>
        <v/>
      </c>
    </row>
    <row r="336" spans="1:30" ht="43.5" outlineLevel="2" x14ac:dyDescent="0.35">
      <c r="A336" s="86" t="s">
        <v>0</v>
      </c>
      <c r="B336" s="18"/>
      <c r="C336" s="78"/>
      <c r="D336" s="78"/>
      <c r="E336" s="78"/>
      <c r="F336" s="79"/>
      <c r="G336" s="19" t="s">
        <v>23</v>
      </c>
      <c r="H336" s="19" t="s">
        <v>23</v>
      </c>
      <c r="I336" s="20" t="s">
        <v>23</v>
      </c>
      <c r="J336" s="19" t="s">
        <v>23</v>
      </c>
      <c r="K336" s="35"/>
      <c r="L336" s="19"/>
      <c r="M336" s="263">
        <f ca="1">IFERROR(OFFSET(M336,-1,,1,1)+0.1,OFFSET(M336,-1,-1,1,1)&amp;".1")</f>
        <v>25.3</v>
      </c>
      <c r="N336" s="20" t="s">
        <v>1270</v>
      </c>
      <c r="O336" s="20"/>
      <c r="P336" s="20"/>
      <c r="Q336" s="134"/>
      <c r="R336" s="127"/>
      <c r="S336" s="157">
        <f>CEILING((IF(J336="Yes", 0, IF(H336="-",AA336,AA336+AA336*VLOOKUP(H336,BUFFERS_BY_TYPE,2,FALSE)))) +
   (IF(J336="Yes", 0, IF(H336="-",AA336,AA336+AA336*VLOOKUP(H336,BUFFERS_BY_TYPE,2,FALSE))))*VLOOKUP($S$5, SALES_CALL_SCALE_ARRAY, 2,FALSE),0.25)</f>
        <v>2.5</v>
      </c>
      <c r="T336" s="158"/>
      <c r="U336" s="21">
        <v>0</v>
      </c>
      <c r="V336" s="21">
        <v>1</v>
      </c>
      <c r="W336" s="21">
        <v>0</v>
      </c>
      <c r="X336" s="156">
        <v>2.5</v>
      </c>
      <c r="Y336" s="157">
        <f>CEILING((IF(P336=AS_DEV_EFFORT, DEV_EFFORT*Q336%,
                           IF(P336=AS_DURATION_EFFORT, (MANUAL_DURATION*5)*Q336%,
                                    (IF(Q336&lt;=1,X336,
                                          IF(SUM(U336:W336)=0,(Q336*X336),
                                               (((Q336*U336)*(X336+(X336*EXTRA_FOR_H)))+
                                               ((Q336*V336)*X336)+
                                               ((Q336*W336)*(X336-(X336*LESS_FOR_L)))
                                    )*IF(R336=0,1,R336))))))+Z336), 0.25)</f>
        <v>2.5</v>
      </c>
      <c r="Z336" s="22"/>
      <c r="AA336" s="157">
        <f>Y336+Y336*VLOOKUP(I336,EXTRAS_ARRAY,2,FALSE)</f>
        <v>2.5</v>
      </c>
      <c r="AB336" s="20"/>
      <c r="AC336" s="34"/>
      <c r="AD336" s="23" t="str">
        <f>IF(J336&lt;&gt;"Yes",
IF(S336&lt;=0,"Error: Effort value is not defined or is invalid.",
IF(AND(SUM(U336:W336)&gt;0,SUM(U336:W336)&lt;&gt;1),"Error: Complexity % distribution should sum to 100%.",
IF(AND(P336=AS_DEV_EFFORT,X336&lt;&gt;0),"Error: PDs should not be defined when defining as dev effort %.",
IF(AND(P336=AS_DURATION_EFFORT,X336&lt;&gt;0),"Error: PDs should not be defined when defining as duration effort %.","")))))</f>
        <v/>
      </c>
    </row>
    <row r="337" spans="1:30" ht="29" outlineLevel="2" x14ac:dyDescent="0.35">
      <c r="A337" s="86" t="s">
        <v>0</v>
      </c>
      <c r="B337" s="18"/>
      <c r="C337" s="78"/>
      <c r="D337" s="78"/>
      <c r="E337" s="78"/>
      <c r="F337" s="79"/>
      <c r="G337" s="19" t="s">
        <v>23</v>
      </c>
      <c r="H337" s="19" t="s">
        <v>23</v>
      </c>
      <c r="I337" s="20" t="s">
        <v>23</v>
      </c>
      <c r="J337" s="19" t="s">
        <v>23</v>
      </c>
      <c r="K337" s="35"/>
      <c r="L337" s="19"/>
      <c r="M337" s="263">
        <f ca="1">IFERROR(OFFSET(M337,-1,,1,1)+0.1,OFFSET(M337,-1,-1,1,1)&amp;".1")</f>
        <v>25.4</v>
      </c>
      <c r="N337" s="20" t="s">
        <v>1271</v>
      </c>
      <c r="O337" s="20"/>
      <c r="P337" s="20"/>
      <c r="Q337" s="134"/>
      <c r="R337" s="127"/>
      <c r="S337" s="157">
        <f>CEILING((IF(J337="Yes", 0, IF(H337="-",AA337,AA337+AA337*VLOOKUP(H337,BUFFERS_BY_TYPE,2,FALSE)))) +
   (IF(J337="Yes", 0, IF(H337="-",AA337,AA337+AA337*VLOOKUP(H337,BUFFERS_BY_TYPE,2,FALSE))))*VLOOKUP($S$5, SALES_CALL_SCALE_ARRAY, 2,FALSE),0.25)</f>
        <v>1.5</v>
      </c>
      <c r="T337" s="158"/>
      <c r="U337" s="21">
        <v>0</v>
      </c>
      <c r="V337" s="21">
        <v>1</v>
      </c>
      <c r="W337" s="21">
        <v>0</v>
      </c>
      <c r="X337" s="156">
        <v>1.5</v>
      </c>
      <c r="Y337" s="157">
        <f>CEILING((IF(P337=AS_DEV_EFFORT, DEV_EFFORT*Q337%,
                           IF(P337=AS_DURATION_EFFORT, (MANUAL_DURATION*5)*Q337%,
                                    (IF(Q337&lt;=1,X337,
                                          IF(SUM(U337:W337)=0,(Q337*X337),
                                               (((Q337*U337)*(X337+(X337*EXTRA_FOR_H)))+
                                               ((Q337*V337)*X337)+
                                               ((Q337*W337)*(X337-(X337*LESS_FOR_L)))
                                    )*IF(R337=0,1,R337))))))+Z337), 0.25)</f>
        <v>1.5</v>
      </c>
      <c r="Z337" s="22"/>
      <c r="AA337" s="157">
        <f>Y337+Y337*VLOOKUP(I337,EXTRAS_ARRAY,2,FALSE)</f>
        <v>1.5</v>
      </c>
      <c r="AB337" s="20" t="s">
        <v>1272</v>
      </c>
      <c r="AC337" s="34"/>
      <c r="AD337" s="23" t="str">
        <f>IF(J337&lt;&gt;"Yes",
IF(S337&lt;=0,"Error: Effort value is not defined or is invalid.",
IF(AND(SUM(U337:W337)&gt;0,SUM(U337:W337)&lt;&gt;1),"Error: Complexity % distribution should sum to 100%.",
IF(AND(P337=AS_DEV_EFFORT,X337&lt;&gt;0),"Error: PDs should not be defined when defining as dev effort %.",
IF(AND(P337=AS_DURATION_EFFORT,X337&lt;&gt;0),"Error: PDs should not be defined when defining as duration effort %.","")))))</f>
        <v/>
      </c>
    </row>
    <row r="338" spans="1:30" s="9" customFormat="1" ht="7.5" customHeight="1" outlineLevel="2" x14ac:dyDescent="0.35">
      <c r="A338" s="86" t="s">
        <v>132</v>
      </c>
      <c r="B338" s="15"/>
      <c r="C338" s="72"/>
      <c r="D338" s="72"/>
      <c r="E338" s="72"/>
      <c r="F338" s="72"/>
      <c r="M338" s="252"/>
      <c r="T338" s="15"/>
      <c r="X338" s="15"/>
      <c r="AB338" s="10"/>
      <c r="AC338" s="10"/>
      <c r="AD338" s="10"/>
    </row>
    <row r="339" spans="1:30" s="14" customFormat="1" ht="15.5" outlineLevel="1" x14ac:dyDescent="0.35">
      <c r="A339" s="86" t="s">
        <v>107</v>
      </c>
      <c r="B339" s="18"/>
      <c r="C339" s="77"/>
      <c r="D339" s="77"/>
      <c r="E339" s="77"/>
      <c r="F339" s="76"/>
      <c r="G339" s="170"/>
      <c r="H339" s="170"/>
      <c r="I339" s="170"/>
      <c r="J339" s="170"/>
      <c r="K339" s="170"/>
      <c r="L339" s="85" t="s">
        <v>109</v>
      </c>
      <c r="M339" s="297" t="s">
        <v>884</v>
      </c>
      <c r="N339" s="297"/>
      <c r="O339" s="80"/>
      <c r="P339" s="81"/>
      <c r="Q339" s="81"/>
      <c r="R339" s="81"/>
      <c r="S339" s="293">
        <f>SUMGROUP(ROW(), "T")</f>
        <v>67</v>
      </c>
      <c r="T339" s="293"/>
      <c r="U339" s="294"/>
      <c r="V339" s="294"/>
      <c r="W339" s="294"/>
      <c r="X339" s="82"/>
      <c r="Y339" s="83"/>
      <c r="Z339" s="83"/>
      <c r="AA339" s="83"/>
      <c r="AB339" s="221"/>
      <c r="AC339" s="84"/>
      <c r="AD339" s="23" t="str">
        <f>IF(M339="", "Error: Module name cannot be empty.", "")</f>
        <v/>
      </c>
    </row>
    <row r="340" spans="1:30" s="14" customFormat="1" ht="15.5" outlineLevel="1" collapsed="1" x14ac:dyDescent="0.35">
      <c r="A340" s="86" t="s">
        <v>100</v>
      </c>
      <c r="B340" s="18"/>
      <c r="C340" s="77"/>
      <c r="D340" s="77"/>
      <c r="E340" s="77"/>
      <c r="F340" s="76"/>
      <c r="G340" s="29"/>
      <c r="H340" s="29"/>
      <c r="I340" s="29"/>
      <c r="J340" s="29"/>
      <c r="K340" s="29"/>
      <c r="L340" s="17">
        <f ca="1">LOOKUP(1000,INDIRECT("L1:"&amp;CELL("address",INDIRECT("R[-1]C",FALSE))))+1</f>
        <v>26</v>
      </c>
      <c r="M340" s="296" t="s">
        <v>1113</v>
      </c>
      <c r="N340" s="296"/>
      <c r="O340" s="5"/>
      <c r="P340" s="30"/>
      <c r="Q340" s="30"/>
      <c r="R340" s="30"/>
      <c r="S340" s="30"/>
      <c r="T340" s="155">
        <f>IF($S$6="Exclude", SUMIFS(S341:S347, J341:J347, "&lt;&gt;Yes", G341:G347, "&lt;&gt;Yes"), SUMIFS(S341:S347, J341:J347, "&lt;&gt;Yes"))</f>
        <v>14</v>
      </c>
      <c r="U340" s="30"/>
      <c r="V340" s="30"/>
      <c r="W340" s="30"/>
      <c r="X340" s="31"/>
      <c r="Y340" s="32"/>
      <c r="Z340" s="32"/>
      <c r="AA340" s="32"/>
      <c r="AB340" s="219" t="s">
        <v>957</v>
      </c>
      <c r="AC340" s="33"/>
      <c r="AD340" s="23" t="str">
        <f>IF(M340="", "Error: Task name cannot be empty.", "")</f>
        <v/>
      </c>
    </row>
    <row r="341" spans="1:30" s="12" customFormat="1" ht="1.5" hidden="1" customHeight="1" outlineLevel="2" x14ac:dyDescent="0.35">
      <c r="A341" s="86" t="s">
        <v>101</v>
      </c>
      <c r="B341" s="18"/>
      <c r="C341" s="77"/>
      <c r="D341" s="77"/>
      <c r="E341" s="77"/>
      <c r="F341" s="76"/>
      <c r="G341" s="29"/>
      <c r="H341" s="29"/>
      <c r="I341" s="29"/>
      <c r="J341" s="29"/>
      <c r="K341" s="29"/>
      <c r="L341" s="163">
        <f ca="1">L340</f>
        <v>26</v>
      </c>
      <c r="M341" s="164" t="s">
        <v>105</v>
      </c>
      <c r="N341" s="161"/>
      <c r="O341" s="162"/>
      <c r="P341" s="30"/>
      <c r="Q341" s="30"/>
      <c r="R341" s="30"/>
      <c r="S341" s="30"/>
      <c r="T341" s="155"/>
      <c r="U341" s="30"/>
      <c r="V341" s="30"/>
      <c r="W341" s="30"/>
      <c r="X341" s="31"/>
      <c r="Y341" s="32"/>
      <c r="Z341" s="32"/>
      <c r="AA341" s="32"/>
      <c r="AB341" s="33"/>
      <c r="AC341" s="33"/>
      <c r="AD341" s="23"/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 t="str">
        <f ca="1">IFERROR(OFFSET(M342,-1,,1,1)+0.1,OFFSET(M342,-1,-1,1,1)&amp;".1")</f>
        <v>26.1</v>
      </c>
      <c r="N342" s="20" t="s">
        <v>1114</v>
      </c>
      <c r="O342" s="20"/>
      <c r="P342" s="20"/>
      <c r="Q342" s="134"/>
      <c r="R342" s="127"/>
      <c r="S342" s="157">
        <f>CEILING((IF(J342="Yes", 0, IF(H342="-",AA342,AA342+AA342*VLOOKUP(H342,BUFFERS_BY_TYPE,2,FALSE)))) +
   (IF(J342="Yes", 0, IF(H342="-",AA342,AA342+AA342*VLOOKUP(H342,BUFFERS_BY_TYPE,2,FALSE))))*VLOOKUP($S$5, SALES_CALL_SCALE_ARRAY, 2,FALSE),0.25)</f>
        <v>3</v>
      </c>
      <c r="T342" s="158"/>
      <c r="U342" s="21">
        <v>0</v>
      </c>
      <c r="V342" s="21">
        <v>1</v>
      </c>
      <c r="W342" s="21">
        <v>0</v>
      </c>
      <c r="X342" s="156">
        <v>3</v>
      </c>
      <c r="Y342" s="157">
        <f>CEILING((IF(P342=AS_DEV_EFFORT, DEV_EFFORT*Q342%,
                           IF(P342=AS_DURATION_EFFORT, (MANUAL_DURATION*5)*Q342%,
                                    (IF(Q342&lt;=1,X342,
                                          IF(SUM(U342:W342)=0,(Q342*X342),
                                               (((Q342*U342)*(X342+(X342*EXTRA_FOR_H)))+
                                               ((Q342*V342)*X342)+
                                               ((Q342*W342)*(X342-(X342*LESS_FOR_L)))
                                    )*IF(R342=0,1,R342))))))+Z342), 0.25)</f>
        <v>3</v>
      </c>
      <c r="Z342" s="22"/>
      <c r="AA342" s="157">
        <f>Y342+Y342*VLOOKUP(I342,EXTRAS_ARRAY,2,FALSE)</f>
        <v>3</v>
      </c>
      <c r="AB342" s="20"/>
      <c r="AC342" s="34"/>
      <c r="AD342" s="23" t="str">
        <f>IF(J342&lt;&gt;"Yes",
IF(S342&lt;=0,"Error: Effort value is not defined or is invalid.",
IF(AND(SUM(U342:W342)&gt;0,SUM(U342:W342)&lt;&gt;1),"Error: Complexity % distribution should sum to 100%.",
IF(AND(P342=AS_DEV_EFFORT,X342&lt;&gt;0),"Error: PDs should not be defined when defining as dev effort %.",
IF(AND(P342=AS_DURATION_EFFORT,X342&lt;&gt;0),"Error: PDs should not be defined when defining as duration effort %.","")))))</f>
        <v/>
      </c>
    </row>
    <row r="343" spans="1:30" ht="29" hidden="1" outlineLevel="2" x14ac:dyDescent="0.35">
      <c r="A343" s="86" t="s">
        <v>0</v>
      </c>
      <c r="B343" s="18"/>
      <c r="C343" s="78"/>
      <c r="D343" s="78"/>
      <c r="E343" s="78"/>
      <c r="F343" s="79"/>
      <c r="G343" s="19" t="s">
        <v>23</v>
      </c>
      <c r="H343" s="19" t="s">
        <v>23</v>
      </c>
      <c r="I343" s="20" t="s">
        <v>23</v>
      </c>
      <c r="J343" s="19" t="s">
        <v>23</v>
      </c>
      <c r="K343" s="35"/>
      <c r="L343" s="19"/>
      <c r="M343" s="263">
        <f ca="1">IFERROR(OFFSET(M343,-1,,1,1)+0.1,OFFSET(M343,-1,-1,1,1)&amp;".1")</f>
        <v>26.2</v>
      </c>
      <c r="N343" s="20" t="s">
        <v>1115</v>
      </c>
      <c r="O343" s="20"/>
      <c r="P343" s="20"/>
      <c r="Q343" s="134"/>
      <c r="R343" s="127"/>
      <c r="S343" s="157">
        <f>CEILING((IF(J343="Yes", 0, IF(H343="-",AA343,AA343+AA343*VLOOKUP(H343,BUFFERS_BY_TYPE,2,FALSE)))) +
   (IF(J343="Yes", 0, IF(H343="-",AA343,AA343+AA343*VLOOKUP(H343,BUFFERS_BY_TYPE,2,FALSE))))*VLOOKUP($S$5, SALES_CALL_SCALE_ARRAY, 2,FALSE),0.25)</f>
        <v>3</v>
      </c>
      <c r="T343" s="158"/>
      <c r="U343" s="21">
        <v>0</v>
      </c>
      <c r="V343" s="21">
        <v>1</v>
      </c>
      <c r="W343" s="21">
        <v>0</v>
      </c>
      <c r="X343" s="156">
        <v>3</v>
      </c>
      <c r="Y343" s="157">
        <f>CEILING((IF(P343=AS_DEV_EFFORT, DEV_EFFORT*Q343%,
                           IF(P343=AS_DURATION_EFFORT, (MANUAL_DURATION*5)*Q343%,
                                    (IF(Q343&lt;=1,X343,
                                          IF(SUM(U343:W343)=0,(Q343*X343),
                                               (((Q343*U343)*(X343+(X343*EXTRA_FOR_H)))+
                                               ((Q343*V343)*X343)+
                                               ((Q343*W343)*(X343-(X343*LESS_FOR_L)))
                                    )*IF(R343=0,1,R343))))))+Z343), 0.25)</f>
        <v>3</v>
      </c>
      <c r="Z343" s="22"/>
      <c r="AA343" s="157">
        <f>Y343+Y343*VLOOKUP(I343,EXTRAS_ARRAY,2,FALSE)</f>
        <v>3</v>
      </c>
      <c r="AB343" s="20"/>
      <c r="AC343" s="34"/>
      <c r="AD343" s="23" t="str">
        <f>IF(J343&lt;&gt;"Yes",
IF(S343&lt;=0,"Error: Effort value is not defined or is invalid.",
IF(AND(SUM(U343:W343)&gt;0,SUM(U343:W343)&lt;&gt;1),"Error: Complexity % distribution should sum to 100%.",
IF(AND(P343=AS_DEV_EFFORT,X343&lt;&gt;0),"Error: PDs should not be defined when defining as dev effort %.",
IF(AND(P343=AS_DURATION_EFFORT,X343&lt;&gt;0),"Error: PDs should not be defined when defining as duration effort %.","")))))</f>
        <v/>
      </c>
    </row>
    <row r="344" spans="1:30" ht="15.5" hidden="1" outlineLevel="2" x14ac:dyDescent="0.35">
      <c r="A344" s="86" t="s">
        <v>0</v>
      </c>
      <c r="B344" s="18"/>
      <c r="C344" s="78"/>
      <c r="D344" s="78"/>
      <c r="E344" s="78"/>
      <c r="F344" s="79"/>
      <c r="G344" s="19" t="s">
        <v>23</v>
      </c>
      <c r="H344" s="19" t="s">
        <v>23</v>
      </c>
      <c r="I344" s="20" t="s">
        <v>23</v>
      </c>
      <c r="J344" s="19" t="s">
        <v>23</v>
      </c>
      <c r="K344" s="35"/>
      <c r="L344" s="19"/>
      <c r="M344" s="263">
        <f ca="1">IFERROR(OFFSET(M344,-1,,1,1)+0.1,OFFSET(M344,-1,-1,1,1)&amp;".1")</f>
        <v>26.3</v>
      </c>
      <c r="N344" s="20" t="s">
        <v>1116</v>
      </c>
      <c r="O344" s="20"/>
      <c r="P344" s="20"/>
      <c r="Q344" s="134"/>
      <c r="R344" s="127"/>
      <c r="S344" s="157">
        <f>CEILING((IF(J344="Yes", 0, IF(H344="-",AA344,AA344+AA344*VLOOKUP(H344,BUFFERS_BY_TYPE,2,FALSE)))) +
   (IF(J344="Yes", 0, IF(H344="-",AA344,AA344+AA344*VLOOKUP(H344,BUFFERS_BY_TYPE,2,FALSE))))*VLOOKUP($S$5, SALES_CALL_SCALE_ARRAY, 2,FALSE),0.25)</f>
        <v>2.5</v>
      </c>
      <c r="T344" s="158"/>
      <c r="U344" s="21">
        <v>0</v>
      </c>
      <c r="V344" s="21">
        <v>1</v>
      </c>
      <c r="W344" s="21">
        <v>0</v>
      </c>
      <c r="X344" s="156">
        <v>2.5</v>
      </c>
      <c r="Y344" s="157">
        <f>CEILING((IF(P344=AS_DEV_EFFORT, DEV_EFFORT*Q344%,
                           IF(P344=AS_DURATION_EFFORT, (MANUAL_DURATION*5)*Q344%,
                                    (IF(Q344&lt;=1,X344,
                                          IF(SUM(U344:W344)=0,(Q344*X344),
                                               (((Q344*U344)*(X344+(X344*EXTRA_FOR_H)))+
                                               ((Q344*V344)*X344)+
                                               ((Q344*W344)*(X344-(X344*LESS_FOR_L)))
                                    )*IF(R344=0,1,R344))))))+Z344), 0.25)</f>
        <v>2.5</v>
      </c>
      <c r="Z344" s="22"/>
      <c r="AA344" s="157">
        <f>Y344+Y344*VLOOKUP(I344,EXTRAS_ARRAY,2,FALSE)</f>
        <v>2.5</v>
      </c>
      <c r="AB344" s="20"/>
      <c r="AC344" s="34"/>
      <c r="AD344" s="23" t="str">
        <f>IF(J344&lt;&gt;"Yes",
IF(S344&lt;=0,"Error: Effort value is not defined or is invalid.",
IF(AND(SUM(U344:W344)&gt;0,SUM(U344:W344)&lt;&gt;1),"Error: Complexity % distribution should sum to 100%.",
IF(AND(P344=AS_DEV_EFFORT,X344&lt;&gt;0),"Error: PDs should not be defined when defining as dev effort %.",
IF(AND(P344=AS_DURATION_EFFORT,X344&lt;&gt;0),"Error: PDs should not be defined when defining as duration effort %.","")))))</f>
        <v/>
      </c>
    </row>
    <row r="345" spans="1:30" ht="15.5" hidden="1" outlineLevel="2" x14ac:dyDescent="0.35">
      <c r="A345" s="86" t="s">
        <v>0</v>
      </c>
      <c r="B345" s="18"/>
      <c r="C345" s="78"/>
      <c r="D345" s="78"/>
      <c r="E345" s="78"/>
      <c r="F345" s="79"/>
      <c r="G345" s="19" t="s">
        <v>23</v>
      </c>
      <c r="H345" s="19" t="s">
        <v>23</v>
      </c>
      <c r="I345" s="20" t="s">
        <v>23</v>
      </c>
      <c r="J345" s="19" t="s">
        <v>23</v>
      </c>
      <c r="K345" s="35"/>
      <c r="L345" s="19"/>
      <c r="M345" s="263">
        <f ca="1">IFERROR(OFFSET(M345,-1,,1,1)+0.1,OFFSET(M345,-1,-1,1,1)&amp;".1")</f>
        <v>26.4</v>
      </c>
      <c r="N345" s="20" t="s">
        <v>1117</v>
      </c>
      <c r="O345" s="20"/>
      <c r="P345" s="20"/>
      <c r="Q345" s="134"/>
      <c r="R345" s="127"/>
      <c r="S345" s="157">
        <f>CEILING((IF(J345="Yes", 0, IF(H345="-",AA345,AA345+AA345*VLOOKUP(H345,BUFFERS_BY_TYPE,2,FALSE)))) +
   (IF(J345="Yes", 0, IF(H345="-",AA345,AA345+AA345*VLOOKUP(H345,BUFFERS_BY_TYPE,2,FALSE))))*VLOOKUP($S$5, SALES_CALL_SCALE_ARRAY, 2,FALSE),0.25)</f>
        <v>3</v>
      </c>
      <c r="T345" s="158"/>
      <c r="U345" s="21">
        <v>0</v>
      </c>
      <c r="V345" s="21">
        <v>1</v>
      </c>
      <c r="W345" s="21">
        <v>0</v>
      </c>
      <c r="X345" s="156">
        <v>3</v>
      </c>
      <c r="Y345" s="157">
        <f>CEILING((IF(P345=AS_DEV_EFFORT, DEV_EFFORT*Q345%,
                           IF(P345=AS_DURATION_EFFORT, (MANUAL_DURATION*5)*Q345%,
                                    (IF(Q345&lt;=1,X345,
                                          IF(SUM(U345:W345)=0,(Q345*X345),
                                               (((Q345*U345)*(X345+(X345*EXTRA_FOR_H)))+
                                               ((Q345*V345)*X345)+
                                               ((Q345*W345)*(X345-(X345*LESS_FOR_L)))
                                    )*IF(R345=0,1,R345))))))+Z345), 0.25)</f>
        <v>3</v>
      </c>
      <c r="Z345" s="22"/>
      <c r="AA345" s="157">
        <f>Y345+Y345*VLOOKUP(I345,EXTRAS_ARRAY,2,FALSE)</f>
        <v>3</v>
      </c>
      <c r="AB345" s="20"/>
      <c r="AC345" s="34"/>
      <c r="AD345" s="23" t="str">
        <f>IF(J345&lt;&gt;"Yes",
IF(S345&lt;=0,"Error: Effort value is not defined or is invalid.",
IF(AND(SUM(U345:W345)&gt;0,SUM(U345:W345)&lt;&gt;1),"Error: Complexity % distribution should sum to 100%.",
IF(AND(P345=AS_DEV_EFFORT,X345&lt;&gt;0),"Error: PDs should not be defined when defining as dev effort %.",
IF(AND(P345=AS_DURATION_EFFORT,X345&lt;&gt;0),"Error: PDs should not be defined when defining as duration effort %.","")))))</f>
        <v/>
      </c>
    </row>
    <row r="346" spans="1:30" ht="15.5" hidden="1" outlineLevel="2" x14ac:dyDescent="0.35">
      <c r="A346" s="86" t="s">
        <v>0</v>
      </c>
      <c r="B346" s="18"/>
      <c r="C346" s="78"/>
      <c r="D346" s="78"/>
      <c r="E346" s="78"/>
      <c r="F346" s="79"/>
      <c r="G346" s="19" t="s">
        <v>23</v>
      </c>
      <c r="H346" s="19" t="s">
        <v>23</v>
      </c>
      <c r="I346" s="20" t="s">
        <v>23</v>
      </c>
      <c r="J346" s="19" t="s">
        <v>23</v>
      </c>
      <c r="K346" s="35"/>
      <c r="L346" s="19"/>
      <c r="M346" s="263">
        <f ca="1">IFERROR(OFFSET(M346,-1,,1,1)+0.1,OFFSET(M346,-1,-1,1,1)&amp;".1")</f>
        <v>26.5</v>
      </c>
      <c r="N346" s="20" t="s">
        <v>1118</v>
      </c>
      <c r="O346" s="20"/>
      <c r="P346" s="20"/>
      <c r="Q346" s="134"/>
      <c r="R346" s="127"/>
      <c r="S346" s="157">
        <f>CEILING((IF(J346="Yes", 0, IF(H346="-",AA346,AA346+AA346*VLOOKUP(H346,BUFFERS_BY_TYPE,2,FALSE)))) +
   (IF(J346="Yes", 0, IF(H346="-",AA346,AA346+AA346*VLOOKUP(H346,BUFFERS_BY_TYPE,2,FALSE))))*VLOOKUP($S$5, SALES_CALL_SCALE_ARRAY, 2,FALSE),0.25)</f>
        <v>2.5</v>
      </c>
      <c r="T346" s="158"/>
      <c r="U346" s="21">
        <v>0</v>
      </c>
      <c r="V346" s="21">
        <v>1</v>
      </c>
      <c r="W346" s="21">
        <v>0</v>
      </c>
      <c r="X346" s="156">
        <v>2.5</v>
      </c>
      <c r="Y346" s="157">
        <f>CEILING((IF(P346=AS_DEV_EFFORT, DEV_EFFORT*Q346%,
                           IF(P346=AS_DURATION_EFFORT, (MANUAL_DURATION*5)*Q346%,
                                    (IF(Q346&lt;=1,X346,
                                          IF(SUM(U346:W346)=0,(Q346*X346),
                                               (((Q346*U346)*(X346+(X346*EXTRA_FOR_H)))+
                                               ((Q346*V346)*X346)+
                                               ((Q346*W346)*(X346-(X346*LESS_FOR_L)))
                                    )*IF(R346=0,1,R346))))))+Z346), 0.25)</f>
        <v>2.5</v>
      </c>
      <c r="Z346" s="22"/>
      <c r="AA346" s="157">
        <f>Y346+Y346*VLOOKUP(I346,EXTRAS_ARRAY,2,FALSE)</f>
        <v>2.5</v>
      </c>
      <c r="AB346" s="20"/>
      <c r="AC346" s="34"/>
      <c r="AD346" s="23" t="str">
        <f>IF(J346&lt;&gt;"Yes",
IF(S346&lt;=0,"Error: Effort value is not defined or is invalid.",
IF(AND(SUM(U346:W346)&gt;0,SUM(U346:W346)&lt;&gt;1),"Error: Complexity % distribution should sum to 100%.",
IF(AND(P346=AS_DEV_EFFORT,X346&lt;&gt;0),"Error: PDs should not be defined when defining as dev effort %.",
IF(AND(P346=AS_DURATION_EFFORT,X346&lt;&gt;0),"Error: PDs should not be defined when defining as duration effort %.","")))))</f>
        <v/>
      </c>
    </row>
    <row r="347" spans="1:30" s="9" customFormat="1" ht="7.5" hidden="1" customHeight="1" outlineLevel="2" x14ac:dyDescent="0.35">
      <c r="A347" s="86" t="s">
        <v>132</v>
      </c>
      <c r="B347" s="15"/>
      <c r="C347" s="72"/>
      <c r="D347" s="72"/>
      <c r="E347" s="72"/>
      <c r="F347" s="72"/>
      <c r="M347" s="252"/>
      <c r="T347" s="15"/>
      <c r="X347" s="15"/>
      <c r="AB347" s="10"/>
      <c r="AC347" s="10"/>
      <c r="AD347" s="10"/>
    </row>
    <row r="348" spans="1:30" s="14" customFormat="1" ht="15.5" outlineLevel="1" collapsed="1" x14ac:dyDescent="0.35">
      <c r="A348" s="86" t="s">
        <v>100</v>
      </c>
      <c r="B348" s="18"/>
      <c r="C348" s="77"/>
      <c r="D348" s="77"/>
      <c r="E348" s="77"/>
      <c r="F348" s="76"/>
      <c r="G348" s="29"/>
      <c r="H348" s="29"/>
      <c r="I348" s="29"/>
      <c r="J348" s="29"/>
      <c r="K348" s="29"/>
      <c r="L348" s="17">
        <f ca="1">LOOKUP(1000,INDIRECT("L1:"&amp;CELL("address",INDIRECT("R[-1]C",FALSE))))+1</f>
        <v>27</v>
      </c>
      <c r="M348" s="296" t="s">
        <v>1119</v>
      </c>
      <c r="N348" s="296"/>
      <c r="O348" s="5"/>
      <c r="P348" s="30"/>
      <c r="Q348" s="30"/>
      <c r="R348" s="30"/>
      <c r="S348" s="30"/>
      <c r="T348" s="155">
        <f>IF($S$6="Exclude", SUMIFS(S349:S353, J349:J353, "&lt;&gt;Yes", G349:G353, "&lt;&gt;Yes"), SUMIFS(S349:S353, J349:J353, "&lt;&gt;Yes"))</f>
        <v>16</v>
      </c>
      <c r="U348" s="30"/>
      <c r="V348" s="30"/>
      <c r="W348" s="30"/>
      <c r="X348" s="31"/>
      <c r="Y348" s="32"/>
      <c r="Z348" s="32"/>
      <c r="AA348" s="32"/>
      <c r="AB348" s="219" t="s">
        <v>1120</v>
      </c>
      <c r="AC348" s="33"/>
      <c r="AD348" s="23" t="str">
        <f>IF(M348="", "Error: Task name cannot be empty.", "")</f>
        <v/>
      </c>
    </row>
    <row r="349" spans="1:30" s="12" customFormat="1" ht="1.5" hidden="1" customHeight="1" outlineLevel="2" x14ac:dyDescent="0.35">
      <c r="A349" s="86" t="s">
        <v>101</v>
      </c>
      <c r="B349" s="18"/>
      <c r="C349" s="77"/>
      <c r="D349" s="77"/>
      <c r="E349" s="77"/>
      <c r="F349" s="76"/>
      <c r="G349" s="29"/>
      <c r="H349" s="29"/>
      <c r="I349" s="29"/>
      <c r="J349" s="29"/>
      <c r="K349" s="29"/>
      <c r="L349" s="163">
        <f ca="1">L348</f>
        <v>27</v>
      </c>
      <c r="M349" s="164" t="s">
        <v>105</v>
      </c>
      <c r="N349" s="161"/>
      <c r="O349" s="162"/>
      <c r="P349" s="30"/>
      <c r="Q349" s="30"/>
      <c r="R349" s="30"/>
      <c r="S349" s="30"/>
      <c r="T349" s="155"/>
      <c r="U349" s="30"/>
      <c r="V349" s="30"/>
      <c r="W349" s="30"/>
      <c r="X349" s="31"/>
      <c r="Y349" s="32"/>
      <c r="Z349" s="32"/>
      <c r="AA349" s="32"/>
      <c r="AB349" s="33"/>
      <c r="AC349" s="33"/>
      <c r="AD349" s="23"/>
    </row>
    <row r="350" spans="1:30" ht="15.5" hidden="1" outlineLevel="2" x14ac:dyDescent="0.35">
      <c r="A350" s="86" t="s">
        <v>0</v>
      </c>
      <c r="B350" s="18"/>
      <c r="C350" s="78"/>
      <c r="D350" s="78"/>
      <c r="E350" s="78"/>
      <c r="F350" s="79"/>
      <c r="G350" s="19" t="s">
        <v>23</v>
      </c>
      <c r="H350" s="19" t="s">
        <v>23</v>
      </c>
      <c r="I350" s="20" t="s">
        <v>23</v>
      </c>
      <c r="J350" s="19" t="s">
        <v>23</v>
      </c>
      <c r="K350" s="35"/>
      <c r="L350" s="19"/>
      <c r="M350" s="263" t="str">
        <f ca="1">IFERROR(OFFSET(M350,-1,,1,1)+0.1,OFFSET(M350,-1,-1,1,1)&amp;".1")</f>
        <v>27.1</v>
      </c>
      <c r="N350" s="20" t="s">
        <v>1121</v>
      </c>
      <c r="O350" s="20"/>
      <c r="P350" s="20"/>
      <c r="Q350" s="134"/>
      <c r="R350" s="127"/>
      <c r="S350" s="157">
        <f>CEILING((IF(J350="Yes", 0, IF(H350="-",AA350,AA350+AA350*VLOOKUP(H350,BUFFERS_BY_TYPE,2,FALSE)))) +
   (IF(J350="Yes", 0, IF(H350="-",AA350,AA350+AA350*VLOOKUP(H350,BUFFERS_BY_TYPE,2,FALSE))))*VLOOKUP($S$5, SALES_CALL_SCALE_ARRAY, 2,FALSE),0.25)</f>
        <v>6</v>
      </c>
      <c r="T350" s="158"/>
      <c r="U350" s="21">
        <v>0.25</v>
      </c>
      <c r="V350" s="21">
        <v>0.5</v>
      </c>
      <c r="W350" s="21">
        <v>0.25</v>
      </c>
      <c r="X350" s="156">
        <v>6</v>
      </c>
      <c r="Y350" s="157">
        <f>CEILING((IF(P350=AS_DEV_EFFORT, DEV_EFFORT*Q350%,
                           IF(P350=AS_DURATION_EFFORT, (MANUAL_DURATION*5)*Q350%,
                                    (IF(Q350&lt;=1,X350,
                                          IF(SUM(U350:W350)=0,(Q350*X350),
                                               (((Q350*U350)*(X350+(X350*EXTRA_FOR_H)))+
                                               ((Q350*V350)*X350)+
                                               ((Q350*W350)*(X350-(X350*LESS_FOR_L)))
                                    )*IF(R350=0,1,R350))))))+Z350), 0.25)</f>
        <v>6</v>
      </c>
      <c r="Z350" s="22"/>
      <c r="AA350" s="157">
        <f>Y350+Y350*VLOOKUP(I350,EXTRAS_ARRAY,2,FALSE)</f>
        <v>6</v>
      </c>
      <c r="AB350" s="20"/>
      <c r="AC350" s="34"/>
      <c r="AD350" s="23" t="str">
        <f>IF(J350&lt;&gt;"Yes",
IF(S350&lt;=0,"Error: Effort value is not defined or is invalid.",
IF(AND(SUM(U350:W350)&gt;0,SUM(U350:W350)&lt;&gt;1),"Error: Complexity % distribution should sum to 100%.",
IF(AND(P350=AS_DEV_EFFORT,X350&lt;&gt;0),"Error: PDs should not be defined when defining as dev effort %.",
IF(AND(P350=AS_DURATION_EFFORT,X350&lt;&gt;0),"Error: PDs should not be defined when defining as duration effort %.","")))))</f>
        <v/>
      </c>
    </row>
    <row r="351" spans="1:30" ht="15.5" hidden="1" outlineLevel="2" x14ac:dyDescent="0.35">
      <c r="A351" s="86" t="s">
        <v>0</v>
      </c>
      <c r="B351" s="18"/>
      <c r="C351" s="78"/>
      <c r="D351" s="78"/>
      <c r="E351" s="78"/>
      <c r="F351" s="79"/>
      <c r="G351" s="19" t="s">
        <v>23</v>
      </c>
      <c r="H351" s="19" t="s">
        <v>23</v>
      </c>
      <c r="I351" s="20" t="s">
        <v>23</v>
      </c>
      <c r="J351" s="19" t="s">
        <v>23</v>
      </c>
      <c r="K351" s="35"/>
      <c r="L351" s="19"/>
      <c r="M351" s="263">
        <f ca="1">IFERROR(OFFSET(M351,-1,,1,1)+0.1,OFFSET(M351,-1,-1,1,1)&amp;".1")</f>
        <v>27.2</v>
      </c>
      <c r="N351" s="20" t="s">
        <v>1122</v>
      </c>
      <c r="O351" s="20"/>
      <c r="P351" s="20"/>
      <c r="Q351" s="134"/>
      <c r="R351" s="127"/>
      <c r="S351" s="157">
        <f>CEILING((IF(J351="Yes", 0, IF(H351="-",AA351,AA351+AA351*VLOOKUP(H351,BUFFERS_BY_TYPE,2,FALSE)))) +
   (IF(J351="Yes", 0, IF(H351="-",AA351,AA351+AA351*VLOOKUP(H351,BUFFERS_BY_TYPE,2,FALSE))))*VLOOKUP($S$5, SALES_CALL_SCALE_ARRAY, 2,FALSE),0.25)</f>
        <v>5</v>
      </c>
      <c r="T351" s="158"/>
      <c r="U351" s="21">
        <v>0.1</v>
      </c>
      <c r="V351" s="21">
        <v>0.8</v>
      </c>
      <c r="W351" s="21">
        <v>0.1</v>
      </c>
      <c r="X351" s="156">
        <v>5</v>
      </c>
      <c r="Y351" s="157">
        <f>CEILING((IF(P351=AS_DEV_EFFORT, DEV_EFFORT*Q351%,
                           IF(P351=AS_DURATION_EFFORT, (MANUAL_DURATION*5)*Q351%,
                                    (IF(Q351&lt;=1,X351,
                                          IF(SUM(U351:W351)=0,(Q351*X351),
                                               (((Q351*U351)*(X351+(X351*EXTRA_FOR_H)))+
                                               ((Q351*V351)*X351)+
                                               ((Q351*W351)*(X351-(X351*LESS_FOR_L)))
                                    )*IF(R351=0,1,R351))))))+Z351), 0.25)</f>
        <v>5</v>
      </c>
      <c r="Z351" s="22"/>
      <c r="AA351" s="157">
        <f>Y351+Y351*VLOOKUP(I351,EXTRAS_ARRAY,2,FALSE)</f>
        <v>5</v>
      </c>
      <c r="AB351" s="20"/>
      <c r="AC351" s="34"/>
      <c r="AD351" s="23" t="str">
        <f>IF(J351&lt;&gt;"Yes",
IF(S351&lt;=0,"Error: Effort value is not defined or is invalid.",
IF(AND(SUM(U351:W351)&gt;0,SUM(U351:W351)&lt;&gt;1),"Error: Complexity % distribution should sum to 100%.",
IF(AND(P351=AS_DEV_EFFORT,X351&lt;&gt;0),"Error: PDs should not be defined when defining as dev effort %.",
IF(AND(P351=AS_DURATION_EFFORT,X351&lt;&gt;0),"Error: PDs should not be defined when defining as duration effort %.","")))))</f>
        <v/>
      </c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>
        <f ca="1">IFERROR(OFFSET(M352,-1,,1,1)+0.1,OFFSET(M352,-1,-1,1,1)&amp;".1")</f>
        <v>27.3</v>
      </c>
      <c r="N352" s="20" t="s">
        <v>1123</v>
      </c>
      <c r="O352" s="20"/>
      <c r="P352" s="20"/>
      <c r="Q352" s="134"/>
      <c r="R352" s="127"/>
      <c r="S352" s="157">
        <f>CEILING((IF(J352="Yes", 0, IF(H352="-",AA352,AA352+AA352*VLOOKUP(H352,BUFFERS_BY_TYPE,2,FALSE)))) +
   (IF(J352="Yes", 0, IF(H352="-",AA352,AA352+AA352*VLOOKUP(H352,BUFFERS_BY_TYPE,2,FALSE))))*VLOOKUP($S$5, SALES_CALL_SCALE_ARRAY, 2,FALSE),0.25)</f>
        <v>5</v>
      </c>
      <c r="T352" s="158"/>
      <c r="U352" s="21">
        <v>0.15</v>
      </c>
      <c r="V352" s="21">
        <v>0.7</v>
      </c>
      <c r="W352" s="21">
        <v>0.15</v>
      </c>
      <c r="X352" s="156">
        <v>5</v>
      </c>
      <c r="Y352" s="157">
        <f>CEILING((IF(P352=AS_DEV_EFFORT, DEV_EFFORT*Q352%,
                           IF(P352=AS_DURATION_EFFORT, (MANUAL_DURATION*5)*Q352%,
                                    (IF(Q352&lt;=1,X352,
                                          IF(SUM(U352:W352)=0,(Q352*X352),
                                               (((Q352*U352)*(X352+(X352*EXTRA_FOR_H)))+
                                               ((Q352*V352)*X352)+
                                               ((Q352*W352)*(X352-(X352*LESS_FOR_L)))
                                    )*IF(R352=0,1,R352))))))+Z352), 0.25)</f>
        <v>5</v>
      </c>
      <c r="Z352" s="22"/>
      <c r="AA352" s="157">
        <f>Y352+Y352*VLOOKUP(I352,EXTRAS_ARRAY,2,FALSE)</f>
        <v>5</v>
      </c>
      <c r="AB352" s="20"/>
      <c r="AC352" s="34"/>
      <c r="AD352" s="23" t="str">
        <f>IF(J352&lt;&gt;"Yes",
IF(S352&lt;=0,"Error: Effort value is not defined or is invalid.",
IF(AND(SUM(U352:W352)&gt;0,SUM(U352:W352)&lt;&gt;1),"Error: Complexity % distribution should sum to 100%.",
IF(AND(P352=AS_DEV_EFFORT,X352&lt;&gt;0),"Error: PDs should not be defined when defining as dev effort %.",
IF(AND(P352=AS_DURATION_EFFORT,X352&lt;&gt;0),"Error: PDs should not be defined when defining as duration effort %.","")))))</f>
        <v/>
      </c>
    </row>
    <row r="353" spans="1:30" s="9" customFormat="1" ht="7.5" hidden="1" customHeight="1" outlineLevel="2" x14ac:dyDescent="0.35">
      <c r="A353" s="86" t="s">
        <v>132</v>
      </c>
      <c r="B353" s="15"/>
      <c r="C353" s="72"/>
      <c r="D353" s="72"/>
      <c r="E353" s="72"/>
      <c r="F353" s="72"/>
      <c r="M353" s="252"/>
      <c r="T353" s="15"/>
      <c r="X353" s="15"/>
      <c r="AB353" s="10"/>
      <c r="AC353" s="10"/>
      <c r="AD353" s="10"/>
    </row>
    <row r="354" spans="1:30" s="14" customFormat="1" ht="15.5" outlineLevel="1" x14ac:dyDescent="0.35">
      <c r="A354" s="86" t="s">
        <v>100</v>
      </c>
      <c r="B354" s="18"/>
      <c r="C354" s="77"/>
      <c r="D354" s="77"/>
      <c r="E354" s="77"/>
      <c r="F354" s="76"/>
      <c r="G354" s="29"/>
      <c r="H354" s="29"/>
      <c r="I354" s="29"/>
      <c r="J354" s="29"/>
      <c r="K354" s="29"/>
      <c r="L354" s="17">
        <f ca="1">LOOKUP(1000,INDIRECT("L1:"&amp;CELL("address",INDIRECT("R[-1]C",FALSE))))+1</f>
        <v>28</v>
      </c>
      <c r="M354" s="296" t="s">
        <v>1124</v>
      </c>
      <c r="N354" s="296"/>
      <c r="O354" s="5"/>
      <c r="P354" s="30"/>
      <c r="Q354" s="30"/>
      <c r="R354" s="30"/>
      <c r="S354" s="30"/>
      <c r="T354" s="155">
        <f>IF($S$6="Exclude", SUMIFS(S355:S359, J355:J359, "&lt;&gt;Yes", G355:G359, "&lt;&gt;Yes"), SUMIFS(S355:S359, J355:J359, "&lt;&gt;Yes"))</f>
        <v>13</v>
      </c>
      <c r="U354" s="30"/>
      <c r="V354" s="30"/>
      <c r="W354" s="30"/>
      <c r="X354" s="31"/>
      <c r="Y354" s="32"/>
      <c r="Z354" s="32"/>
      <c r="AA354" s="32"/>
      <c r="AB354" s="219" t="s">
        <v>970</v>
      </c>
      <c r="AC354" s="33"/>
      <c r="AD354" s="23" t="str">
        <f>IF(M354="", "Error: Task name cannot be empty.", "")</f>
        <v/>
      </c>
    </row>
    <row r="355" spans="1:30" s="12" customFormat="1" ht="1.5" customHeight="1" outlineLevel="2" x14ac:dyDescent="0.35">
      <c r="A355" s="86" t="s">
        <v>101</v>
      </c>
      <c r="B355" s="18"/>
      <c r="C355" s="77"/>
      <c r="D355" s="77"/>
      <c r="E355" s="77"/>
      <c r="F355" s="76"/>
      <c r="G355" s="29"/>
      <c r="H355" s="29"/>
      <c r="I355" s="29"/>
      <c r="J355" s="29"/>
      <c r="K355" s="29"/>
      <c r="L355" s="163">
        <f ca="1">L354</f>
        <v>28</v>
      </c>
      <c r="M355" s="164" t="s">
        <v>105</v>
      </c>
      <c r="N355" s="161"/>
      <c r="O355" s="162"/>
      <c r="P355" s="30"/>
      <c r="Q355" s="30"/>
      <c r="R355" s="30"/>
      <c r="S355" s="30"/>
      <c r="T355" s="155"/>
      <c r="U355" s="30"/>
      <c r="V355" s="30"/>
      <c r="W355" s="30"/>
      <c r="X355" s="31"/>
      <c r="Y355" s="32"/>
      <c r="Z355" s="32"/>
      <c r="AA355" s="32"/>
      <c r="AB355" s="33"/>
      <c r="AC355" s="33"/>
      <c r="AD355" s="23"/>
    </row>
    <row r="356" spans="1:30" ht="15.5" outlineLevel="2" x14ac:dyDescent="0.35">
      <c r="A356" s="86" t="s">
        <v>0</v>
      </c>
      <c r="B356" s="18"/>
      <c r="C356" s="78"/>
      <c r="D356" s="78"/>
      <c r="E356" s="78"/>
      <c r="F356" s="79"/>
      <c r="G356" s="19" t="s">
        <v>23</v>
      </c>
      <c r="H356" s="19" t="s">
        <v>23</v>
      </c>
      <c r="I356" s="20" t="s">
        <v>23</v>
      </c>
      <c r="J356" s="19" t="s">
        <v>23</v>
      </c>
      <c r="K356" s="35"/>
      <c r="L356" s="19"/>
      <c r="M356" s="263" t="str">
        <f ca="1">IFERROR(OFFSET(M356,-1,,1,1)+0.1,OFFSET(M356,-1,-1,1,1)&amp;".1")</f>
        <v>28.1</v>
      </c>
      <c r="N356" s="20" t="s">
        <v>1125</v>
      </c>
      <c r="O356" s="20"/>
      <c r="P356" s="20"/>
      <c r="Q356" s="134"/>
      <c r="R356" s="127"/>
      <c r="S356" s="157">
        <f>CEILING((IF(J356="Yes", 0, IF(H356="-",AA356,AA356+AA356*VLOOKUP(H356,BUFFERS_BY_TYPE,2,FALSE)))) +
   (IF(J356="Yes", 0, IF(H356="-",AA356,AA356+AA356*VLOOKUP(H356,BUFFERS_BY_TYPE,2,FALSE))))*VLOOKUP($S$5, SALES_CALL_SCALE_ARRAY, 2,FALSE),0.25)</f>
        <v>5.5</v>
      </c>
      <c r="T356" s="158"/>
      <c r="U356" s="21">
        <v>0.25</v>
      </c>
      <c r="V356" s="21">
        <v>0.75</v>
      </c>
      <c r="W356" s="21">
        <v>0</v>
      </c>
      <c r="X356" s="156">
        <v>5.5</v>
      </c>
      <c r="Y356" s="157">
        <f>CEILING((IF(P356=AS_DEV_EFFORT, DEV_EFFORT*Q356%,
                           IF(P356=AS_DURATION_EFFORT, (MANUAL_DURATION*5)*Q356%,
                                    (IF(Q356&lt;=1,X356,
                                          IF(SUM(U356:W356)=0,(Q356*X356),
                                               (((Q356*U356)*(X356+(X356*EXTRA_FOR_H)))+
                                               ((Q356*V356)*X356)+
                                               ((Q356*W356)*(X356-(X356*LESS_FOR_L)))
                                    )*IF(R356=0,1,R356))))))+Z356), 0.25)</f>
        <v>5.5</v>
      </c>
      <c r="Z356" s="22"/>
      <c r="AA356" s="157">
        <f>Y356+Y356*VLOOKUP(I356,EXTRAS_ARRAY,2,FALSE)</f>
        <v>5.5</v>
      </c>
      <c r="AB356" s="20"/>
      <c r="AC356" s="34"/>
      <c r="AD356" s="23" t="str">
        <f>IF(J356&lt;&gt;"Yes",
IF(S356&lt;=0,"Error: Effort value is not defined or is invalid.",
IF(AND(SUM(U356:W356)&gt;0,SUM(U356:W356)&lt;&gt;1),"Error: Complexity % distribution should sum to 100%.",
IF(AND(P356=AS_DEV_EFFORT,X356&lt;&gt;0),"Error: PDs should not be defined when defining as dev effort %.",
IF(AND(P356=AS_DURATION_EFFORT,X356&lt;&gt;0),"Error: PDs should not be defined when defining as duration effort %.","")))))</f>
        <v/>
      </c>
    </row>
    <row r="357" spans="1:30" ht="15.5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>
        <f ca="1">IFERROR(OFFSET(M357,-1,,1,1)+0.1,OFFSET(M357,-1,-1,1,1)&amp;".1")</f>
        <v>28.2</v>
      </c>
      <c r="N357" s="20" t="s">
        <v>1126</v>
      </c>
      <c r="O357" s="20"/>
      <c r="P357" s="20"/>
      <c r="Q357" s="134"/>
      <c r="R357" s="127"/>
      <c r="S357" s="157">
        <f>CEILING((IF(J357="Yes", 0, IF(H357="-",AA357,AA357+AA357*VLOOKUP(H357,BUFFERS_BY_TYPE,2,FALSE)))) +
   (IF(J357="Yes", 0, IF(H357="-",AA357,AA357+AA357*VLOOKUP(H357,BUFFERS_BY_TYPE,2,FALSE))))*VLOOKUP($S$5, SALES_CALL_SCALE_ARRAY, 2,FALSE),0.25)</f>
        <v>4.5</v>
      </c>
      <c r="T357" s="158"/>
      <c r="U357" s="21">
        <v>0.5</v>
      </c>
      <c r="V357" s="21">
        <v>0.5</v>
      </c>
      <c r="W357" s="21">
        <v>0</v>
      </c>
      <c r="X357" s="156">
        <v>4.5</v>
      </c>
      <c r="Y357" s="157">
        <f>CEILING((IF(P357=AS_DEV_EFFORT, DEV_EFFORT*Q357%,
                           IF(P357=AS_DURATION_EFFORT, (MANUAL_DURATION*5)*Q357%,
                                    (IF(Q357&lt;=1,X357,
                                          IF(SUM(U357:W357)=0,(Q357*X357),
                                               (((Q357*U357)*(X357+(X357*EXTRA_FOR_H)))+
                                               ((Q357*V357)*X357)+
                                               ((Q357*W357)*(X357-(X357*LESS_FOR_L)))
                                    )*IF(R357=0,1,R357))))))+Z357), 0.25)</f>
        <v>4.5</v>
      </c>
      <c r="Z357" s="22"/>
      <c r="AA357" s="157">
        <f>Y357+Y357*VLOOKUP(I357,EXTRAS_ARRAY,2,FALSE)</f>
        <v>4.5</v>
      </c>
      <c r="AB357" s="20"/>
      <c r="AC357" s="34"/>
      <c r="AD357" s="23" t="str">
        <f>IF(J357&lt;&gt;"Yes",
IF(S357&lt;=0,"Error: Effort value is not defined or is invalid.",
IF(AND(SUM(U357:W357)&gt;0,SUM(U357:W357)&lt;&gt;1),"Error: Complexity % distribution should sum to 100%.",
IF(AND(P357=AS_DEV_EFFORT,X357&lt;&gt;0),"Error: PDs should not be defined when defining as dev effort %.",
IF(AND(P357=AS_DURATION_EFFORT,X357&lt;&gt;0),"Error: PDs should not be defined when defining as duration effort %.","")))))</f>
        <v/>
      </c>
    </row>
    <row r="358" spans="1:30" ht="29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ca="1">IFERROR(OFFSET(M358,-1,,1,1)+0.1,OFFSET(M358,-1,-1,1,1)&amp;".1")</f>
        <v>28.3</v>
      </c>
      <c r="N358" s="20" t="s">
        <v>1273</v>
      </c>
      <c r="O358" s="20"/>
      <c r="P358" s="20"/>
      <c r="Q358" s="134"/>
      <c r="R358" s="127"/>
      <c r="S358" s="157">
        <f>CEILING((IF(J358="Yes", 0, IF(H358="-",AA358,AA358+AA358*VLOOKUP(H358,BUFFERS_BY_TYPE,2,FALSE)))) +
   (IF(J358="Yes", 0, IF(H358="-",AA358,AA358+AA358*VLOOKUP(H358,BUFFERS_BY_TYPE,2,FALSE))))*VLOOKUP($S$5, SALES_CALL_SCALE_ARRAY, 2,FALSE),0.25)</f>
        <v>3</v>
      </c>
      <c r="T358" s="158"/>
      <c r="U358" s="21">
        <v>0</v>
      </c>
      <c r="V358" s="21">
        <v>1</v>
      </c>
      <c r="W358" s="21">
        <v>0</v>
      </c>
      <c r="X358" s="156">
        <v>3</v>
      </c>
      <c r="Y358" s="157">
        <f>CEILING((IF(P358=AS_DEV_EFFORT, DEV_EFFORT*Q358%,
                           IF(P358=AS_DURATION_EFFORT, (MANUAL_DURATION*5)*Q358%,
                                    (IF(Q358&lt;=1,X358,
                                          IF(SUM(U358:W358)=0,(Q358*X358),
                                               (((Q358*U358)*(X358+(X358*EXTRA_FOR_H)))+
                                               ((Q358*V358)*X358)+
                                               ((Q358*W358)*(X358-(X358*LESS_FOR_L)))
                                    )*IF(R358=0,1,R358))))))+Z358), 0.25)</f>
        <v>3</v>
      </c>
      <c r="Z358" s="22"/>
      <c r="AA358" s="157">
        <f>Y358+Y358*VLOOKUP(I358,EXTRAS_ARRAY,2,FALSE)</f>
        <v>3</v>
      </c>
      <c r="AB358" s="20" t="s">
        <v>1274</v>
      </c>
      <c r="AC358" s="34"/>
      <c r="AD358" s="23" t="str">
        <f>IF(J358&lt;&gt;"Yes",
IF(S358&lt;=0,"Error: Effort value is not defined or is invalid.",
IF(AND(SUM(U358:W358)&gt;0,SUM(U358:W358)&lt;&gt;1),"Error: Complexity % distribution should sum to 100%.",
IF(AND(P358=AS_DEV_EFFORT,X358&lt;&gt;0),"Error: PDs should not be defined when defining as dev effort %.",
IF(AND(P358=AS_DURATION_EFFORT,X358&lt;&gt;0),"Error: PDs should not be defined when defining as duration effort %.","")))))</f>
        <v/>
      </c>
    </row>
    <row r="359" spans="1:30" s="9" customFormat="1" ht="7.5" customHeight="1" outlineLevel="2" x14ac:dyDescent="0.35">
      <c r="A359" s="86" t="s">
        <v>132</v>
      </c>
      <c r="B359" s="15"/>
      <c r="C359" s="72"/>
      <c r="D359" s="72"/>
      <c r="E359" s="72"/>
      <c r="F359" s="72"/>
      <c r="M359" s="252"/>
      <c r="T359" s="15"/>
      <c r="X359" s="15"/>
      <c r="AB359" s="10"/>
      <c r="AC359" s="10"/>
      <c r="AD359" s="10"/>
    </row>
    <row r="360" spans="1:30" s="14" customFormat="1" ht="15.5" outlineLevel="1" collapsed="1" x14ac:dyDescent="0.35">
      <c r="A360" s="86" t="s">
        <v>100</v>
      </c>
      <c r="B360" s="18"/>
      <c r="C360" s="77"/>
      <c r="D360" s="77"/>
      <c r="E360" s="77"/>
      <c r="F360" s="76"/>
      <c r="G360" s="29"/>
      <c r="H360" s="29"/>
      <c r="I360" s="29"/>
      <c r="J360" s="29"/>
      <c r="K360" s="29"/>
      <c r="L360" s="17">
        <f ca="1">LOOKUP(1000,INDIRECT("L1:"&amp;CELL("address",INDIRECT("R[-1]C",FALSE))))+1</f>
        <v>29</v>
      </c>
      <c r="M360" s="296" t="s">
        <v>1127</v>
      </c>
      <c r="N360" s="296"/>
      <c r="O360" s="5"/>
      <c r="P360" s="30"/>
      <c r="Q360" s="30"/>
      <c r="R360" s="30"/>
      <c r="S360" s="30"/>
      <c r="T360" s="155">
        <f>IF($S$6="Exclude", SUMIFS(S361:S364, J361:J364, "&lt;&gt;Yes", G361:G364, "&lt;&gt;Yes"), SUMIFS(S361:S364, J361:J364, "&lt;&gt;Yes"))</f>
        <v>10</v>
      </c>
      <c r="U360" s="30"/>
      <c r="V360" s="30"/>
      <c r="W360" s="30"/>
      <c r="X360" s="31"/>
      <c r="Y360" s="32"/>
      <c r="Z360" s="32"/>
      <c r="AA360" s="32"/>
      <c r="AB360" s="219" t="s">
        <v>971</v>
      </c>
      <c r="AC360" s="33"/>
      <c r="AD360" s="23" t="str">
        <f>IF(M360="", "Error: Task name cannot be empty.", "")</f>
        <v/>
      </c>
    </row>
    <row r="361" spans="1:30" s="12" customFormat="1" ht="1.5" hidden="1" customHeight="1" outlineLevel="2" x14ac:dyDescent="0.35">
      <c r="A361" s="86" t="s">
        <v>101</v>
      </c>
      <c r="B361" s="18"/>
      <c r="C361" s="77"/>
      <c r="D361" s="77"/>
      <c r="E361" s="77"/>
      <c r="F361" s="76"/>
      <c r="G361" s="29"/>
      <c r="H361" s="29"/>
      <c r="I361" s="29"/>
      <c r="J361" s="29"/>
      <c r="K361" s="29"/>
      <c r="L361" s="163">
        <f ca="1">L360</f>
        <v>29</v>
      </c>
      <c r="M361" s="164" t="s">
        <v>105</v>
      </c>
      <c r="N361" s="161"/>
      <c r="O361" s="162"/>
      <c r="P361" s="30"/>
      <c r="Q361" s="30"/>
      <c r="R361" s="30"/>
      <c r="S361" s="30"/>
      <c r="T361" s="155"/>
      <c r="U361" s="30"/>
      <c r="V361" s="30"/>
      <c r="W361" s="30"/>
      <c r="X361" s="31"/>
      <c r="Y361" s="32"/>
      <c r="Z361" s="32"/>
      <c r="AA361" s="32"/>
      <c r="AB361" s="33"/>
      <c r="AC361" s="33"/>
      <c r="AD361" s="23"/>
    </row>
    <row r="362" spans="1:30" ht="15.5" hidden="1" outlineLevel="2" x14ac:dyDescent="0.35">
      <c r="A362" s="86" t="s">
        <v>0</v>
      </c>
      <c r="B362" s="18"/>
      <c r="C362" s="78"/>
      <c r="D362" s="78"/>
      <c r="E362" s="78"/>
      <c r="F362" s="79"/>
      <c r="G362" s="19" t="s">
        <v>23</v>
      </c>
      <c r="H362" s="19" t="s">
        <v>23</v>
      </c>
      <c r="I362" s="20" t="s">
        <v>23</v>
      </c>
      <c r="J362" s="19" t="s">
        <v>23</v>
      </c>
      <c r="K362" s="35"/>
      <c r="L362" s="19"/>
      <c r="M362" s="263" t="str">
        <f ca="1">IFERROR(OFFSET(M362,-1,,1,1)+0.1,OFFSET(M362,-1,-1,1,1)&amp;".1")</f>
        <v>29.1</v>
      </c>
      <c r="N362" s="20" t="s">
        <v>1128</v>
      </c>
      <c r="O362" s="20"/>
      <c r="P362" s="20"/>
      <c r="Q362" s="134"/>
      <c r="R362" s="127"/>
      <c r="S362" s="157">
        <f>CEILING((IF(J362="Yes", 0, IF(H362="-",AA362,AA362+AA362*VLOOKUP(H362,BUFFERS_BY_TYPE,2,FALSE)))) +
   (IF(J362="Yes", 0, IF(H362="-",AA362,AA362+AA362*VLOOKUP(H362,BUFFERS_BY_TYPE,2,FALSE))))*VLOOKUP($S$5, SALES_CALL_SCALE_ARRAY, 2,FALSE),0.25)</f>
        <v>5</v>
      </c>
      <c r="T362" s="158"/>
      <c r="U362" s="21">
        <v>0</v>
      </c>
      <c r="V362" s="21">
        <v>1</v>
      </c>
      <c r="W362" s="21">
        <v>0</v>
      </c>
      <c r="X362" s="156">
        <v>5</v>
      </c>
      <c r="Y362" s="157">
        <f>CEILING((IF(P362=AS_DEV_EFFORT, DEV_EFFORT*Q362%,
                           IF(P362=AS_DURATION_EFFORT, (MANUAL_DURATION*5)*Q362%,
                                    (IF(Q362&lt;=1,X362,
                                          IF(SUM(U362:W362)=0,(Q362*X362),
                                               (((Q362*U362)*(X362+(X362*EXTRA_FOR_H)))+
                                               ((Q362*V362)*X362)+
                                               ((Q362*W362)*(X362-(X362*LESS_FOR_L)))
                                    )*IF(R362=0,1,R362))))))+Z362), 0.25)</f>
        <v>5</v>
      </c>
      <c r="Z362" s="22"/>
      <c r="AA362" s="157">
        <f>Y362+Y362*VLOOKUP(I362,EXTRAS_ARRAY,2,FALSE)</f>
        <v>5</v>
      </c>
      <c r="AB362" s="20"/>
      <c r="AC362" s="34"/>
      <c r="AD362" s="23" t="str">
        <f>IF(J362&lt;&gt;"Yes",
IF(S362&lt;=0,"Error: Effort value is not defined or is invalid.",
IF(AND(SUM(U362:W362)&gt;0,SUM(U362:W362)&lt;&gt;1),"Error: Complexity % distribution should sum to 100%.",
IF(AND(P362=AS_DEV_EFFORT,X362&lt;&gt;0),"Error: PDs should not be defined when defining as dev effort %.",
IF(AND(P362=AS_DURATION_EFFORT,X362&lt;&gt;0),"Error: PDs should not be defined when defining as duration effort %.","")))))</f>
        <v/>
      </c>
    </row>
    <row r="363" spans="1:30" ht="15.5" hidden="1" outlineLevel="2" x14ac:dyDescent="0.35">
      <c r="A363" s="86" t="s">
        <v>0</v>
      </c>
      <c r="B363" s="18"/>
      <c r="C363" s="78"/>
      <c r="D363" s="78"/>
      <c r="E363" s="78"/>
      <c r="F363" s="79"/>
      <c r="G363" s="19" t="s">
        <v>23</v>
      </c>
      <c r="H363" s="19" t="s">
        <v>23</v>
      </c>
      <c r="I363" s="20" t="s">
        <v>23</v>
      </c>
      <c r="J363" s="19" t="s">
        <v>23</v>
      </c>
      <c r="K363" s="35"/>
      <c r="L363" s="19"/>
      <c r="M363" s="263">
        <f ca="1">IFERROR(OFFSET(M363,-1,,1,1)+0.1,OFFSET(M363,-1,-1,1,1)&amp;".1")</f>
        <v>29.2</v>
      </c>
      <c r="N363" s="20" t="s">
        <v>1129</v>
      </c>
      <c r="O363" s="20"/>
      <c r="P363" s="20"/>
      <c r="Q363" s="134"/>
      <c r="R363" s="127"/>
      <c r="S363" s="157">
        <f>CEILING((IF(J363="Yes", 0, IF(H363="-",AA363,AA363+AA363*VLOOKUP(H363,BUFFERS_BY_TYPE,2,FALSE)))) +
   (IF(J363="Yes", 0, IF(H363="-",AA363,AA363+AA363*VLOOKUP(H363,BUFFERS_BY_TYPE,2,FALSE))))*VLOOKUP($S$5, SALES_CALL_SCALE_ARRAY, 2,FALSE),0.25)</f>
        <v>5</v>
      </c>
      <c r="T363" s="158"/>
      <c r="U363" s="21">
        <v>0</v>
      </c>
      <c r="V363" s="21">
        <v>1</v>
      </c>
      <c r="W363" s="21">
        <v>0</v>
      </c>
      <c r="X363" s="156">
        <v>5</v>
      </c>
      <c r="Y363" s="157">
        <f>CEILING((IF(P363=AS_DEV_EFFORT, DEV_EFFORT*Q363%,
                           IF(P363=AS_DURATION_EFFORT, (MANUAL_DURATION*5)*Q363%,
                                    (IF(Q363&lt;=1,X363,
                                          IF(SUM(U363:W363)=0,(Q363*X363),
                                               (((Q363*U363)*(X363+(X363*EXTRA_FOR_H)))+
                                               ((Q363*V363)*X363)+
                                               ((Q363*W363)*(X363-(X363*LESS_FOR_L)))
                                    )*IF(R363=0,1,R363))))))+Z363), 0.25)</f>
        <v>5</v>
      </c>
      <c r="Z363" s="22"/>
      <c r="AA363" s="157">
        <f>Y363+Y363*VLOOKUP(I363,EXTRAS_ARRAY,2,FALSE)</f>
        <v>5</v>
      </c>
      <c r="AB363" s="20"/>
      <c r="AC363" s="34"/>
      <c r="AD363" s="23" t="str">
        <f>IF(J363&lt;&gt;"Yes",
IF(S363&lt;=0,"Error: Effort value is not defined or is invalid.",
IF(AND(SUM(U363:W363)&gt;0,SUM(U363:W363)&lt;&gt;1),"Error: Complexity % distribution should sum to 100%.",
IF(AND(P363=AS_DEV_EFFORT,X363&lt;&gt;0),"Error: PDs should not be defined when defining as dev effort %.",
IF(AND(P363=AS_DURATION_EFFORT,X363&lt;&gt;0),"Error: PDs should not be defined when defining as duration effort %.","")))))</f>
        <v/>
      </c>
    </row>
    <row r="364" spans="1:30" s="9" customFormat="1" ht="7.5" hidden="1" customHeight="1" outlineLevel="2" x14ac:dyDescent="0.35">
      <c r="A364" s="86" t="s">
        <v>132</v>
      </c>
      <c r="B364" s="15"/>
      <c r="C364" s="72"/>
      <c r="D364" s="72"/>
      <c r="E364" s="72"/>
      <c r="F364" s="72"/>
      <c r="M364" s="252"/>
      <c r="T364" s="15"/>
      <c r="X364" s="15"/>
      <c r="AB364" s="10"/>
      <c r="AC364" s="10"/>
      <c r="AD364" s="10"/>
    </row>
    <row r="365" spans="1:30" s="14" customFormat="1" ht="15.5" outlineLevel="1" collapsed="1" x14ac:dyDescent="0.35">
      <c r="A365" s="86" t="s">
        <v>100</v>
      </c>
      <c r="B365" s="18"/>
      <c r="C365" s="77"/>
      <c r="D365" s="77"/>
      <c r="E365" s="77"/>
      <c r="F365" s="76"/>
      <c r="G365" s="29"/>
      <c r="H365" s="29"/>
      <c r="I365" s="29"/>
      <c r="J365" s="29"/>
      <c r="K365" s="29"/>
      <c r="L365" s="17">
        <f ca="1">LOOKUP(1000,INDIRECT("L1:"&amp;CELL("address",INDIRECT("R[-1]C",FALSE))))+1</f>
        <v>30</v>
      </c>
      <c r="M365" s="296" t="s">
        <v>1130</v>
      </c>
      <c r="N365" s="296"/>
      <c r="O365" s="5"/>
      <c r="P365" s="30"/>
      <c r="Q365" s="30"/>
      <c r="R365" s="30"/>
      <c r="S365" s="30"/>
      <c r="T365" s="155">
        <f>IF($S$6="Exclude", SUMIFS(S366:S369, J366:J369, "&lt;&gt;Yes", G366:G369, "&lt;&gt;Yes"), SUMIFS(S366:S369, J366:J369, "&lt;&gt;Yes"))</f>
        <v>14</v>
      </c>
      <c r="U365" s="30"/>
      <c r="V365" s="30"/>
      <c r="W365" s="30"/>
      <c r="X365" s="31"/>
      <c r="Y365" s="32"/>
      <c r="Z365" s="32"/>
      <c r="AA365" s="32"/>
      <c r="AB365" s="219" t="s">
        <v>972</v>
      </c>
      <c r="AC365" s="33"/>
      <c r="AD365" s="23" t="str">
        <f>IF(M365="", "Error: Task name cannot be empty.", "")</f>
        <v/>
      </c>
    </row>
    <row r="366" spans="1:30" s="12" customFormat="1" ht="1.5" hidden="1" customHeight="1" outlineLevel="2" x14ac:dyDescent="0.35">
      <c r="A366" s="86" t="s">
        <v>101</v>
      </c>
      <c r="B366" s="18"/>
      <c r="C366" s="77"/>
      <c r="D366" s="77"/>
      <c r="E366" s="77"/>
      <c r="F366" s="76"/>
      <c r="G366" s="29"/>
      <c r="H366" s="29"/>
      <c r="I366" s="29"/>
      <c r="J366" s="29"/>
      <c r="K366" s="29"/>
      <c r="L366" s="163">
        <f ca="1">L365</f>
        <v>30</v>
      </c>
      <c r="M366" s="164" t="s">
        <v>105</v>
      </c>
      <c r="N366" s="161"/>
      <c r="O366" s="162"/>
      <c r="P366" s="30"/>
      <c r="Q366" s="30"/>
      <c r="R366" s="30"/>
      <c r="S366" s="30"/>
      <c r="T366" s="155"/>
      <c r="U366" s="30"/>
      <c r="V366" s="30"/>
      <c r="W366" s="30"/>
      <c r="X366" s="31"/>
      <c r="Y366" s="32"/>
      <c r="Z366" s="32"/>
      <c r="AA366" s="32"/>
      <c r="AB366" s="33"/>
      <c r="AC366" s="33"/>
      <c r="AD366" s="23"/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 t="str">
        <f ca="1">IFERROR(OFFSET(M367,-1,,1,1)+0.1,OFFSET(M367,-1,-1,1,1)&amp;".1")</f>
        <v>30.1</v>
      </c>
      <c r="N367" s="20" t="s">
        <v>1131</v>
      </c>
      <c r="O367" s="20"/>
      <c r="P367" s="20"/>
      <c r="Q367" s="134"/>
      <c r="R367" s="127"/>
      <c r="S367" s="157">
        <f>CEILING((IF(J367="Yes", 0, IF(H367="-",AA367,AA367+AA367*VLOOKUP(H367,BUFFERS_BY_TYPE,2,FALSE)))) +
   (IF(J367="Yes", 0, IF(H367="-",AA367,AA367+AA367*VLOOKUP(H367,BUFFERS_BY_TYPE,2,FALSE))))*VLOOKUP($S$5, SALES_CALL_SCALE_ARRAY, 2,FALSE),0.25)</f>
        <v>6</v>
      </c>
      <c r="T367" s="158"/>
      <c r="U367" s="21">
        <v>0</v>
      </c>
      <c r="V367" s="21">
        <v>1</v>
      </c>
      <c r="W367" s="21">
        <v>0</v>
      </c>
      <c r="X367" s="156">
        <v>6</v>
      </c>
      <c r="Y367" s="157">
        <f>CEILING((IF(P367=AS_DEV_EFFORT, DEV_EFFORT*Q367%,
                           IF(P367=AS_DURATION_EFFORT, (MANUAL_DURATION*5)*Q367%,
                                    (IF(Q367&lt;=1,X367,
                                          IF(SUM(U367:W367)=0,(Q367*X367),
                                               (((Q367*U367)*(X367+(X367*EXTRA_FOR_H)))+
                                               ((Q367*V367)*X367)+
                                               ((Q367*W367)*(X367-(X367*LESS_FOR_L)))
                                    )*IF(R367=0,1,R367))))))+Z367), 0.25)</f>
        <v>6</v>
      </c>
      <c r="Z367" s="22"/>
      <c r="AA367" s="157">
        <f>Y367+Y367*VLOOKUP(I367,EXTRAS_ARRAY,2,FALSE)</f>
        <v>6</v>
      </c>
      <c r="AB367" s="20"/>
      <c r="AC367" s="34"/>
      <c r="AD367" s="23" t="str">
        <f>IF(J367&lt;&gt;"Yes",
IF(S367&lt;=0,"Error: Effort value is not defined or is invalid.",
IF(AND(SUM(U367:W367)&gt;0,SUM(U367:W367)&lt;&gt;1),"Error: Complexity % distribution should sum to 100%.",
IF(AND(P367=AS_DEV_EFFORT,X367&lt;&gt;0),"Error: PDs should not be defined when defining as dev effort %.",
IF(AND(P367=AS_DURATION_EFFORT,X367&lt;&gt;0),"Error: PDs should not be defined when defining as duration effort %.","")))))</f>
        <v/>
      </c>
    </row>
    <row r="368" spans="1:30" ht="15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/>
      <c r="L368" s="19"/>
      <c r="M368" s="263">
        <f ca="1">IFERROR(OFFSET(M368,-1,,1,1)+0.1,OFFSET(M368,-1,-1,1,1)&amp;".1")</f>
        <v>30.2</v>
      </c>
      <c r="N368" s="20" t="s">
        <v>1132</v>
      </c>
      <c r="O368" s="20"/>
      <c r="P368" s="20"/>
      <c r="Q368" s="134"/>
      <c r="R368" s="127"/>
      <c r="S368" s="157">
        <f>CEILING((IF(J368="Yes", 0, IF(H368="-",AA368,AA368+AA368*VLOOKUP(H368,BUFFERS_BY_TYPE,2,FALSE)))) +
   (IF(J368="Yes", 0, IF(H368="-",AA368,AA368+AA368*VLOOKUP(H368,BUFFERS_BY_TYPE,2,FALSE))))*VLOOKUP($S$5, SALES_CALL_SCALE_ARRAY, 2,FALSE),0.25)</f>
        <v>8</v>
      </c>
      <c r="T368" s="158"/>
      <c r="U368" s="21">
        <v>0</v>
      </c>
      <c r="V368" s="21">
        <v>1</v>
      </c>
      <c r="W368" s="21">
        <v>0</v>
      </c>
      <c r="X368" s="156">
        <v>8</v>
      </c>
      <c r="Y368" s="157">
        <f>CEILING((IF(P368=AS_DEV_EFFORT, DEV_EFFORT*Q368%,
                           IF(P368=AS_DURATION_EFFORT, (MANUAL_DURATION*5)*Q368%,
                                    (IF(Q368&lt;=1,X368,
                                          IF(SUM(U368:W368)=0,(Q368*X368),
                                               (((Q368*U368)*(X368+(X368*EXTRA_FOR_H)))+
                                               ((Q368*V368)*X368)+
                                               ((Q368*W368)*(X368-(X368*LESS_FOR_L)))
                                    )*IF(R368=0,1,R368))))))+Z368), 0.25)</f>
        <v>8</v>
      </c>
      <c r="Z368" s="22"/>
      <c r="AA368" s="157">
        <f>Y368+Y368*VLOOKUP(I368,EXTRAS_ARRAY,2,FALSE)</f>
        <v>8</v>
      </c>
      <c r="AB368" s="20"/>
      <c r="AC368" s="34"/>
      <c r="AD368" s="23" t="str">
        <f>IF(J368&lt;&gt;"Yes",
IF(S368&lt;=0,"Error: Effort value is not defined or is invalid.",
IF(AND(SUM(U368:W368)&gt;0,SUM(U368:W368)&lt;&gt;1),"Error: Complexity % distribution should sum to 100%.",
IF(AND(P368=AS_DEV_EFFORT,X368&lt;&gt;0),"Error: PDs should not be defined when defining as dev effort %.",
IF(AND(P368=AS_DURATION_EFFORT,X368&lt;&gt;0),"Error: PDs should not be defined when defining as duration effort %.","")))))</f>
        <v/>
      </c>
    </row>
    <row r="369" spans="1:30" s="9" customFormat="1" ht="7.5" hidden="1" customHeight="1" outlineLevel="2" x14ac:dyDescent="0.35">
      <c r="A369" s="86" t="s">
        <v>132</v>
      </c>
      <c r="B369" s="15"/>
      <c r="C369" s="72"/>
      <c r="D369" s="72"/>
      <c r="E369" s="72"/>
      <c r="F369" s="72"/>
      <c r="M369" s="252"/>
      <c r="T369" s="15"/>
      <c r="X369" s="15"/>
      <c r="AB369" s="10"/>
      <c r="AC369" s="10"/>
      <c r="AD369" s="10"/>
    </row>
    <row r="370" spans="1:30" s="14" customFormat="1" ht="15.5" outlineLevel="1" x14ac:dyDescent="0.35">
      <c r="A370" s="86" t="s">
        <v>107</v>
      </c>
      <c r="B370" s="18"/>
      <c r="C370" s="77"/>
      <c r="D370" s="77"/>
      <c r="E370" s="77"/>
      <c r="F370" s="76"/>
      <c r="G370" s="170"/>
      <c r="H370" s="170"/>
      <c r="I370" s="170"/>
      <c r="J370" s="170"/>
      <c r="K370" s="170"/>
      <c r="L370" s="85" t="s">
        <v>109</v>
      </c>
      <c r="M370" s="297" t="s">
        <v>885</v>
      </c>
      <c r="N370" s="297"/>
      <c r="O370" s="80"/>
      <c r="P370" s="81"/>
      <c r="Q370" s="81"/>
      <c r="R370" s="81"/>
      <c r="S370" s="293">
        <f>SUMGROUP(ROW(), "T")</f>
        <v>150</v>
      </c>
      <c r="T370" s="293"/>
      <c r="U370" s="294"/>
      <c r="V370" s="294"/>
      <c r="W370" s="294"/>
      <c r="X370" s="82"/>
      <c r="Y370" s="83"/>
      <c r="Z370" s="83"/>
      <c r="AA370" s="83"/>
      <c r="AB370" s="221"/>
      <c r="AC370" s="84"/>
      <c r="AD370" s="23" t="str">
        <f>IF(M370="", "Error: Module name cannot be empty.", "")</f>
        <v/>
      </c>
    </row>
    <row r="371" spans="1:30" s="14" customFormat="1" ht="15.5" outlineLevel="1" collapsed="1" x14ac:dyDescent="0.35">
      <c r="A371" s="86" t="s">
        <v>100</v>
      </c>
      <c r="B371" s="18"/>
      <c r="C371" s="77"/>
      <c r="D371" s="77"/>
      <c r="E371" s="77"/>
      <c r="F371" s="76"/>
      <c r="G371" s="29"/>
      <c r="H371" s="29"/>
      <c r="I371" s="29"/>
      <c r="J371" s="29"/>
      <c r="K371" s="29"/>
      <c r="L371" s="17">
        <f ca="1">LOOKUP(1000,INDIRECT("L1:"&amp;CELL("address",INDIRECT("R[-1]C",FALSE))))+1</f>
        <v>31</v>
      </c>
      <c r="M371" s="296" t="s">
        <v>1133</v>
      </c>
      <c r="N371" s="296"/>
      <c r="O371" s="5"/>
      <c r="P371" s="30"/>
      <c r="Q371" s="30"/>
      <c r="R371" s="30"/>
      <c r="S371" s="30"/>
      <c r="T371" s="155">
        <f>IF($S$6="Exclude", SUMIFS(S372:S380, J372:J380, "&lt;&gt;Yes", G372:G380, "&lt;&gt;Yes"), SUMIFS(S372:S380, J372:J380, "&lt;&gt;Yes"))</f>
        <v>12</v>
      </c>
      <c r="U371" s="30"/>
      <c r="V371" s="30"/>
      <c r="W371" s="30"/>
      <c r="X371" s="31"/>
      <c r="Y371" s="32"/>
      <c r="Z371" s="32"/>
      <c r="AA371" s="32"/>
      <c r="AB371" s="219" t="s">
        <v>973</v>
      </c>
      <c r="AC371" s="33"/>
      <c r="AD371" s="23" t="str">
        <f>IF(M371="", "Error: Task name cannot be empty.", "")</f>
        <v/>
      </c>
    </row>
    <row r="372" spans="1:30" s="12" customFormat="1" ht="1.5" hidden="1" customHeight="1" outlineLevel="2" x14ac:dyDescent="0.35">
      <c r="A372" s="86" t="s">
        <v>101</v>
      </c>
      <c r="B372" s="18"/>
      <c r="C372" s="77"/>
      <c r="D372" s="77"/>
      <c r="E372" s="77"/>
      <c r="F372" s="76"/>
      <c r="G372" s="29"/>
      <c r="H372" s="29"/>
      <c r="I372" s="29"/>
      <c r="J372" s="29"/>
      <c r="K372" s="29"/>
      <c r="L372" s="163">
        <f ca="1">L371</f>
        <v>31</v>
      </c>
      <c r="M372" s="164" t="s">
        <v>105</v>
      </c>
      <c r="N372" s="161"/>
      <c r="O372" s="162"/>
      <c r="P372" s="30"/>
      <c r="Q372" s="30"/>
      <c r="R372" s="30"/>
      <c r="S372" s="30"/>
      <c r="T372" s="155"/>
      <c r="U372" s="30"/>
      <c r="V372" s="30"/>
      <c r="W372" s="30"/>
      <c r="X372" s="31"/>
      <c r="Y372" s="32"/>
      <c r="Z372" s="32"/>
      <c r="AA372" s="32"/>
      <c r="AB372" s="33"/>
      <c r="AC372" s="33"/>
      <c r="AD372" s="23"/>
    </row>
    <row r="373" spans="1:30" ht="15.5" hidden="1" outlineLevel="2" x14ac:dyDescent="0.35">
      <c r="A373" s="86" t="s">
        <v>0</v>
      </c>
      <c r="B373" s="18"/>
      <c r="C373" s="78"/>
      <c r="D373" s="78"/>
      <c r="E373" s="78"/>
      <c r="F373" s="79"/>
      <c r="G373" s="19" t="s">
        <v>23</v>
      </c>
      <c r="H373" s="19" t="s">
        <v>23</v>
      </c>
      <c r="I373" s="20" t="s">
        <v>23</v>
      </c>
      <c r="J373" s="19" t="s">
        <v>23</v>
      </c>
      <c r="K373" s="35"/>
      <c r="L373" s="19"/>
      <c r="M373" s="263" t="str">
        <f t="shared" ref="M373:M379" ca="1" si="60">IFERROR(OFFSET(M373,-1,,1,1)+0.1,OFFSET(M373,-1,-1,1,1)&amp;".1")</f>
        <v>31.1</v>
      </c>
      <c r="N373" s="20" t="s">
        <v>1134</v>
      </c>
      <c r="O373" s="20"/>
      <c r="P373" s="20"/>
      <c r="Q373" s="134"/>
      <c r="R373" s="127"/>
      <c r="S373" s="157">
        <f t="shared" ref="S373:S379" si="61">CEILING((IF(J373="Yes", 0, IF(H373="-",AA373,AA373+AA373*VLOOKUP(H373,BUFFERS_BY_TYPE,2,FALSE)))) +
   (IF(J373="Yes", 0, IF(H373="-",AA373,AA373+AA373*VLOOKUP(H373,BUFFERS_BY_TYPE,2,FALSE))))*VLOOKUP($S$5, SALES_CALL_SCALE_ARRAY, 2,FALSE),0.25)</f>
        <v>2</v>
      </c>
      <c r="T373" s="158"/>
      <c r="U373" s="21">
        <v>0</v>
      </c>
      <c r="V373" s="21">
        <v>1</v>
      </c>
      <c r="W373" s="21">
        <v>0</v>
      </c>
      <c r="X373" s="156">
        <v>2</v>
      </c>
      <c r="Y373" s="157">
        <f t="shared" ref="Y373:Y379" si="62">CEILING((IF(P373=AS_DEV_EFFORT, DEV_EFFORT*Q373%,
                           IF(P373=AS_DURATION_EFFORT, (MANUAL_DURATION*5)*Q373%,
                                    (IF(Q373&lt;=1,X373,
                                          IF(SUM(U373:W373)=0,(Q373*X373),
                                               (((Q373*U373)*(X373+(X373*EXTRA_FOR_H)))+
                                               ((Q373*V373)*X373)+
                                               ((Q373*W373)*(X373-(X373*LESS_FOR_L)))
                                    )*IF(R373=0,1,R373))))))+Z373), 0.25)</f>
        <v>2</v>
      </c>
      <c r="Z373" s="22"/>
      <c r="AA373" s="157">
        <f t="shared" ref="AA373:AA379" si="63">Y373+Y373*VLOOKUP(I373,EXTRAS_ARRAY,2,FALSE)</f>
        <v>2</v>
      </c>
      <c r="AB373" s="20"/>
      <c r="AC373" s="34"/>
      <c r="AD373" s="23" t="str">
        <f t="shared" ref="AD373:AD379" si="64">IF(J373&lt;&gt;"Yes",
IF(S373&lt;=0,"Error: Effort value is not defined or is invalid.",
IF(AND(SUM(U373:W373)&gt;0,SUM(U373:W373)&lt;&gt;1),"Error: Complexity % distribution should sum to 100%.",
IF(AND(P373=AS_DEV_EFFORT,X373&lt;&gt;0),"Error: PDs should not be defined when defining as dev effort %.",
IF(AND(P373=AS_DURATION_EFFORT,X373&lt;&gt;0),"Error: PDs should not be defined when defining as duration effort %.","")))))</f>
        <v/>
      </c>
    </row>
    <row r="374" spans="1:30" ht="15.5" hidden="1" outlineLevel="2" x14ac:dyDescent="0.35">
      <c r="A374" s="86" t="s">
        <v>0</v>
      </c>
      <c r="B374" s="18"/>
      <c r="C374" s="78"/>
      <c r="D374" s="78"/>
      <c r="E374" s="78"/>
      <c r="F374" s="79"/>
      <c r="G374" s="19" t="s">
        <v>23</v>
      </c>
      <c r="H374" s="19" t="s">
        <v>23</v>
      </c>
      <c r="I374" s="20" t="s">
        <v>23</v>
      </c>
      <c r="J374" s="19" t="s">
        <v>23</v>
      </c>
      <c r="K374" s="35"/>
      <c r="L374" s="19"/>
      <c r="M374" s="263">
        <f t="shared" ca="1" si="60"/>
        <v>31.2</v>
      </c>
      <c r="N374" s="20" t="s">
        <v>886</v>
      </c>
      <c r="O374" s="20"/>
      <c r="P374" s="20"/>
      <c r="Q374" s="134"/>
      <c r="R374" s="127"/>
      <c r="S374" s="157">
        <f t="shared" si="61"/>
        <v>1.5</v>
      </c>
      <c r="T374" s="158"/>
      <c r="U374" s="21">
        <v>0</v>
      </c>
      <c r="V374" s="21">
        <v>1</v>
      </c>
      <c r="W374" s="21">
        <v>0</v>
      </c>
      <c r="X374" s="156">
        <v>1.5</v>
      </c>
      <c r="Y374" s="157">
        <f t="shared" si="62"/>
        <v>1.5</v>
      </c>
      <c r="Z374" s="22"/>
      <c r="AA374" s="157">
        <f t="shared" si="63"/>
        <v>1.5</v>
      </c>
      <c r="AB374" s="20"/>
      <c r="AC374" s="34"/>
      <c r="AD374" s="23" t="str">
        <f t="shared" si="64"/>
        <v/>
      </c>
    </row>
    <row r="375" spans="1:30" ht="15.5" hidden="1" outlineLevel="2" x14ac:dyDescent="0.35">
      <c r="A375" s="86" t="s">
        <v>0</v>
      </c>
      <c r="B375" s="18"/>
      <c r="C375" s="78"/>
      <c r="D375" s="78"/>
      <c r="E375" s="78"/>
      <c r="F375" s="79"/>
      <c r="G375" s="19" t="s">
        <v>23</v>
      </c>
      <c r="H375" s="19" t="s">
        <v>23</v>
      </c>
      <c r="I375" s="20" t="s">
        <v>23</v>
      </c>
      <c r="J375" s="19" t="s">
        <v>23</v>
      </c>
      <c r="K375" s="35"/>
      <c r="L375" s="19"/>
      <c r="M375" s="263">
        <f t="shared" ca="1" si="60"/>
        <v>31.3</v>
      </c>
      <c r="N375" s="20" t="s">
        <v>887</v>
      </c>
      <c r="O375" s="20"/>
      <c r="P375" s="20"/>
      <c r="Q375" s="134"/>
      <c r="R375" s="127"/>
      <c r="S375" s="157">
        <f t="shared" si="61"/>
        <v>2</v>
      </c>
      <c r="T375" s="158"/>
      <c r="U375" s="21">
        <v>0</v>
      </c>
      <c r="V375" s="21">
        <v>1</v>
      </c>
      <c r="W375" s="21">
        <v>0</v>
      </c>
      <c r="X375" s="156">
        <v>2</v>
      </c>
      <c r="Y375" s="157">
        <f t="shared" si="62"/>
        <v>2</v>
      </c>
      <c r="Z375" s="22"/>
      <c r="AA375" s="157">
        <f t="shared" si="63"/>
        <v>2</v>
      </c>
      <c r="AB375" s="20"/>
      <c r="AC375" s="34"/>
      <c r="AD375" s="23" t="str">
        <f t="shared" si="64"/>
        <v/>
      </c>
    </row>
    <row r="376" spans="1:30" ht="15.5" hidden="1" outlineLevel="2" x14ac:dyDescent="0.35">
      <c r="A376" s="86" t="s">
        <v>0</v>
      </c>
      <c r="B376" s="18"/>
      <c r="C376" s="78"/>
      <c r="D376" s="78"/>
      <c r="E376" s="78"/>
      <c r="F376" s="79"/>
      <c r="G376" s="19" t="s">
        <v>23</v>
      </c>
      <c r="H376" s="19" t="s">
        <v>23</v>
      </c>
      <c r="I376" s="20" t="s">
        <v>23</v>
      </c>
      <c r="J376" s="19" t="s">
        <v>23</v>
      </c>
      <c r="K376" s="35"/>
      <c r="L376" s="19"/>
      <c r="M376" s="263">
        <f t="shared" ca="1" si="60"/>
        <v>31.4</v>
      </c>
      <c r="N376" s="20" t="s">
        <v>888</v>
      </c>
      <c r="O376" s="20"/>
      <c r="P376" s="20"/>
      <c r="Q376" s="134"/>
      <c r="R376" s="127"/>
      <c r="S376" s="157">
        <f t="shared" si="61"/>
        <v>2</v>
      </c>
      <c r="T376" s="158"/>
      <c r="U376" s="21">
        <v>0</v>
      </c>
      <c r="V376" s="21">
        <v>1</v>
      </c>
      <c r="W376" s="21">
        <v>0</v>
      </c>
      <c r="X376" s="156">
        <v>2</v>
      </c>
      <c r="Y376" s="157">
        <f t="shared" si="62"/>
        <v>2</v>
      </c>
      <c r="Z376" s="22"/>
      <c r="AA376" s="157">
        <f t="shared" si="63"/>
        <v>2</v>
      </c>
      <c r="AB376" s="20"/>
      <c r="AC376" s="34"/>
      <c r="AD376" s="23" t="str">
        <f t="shared" si="64"/>
        <v/>
      </c>
    </row>
    <row r="377" spans="1:30" ht="15.5" hidden="1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/>
      <c r="L377" s="19"/>
      <c r="M377" s="263">
        <f t="shared" ca="1" si="60"/>
        <v>31.5</v>
      </c>
      <c r="N377" s="20" t="s">
        <v>889</v>
      </c>
      <c r="O377" s="20"/>
      <c r="P377" s="20"/>
      <c r="Q377" s="134"/>
      <c r="R377" s="127"/>
      <c r="S377" s="157">
        <f t="shared" si="61"/>
        <v>1.5</v>
      </c>
      <c r="T377" s="158"/>
      <c r="U377" s="21">
        <v>0</v>
      </c>
      <c r="V377" s="21">
        <v>1</v>
      </c>
      <c r="W377" s="21">
        <v>0</v>
      </c>
      <c r="X377" s="156">
        <v>1.5</v>
      </c>
      <c r="Y377" s="157">
        <f t="shared" si="62"/>
        <v>1.5</v>
      </c>
      <c r="Z377" s="22"/>
      <c r="AA377" s="157">
        <f t="shared" si="63"/>
        <v>1.5</v>
      </c>
      <c r="AB377" s="20"/>
      <c r="AC377" s="34"/>
      <c r="AD377" s="23" t="str">
        <f t="shared" si="64"/>
        <v/>
      </c>
    </row>
    <row r="378" spans="1:30" ht="15.5" hidden="1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t="shared" ca="1" si="60"/>
        <v>31.6</v>
      </c>
      <c r="N378" s="20" t="s">
        <v>890</v>
      </c>
      <c r="O378" s="20"/>
      <c r="P378" s="20"/>
      <c r="Q378" s="134"/>
      <c r="R378" s="127"/>
      <c r="S378" s="157">
        <f t="shared" si="61"/>
        <v>1.5</v>
      </c>
      <c r="T378" s="158"/>
      <c r="U378" s="21">
        <v>0</v>
      </c>
      <c r="V378" s="21">
        <v>1</v>
      </c>
      <c r="W378" s="21">
        <v>0</v>
      </c>
      <c r="X378" s="156">
        <v>1.5</v>
      </c>
      <c r="Y378" s="157">
        <f t="shared" si="62"/>
        <v>1.5</v>
      </c>
      <c r="Z378" s="22"/>
      <c r="AA378" s="157">
        <f t="shared" si="63"/>
        <v>1.5</v>
      </c>
      <c r="AB378" s="20"/>
      <c r="AC378" s="34"/>
      <c r="AD378" s="23" t="str">
        <f t="shared" si="64"/>
        <v/>
      </c>
    </row>
    <row r="379" spans="1:30" ht="15.5" hidden="1" outlineLevel="2" x14ac:dyDescent="0.35">
      <c r="A379" s="86" t="s">
        <v>0</v>
      </c>
      <c r="B379" s="18"/>
      <c r="C379" s="78"/>
      <c r="D379" s="78"/>
      <c r="E379" s="78"/>
      <c r="F379" s="79"/>
      <c r="G379" s="19" t="s">
        <v>23</v>
      </c>
      <c r="H379" s="19" t="s">
        <v>23</v>
      </c>
      <c r="I379" s="20" t="s">
        <v>23</v>
      </c>
      <c r="J379" s="19" t="s">
        <v>23</v>
      </c>
      <c r="K379" s="35"/>
      <c r="L379" s="19"/>
      <c r="M379" s="263">
        <f t="shared" ca="1" si="60"/>
        <v>31.7</v>
      </c>
      <c r="N379" s="20" t="s">
        <v>891</v>
      </c>
      <c r="O379" s="20"/>
      <c r="P379" s="20"/>
      <c r="Q379" s="134"/>
      <c r="R379" s="127"/>
      <c r="S379" s="157">
        <f t="shared" si="61"/>
        <v>1.5</v>
      </c>
      <c r="T379" s="158"/>
      <c r="U379" s="21">
        <v>0</v>
      </c>
      <c r="V379" s="21">
        <v>1</v>
      </c>
      <c r="W379" s="21">
        <v>0</v>
      </c>
      <c r="X379" s="156">
        <v>1.5</v>
      </c>
      <c r="Y379" s="157">
        <f t="shared" si="62"/>
        <v>1.5</v>
      </c>
      <c r="Z379" s="22"/>
      <c r="AA379" s="157">
        <f t="shared" si="63"/>
        <v>1.5</v>
      </c>
      <c r="AB379" s="20"/>
      <c r="AC379" s="34"/>
      <c r="AD379" s="23" t="str">
        <f t="shared" si="64"/>
        <v/>
      </c>
    </row>
    <row r="380" spans="1:30" s="9" customFormat="1" ht="7.5" hidden="1" customHeight="1" outlineLevel="2" x14ac:dyDescent="0.35">
      <c r="A380" s="86" t="s">
        <v>132</v>
      </c>
      <c r="B380" s="15"/>
      <c r="C380" s="72"/>
      <c r="D380" s="72"/>
      <c r="E380" s="72"/>
      <c r="F380" s="72"/>
      <c r="M380" s="252"/>
      <c r="T380" s="15"/>
      <c r="X380" s="15"/>
      <c r="AB380" s="10"/>
      <c r="AC380" s="10"/>
      <c r="AD380" s="10"/>
    </row>
    <row r="381" spans="1:30" s="14" customFormat="1" ht="15.5" outlineLevel="1" collapsed="1" x14ac:dyDescent="0.35">
      <c r="A381" s="86" t="s">
        <v>100</v>
      </c>
      <c r="B381" s="18"/>
      <c r="C381" s="77"/>
      <c r="D381" s="77"/>
      <c r="E381" s="77"/>
      <c r="F381" s="76"/>
      <c r="G381" s="29"/>
      <c r="H381" s="29"/>
      <c r="I381" s="29"/>
      <c r="J381" s="29"/>
      <c r="K381" s="29"/>
      <c r="L381" s="17">
        <f ca="1">LOOKUP(1000,INDIRECT("L1:"&amp;CELL("address",INDIRECT("R[-1]C",FALSE))))+1</f>
        <v>32</v>
      </c>
      <c r="M381" s="296" t="s">
        <v>1135</v>
      </c>
      <c r="N381" s="296"/>
      <c r="O381" s="5"/>
      <c r="P381" s="30"/>
      <c r="Q381" s="30"/>
      <c r="R381" s="30"/>
      <c r="S381" s="30"/>
      <c r="T381" s="155">
        <f>IF($S$6="Exclude", SUMIFS(S382:S390, J382:J390, "&lt;&gt;Yes", G382:G390, "&lt;&gt;Yes"), SUMIFS(S382:S390, J382:J390, "&lt;&gt;Yes"))</f>
        <v>16</v>
      </c>
      <c r="U381" s="30"/>
      <c r="V381" s="30"/>
      <c r="W381" s="30"/>
      <c r="X381" s="31"/>
      <c r="Y381" s="32"/>
      <c r="Z381" s="32"/>
      <c r="AA381" s="32"/>
      <c r="AB381" s="219" t="s">
        <v>974</v>
      </c>
      <c r="AC381" s="33"/>
      <c r="AD381" s="23" t="str">
        <f>IF(M381="", "Error: Task name cannot be empty.", "")</f>
        <v/>
      </c>
    </row>
    <row r="382" spans="1:30" s="12" customFormat="1" ht="1.5" hidden="1" customHeight="1" outlineLevel="2" x14ac:dyDescent="0.35">
      <c r="A382" s="86" t="s">
        <v>101</v>
      </c>
      <c r="B382" s="18"/>
      <c r="C382" s="77"/>
      <c r="D382" s="77"/>
      <c r="E382" s="77"/>
      <c r="F382" s="76"/>
      <c r="G382" s="29"/>
      <c r="H382" s="29"/>
      <c r="I382" s="29"/>
      <c r="J382" s="29"/>
      <c r="K382" s="29"/>
      <c r="L382" s="163">
        <f ca="1">L381</f>
        <v>32</v>
      </c>
      <c r="M382" s="164" t="s">
        <v>105</v>
      </c>
      <c r="N382" s="161"/>
      <c r="O382" s="162"/>
      <c r="P382" s="30"/>
      <c r="Q382" s="30"/>
      <c r="R382" s="30"/>
      <c r="S382" s="30"/>
      <c r="T382" s="155"/>
      <c r="U382" s="30"/>
      <c r="V382" s="30"/>
      <c r="W382" s="30"/>
      <c r="X382" s="31"/>
      <c r="Y382" s="32"/>
      <c r="Z382" s="32"/>
      <c r="AA382" s="32"/>
      <c r="AB382" s="33"/>
      <c r="AC382" s="33"/>
      <c r="AD382" s="23"/>
    </row>
    <row r="383" spans="1:30" ht="15.5" hidden="1" outlineLevel="2" x14ac:dyDescent="0.35">
      <c r="A383" s="86" t="s">
        <v>0</v>
      </c>
      <c r="B383" s="18"/>
      <c r="C383" s="78"/>
      <c r="D383" s="78"/>
      <c r="E383" s="78"/>
      <c r="F383" s="79"/>
      <c r="G383" s="19" t="s">
        <v>23</v>
      </c>
      <c r="H383" s="19" t="s">
        <v>23</v>
      </c>
      <c r="I383" s="20" t="s">
        <v>23</v>
      </c>
      <c r="J383" s="19" t="s">
        <v>23</v>
      </c>
      <c r="K383" s="35"/>
      <c r="L383" s="19"/>
      <c r="M383" s="263" t="str">
        <f t="shared" ref="M383:M389" ca="1" si="65">IFERROR(OFFSET(M383,-1,,1,1)+0.1,OFFSET(M383,-1,-1,1,1)&amp;".1")</f>
        <v>32.1</v>
      </c>
      <c r="N383" s="20" t="s">
        <v>1136</v>
      </c>
      <c r="O383" s="20"/>
      <c r="P383" s="20"/>
      <c r="Q383" s="134"/>
      <c r="R383" s="127"/>
      <c r="S383" s="157">
        <f t="shared" ref="S383:S389" si="66">CEILING((IF(J383="Yes", 0, IF(H383="-",AA383,AA383+AA383*VLOOKUP(H383,BUFFERS_BY_TYPE,2,FALSE)))) +
   (IF(J383="Yes", 0, IF(H383="-",AA383,AA383+AA383*VLOOKUP(H383,BUFFERS_BY_TYPE,2,FALSE))))*VLOOKUP($S$5, SALES_CALL_SCALE_ARRAY, 2,FALSE),0.25)</f>
        <v>2.5</v>
      </c>
      <c r="T383" s="158"/>
      <c r="U383" s="21">
        <v>0</v>
      </c>
      <c r="V383" s="21">
        <v>1</v>
      </c>
      <c r="W383" s="21">
        <v>0</v>
      </c>
      <c r="X383" s="156">
        <v>2.5</v>
      </c>
      <c r="Y383" s="157">
        <f t="shared" ref="Y383:Y389" si="67">CEILING((IF(P383=AS_DEV_EFFORT, DEV_EFFORT*Q383%,
                           IF(P383=AS_DURATION_EFFORT, (MANUAL_DURATION*5)*Q383%,
                                    (IF(Q383&lt;=1,X383,
                                          IF(SUM(U383:W383)=0,(Q383*X383),
                                               (((Q383*U383)*(X383+(X383*EXTRA_FOR_H)))+
                                               ((Q383*V383)*X383)+
                                               ((Q383*W383)*(X383-(X383*LESS_FOR_L)))
                                    )*IF(R383=0,1,R383))))))+Z383), 0.25)</f>
        <v>2.5</v>
      </c>
      <c r="Z383" s="22"/>
      <c r="AA383" s="157">
        <f t="shared" ref="AA383:AA389" si="68">Y383+Y383*VLOOKUP(I383,EXTRAS_ARRAY,2,FALSE)</f>
        <v>2.5</v>
      </c>
      <c r="AB383" s="20"/>
      <c r="AC383" s="34"/>
      <c r="AD383" s="23" t="str">
        <f t="shared" ref="AD383:AD389" si="69">IF(J383&lt;&gt;"Yes",
IF(S383&lt;=0,"Error: Effort value is not defined or is invalid.",
IF(AND(SUM(U383:W383)&gt;0,SUM(U383:W383)&lt;&gt;1),"Error: Complexity % distribution should sum to 100%.",
IF(AND(P383=AS_DEV_EFFORT,X383&lt;&gt;0),"Error: PDs should not be defined when defining as dev effort %.",
IF(AND(P383=AS_DURATION_EFFORT,X383&lt;&gt;0),"Error: PDs should not be defined when defining as duration effort %.","")))))</f>
        <v/>
      </c>
    </row>
    <row r="384" spans="1:30" ht="15.5" hidden="1" outlineLevel="2" x14ac:dyDescent="0.35">
      <c r="A384" s="86" t="s">
        <v>0</v>
      </c>
      <c r="B384" s="18"/>
      <c r="C384" s="78"/>
      <c r="D384" s="78"/>
      <c r="E384" s="78"/>
      <c r="F384" s="79"/>
      <c r="G384" s="19" t="s">
        <v>23</v>
      </c>
      <c r="H384" s="19" t="s">
        <v>23</v>
      </c>
      <c r="I384" s="20" t="s">
        <v>23</v>
      </c>
      <c r="J384" s="19" t="s">
        <v>23</v>
      </c>
      <c r="K384" s="35"/>
      <c r="L384" s="19"/>
      <c r="M384" s="263">
        <f t="shared" ca="1" si="65"/>
        <v>32.2</v>
      </c>
      <c r="N384" s="20" t="s">
        <v>1137</v>
      </c>
      <c r="O384" s="20"/>
      <c r="P384" s="20"/>
      <c r="Q384" s="134"/>
      <c r="R384" s="127"/>
      <c r="S384" s="157">
        <f t="shared" si="66"/>
        <v>2</v>
      </c>
      <c r="T384" s="158"/>
      <c r="U384" s="21">
        <v>0</v>
      </c>
      <c r="V384" s="21">
        <v>1</v>
      </c>
      <c r="W384" s="21">
        <v>0</v>
      </c>
      <c r="X384" s="156">
        <v>2</v>
      </c>
      <c r="Y384" s="157">
        <f t="shared" si="67"/>
        <v>2</v>
      </c>
      <c r="Z384" s="22"/>
      <c r="AA384" s="157">
        <f t="shared" si="68"/>
        <v>2</v>
      </c>
      <c r="AB384" s="20"/>
      <c r="AC384" s="34"/>
      <c r="AD384" s="23" t="str">
        <f t="shared" si="69"/>
        <v/>
      </c>
    </row>
    <row r="385" spans="1:30" ht="15.5" hidden="1" outlineLevel="2" x14ac:dyDescent="0.35">
      <c r="A385" s="86" t="s">
        <v>0</v>
      </c>
      <c r="B385" s="18"/>
      <c r="C385" s="78"/>
      <c r="D385" s="78"/>
      <c r="E385" s="78"/>
      <c r="F385" s="79"/>
      <c r="G385" s="19" t="s">
        <v>23</v>
      </c>
      <c r="H385" s="19" t="s">
        <v>23</v>
      </c>
      <c r="I385" s="20" t="s">
        <v>23</v>
      </c>
      <c r="J385" s="19" t="s">
        <v>23</v>
      </c>
      <c r="K385" s="35"/>
      <c r="L385" s="19"/>
      <c r="M385" s="263">
        <f t="shared" ca="1" si="65"/>
        <v>32.3</v>
      </c>
      <c r="N385" s="20" t="s">
        <v>1138</v>
      </c>
      <c r="O385" s="20"/>
      <c r="P385" s="20"/>
      <c r="Q385" s="134"/>
      <c r="R385" s="127"/>
      <c r="S385" s="157">
        <f t="shared" si="66"/>
        <v>2.5</v>
      </c>
      <c r="T385" s="158"/>
      <c r="U385" s="21">
        <v>0</v>
      </c>
      <c r="V385" s="21">
        <v>1</v>
      </c>
      <c r="W385" s="21">
        <v>0</v>
      </c>
      <c r="X385" s="156">
        <v>2.5</v>
      </c>
      <c r="Y385" s="157">
        <f t="shared" si="67"/>
        <v>2.5</v>
      </c>
      <c r="Z385" s="22"/>
      <c r="AA385" s="157">
        <f t="shared" si="68"/>
        <v>2.5</v>
      </c>
      <c r="AB385" s="20"/>
      <c r="AC385" s="34"/>
      <c r="AD385" s="23" t="str">
        <f t="shared" si="69"/>
        <v/>
      </c>
    </row>
    <row r="386" spans="1:30" ht="15.5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>
        <f t="shared" ca="1" si="65"/>
        <v>32.4</v>
      </c>
      <c r="N386" s="20" t="s">
        <v>1139</v>
      </c>
      <c r="O386" s="20"/>
      <c r="P386" s="20"/>
      <c r="Q386" s="134"/>
      <c r="R386" s="127"/>
      <c r="S386" s="157">
        <f t="shared" si="66"/>
        <v>2</v>
      </c>
      <c r="T386" s="158"/>
      <c r="U386" s="21">
        <v>0</v>
      </c>
      <c r="V386" s="21">
        <v>1</v>
      </c>
      <c r="W386" s="21">
        <v>0</v>
      </c>
      <c r="X386" s="156">
        <v>2</v>
      </c>
      <c r="Y386" s="157">
        <f t="shared" si="67"/>
        <v>2</v>
      </c>
      <c r="Z386" s="22"/>
      <c r="AA386" s="157">
        <f t="shared" si="68"/>
        <v>2</v>
      </c>
      <c r="AB386" s="20"/>
      <c r="AC386" s="34"/>
      <c r="AD386" s="23" t="str">
        <f t="shared" si="69"/>
        <v/>
      </c>
    </row>
    <row r="387" spans="1:30" ht="15.5" hidden="1" outlineLevel="2" x14ac:dyDescent="0.35">
      <c r="A387" s="86" t="s">
        <v>0</v>
      </c>
      <c r="B387" s="18"/>
      <c r="C387" s="78"/>
      <c r="D387" s="78"/>
      <c r="E387" s="78"/>
      <c r="F387" s="79"/>
      <c r="G387" s="19" t="s">
        <v>23</v>
      </c>
      <c r="H387" s="19" t="s">
        <v>23</v>
      </c>
      <c r="I387" s="20" t="s">
        <v>23</v>
      </c>
      <c r="J387" s="19" t="s">
        <v>23</v>
      </c>
      <c r="K387" s="35"/>
      <c r="L387" s="19"/>
      <c r="M387" s="263">
        <f t="shared" ca="1" si="65"/>
        <v>32.5</v>
      </c>
      <c r="N387" s="20" t="s">
        <v>1140</v>
      </c>
      <c r="O387" s="20"/>
      <c r="P387" s="20"/>
      <c r="Q387" s="134"/>
      <c r="R387" s="127"/>
      <c r="S387" s="157">
        <f t="shared" si="66"/>
        <v>2</v>
      </c>
      <c r="T387" s="158"/>
      <c r="U387" s="21">
        <v>0</v>
      </c>
      <c r="V387" s="21">
        <v>1</v>
      </c>
      <c r="W387" s="21">
        <v>0</v>
      </c>
      <c r="X387" s="156">
        <v>2</v>
      </c>
      <c r="Y387" s="157">
        <f t="shared" si="67"/>
        <v>2</v>
      </c>
      <c r="Z387" s="22"/>
      <c r="AA387" s="157">
        <f t="shared" si="68"/>
        <v>2</v>
      </c>
      <c r="AB387" s="20"/>
      <c r="AC387" s="34"/>
      <c r="AD387" s="23" t="str">
        <f t="shared" si="69"/>
        <v/>
      </c>
    </row>
    <row r="388" spans="1:30" ht="15.5" hidden="1" outlineLevel="2" x14ac:dyDescent="0.35">
      <c r="A388" s="86" t="s">
        <v>0</v>
      </c>
      <c r="B388" s="18"/>
      <c r="C388" s="78"/>
      <c r="D388" s="78"/>
      <c r="E388" s="78"/>
      <c r="F388" s="79"/>
      <c r="G388" s="19" t="s">
        <v>23</v>
      </c>
      <c r="H388" s="19" t="s">
        <v>23</v>
      </c>
      <c r="I388" s="20" t="s">
        <v>23</v>
      </c>
      <c r="J388" s="19" t="s">
        <v>23</v>
      </c>
      <c r="K388" s="35"/>
      <c r="L388" s="19"/>
      <c r="M388" s="263">
        <f t="shared" ca="1" si="65"/>
        <v>32.6</v>
      </c>
      <c r="N388" s="20" t="s">
        <v>892</v>
      </c>
      <c r="O388" s="20"/>
      <c r="P388" s="20"/>
      <c r="Q388" s="134"/>
      <c r="R388" s="127"/>
      <c r="S388" s="157">
        <f t="shared" si="66"/>
        <v>2</v>
      </c>
      <c r="T388" s="158"/>
      <c r="U388" s="21">
        <v>0</v>
      </c>
      <c r="V388" s="21">
        <v>1</v>
      </c>
      <c r="W388" s="21">
        <v>0</v>
      </c>
      <c r="X388" s="156">
        <v>2</v>
      </c>
      <c r="Y388" s="157">
        <f t="shared" si="67"/>
        <v>2</v>
      </c>
      <c r="Z388" s="22"/>
      <c r="AA388" s="157">
        <f t="shared" si="68"/>
        <v>2</v>
      </c>
      <c r="AB388" s="20"/>
      <c r="AC388" s="34"/>
      <c r="AD388" s="23" t="str">
        <f t="shared" si="69"/>
        <v/>
      </c>
    </row>
    <row r="389" spans="1:30" ht="15.5" hidden="1" outlineLevel="2" x14ac:dyDescent="0.35">
      <c r="A389" s="86" t="s">
        <v>0</v>
      </c>
      <c r="B389" s="18"/>
      <c r="C389" s="78"/>
      <c r="D389" s="78"/>
      <c r="E389" s="78"/>
      <c r="F389" s="79"/>
      <c r="G389" s="19" t="s">
        <v>23</v>
      </c>
      <c r="H389" s="19" t="s">
        <v>23</v>
      </c>
      <c r="I389" s="20" t="s">
        <v>23</v>
      </c>
      <c r="J389" s="19" t="s">
        <v>23</v>
      </c>
      <c r="K389" s="35"/>
      <c r="L389" s="19"/>
      <c r="M389" s="263">
        <f t="shared" ca="1" si="65"/>
        <v>32.7</v>
      </c>
      <c r="N389" s="20" t="s">
        <v>893</v>
      </c>
      <c r="O389" s="20"/>
      <c r="P389" s="20"/>
      <c r="Q389" s="134"/>
      <c r="R389" s="127"/>
      <c r="S389" s="157">
        <f t="shared" si="66"/>
        <v>3</v>
      </c>
      <c r="T389" s="158"/>
      <c r="U389" s="21">
        <v>0</v>
      </c>
      <c r="V389" s="21">
        <v>1</v>
      </c>
      <c r="W389" s="21">
        <v>0</v>
      </c>
      <c r="X389" s="156">
        <v>3</v>
      </c>
      <c r="Y389" s="157">
        <f t="shared" si="67"/>
        <v>3</v>
      </c>
      <c r="Z389" s="22"/>
      <c r="AA389" s="157">
        <f t="shared" si="68"/>
        <v>3</v>
      </c>
      <c r="AB389" s="20"/>
      <c r="AC389" s="34"/>
      <c r="AD389" s="23" t="str">
        <f t="shared" si="69"/>
        <v/>
      </c>
    </row>
    <row r="390" spans="1:30" s="9" customFormat="1" ht="7.5" hidden="1" customHeight="1" outlineLevel="2" x14ac:dyDescent="0.35">
      <c r="A390" s="86" t="s">
        <v>132</v>
      </c>
      <c r="B390" s="15"/>
      <c r="C390" s="72"/>
      <c r="D390" s="72"/>
      <c r="E390" s="72"/>
      <c r="F390" s="72"/>
      <c r="M390" s="252"/>
      <c r="T390" s="15"/>
      <c r="X390" s="15"/>
      <c r="AB390" s="10"/>
      <c r="AC390" s="10"/>
      <c r="AD390" s="10"/>
    </row>
    <row r="391" spans="1:30" s="14" customFormat="1" ht="15.5" outlineLevel="1" x14ac:dyDescent="0.35">
      <c r="A391" s="86" t="s">
        <v>100</v>
      </c>
      <c r="B391" s="18"/>
      <c r="C391" s="77"/>
      <c r="D391" s="77"/>
      <c r="E391" s="77"/>
      <c r="F391" s="76"/>
      <c r="G391" s="29"/>
      <c r="H391" s="29"/>
      <c r="I391" s="29"/>
      <c r="J391" s="29"/>
      <c r="K391" s="29"/>
      <c r="L391" s="17">
        <f ca="1">LOOKUP(1000,INDIRECT("L1:"&amp;CELL("address",INDIRECT("R[-1]C",FALSE))))+1</f>
        <v>33</v>
      </c>
      <c r="M391" s="296" t="s">
        <v>1141</v>
      </c>
      <c r="N391" s="296"/>
      <c r="O391" s="5"/>
      <c r="P391" s="30"/>
      <c r="Q391" s="30"/>
      <c r="R391" s="30"/>
      <c r="S391" s="30"/>
      <c r="T391" s="155">
        <f>IF($S$6="Exclude", SUMIFS(S392:S407, J392:J407, "&lt;&gt;Yes", G392:G407, "&lt;&gt;Yes"), SUMIFS(S392:S407, J392:J407, "&lt;&gt;Yes"))</f>
        <v>36.5</v>
      </c>
      <c r="U391" s="30"/>
      <c r="V391" s="30"/>
      <c r="W391" s="30"/>
      <c r="X391" s="31"/>
      <c r="Y391" s="32"/>
      <c r="Z391" s="32"/>
      <c r="AA391" s="32"/>
      <c r="AB391" s="219" t="s">
        <v>975</v>
      </c>
      <c r="AC391" s="33"/>
      <c r="AD391" s="23" t="str">
        <f>IF(M391="", "Error: Task name cannot be empty.", "")</f>
        <v/>
      </c>
    </row>
    <row r="392" spans="1:30" s="12" customFormat="1" ht="1.5" customHeight="1" outlineLevel="2" x14ac:dyDescent="0.35">
      <c r="A392" s="86" t="s">
        <v>101</v>
      </c>
      <c r="B392" s="18"/>
      <c r="C392" s="77"/>
      <c r="D392" s="77"/>
      <c r="E392" s="77"/>
      <c r="F392" s="76"/>
      <c r="G392" s="29"/>
      <c r="H392" s="29"/>
      <c r="I392" s="29"/>
      <c r="J392" s="29"/>
      <c r="K392" s="29"/>
      <c r="L392" s="163">
        <f ca="1">L391</f>
        <v>33</v>
      </c>
      <c r="M392" s="164" t="s">
        <v>105</v>
      </c>
      <c r="N392" s="161"/>
      <c r="O392" s="162"/>
      <c r="P392" s="30"/>
      <c r="Q392" s="30"/>
      <c r="R392" s="30"/>
      <c r="S392" s="30"/>
      <c r="T392" s="155"/>
      <c r="U392" s="30"/>
      <c r="V392" s="30"/>
      <c r="W392" s="30"/>
      <c r="X392" s="31"/>
      <c r="Y392" s="32"/>
      <c r="Z392" s="32"/>
      <c r="AA392" s="32"/>
      <c r="AB392" s="33"/>
      <c r="AC392" s="33"/>
      <c r="AD392" s="23"/>
    </row>
    <row r="393" spans="1:30" ht="15.5" outlineLevel="2" x14ac:dyDescent="0.35">
      <c r="A393" s="86" t="s">
        <v>0</v>
      </c>
      <c r="B393" s="18"/>
      <c r="C393" s="78"/>
      <c r="D393" s="78"/>
      <c r="E393" s="78"/>
      <c r="F393" s="79"/>
      <c r="G393" s="19" t="s">
        <v>23</v>
      </c>
      <c r="H393" s="19" t="s">
        <v>23</v>
      </c>
      <c r="I393" s="20" t="s">
        <v>23</v>
      </c>
      <c r="J393" s="19" t="s">
        <v>23</v>
      </c>
      <c r="K393" s="35"/>
      <c r="L393" s="19"/>
      <c r="M393" s="263" t="str">
        <f t="shared" ref="M393:M402" ca="1" si="70">IFERROR(OFFSET(M393,-1,,1,1)+0.1,OFFSET(M393,-1,-1,1,1)&amp;".1")</f>
        <v>33.1</v>
      </c>
      <c r="N393" s="20" t="s">
        <v>1142</v>
      </c>
      <c r="O393" s="20"/>
      <c r="P393" s="20"/>
      <c r="Q393" s="134"/>
      <c r="R393" s="127"/>
      <c r="S393" s="157">
        <f t="shared" ref="S393:S402" si="71">CEILING((IF(J393="Yes", 0, IF(H393="-",AA393,AA393+AA393*VLOOKUP(H393,BUFFERS_BY_TYPE,2,FALSE)))) +
   (IF(J393="Yes", 0, IF(H393="-",AA393,AA393+AA393*VLOOKUP(H393,BUFFERS_BY_TYPE,2,FALSE))))*VLOOKUP($S$5, SALES_CALL_SCALE_ARRAY, 2,FALSE),0.25)</f>
        <v>2</v>
      </c>
      <c r="T393" s="158"/>
      <c r="U393" s="21">
        <v>0</v>
      </c>
      <c r="V393" s="21">
        <v>1</v>
      </c>
      <c r="W393" s="21">
        <v>0</v>
      </c>
      <c r="X393" s="156">
        <v>2</v>
      </c>
      <c r="Y393" s="157">
        <f t="shared" ref="Y393:Y402" si="72">CEILING((IF(P393=AS_DEV_EFFORT, DEV_EFFORT*Q393%,
                           IF(P393=AS_DURATION_EFFORT, (MANUAL_DURATION*5)*Q393%,
                                    (IF(Q393&lt;=1,X393,
                                          IF(SUM(U393:W393)=0,(Q393*X393),
                                               (((Q393*U393)*(X393+(X393*EXTRA_FOR_H)))+
                                               ((Q393*V393)*X393)+
                                               ((Q393*W393)*(X393-(X393*LESS_FOR_L)))
                                    )*IF(R393=0,1,R393))))))+Z393), 0.25)</f>
        <v>2</v>
      </c>
      <c r="Z393" s="22"/>
      <c r="AA393" s="157">
        <f t="shared" ref="AA393:AA402" si="73">Y393+Y393*VLOOKUP(I393,EXTRAS_ARRAY,2,FALSE)</f>
        <v>2</v>
      </c>
      <c r="AB393" s="20"/>
      <c r="AC393" s="34"/>
      <c r="AD393" s="23" t="str">
        <f t="shared" ref="AD393:AD402" si="74">IF(J393&lt;&gt;"Yes",
IF(S393&lt;=0,"Error: Effort value is not defined or is invalid.",
IF(AND(SUM(U393:W393)&gt;0,SUM(U393:W393)&lt;&gt;1),"Error: Complexity % distribution should sum to 100%.",
IF(AND(P393=AS_DEV_EFFORT,X393&lt;&gt;0),"Error: PDs should not be defined when defining as dev effort %.",
IF(AND(P393=AS_DURATION_EFFORT,X393&lt;&gt;0),"Error: PDs should not be defined when defining as duration effort %.","")))))</f>
        <v/>
      </c>
    </row>
    <row r="394" spans="1:30" ht="15.5" outlineLevel="2" x14ac:dyDescent="0.35">
      <c r="A394" s="86" t="s">
        <v>0</v>
      </c>
      <c r="B394" s="18"/>
      <c r="C394" s="78"/>
      <c r="D394" s="78"/>
      <c r="E394" s="78"/>
      <c r="F394" s="79"/>
      <c r="G394" s="19" t="s">
        <v>23</v>
      </c>
      <c r="H394" s="19" t="s">
        <v>23</v>
      </c>
      <c r="I394" s="20" t="s">
        <v>23</v>
      </c>
      <c r="J394" s="19" t="s">
        <v>23</v>
      </c>
      <c r="K394" s="35"/>
      <c r="L394" s="19"/>
      <c r="M394" s="263">
        <f t="shared" ca="1" si="70"/>
        <v>33.2</v>
      </c>
      <c r="N394" s="20" t="s">
        <v>894</v>
      </c>
      <c r="O394" s="20"/>
      <c r="P394" s="20"/>
      <c r="Q394" s="134"/>
      <c r="R394" s="127"/>
      <c r="S394" s="157">
        <f t="shared" si="71"/>
        <v>4</v>
      </c>
      <c r="T394" s="158"/>
      <c r="U394" s="21">
        <v>0</v>
      </c>
      <c r="V394" s="21">
        <v>1</v>
      </c>
      <c r="W394" s="21">
        <v>0</v>
      </c>
      <c r="X394" s="156">
        <v>4</v>
      </c>
      <c r="Y394" s="157">
        <f t="shared" si="72"/>
        <v>4</v>
      </c>
      <c r="Z394" s="22"/>
      <c r="AA394" s="157">
        <f t="shared" si="73"/>
        <v>4</v>
      </c>
      <c r="AB394" s="20"/>
      <c r="AC394" s="34"/>
      <c r="AD394" s="23" t="str">
        <f t="shared" si="74"/>
        <v/>
      </c>
    </row>
    <row r="395" spans="1:30" ht="15.5" outlineLevel="2" x14ac:dyDescent="0.35">
      <c r="A395" s="86" t="s">
        <v>0</v>
      </c>
      <c r="B395" s="18"/>
      <c r="C395" s="78"/>
      <c r="D395" s="78"/>
      <c r="E395" s="78"/>
      <c r="F395" s="79"/>
      <c r="G395" s="19" t="s">
        <v>23</v>
      </c>
      <c r="H395" s="19" t="s">
        <v>23</v>
      </c>
      <c r="I395" s="20" t="s">
        <v>23</v>
      </c>
      <c r="J395" s="19" t="s">
        <v>23</v>
      </c>
      <c r="K395" s="35"/>
      <c r="L395" s="19"/>
      <c r="M395" s="263">
        <f t="shared" ca="1" si="70"/>
        <v>33.3</v>
      </c>
      <c r="N395" s="20" t="s">
        <v>895</v>
      </c>
      <c r="O395" s="20"/>
      <c r="P395" s="20"/>
      <c r="Q395" s="134"/>
      <c r="R395" s="127"/>
      <c r="S395" s="157">
        <f t="shared" si="71"/>
        <v>3</v>
      </c>
      <c r="T395" s="158"/>
      <c r="U395" s="21">
        <v>0</v>
      </c>
      <c r="V395" s="21">
        <v>1</v>
      </c>
      <c r="W395" s="21">
        <v>0</v>
      </c>
      <c r="X395" s="156">
        <v>3</v>
      </c>
      <c r="Y395" s="157">
        <f t="shared" si="72"/>
        <v>3</v>
      </c>
      <c r="Z395" s="22"/>
      <c r="AA395" s="157">
        <f t="shared" si="73"/>
        <v>3</v>
      </c>
      <c r="AB395" s="20"/>
      <c r="AC395" s="34"/>
      <c r="AD395" s="23" t="str">
        <f t="shared" si="74"/>
        <v/>
      </c>
    </row>
    <row r="396" spans="1:30" ht="15.5" outlineLevel="2" x14ac:dyDescent="0.35">
      <c r="A396" s="86" t="s">
        <v>0</v>
      </c>
      <c r="B396" s="18"/>
      <c r="C396" s="78"/>
      <c r="D396" s="78"/>
      <c r="E396" s="78"/>
      <c r="F396" s="79"/>
      <c r="G396" s="19" t="s">
        <v>23</v>
      </c>
      <c r="H396" s="19" t="s">
        <v>23</v>
      </c>
      <c r="I396" s="20" t="s">
        <v>23</v>
      </c>
      <c r="J396" s="19" t="s">
        <v>23</v>
      </c>
      <c r="K396" s="35"/>
      <c r="L396" s="19"/>
      <c r="M396" s="263">
        <f t="shared" ca="1" si="70"/>
        <v>33.4</v>
      </c>
      <c r="N396" s="20" t="s">
        <v>896</v>
      </c>
      <c r="O396" s="20"/>
      <c r="P396" s="20"/>
      <c r="Q396" s="134"/>
      <c r="R396" s="127"/>
      <c r="S396" s="157">
        <f t="shared" si="71"/>
        <v>3</v>
      </c>
      <c r="T396" s="158"/>
      <c r="U396" s="21">
        <v>0</v>
      </c>
      <c r="V396" s="21">
        <v>1</v>
      </c>
      <c r="W396" s="21">
        <v>0</v>
      </c>
      <c r="X396" s="156">
        <v>3</v>
      </c>
      <c r="Y396" s="157">
        <f t="shared" si="72"/>
        <v>3</v>
      </c>
      <c r="Z396" s="22"/>
      <c r="AA396" s="157">
        <f t="shared" si="73"/>
        <v>3</v>
      </c>
      <c r="AB396" s="20"/>
      <c r="AC396" s="34"/>
      <c r="AD396" s="23" t="str">
        <f t="shared" si="74"/>
        <v/>
      </c>
    </row>
    <row r="397" spans="1:30" ht="15.5" outlineLevel="2" x14ac:dyDescent="0.35">
      <c r="A397" s="86" t="s">
        <v>0</v>
      </c>
      <c r="B397" s="18"/>
      <c r="C397" s="78"/>
      <c r="D397" s="78"/>
      <c r="E397" s="78"/>
      <c r="F397" s="79"/>
      <c r="G397" s="19" t="s">
        <v>23</v>
      </c>
      <c r="H397" s="19" t="s">
        <v>23</v>
      </c>
      <c r="I397" s="20" t="s">
        <v>23</v>
      </c>
      <c r="J397" s="19" t="s">
        <v>23</v>
      </c>
      <c r="K397" s="35"/>
      <c r="L397" s="19"/>
      <c r="M397" s="263">
        <f t="shared" ca="1" si="70"/>
        <v>33.5</v>
      </c>
      <c r="N397" s="20" t="s">
        <v>897</v>
      </c>
      <c r="O397" s="20"/>
      <c r="P397" s="20"/>
      <c r="Q397" s="134"/>
      <c r="R397" s="127"/>
      <c r="S397" s="157">
        <f t="shared" si="71"/>
        <v>2.5</v>
      </c>
      <c r="T397" s="158"/>
      <c r="U397" s="21">
        <v>0</v>
      </c>
      <c r="V397" s="21">
        <v>1</v>
      </c>
      <c r="W397" s="21">
        <v>0</v>
      </c>
      <c r="X397" s="156">
        <v>2.5</v>
      </c>
      <c r="Y397" s="157">
        <f t="shared" si="72"/>
        <v>2.5</v>
      </c>
      <c r="Z397" s="22"/>
      <c r="AA397" s="157">
        <f t="shared" si="73"/>
        <v>2.5</v>
      </c>
      <c r="AB397" s="20"/>
      <c r="AC397" s="34"/>
      <c r="AD397" s="23" t="str">
        <f t="shared" si="74"/>
        <v/>
      </c>
    </row>
    <row r="398" spans="1:30" ht="15.5" outlineLevel="2" x14ac:dyDescent="0.35">
      <c r="A398" s="86" t="s">
        <v>0</v>
      </c>
      <c r="B398" s="18"/>
      <c r="C398" s="78"/>
      <c r="D398" s="78"/>
      <c r="E398" s="78"/>
      <c r="F398" s="79"/>
      <c r="G398" s="19" t="s">
        <v>23</v>
      </c>
      <c r="H398" s="19" t="s">
        <v>23</v>
      </c>
      <c r="I398" s="20" t="s">
        <v>23</v>
      </c>
      <c r="J398" s="19" t="s">
        <v>23</v>
      </c>
      <c r="K398" s="35"/>
      <c r="L398" s="19"/>
      <c r="M398" s="263">
        <f t="shared" ca="1" si="70"/>
        <v>33.6</v>
      </c>
      <c r="N398" s="20" t="s">
        <v>898</v>
      </c>
      <c r="O398" s="20"/>
      <c r="P398" s="20"/>
      <c r="Q398" s="134"/>
      <c r="R398" s="127"/>
      <c r="S398" s="157">
        <f t="shared" si="71"/>
        <v>2.5</v>
      </c>
      <c r="T398" s="158"/>
      <c r="U398" s="21">
        <v>0</v>
      </c>
      <c r="V398" s="21">
        <v>1</v>
      </c>
      <c r="W398" s="21">
        <v>0</v>
      </c>
      <c r="X398" s="156">
        <v>2.5</v>
      </c>
      <c r="Y398" s="157">
        <f t="shared" si="72"/>
        <v>2.5</v>
      </c>
      <c r="Z398" s="22"/>
      <c r="AA398" s="157">
        <f t="shared" si="73"/>
        <v>2.5</v>
      </c>
      <c r="AB398" s="20"/>
      <c r="AC398" s="34"/>
      <c r="AD398" s="23" t="str">
        <f t="shared" si="74"/>
        <v/>
      </c>
    </row>
    <row r="399" spans="1:30" ht="15.5" outlineLevel="2" x14ac:dyDescent="0.35">
      <c r="A399" s="86" t="s">
        <v>0</v>
      </c>
      <c r="B399" s="18"/>
      <c r="C399" s="78"/>
      <c r="D399" s="78"/>
      <c r="E399" s="78"/>
      <c r="F399" s="79"/>
      <c r="G399" s="19" t="s">
        <v>23</v>
      </c>
      <c r="H399" s="19" t="s">
        <v>23</v>
      </c>
      <c r="I399" s="20" t="s">
        <v>23</v>
      </c>
      <c r="J399" s="19" t="s">
        <v>23</v>
      </c>
      <c r="K399" s="35"/>
      <c r="L399" s="19"/>
      <c r="M399" s="263">
        <f t="shared" ca="1" si="70"/>
        <v>33.7</v>
      </c>
      <c r="N399" s="20" t="s">
        <v>899</v>
      </c>
      <c r="O399" s="20"/>
      <c r="P399" s="20"/>
      <c r="Q399" s="134"/>
      <c r="R399" s="127"/>
      <c r="S399" s="157">
        <f t="shared" si="71"/>
        <v>4</v>
      </c>
      <c r="T399" s="158"/>
      <c r="U399" s="21">
        <v>0</v>
      </c>
      <c r="V399" s="21">
        <v>1</v>
      </c>
      <c r="W399" s="21">
        <v>0</v>
      </c>
      <c r="X399" s="156">
        <v>4</v>
      </c>
      <c r="Y399" s="157">
        <f t="shared" si="72"/>
        <v>4</v>
      </c>
      <c r="Z399" s="22"/>
      <c r="AA399" s="157">
        <f t="shared" si="73"/>
        <v>4</v>
      </c>
      <c r="AB399" s="20"/>
      <c r="AC399" s="34"/>
      <c r="AD399" s="23" t="str">
        <f t="shared" si="74"/>
        <v/>
      </c>
    </row>
    <row r="400" spans="1:30" ht="15.5" outlineLevel="2" x14ac:dyDescent="0.35">
      <c r="A400" s="86" t="s">
        <v>0</v>
      </c>
      <c r="B400" s="18"/>
      <c r="C400" s="78"/>
      <c r="D400" s="78"/>
      <c r="E400" s="78"/>
      <c r="F400" s="79"/>
      <c r="G400" s="19" t="s">
        <v>23</v>
      </c>
      <c r="H400" s="19" t="s">
        <v>23</v>
      </c>
      <c r="I400" s="20" t="s">
        <v>23</v>
      </c>
      <c r="J400" s="19" t="s">
        <v>23</v>
      </c>
      <c r="K400" s="35"/>
      <c r="L400" s="19"/>
      <c r="M400" s="263">
        <f t="shared" ca="1" si="70"/>
        <v>33.8</v>
      </c>
      <c r="N400" s="20" t="s">
        <v>900</v>
      </c>
      <c r="O400" s="20"/>
      <c r="P400" s="20"/>
      <c r="Q400" s="134"/>
      <c r="R400" s="127"/>
      <c r="S400" s="157">
        <f t="shared" si="71"/>
        <v>2.5</v>
      </c>
      <c r="T400" s="158"/>
      <c r="U400" s="21">
        <v>0</v>
      </c>
      <c r="V400" s="21">
        <v>1</v>
      </c>
      <c r="W400" s="21">
        <v>0</v>
      </c>
      <c r="X400" s="156">
        <v>2.5</v>
      </c>
      <c r="Y400" s="157">
        <f t="shared" si="72"/>
        <v>2.5</v>
      </c>
      <c r="Z400" s="22"/>
      <c r="AA400" s="157">
        <f t="shared" si="73"/>
        <v>2.5</v>
      </c>
      <c r="AB400" s="20"/>
      <c r="AC400" s="34"/>
      <c r="AD400" s="23" t="str">
        <f t="shared" si="74"/>
        <v/>
      </c>
    </row>
    <row r="401" spans="1:30" ht="15.5" outlineLevel="2" x14ac:dyDescent="0.35">
      <c r="A401" s="86" t="s">
        <v>0</v>
      </c>
      <c r="B401" s="18"/>
      <c r="C401" s="78"/>
      <c r="D401" s="78"/>
      <c r="E401" s="78"/>
      <c r="F401" s="79"/>
      <c r="G401" s="19" t="s">
        <v>23</v>
      </c>
      <c r="H401" s="19" t="s">
        <v>23</v>
      </c>
      <c r="I401" s="20" t="s">
        <v>23</v>
      </c>
      <c r="J401" s="19" t="s">
        <v>23</v>
      </c>
      <c r="K401" s="35"/>
      <c r="L401" s="19"/>
      <c r="M401" s="263">
        <f t="shared" ca="1" si="70"/>
        <v>33.9</v>
      </c>
      <c r="N401" s="20" t="s">
        <v>901</v>
      </c>
      <c r="O401" s="20"/>
      <c r="P401" s="20"/>
      <c r="Q401" s="134"/>
      <c r="R401" s="127"/>
      <c r="S401" s="157">
        <f t="shared" si="71"/>
        <v>3</v>
      </c>
      <c r="T401" s="158"/>
      <c r="U401" s="21">
        <v>0</v>
      </c>
      <c r="V401" s="21">
        <v>1</v>
      </c>
      <c r="W401" s="21">
        <v>0</v>
      </c>
      <c r="X401" s="156">
        <v>3</v>
      </c>
      <c r="Y401" s="157">
        <f t="shared" si="72"/>
        <v>3</v>
      </c>
      <c r="Z401" s="22"/>
      <c r="AA401" s="157">
        <f t="shared" si="73"/>
        <v>3</v>
      </c>
      <c r="AB401" s="20"/>
      <c r="AC401" s="34"/>
      <c r="AD401" s="23" t="str">
        <f t="shared" si="74"/>
        <v/>
      </c>
    </row>
    <row r="402" spans="1:30" ht="15.5" outlineLevel="2" x14ac:dyDescent="0.35">
      <c r="A402" s="86" t="s">
        <v>0</v>
      </c>
      <c r="B402" s="18"/>
      <c r="C402" s="78"/>
      <c r="D402" s="78"/>
      <c r="E402" s="78"/>
      <c r="F402" s="79"/>
      <c r="G402" s="19" t="s">
        <v>23</v>
      </c>
      <c r="H402" s="19" t="s">
        <v>23</v>
      </c>
      <c r="I402" s="20" t="s">
        <v>23</v>
      </c>
      <c r="J402" s="19" t="s">
        <v>23</v>
      </c>
      <c r="K402" s="35"/>
      <c r="L402" s="19"/>
      <c r="M402" s="263">
        <f t="shared" ca="1" si="70"/>
        <v>34</v>
      </c>
      <c r="N402" s="20" t="s">
        <v>902</v>
      </c>
      <c r="O402" s="20"/>
      <c r="P402" s="20"/>
      <c r="Q402" s="134"/>
      <c r="R402" s="127"/>
      <c r="S402" s="157">
        <f t="shared" si="71"/>
        <v>3.5</v>
      </c>
      <c r="T402" s="158"/>
      <c r="U402" s="21">
        <v>0</v>
      </c>
      <c r="V402" s="21">
        <v>1</v>
      </c>
      <c r="W402" s="21">
        <v>0</v>
      </c>
      <c r="X402" s="156">
        <v>3.5</v>
      </c>
      <c r="Y402" s="157">
        <f t="shared" si="72"/>
        <v>3.5</v>
      </c>
      <c r="Z402" s="22"/>
      <c r="AA402" s="157">
        <f t="shared" si="73"/>
        <v>3.5</v>
      </c>
      <c r="AB402" s="20"/>
      <c r="AC402" s="34"/>
      <c r="AD402" s="23" t="str">
        <f t="shared" si="74"/>
        <v/>
      </c>
    </row>
    <row r="403" spans="1:30" ht="29" outlineLevel="2" x14ac:dyDescent="0.35">
      <c r="A403" s="86" t="s">
        <v>0</v>
      </c>
      <c r="B403" s="18"/>
      <c r="C403" s="78"/>
      <c r="D403" s="78"/>
      <c r="E403" s="78"/>
      <c r="F403" s="79"/>
      <c r="G403" s="19" t="s">
        <v>23</v>
      </c>
      <c r="H403" s="19" t="s">
        <v>23</v>
      </c>
      <c r="I403" s="20" t="s">
        <v>23</v>
      </c>
      <c r="J403" s="19" t="s">
        <v>23</v>
      </c>
      <c r="K403" s="35"/>
      <c r="L403" s="19"/>
      <c r="M403" s="263">
        <f ca="1">IFERROR(OFFSET(M403,-1,,1,1)+0.1,OFFSET(M403,-1,-1,1,1)&amp;".1")</f>
        <v>34.1</v>
      </c>
      <c r="N403" s="20" t="s">
        <v>1275</v>
      </c>
      <c r="O403" s="20"/>
      <c r="P403" s="20"/>
      <c r="Q403" s="134"/>
      <c r="R403" s="127"/>
      <c r="S403" s="157">
        <f>CEILING((IF(J403="Yes", 0, IF(H403="-",AA403,AA403+AA403*VLOOKUP(H403,BUFFERS_BY_TYPE,2,FALSE)))) +
   (IF(J403="Yes", 0, IF(H403="-",AA403,AA403+AA403*VLOOKUP(H403,BUFFERS_BY_TYPE,2,FALSE))))*VLOOKUP($S$5, SALES_CALL_SCALE_ARRAY, 2,FALSE),0.25)</f>
        <v>1.5</v>
      </c>
      <c r="T403" s="158"/>
      <c r="U403" s="21">
        <v>0</v>
      </c>
      <c r="V403" s="21">
        <v>1</v>
      </c>
      <c r="W403" s="21">
        <v>0</v>
      </c>
      <c r="X403" s="156">
        <v>1.5</v>
      </c>
      <c r="Y403" s="157">
        <f>CEILING((IF(P403=AS_DEV_EFFORT, DEV_EFFORT*Q403%,
                           IF(P403=AS_DURATION_EFFORT, (MANUAL_DURATION*5)*Q403%,
                                    (IF(Q403&lt;=1,X403,
                                          IF(SUM(U403:W403)=0,(Q403*X403),
                                               (((Q403*U403)*(X403+(X403*EXTRA_FOR_H)))+
                                               ((Q403*V403)*X403)+
                                               ((Q403*W403)*(X403-(X403*LESS_FOR_L)))
                                    )*IF(R403=0,1,R403))))))+Z403), 0.25)</f>
        <v>1.5</v>
      </c>
      <c r="Z403" s="22"/>
      <c r="AA403" s="157">
        <f>Y403+Y403*VLOOKUP(I403,EXTRAS_ARRAY,2,FALSE)</f>
        <v>1.5</v>
      </c>
      <c r="AB403" s="20"/>
      <c r="AC403" s="34"/>
      <c r="AD403" s="23" t="str">
        <f>IF(J403&lt;&gt;"Yes",
IF(S403&lt;=0,"Error: Effort value is not defined or is invalid.",
IF(AND(SUM(U403:W403)&gt;0,SUM(U403:W403)&lt;&gt;1),"Error: Complexity % distribution should sum to 100%.",
IF(AND(P403=AS_DEV_EFFORT,X403&lt;&gt;0),"Error: PDs should not be defined when defining as dev effort %.",
IF(AND(P403=AS_DURATION_EFFORT,X403&lt;&gt;0),"Error: PDs should not be defined when defining as duration effort %.","")))))</f>
        <v/>
      </c>
    </row>
    <row r="404" spans="1:30" ht="58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23</v>
      </c>
      <c r="H404" s="19" t="s">
        <v>23</v>
      </c>
      <c r="I404" s="20" t="s">
        <v>23</v>
      </c>
      <c r="J404" s="19" t="s">
        <v>23</v>
      </c>
      <c r="K404" s="35"/>
      <c r="L404" s="19"/>
      <c r="M404" s="263">
        <f ca="1">IFERROR(OFFSET(M404,-1,,1,1)+0.1,OFFSET(M404,-1,-1,1,1)&amp;".1")</f>
        <v>34.2</v>
      </c>
      <c r="N404" s="20" t="inlineStr">
        <is>
          <t xml:space="preserve">Claim declaration and settlement acceptance (click-to-sign); disputes; answers to information requests</t>
        </is>
      </c>
      <c r="O404" s="20"/>
      <c r="P404" s="20"/>
      <c r="Q404" s="134"/>
      <c r="R404" s="127"/>
      <c r="S404" s="157">
        <f>CEILING((IF(J404="Yes", 0, IF(H404="-",AA404,AA404+AA404*VLOOKUP(H404,BUFFERS_BY_TYPE,2,FALSE)))) +
   (IF(J404="Yes", 0, IF(H404="-",AA404,AA404+AA404*VLOOKUP(H404,BUFFERS_BY_TYPE,2,FALSE))))*VLOOKUP($S$5, SALES_CALL_SCALE_ARRAY, 2,FALSE),0.25)</f>
        <v>2.5</v>
      </c>
      <c r="T404" s="158"/>
      <c r="U404" s="21">
        <v>0</v>
      </c>
      <c r="V404" s="21">
        <v>1</v>
      </c>
      <c r="W404" s="21">
        <v>0</v>
      </c>
      <c r="X404" s="156">
        <v>2.5</v>
      </c>
      <c r="Y404" s="157">
        <f>CEILING((IF(P404=AS_DEV_EFFORT, DEV_EFFORT*Q404%,
                           IF(P404=AS_DURATION_EFFORT, (MANUAL_DURATION*5)*Q404%,
                                    (IF(Q404&lt;=1,X404,
                                          IF(SUM(U404:W404)=0,(Q404*X404),
                                               (((Q404*U404)*(X404+(X404*EXTRA_FOR_H)))+
                                               ((Q404*V404)*X404)+
                                               ((Q404*W404)*(X404-(X404*LESS_FOR_L)))
                                    )*IF(R404=0,1,R404))))))+Z404), 0.25)</f>
        <v>2.5</v>
      </c>
      <c r="Z404" s="22"/>
      <c r="AA404" s="157">
        <f>Y404+Y404*VLOOKUP(I404,EXTRAS_ARRAY,2,FALSE)</f>
        <v>2.5</v>
      </c>
      <c r="AB404" s="20"/>
      <c r="AC404" s="34"/>
      <c r="AD404" s="23" t="str">
        <f>IF(J404&lt;&gt;"Yes",
IF(S404&lt;=0,"Error: Effort value is not defined or is invalid.",
IF(AND(SUM(U404:W404)&gt;0,SUM(U404:W404)&lt;&gt;1),"Error: Complexity % distribution should sum to 100%.",
IF(AND(P404=AS_DEV_EFFORT,X404&lt;&gt;0),"Error: PDs should not be defined when defining as dev effort %.",
IF(AND(P404=AS_DURATION_EFFORT,X404&lt;&gt;0),"Error: PDs should not be defined when defining as duration effort %.","")))))</f>
        <v/>
      </c>
    </row>
    <row r="405" spans="1:30" ht="58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23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ca="1">IFERROR(OFFSET(M405,-1,,1,1)+0.1,OFFSET(M405,-1,-1,1,1)&amp;".1")</f>
        <v>34.3</v>
      </c>
      <c r="N405" s="20" t="inlineStr">
        <is>
          <t xml:space="preserve">Claim messages</t>
        </is>
      </c>
      <c r="O405" s="20"/>
      <c r="P405" s="20"/>
      <c r="Q405" s="134"/>
      <c r="R405" s="127"/>
      <c r="S405" s="157">
        <f>CEILING((IF(J405="Yes", 0, IF(H405="-",AA405,AA405+AA405*VLOOKUP(H405,BUFFERS_BY_TYPE,2,FALSE)))) +
   (IF(J405="Yes", 0, IF(H405="-",AA405,AA405+AA405*VLOOKUP(H405,BUFFERS_BY_TYPE,2,FALSE))))*VLOOKUP($S$5, SALES_CALL_SCALE_ARRAY, 2,FALSE),0.25)</f>
        <v>1.5</v>
      </c>
      <c r="T405" s="158"/>
      <c r="U405" s="21">
        <v>0</v>
      </c>
      <c r="V405" s="21">
        <v>1</v>
      </c>
      <c r="W405" s="21">
        <v>0</v>
      </c>
      <c r="X405" s="156">
        <v>1.5</v>
      </c>
      <c r="Y405" s="157">
        <f>CEILING((IF(P405=AS_DEV_EFFORT, DEV_EFFORT*Q405%,
                           IF(P405=AS_DURATION_EFFORT, (MANUAL_DURATION*5)*Q405%,
                                    (IF(Q405&lt;=1,X405,
                                          IF(SUM(U405:W405)=0,(Q405*X405),
                                               (((Q405*U405)*(X405+(X405*EXTRA_FOR_H)))+
                                               ((Q405*V405)*X405)+
                                               ((Q405*W405)*(X405-(X405*LESS_FOR_L)))
                                    )*IF(R405=0,1,R405))))))+Z405), 0.25)</f>
        <v>1.5</v>
      </c>
      <c r="Z405" s="22"/>
      <c r="AA405" s="157">
        <f>Y405+Y405*VLOOKUP(I405,EXTRAS_ARRAY,2,FALSE)</f>
        <v>1.5</v>
      </c>
      <c r="AB405" s="20"/>
      <c r="AC405" s="34"/>
      <c r="AD405" s="23" t="str">
        <f>IF(J405&lt;&gt;"Yes",
IF(S405&lt;=0,"Error: Effort value is not defined or is invalid.",
IF(AND(SUM(U405:W405)&gt;0,SUM(U405:W405)&lt;&gt;1),"Error: Complexity % distribution should sum to 100%.",
IF(AND(P405=AS_DEV_EFFORT,X405&lt;&gt;0),"Error: PDs should not be defined when defining as dev effort %.",
IF(AND(P405=AS_DURATION_EFFORT,X405&lt;&gt;0),"Error: PDs should not be defined when defining as duration effort %.","")))))</f>
        <v/>
      </c>
    </row>
    <row r="406" spans="1:30" ht="58" outlineLevel="2" x14ac:dyDescent="0.35">
      <c r="A406" s="86" t="s">
        <v>0</v>
      </c>
      <c r="B406" s="18"/>
      <c r="C406" s="78"/>
      <c r="D406" s="78"/>
      <c r="E406" s="78"/>
      <c r="F406" s="79"/>
      <c r="G406" s="19" t="s">
        <v>23</v>
      </c>
      <c r="H406" s="19" t="s">
        <v>23</v>
      </c>
      <c r="I406" s="20" t="s">
        <v>23</v>
      </c>
      <c r="J406" s="19" t="s">
        <v>23</v>
      </c>
      <c r="K406" s="35"/>
      <c r="L406" s="19"/>
      <c r="M406" s="263">
        <f ca="1">IFERROR(OFFSET(M406,-1,,1,1)+0.1,OFFSET(M406,-1,-1,1,1)&amp;".1")</f>
        <v>34.4</v>
      </c>
      <c r="N406" s="20" t="inlineStr">
        <is>
          <t xml:space="preserve">Premium payment</t>
        </is>
      </c>
      <c r="O406" s="20"/>
      <c r="P406" s="20"/>
      <c r="Q406" s="134"/>
      <c r="R406" s="127"/>
      <c r="S406" s="157">
        <f>CEILING((IF(J406="Yes", 0, IF(H406="-",AA406,AA406+AA406*VLOOKUP(H406,BUFFERS_BY_TYPE,2,FALSE)))) +
   (IF(J406="Yes", 0, IF(H406="-",AA406,AA406+AA406*VLOOKUP(H406,BUFFERS_BY_TYPE,2,FALSE))))*VLOOKUP($S$5, SALES_CALL_SCALE_ARRAY, 2,FALSE),0.25)</f>
        <v>1</v>
      </c>
      <c r="T406" s="158"/>
      <c r="U406" s="21">
        <v>0</v>
      </c>
      <c r="V406" s="21">
        <v>1</v>
      </c>
      <c r="W406" s="21">
        <v>0</v>
      </c>
      <c r="X406" s="156">
        <v>1</v>
      </c>
      <c r="Y406" s="157">
        <f>CEILING((IF(P406=AS_DEV_EFFORT, DEV_EFFORT*Q406%,
                           IF(P406=AS_DURATION_EFFORT, (MANUAL_DURATION*5)*Q406%,
                                    (IF(Q406&lt;=1,X406,
                                          IF(SUM(U406:W406)=0,(Q406*X406),
                                               (((Q406*U406)*(X406+(X406*EXTRA_FOR_H)))+
                                               ((Q406*V406)*X406)+
                                               ((Q406*W406)*(X406-(X406*LESS_FOR_L)))
                                    )*IF(R406=0,1,R406))))))+Z406), 0.25)</f>
        <v>1</v>
      </c>
      <c r="Z406" s="22"/>
      <c r="AA406" s="157">
        <f>Y406+Y406*VLOOKUP(I406,EXTRAS_ARRAY,2,FALSE)</f>
        <v>1</v>
      </c>
      <c r="AB406" s="20"/>
      <c r="AC406" s="34"/>
      <c r="AD406" s="23" t="str">
        <f>IF(J406&lt;&gt;"Yes",
IF(S406&lt;=0,"Error: Effort value is not defined or is invalid.",
IF(AND(SUM(U406:W406)&gt;0,SUM(U406:W406)&lt;&gt;1),"Error: Complexity % distribution should sum to 100%.",
IF(AND(P406=AS_DEV_EFFORT,X406&lt;&gt;0),"Error: PDs should not be defined when defining as dev effort %.",
IF(AND(P406=AS_DURATION_EFFORT,X406&lt;&gt;0),"Error: PDs should not be defined when defining as duration effort %.","")))))</f>
        <v/>
      </c>
    </row>
    <row r="407" spans="1:30" s="9" customFormat="1" ht="7.5" customHeight="1" outlineLevel="2" x14ac:dyDescent="0.35">
      <c r="A407" s="86" t="s">
        <v>132</v>
      </c>
      <c r="B407" s="15"/>
      <c r="C407" s="72"/>
      <c r="D407" s="72"/>
      <c r="E407" s="72"/>
      <c r="F407" s="72"/>
      <c r="M407" s="252"/>
      <c r="T407" s="15"/>
      <c r="X407" s="15"/>
      <c r="AB407" s="10"/>
      <c r="AC407" s="10"/>
      <c r="AD407" s="10"/>
    </row>
    <row r="408" spans="1:30" s="14" customFormat="1" ht="15.5" outlineLevel="1" x14ac:dyDescent="0.35">
      <c r="A408" s="86" t="s">
        <v>100</v>
      </c>
      <c r="B408" s="18"/>
      <c r="C408" s="77"/>
      <c r="D408" s="77"/>
      <c r="E408" s="77"/>
      <c r="F408" s="76"/>
      <c r="G408" s="29"/>
      <c r="H408" s="29"/>
      <c r="I408" s="29"/>
      <c r="J408" s="29"/>
      <c r="K408" s="29"/>
      <c r="L408" s="17">
        <f ca="1">LOOKUP(1000,INDIRECT("L1:"&amp;CELL("address",INDIRECT("R[-1]C",FALSE))))+1</f>
        <v>34</v>
      </c>
      <c r="M408" s="296" t="s">
        <v>1143</v>
      </c>
      <c r="N408" s="296"/>
      <c r="O408" s="5"/>
      <c r="P408" s="30"/>
      <c r="Q408" s="30"/>
      <c r="R408" s="30"/>
      <c r="S408" s="30"/>
      <c r="T408" s="155">
        <f>IF($S$6="Exclude", SUMIFS(S409:S421, J409:J421, "&lt;&gt;Yes", G409:G421, "&lt;&gt;Yes"), SUMIFS(S409:S421, J409:J421, "&lt;&gt;Yes"))</f>
        <v>31.5</v>
      </c>
      <c r="U408" s="30"/>
      <c r="V408" s="30"/>
      <c r="W408" s="30"/>
      <c r="X408" s="31"/>
      <c r="Y408" s="32"/>
      <c r="Z408" s="32"/>
      <c r="AA408" s="32"/>
      <c r="AB408" s="219" t="s">
        <v>976</v>
      </c>
      <c r="AC408" s="33"/>
      <c r="AD408" s="23" t="str">
        <f>IF(M408="", "Error: Task name cannot be empty.", "")</f>
        <v/>
      </c>
    </row>
    <row r="409" spans="1:30" s="12" customFormat="1" ht="1.5" customHeight="1" outlineLevel="2" x14ac:dyDescent="0.35">
      <c r="A409" s="86" t="s">
        <v>101</v>
      </c>
      <c r="B409" s="18"/>
      <c r="C409" s="77"/>
      <c r="D409" s="77"/>
      <c r="E409" s="77"/>
      <c r="F409" s="76"/>
      <c r="G409" s="29"/>
      <c r="H409" s="29"/>
      <c r="I409" s="29"/>
      <c r="J409" s="29"/>
      <c r="K409" s="29"/>
      <c r="L409" s="163">
        <f ca="1">L408</f>
        <v>34</v>
      </c>
      <c r="M409" s="164" t="s">
        <v>105</v>
      </c>
      <c r="N409" s="161"/>
      <c r="O409" s="162"/>
      <c r="P409" s="30"/>
      <c r="Q409" s="30"/>
      <c r="R409" s="30"/>
      <c r="S409" s="30"/>
      <c r="T409" s="155"/>
      <c r="U409" s="30"/>
      <c r="V409" s="30"/>
      <c r="W409" s="30"/>
      <c r="X409" s="31"/>
      <c r="Y409" s="32"/>
      <c r="Z409" s="32"/>
      <c r="AA409" s="32"/>
      <c r="AB409" s="33"/>
      <c r="AC409" s="33"/>
      <c r="AD409" s="23"/>
    </row>
    <row r="410" spans="1:30" ht="15.5" outlineLevel="2" x14ac:dyDescent="0.35">
      <c r="A410" s="86" t="s">
        <v>0</v>
      </c>
      <c r="B410" s="18"/>
      <c r="C410" s="78"/>
      <c r="D410" s="78"/>
      <c r="E410" s="78"/>
      <c r="F410" s="79"/>
      <c r="G410" s="19" t="s">
        <v>23</v>
      </c>
      <c r="H410" s="19" t="s">
        <v>23</v>
      </c>
      <c r="I410" s="20" t="s">
        <v>23</v>
      </c>
      <c r="J410" s="19" t="s">
        <v>23</v>
      </c>
      <c r="K410" s="35"/>
      <c r="L410" s="19"/>
      <c r="M410" s="263" t="str">
        <f t="shared" ref="M410:M417" ca="1" si="75">IFERROR(OFFSET(M410,-1,,1,1)+0.1,OFFSET(M410,-1,-1,1,1)&amp;".1")</f>
        <v>34.1</v>
      </c>
      <c r="N410" s="20" t="s">
        <v>903</v>
      </c>
      <c r="O410" s="20"/>
      <c r="P410" s="20"/>
      <c r="Q410" s="134"/>
      <c r="R410" s="127"/>
      <c r="S410" s="157">
        <f t="shared" ref="S410:S417" si="76">CEILING((IF(J410="Yes", 0, IF(H410="-",AA410,AA410+AA410*VLOOKUP(H410,BUFFERS_BY_TYPE,2,FALSE)))) +
   (IF(J410="Yes", 0, IF(H410="-",AA410,AA410+AA410*VLOOKUP(H410,BUFFERS_BY_TYPE,2,FALSE))))*VLOOKUP($S$5, SALES_CALL_SCALE_ARRAY, 2,FALSE),0.25)</f>
        <v>4</v>
      </c>
      <c r="T410" s="158"/>
      <c r="U410" s="21">
        <v>0</v>
      </c>
      <c r="V410" s="21">
        <v>1</v>
      </c>
      <c r="W410" s="21">
        <v>0</v>
      </c>
      <c r="X410" s="156">
        <v>4</v>
      </c>
      <c r="Y410" s="157">
        <f t="shared" ref="Y410:Y417" si="77">CEILING((IF(P410=AS_DEV_EFFORT, DEV_EFFORT*Q410%,
                           IF(P410=AS_DURATION_EFFORT, (MANUAL_DURATION*5)*Q410%,
                                    (IF(Q410&lt;=1,X410,
                                          IF(SUM(U410:W410)=0,(Q410*X410),
                                               (((Q410*U410)*(X410+(X410*EXTRA_FOR_H)))+
                                               ((Q410*V410)*X410)+
                                               ((Q410*W410)*(X410-(X410*LESS_FOR_L)))
                                    )*IF(R410=0,1,R410))))))+Z410), 0.25)</f>
        <v>4</v>
      </c>
      <c r="Z410" s="22"/>
      <c r="AA410" s="157">
        <f t="shared" ref="AA410:AA417" si="78">Y410+Y410*VLOOKUP(I410,EXTRAS_ARRAY,2,FALSE)</f>
        <v>4</v>
      </c>
      <c r="AB410" s="20"/>
      <c r="AC410" s="34"/>
      <c r="AD410" s="23" t="str">
        <f t="shared" ref="AD410:AD417" si="79">IF(J410&lt;&gt;"Yes",
IF(S410&lt;=0,"Error: Effort value is not defined or is invalid.",
IF(AND(SUM(U410:W410)&gt;0,SUM(U410:W410)&lt;&gt;1),"Error: Complexity % distribution should sum to 100%.",
IF(AND(P410=AS_DEV_EFFORT,X410&lt;&gt;0),"Error: PDs should not be defined when defining as dev effort %.",
IF(AND(P410=AS_DURATION_EFFORT,X410&lt;&gt;0),"Error: PDs should not be defined when defining as duration effort %.","")))))</f>
        <v/>
      </c>
    </row>
    <row r="411" spans="1:30" ht="15.5" outlineLevel="2" x14ac:dyDescent="0.35">
      <c r="A411" s="86" t="s">
        <v>0</v>
      </c>
      <c r="B411" s="18"/>
      <c r="C411" s="78"/>
      <c r="D411" s="78"/>
      <c r="E411" s="78"/>
      <c r="F411" s="79"/>
      <c r="G411" s="19" t="s">
        <v>23</v>
      </c>
      <c r="H411" s="19" t="s">
        <v>23</v>
      </c>
      <c r="I411" s="20" t="s">
        <v>23</v>
      </c>
      <c r="J411" s="19" t="s">
        <v>23</v>
      </c>
      <c r="K411" s="35"/>
      <c r="L411" s="19"/>
      <c r="M411" s="263">
        <f t="shared" ca="1" si="75"/>
        <v>34.2</v>
      </c>
      <c r="N411" s="20" t="s">
        <v>904</v>
      </c>
      <c r="O411" s="20"/>
      <c r="P411" s="20"/>
      <c r="Q411" s="134"/>
      <c r="R411" s="127"/>
      <c r="S411" s="157">
        <f t="shared" si="76"/>
        <v>4</v>
      </c>
      <c r="T411" s="158"/>
      <c r="U411" s="21">
        <v>0</v>
      </c>
      <c r="V411" s="21">
        <v>1</v>
      </c>
      <c r="W411" s="21">
        <v>0</v>
      </c>
      <c r="X411" s="156">
        <v>4</v>
      </c>
      <c r="Y411" s="157">
        <f t="shared" si="77"/>
        <v>4</v>
      </c>
      <c r="Z411" s="22"/>
      <c r="AA411" s="157">
        <f t="shared" si="78"/>
        <v>4</v>
      </c>
      <c r="AB411" s="20"/>
      <c r="AC411" s="34"/>
      <c r="AD411" s="23" t="str">
        <f t="shared" si="79"/>
        <v/>
      </c>
    </row>
    <row r="412" spans="1:30" ht="15.5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>
        <f t="shared" ca="1" si="75"/>
        <v>34.3</v>
      </c>
      <c r="N412" s="20" t="s">
        <v>905</v>
      </c>
      <c r="O412" s="20"/>
      <c r="P412" s="20"/>
      <c r="Q412" s="134"/>
      <c r="R412" s="127"/>
      <c r="S412" s="157">
        <f t="shared" si="76"/>
        <v>3</v>
      </c>
      <c r="T412" s="158"/>
      <c r="U412" s="21">
        <v>0</v>
      </c>
      <c r="V412" s="21">
        <v>1</v>
      </c>
      <c r="W412" s="21">
        <v>0</v>
      </c>
      <c r="X412" s="156">
        <v>3</v>
      </c>
      <c r="Y412" s="157">
        <f t="shared" si="77"/>
        <v>3</v>
      </c>
      <c r="Z412" s="22"/>
      <c r="AA412" s="157">
        <f t="shared" si="78"/>
        <v>3</v>
      </c>
      <c r="AB412" s="20"/>
      <c r="AC412" s="34"/>
      <c r="AD412" s="23" t="str">
        <f t="shared" si="79"/>
        <v/>
      </c>
    </row>
    <row r="413" spans="1:30" ht="15.5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23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t="shared" ca="1" si="75"/>
        <v>34.4</v>
      </c>
      <c r="N413" s="20" t="s">
        <v>906</v>
      </c>
      <c r="O413" s="20"/>
      <c r="P413" s="20"/>
      <c r="Q413" s="134"/>
      <c r="R413" s="127"/>
      <c r="S413" s="157">
        <f t="shared" si="76"/>
        <v>4</v>
      </c>
      <c r="T413" s="158"/>
      <c r="U413" s="21">
        <v>0</v>
      </c>
      <c r="V413" s="21">
        <v>1</v>
      </c>
      <c r="W413" s="21">
        <v>0</v>
      </c>
      <c r="X413" s="156">
        <v>4</v>
      </c>
      <c r="Y413" s="157">
        <f t="shared" si="77"/>
        <v>4</v>
      </c>
      <c r="Z413" s="22"/>
      <c r="AA413" s="157">
        <f t="shared" si="78"/>
        <v>4</v>
      </c>
      <c r="AB413" s="20"/>
      <c r="AC413" s="34"/>
      <c r="AD413" s="23" t="str">
        <f t="shared" si="79"/>
        <v/>
      </c>
    </row>
    <row r="414" spans="1:30" ht="15.5" outlineLevel="2" x14ac:dyDescent="0.35">
      <c r="A414" s="86" t="s">
        <v>0</v>
      </c>
      <c r="B414" s="18"/>
      <c r="C414" s="78"/>
      <c r="D414" s="78"/>
      <c r="E414" s="78"/>
      <c r="F414" s="79"/>
      <c r="G414" s="19" t="s">
        <v>23</v>
      </c>
      <c r="H414" s="19" t="s">
        <v>23</v>
      </c>
      <c r="I414" s="20" t="s">
        <v>23</v>
      </c>
      <c r="J414" s="19" t="s">
        <v>23</v>
      </c>
      <c r="K414" s="35"/>
      <c r="L414" s="19"/>
      <c r="M414" s="263">
        <f t="shared" ca="1" si="75"/>
        <v>34.5</v>
      </c>
      <c r="N414" s="20" t="s">
        <v>907</v>
      </c>
      <c r="O414" s="20"/>
      <c r="P414" s="20"/>
      <c r="Q414" s="134"/>
      <c r="R414" s="127"/>
      <c r="S414" s="157">
        <f t="shared" si="76"/>
        <v>3.5</v>
      </c>
      <c r="T414" s="158"/>
      <c r="U414" s="21">
        <v>0</v>
      </c>
      <c r="V414" s="21">
        <v>1</v>
      </c>
      <c r="W414" s="21">
        <v>0</v>
      </c>
      <c r="X414" s="156">
        <v>3.5</v>
      </c>
      <c r="Y414" s="157">
        <f t="shared" si="77"/>
        <v>3.5</v>
      </c>
      <c r="Z414" s="22"/>
      <c r="AA414" s="157">
        <f t="shared" si="78"/>
        <v>3.5</v>
      </c>
      <c r="AB414" s="20"/>
      <c r="AC414" s="34"/>
      <c r="AD414" s="23" t="str">
        <f t="shared" si="79"/>
        <v/>
      </c>
    </row>
    <row r="415" spans="1:30" ht="15.5" outlineLevel="2" x14ac:dyDescent="0.35">
      <c r="A415" s="86" t="s">
        <v>0</v>
      </c>
      <c r="B415" s="18"/>
      <c r="C415" s="78"/>
      <c r="D415" s="78"/>
      <c r="E415" s="78"/>
      <c r="F415" s="79"/>
      <c r="G415" s="19" t="s">
        <v>23</v>
      </c>
      <c r="H415" s="19" t="s">
        <v>23</v>
      </c>
      <c r="I415" s="20" t="s">
        <v>23</v>
      </c>
      <c r="J415" s="19" t="s">
        <v>23</v>
      </c>
      <c r="K415" s="35"/>
      <c r="L415" s="19"/>
      <c r="M415" s="263">
        <f t="shared" ca="1" si="75"/>
        <v>34.6</v>
      </c>
      <c r="N415" s="20" t="s">
        <v>908</v>
      </c>
      <c r="O415" s="20"/>
      <c r="P415" s="20"/>
      <c r="Q415" s="134"/>
      <c r="R415" s="127"/>
      <c r="S415" s="157">
        <f t="shared" si="76"/>
        <v>4</v>
      </c>
      <c r="T415" s="158"/>
      <c r="U415" s="21">
        <v>0</v>
      </c>
      <c r="V415" s="21">
        <v>1</v>
      </c>
      <c r="W415" s="21">
        <v>0</v>
      </c>
      <c r="X415" s="156">
        <v>4</v>
      </c>
      <c r="Y415" s="157">
        <f t="shared" si="77"/>
        <v>4</v>
      </c>
      <c r="Z415" s="22"/>
      <c r="AA415" s="157">
        <f t="shared" si="78"/>
        <v>4</v>
      </c>
      <c r="AB415" s="20"/>
      <c r="AC415" s="34"/>
      <c r="AD415" s="23" t="str">
        <f t="shared" si="79"/>
        <v/>
      </c>
    </row>
    <row r="416" spans="1:30" ht="15.5" outlineLevel="2" x14ac:dyDescent="0.35">
      <c r="A416" s="86" t="s">
        <v>0</v>
      </c>
      <c r="B416" s="18"/>
      <c r="C416" s="78"/>
      <c r="D416" s="78"/>
      <c r="E416" s="78"/>
      <c r="F416" s="79"/>
      <c r="G416" s="19" t="s">
        <v>23</v>
      </c>
      <c r="H416" s="19" t="s">
        <v>23</v>
      </c>
      <c r="I416" s="20" t="s">
        <v>23</v>
      </c>
      <c r="J416" s="19" t="s">
        <v>23</v>
      </c>
      <c r="K416" s="35"/>
      <c r="L416" s="19"/>
      <c r="M416" s="263">
        <f t="shared" ca="1" si="75"/>
        <v>34.7</v>
      </c>
      <c r="N416" s="20" t="s">
        <v>909</v>
      </c>
      <c r="O416" s="20"/>
      <c r="P416" s="20"/>
      <c r="Q416" s="134"/>
      <c r="R416" s="127"/>
      <c r="S416" s="157">
        <f t="shared" si="76"/>
        <v>2.5</v>
      </c>
      <c r="T416" s="158"/>
      <c r="U416" s="21">
        <v>0</v>
      </c>
      <c r="V416" s="21">
        <v>1</v>
      </c>
      <c r="W416" s="21">
        <v>0</v>
      </c>
      <c r="X416" s="156">
        <v>2.5</v>
      </c>
      <c r="Y416" s="157">
        <f t="shared" si="77"/>
        <v>2.5</v>
      </c>
      <c r="Z416" s="22"/>
      <c r="AA416" s="157">
        <f t="shared" si="78"/>
        <v>2.5</v>
      </c>
      <c r="AB416" s="20"/>
      <c r="AC416" s="34"/>
      <c r="AD416" s="23" t="str">
        <f t="shared" si="79"/>
        <v/>
      </c>
    </row>
    <row r="417" spans="1:30" ht="15.5" outlineLevel="2" x14ac:dyDescent="0.35">
      <c r="A417" s="86" t="s">
        <v>0</v>
      </c>
      <c r="B417" s="18"/>
      <c r="C417" s="78"/>
      <c r="D417" s="78"/>
      <c r="E417" s="78"/>
      <c r="F417" s="79"/>
      <c r="G417" s="19" t="s">
        <v>23</v>
      </c>
      <c r="H417" s="19" t="s">
        <v>23</v>
      </c>
      <c r="I417" s="20" t="s">
        <v>23</v>
      </c>
      <c r="J417" s="19" t="s">
        <v>23</v>
      </c>
      <c r="K417" s="35"/>
      <c r="L417" s="19"/>
      <c r="M417" s="263">
        <f t="shared" ca="1" si="75"/>
        <v>34.8</v>
      </c>
      <c r="N417" s="20" t="s">
        <v>910</v>
      </c>
      <c r="O417" s="20"/>
      <c r="P417" s="20"/>
      <c r="Q417" s="134"/>
      <c r="R417" s="127"/>
      <c r="S417" s="157">
        <f t="shared" si="76"/>
        <v>3</v>
      </c>
      <c r="T417" s="158"/>
      <c r="U417" s="21">
        <v>0</v>
      </c>
      <c r="V417" s="21">
        <v>1</v>
      </c>
      <c r="W417" s="21">
        <v>0</v>
      </c>
      <c r="X417" s="156">
        <v>3</v>
      </c>
      <c r="Y417" s="157">
        <f t="shared" si="77"/>
        <v>3</v>
      </c>
      <c r="Z417" s="22"/>
      <c r="AA417" s="157">
        <f t="shared" si="78"/>
        <v>3</v>
      </c>
      <c r="AB417" s="20"/>
      <c r="AC417" s="34"/>
      <c r="AD417" s="23" t="str">
        <f t="shared" si="79"/>
        <v/>
      </c>
    </row>
    <row r="418" spans="1:30" ht="58" outlineLevel="2" x14ac:dyDescent="0.35">
      <c r="A418" s="86" t="s">
        <v>0</v>
      </c>
      <c r="B418" s="18"/>
      <c r="C418" s="78"/>
      <c r="D418" s="78"/>
      <c r="E418" s="78"/>
      <c r="F418" s="79"/>
      <c r="G418" s="19" t="s">
        <v>23</v>
      </c>
      <c r="H418" s="19" t="s">
        <v>23</v>
      </c>
      <c r="I418" s="20" t="s">
        <v>23</v>
      </c>
      <c r="J418" s="19" t="s">
        <v>23</v>
      </c>
      <c r="K418" s="35"/>
      <c r="L418" s="19"/>
      <c r="M418" s="263">
        <f ca="1">IFERROR(OFFSET(M418,-1,,1,1)+0.1,OFFSET(M418,-1,-1,1,1)&amp;".1")</f>
        <v>34.9</v>
      </c>
      <c r="N418" s="20" t="inlineStr">
        <is>
          <t xml:space="preserve">Information requests and dispute review</t>
        </is>
      </c>
      <c r="O418" s="20"/>
      <c r="P418" s="20"/>
      <c r="Q418" s="134"/>
      <c r="R418" s="127"/>
      <c r="S418" s="157">
        <f>CEILING((IF(J418="Yes", 0, IF(H418="-",AA418,AA418+AA418*VLOOKUP(H418,BUFFERS_BY_TYPE,2,FALSE)))) +
   (IF(J418="Yes", 0, IF(H418="-",AA418,AA418+AA418*VLOOKUP(H418,BUFFERS_BY_TYPE,2,FALSE))))*VLOOKUP($S$5, SALES_CALL_SCALE_ARRAY, 2,FALSE),0.25)</f>
        <v>1.5</v>
      </c>
      <c r="T418" s="158"/>
      <c r="U418" s="21">
        <v>0</v>
      </c>
      <c r="V418" s="21">
        <v>1</v>
      </c>
      <c r="W418" s="21">
        <v>0</v>
      </c>
      <c r="X418" s="156">
        <v>1.5</v>
      </c>
      <c r="Y418" s="157">
        <f>CEILING((IF(P418=AS_DEV_EFFORT, DEV_EFFORT*Q418%,
                           IF(P418=AS_DURATION_EFFORT, (MANUAL_DURATION*5)*Q418%,
                                    (IF(Q418&lt;=1,X418,
                                          IF(SUM(U418:W418)=0,(Q418*X418),
                                               (((Q418*U418)*(X418+(X418*EXTRA_FOR_H)))+
                                               ((Q418*V418)*X418)+
                                               ((Q418*W418)*(X418-(X418*LESS_FOR_L)))
                                    )*IF(R418=0,1,R418))))))+Z418), 0.25)</f>
        <v>1.5</v>
      </c>
      <c r="Z418" s="22"/>
      <c r="AA418" s="157">
        <f>Y418+Y418*VLOOKUP(I418,EXTRAS_ARRAY,2,FALSE)</f>
        <v>1.5</v>
      </c>
      <c r="AB418" s="20"/>
      <c r="AC418" s="34"/>
      <c r="AD418" s="23" t="str">
        <f>IF(J418&lt;&gt;"Yes",
IF(S418&lt;=0,"Error: Effort value is not defined or is invalid.",
IF(AND(SUM(U418:W418)&gt;0,SUM(U418:W418)&lt;&gt;1),"Error: Complexity % distribution should sum to 100%.",
IF(AND(P418=AS_DEV_EFFORT,X418&lt;&gt;0),"Error: PDs should not be defined when defining as dev effort %.",
IF(AND(P418=AS_DURATION_EFFORT,X418&lt;&gt;0),"Error: PDs should not be defined when defining as duration effort %.","")))))</f>
        <v/>
      </c>
    </row>
    <row r="419" spans="1:30" ht="58" outlineLevel="2" x14ac:dyDescent="0.35">
      <c r="A419" s="86" t="s">
        <v>0</v>
      </c>
      <c r="B419" s="18"/>
      <c r="C419" s="78"/>
      <c r="D419" s="78"/>
      <c r="E419" s="78"/>
      <c r="F419" s="79"/>
      <c r="G419" s="19" t="s">
        <v>23</v>
      </c>
      <c r="H419" s="19" t="s">
        <v>23</v>
      </c>
      <c r="I419" s="20" t="s">
        <v>23</v>
      </c>
      <c r="J419" s="19" t="s">
        <v>23</v>
      </c>
      <c r="K419" s="35"/>
      <c r="L419" s="19"/>
      <c r="M419" s="263">
        <f ca="1">IFERROR(OFFSET(M419,-1,,1,1)+0.1,OFFSET(M419,-1,-1,1,1)&amp;".1")</f>
        <v>35</v>
      </c>
      <c r="N419" s="20" t="inlineStr">
        <is>
          <t xml:space="preserve">Claim message thread</t>
        </is>
      </c>
      <c r="O419" s="20"/>
      <c r="P419" s="20"/>
      <c r="Q419" s="134"/>
      <c r="R419" s="127"/>
      <c r="S419" s="157">
        <f>CEILING((IF(J419="Yes", 0, IF(H419="-",AA419,AA419+AA419*VLOOKUP(H419,BUFFERS_BY_TYPE,2,FALSE)))) +
   (IF(J419="Yes", 0, IF(H419="-",AA419,AA419+AA419*VLOOKUP(H419,BUFFERS_BY_TYPE,2,FALSE))))*VLOOKUP($S$5, SALES_CALL_SCALE_ARRAY, 2,FALSE),0.25)</f>
        <v>1</v>
      </c>
      <c r="T419" s="158"/>
      <c r="U419" s="21">
        <v>0</v>
      </c>
      <c r="V419" s="21">
        <v>1</v>
      </c>
      <c r="W419" s="21">
        <v>0</v>
      </c>
      <c r="X419" s="156">
        <v>1</v>
      </c>
      <c r="Y419" s="157">
        <f>CEILING((IF(P419=AS_DEV_EFFORT, DEV_EFFORT*Q419%,
                           IF(P419=AS_DURATION_EFFORT, (MANUAL_DURATION*5)*Q419%,
                                    (IF(Q419&lt;=1,X419,
                                          IF(SUM(U419:W419)=0,(Q419*X419),
                                               (((Q419*U419)*(X419+(X419*EXTRA_FOR_H)))+
                                               ((Q419*V419)*X419)+
                                               ((Q419*W419)*(X419-(X419*LESS_FOR_L)))
                                    )*IF(R419=0,1,R419))))))+Z419), 0.25)</f>
        <v>1</v>
      </c>
      <c r="Z419" s="22"/>
      <c r="AA419" s="157">
        <f>Y419+Y419*VLOOKUP(I419,EXTRAS_ARRAY,2,FALSE)</f>
        <v>1</v>
      </c>
      <c r="AB419" s="20"/>
      <c r="AC419" s="34"/>
      <c r="AD419" s="23" t="str">
        <f>IF(J419&lt;&gt;"Yes",
IF(S419&lt;=0,"Error: Effort value is not defined or is invalid.",
IF(AND(SUM(U419:W419)&gt;0,SUM(U419:W419)&lt;&gt;1),"Error: Complexity % distribution should sum to 100%.",
IF(AND(P419=AS_DEV_EFFORT,X419&lt;&gt;0),"Error: PDs should not be defined when defining as dev effort %.",
IF(AND(P419=AS_DURATION_EFFORT,X419&lt;&gt;0),"Error: PDs should not be defined when defining as duration effort %.","")))))</f>
        <v/>
      </c>
    </row>
    <row r="420" spans="1:30" ht="58" outlineLevel="2" x14ac:dyDescent="0.35">
      <c r="A420" s="86" t="s">
        <v>0</v>
      </c>
      <c r="B420" s="18"/>
      <c r="C420" s="78"/>
      <c r="D420" s="78"/>
      <c r="E420" s="78"/>
      <c r="F420" s="79"/>
      <c r="G420" s="19" t="s">
        <v>23</v>
      </c>
      <c r="H420" s="19" t="s">
        <v>23</v>
      </c>
      <c r="I420" s="20" t="s">
        <v>23</v>
      </c>
      <c r="J420" s="19" t="s">
        <v>23</v>
      </c>
      <c r="K420" s="35"/>
      <c r="L420" s="19"/>
      <c r="M420" s="263">
        <f ca="1">IFERROR(OFFSET(M420,-1,,1,1)+0.1,OFFSET(M420,-1,-1,1,1)&amp;".1")</f>
        <v>35.1</v>
      </c>
      <c r="N420" s="20" t="inlineStr">
        <is>
          <t xml:space="preserve">Total-loss declaration and settlement view</t>
        </is>
      </c>
      <c r="O420" s="20"/>
      <c r="P420" s="20"/>
      <c r="Q420" s="134"/>
      <c r="R420" s="127"/>
      <c r="S420" s="157">
        <f>CEILING((IF(J420="Yes", 0, IF(H420="-",AA420,AA420+AA420*VLOOKUP(H420,BUFFERS_BY_TYPE,2,FALSE)))) +
   (IF(J420="Yes", 0, IF(H420="-",AA420,AA420+AA420*VLOOKUP(H420,BUFFERS_BY_TYPE,2,FALSE))))*VLOOKUP($S$5, SALES_CALL_SCALE_ARRAY, 2,FALSE),0.25)</f>
        <v>1</v>
      </c>
      <c r="T420" s="158"/>
      <c r="U420" s="21">
        <v>0</v>
      </c>
      <c r="V420" s="21">
        <v>1</v>
      </c>
      <c r="W420" s="21">
        <v>0</v>
      </c>
      <c r="X420" s="156">
        <v>1</v>
      </c>
      <c r="Y420" s="157">
        <f>CEILING((IF(P420=AS_DEV_EFFORT, DEV_EFFORT*Q420%,
                           IF(P420=AS_DURATION_EFFORT, (MANUAL_DURATION*5)*Q420%,
                                    (IF(Q420&lt;=1,X420,
                                          IF(SUM(U420:W420)=0,(Q420*X420),
                                               (((Q420*U420)*(X420+(X420*EXTRA_FOR_H)))+
                                               ((Q420*V420)*X420)+
                                               ((Q420*W420)*(X420-(X420*LESS_FOR_L)))
                                    )*IF(R420=0,1,R420))))))+Z420), 0.25)</f>
        <v>1</v>
      </c>
      <c r="Z420" s="22"/>
      <c r="AA420" s="157">
        <f>Y420+Y420*VLOOKUP(I420,EXTRAS_ARRAY,2,FALSE)</f>
        <v>1</v>
      </c>
      <c r="AB420" s="20"/>
      <c r="AC420" s="34"/>
      <c r="AD420" s="23" t="str">
        <f>IF(J420&lt;&gt;"Yes",
IF(S420&lt;=0,"Error: Effort value is not defined or is invalid.",
IF(AND(SUM(U420:W420)&gt;0,SUM(U420:W420)&lt;&gt;1),"Error: Complexity % distribution should sum to 100%.",
IF(AND(P420=AS_DEV_EFFORT,X420&lt;&gt;0),"Error: PDs should not be defined when defining as dev effort %.",
IF(AND(P420=AS_DURATION_EFFORT,X420&lt;&gt;0),"Error: PDs should not be defined when defining as duration effort %.","")))))</f>
        <v/>
      </c>
    </row>
    <row r="421" spans="1:30" s="9" customFormat="1" ht="7.5" customHeight="1" outlineLevel="2" x14ac:dyDescent="0.35">
      <c r="A421" s="86" t="s">
        <v>132</v>
      </c>
      <c r="B421" s="15"/>
      <c r="C421" s="72"/>
      <c r="D421" s="72"/>
      <c r="E421" s="72"/>
      <c r="F421" s="72"/>
      <c r="M421" s="252"/>
      <c r="T421" s="15"/>
      <c r="X421" s="15"/>
      <c r="AB421" s="10"/>
      <c r="AC421" s="10"/>
      <c r="AD421" s="10"/>
    </row>
    <row r="422" spans="1:30" s="14" customFormat="1" ht="15.5" outlineLevel="1" x14ac:dyDescent="0.35">
      <c r="A422" s="86" t="s">
        <v>100</v>
      </c>
      <c r="B422" s="18"/>
      <c r="C422" s="77"/>
      <c r="D422" s="77"/>
      <c r="E422" s="77"/>
      <c r="F422" s="76"/>
      <c r="G422" s="29"/>
      <c r="H422" s="29"/>
      <c r="I422" s="29"/>
      <c r="J422" s="29"/>
      <c r="K422" s="29"/>
      <c r="L422" s="17">
        <f ca="1">LOOKUP(1000,INDIRECT("L1:"&amp;CELL("address",INDIRECT("R[-1]C",FALSE))))+1</f>
        <v>35</v>
      </c>
      <c r="M422" s="296" t="s">
        <v>1144</v>
      </c>
      <c r="N422" s="296"/>
      <c r="O422" s="5"/>
      <c r="P422" s="30"/>
      <c r="Q422" s="30"/>
      <c r="R422" s="30"/>
      <c r="S422" s="30"/>
      <c r="T422" s="155">
        <f>IF($S$6="Exclude", SUMIFS(S423:S434, J423:J434, "&lt;&gt;Yes", G423:G434, "&lt;&gt;Yes"), SUMIFS(S423:S434, J423:J434, "&lt;&gt;Yes"))</f>
        <v>27</v>
      </c>
      <c r="U422" s="30"/>
      <c r="V422" s="30"/>
      <c r="W422" s="30"/>
      <c r="X422" s="31"/>
      <c r="Y422" s="32"/>
      <c r="Z422" s="32"/>
      <c r="AA422" s="32"/>
      <c r="AB422" s="219" t="s">
        <v>977</v>
      </c>
      <c r="AC422" s="33"/>
      <c r="AD422" s="23" t="str">
        <f>IF(M422="", "Error: Task name cannot be empty.", "")</f>
        <v/>
      </c>
    </row>
    <row r="423" spans="1:30" s="12" customFormat="1" ht="1.5" customHeight="1" outlineLevel="2" x14ac:dyDescent="0.35">
      <c r="A423" s="86" t="s">
        <v>101</v>
      </c>
      <c r="B423" s="18"/>
      <c r="C423" s="77"/>
      <c r="D423" s="77"/>
      <c r="E423" s="77"/>
      <c r="F423" s="76"/>
      <c r="G423" s="29"/>
      <c r="H423" s="29"/>
      <c r="I423" s="29"/>
      <c r="J423" s="29"/>
      <c r="K423" s="29"/>
      <c r="L423" s="163">
        <f ca="1">L422</f>
        <v>35</v>
      </c>
      <c r="M423" s="164" t="s">
        <v>105</v>
      </c>
      <c r="N423" s="161"/>
      <c r="O423" s="162"/>
      <c r="P423" s="30"/>
      <c r="Q423" s="30"/>
      <c r="R423" s="30"/>
      <c r="S423" s="30"/>
      <c r="T423" s="155"/>
      <c r="U423" s="30"/>
      <c r="V423" s="30"/>
      <c r="W423" s="30"/>
      <c r="X423" s="31"/>
      <c r="Y423" s="32"/>
      <c r="Z423" s="32"/>
      <c r="AA423" s="32"/>
      <c r="AB423" s="33"/>
      <c r="AC423" s="33"/>
      <c r="AD423" s="23"/>
    </row>
    <row r="424" spans="1:30" ht="15.5" outlineLevel="2" x14ac:dyDescent="0.35">
      <c r="A424" s="86" t="s">
        <v>0</v>
      </c>
      <c r="B424" s="18"/>
      <c r="C424" s="78"/>
      <c r="D424" s="78"/>
      <c r="E424" s="78"/>
      <c r="F424" s="79"/>
      <c r="G424" s="19" t="s">
        <v>23</v>
      </c>
      <c r="H424" s="19" t="s">
        <v>23</v>
      </c>
      <c r="I424" s="20" t="s">
        <v>23</v>
      </c>
      <c r="J424" s="19" t="s">
        <v>23</v>
      </c>
      <c r="K424" s="35"/>
      <c r="L424" s="19"/>
      <c r="M424" s="263" t="str">
        <f t="shared" ref="M424:M429" ca="1" si="80">IFERROR(OFFSET(M424,-1,,1,1)+0.1,OFFSET(M424,-1,-1,1,1)&amp;".1")</f>
        <v>35.1</v>
      </c>
      <c r="N424" s="20" t="s">
        <v>911</v>
      </c>
      <c r="O424" s="20"/>
      <c r="P424" s="20"/>
      <c r="Q424" s="134"/>
      <c r="R424" s="127"/>
      <c r="S424" s="157">
        <f t="shared" ref="S424:S429" si="81">CEILING((IF(J424="Yes", 0, IF(H424="-",AA424,AA424+AA424*VLOOKUP(H424,BUFFERS_BY_TYPE,2,FALSE)))) +
   (IF(J424="Yes", 0, IF(H424="-",AA424,AA424+AA424*VLOOKUP(H424,BUFFERS_BY_TYPE,2,FALSE))))*VLOOKUP($S$5, SALES_CALL_SCALE_ARRAY, 2,FALSE),0.25)</f>
        <v>2</v>
      </c>
      <c r="T424" s="158"/>
      <c r="U424" s="21">
        <v>0</v>
      </c>
      <c r="V424" s="21">
        <v>1</v>
      </c>
      <c r="W424" s="21">
        <v>0</v>
      </c>
      <c r="X424" s="156">
        <v>2</v>
      </c>
      <c r="Y424" s="157">
        <f t="shared" ref="Y424:Y429" si="82">CEILING((IF(P424=AS_DEV_EFFORT, DEV_EFFORT*Q424%,
                           IF(P424=AS_DURATION_EFFORT, (MANUAL_DURATION*5)*Q424%,
                                    (IF(Q424&lt;=1,X424,
                                          IF(SUM(U424:W424)=0,(Q424*X424),
                                               (((Q424*U424)*(X424+(X424*EXTRA_FOR_H)))+
                                               ((Q424*V424)*X424)+
                                               ((Q424*W424)*(X424-(X424*LESS_FOR_L)))
                                    )*IF(R424=0,1,R424))))))+Z424), 0.25)</f>
        <v>2</v>
      </c>
      <c r="Z424" s="22"/>
      <c r="AA424" s="157">
        <f t="shared" ref="AA424:AA429" si="83">Y424+Y424*VLOOKUP(I424,EXTRAS_ARRAY,2,FALSE)</f>
        <v>2</v>
      </c>
      <c r="AB424" s="20"/>
      <c r="AC424" s="34"/>
      <c r="AD424" s="23" t="str">
        <f t="shared" ref="AD424:AD429" si="84">IF(J424&lt;&gt;"Yes",
IF(S424&lt;=0,"Error: Effort value is not defined or is invalid.",
IF(AND(SUM(U424:W424)&gt;0,SUM(U424:W424)&lt;&gt;1),"Error: Complexity % distribution should sum to 100%.",
IF(AND(P424=AS_DEV_EFFORT,X424&lt;&gt;0),"Error: PDs should not be defined when defining as dev effort %.",
IF(AND(P424=AS_DURATION_EFFORT,X424&lt;&gt;0),"Error: PDs should not be defined when defining as duration effort %.","")))))</f>
        <v/>
      </c>
    </row>
    <row r="425" spans="1:30" ht="15.5" outlineLevel="2" x14ac:dyDescent="0.35">
      <c r="A425" s="86" t="s">
        <v>0</v>
      </c>
      <c r="B425" s="18"/>
      <c r="C425" s="78"/>
      <c r="D425" s="78"/>
      <c r="E425" s="78"/>
      <c r="F425" s="79"/>
      <c r="G425" s="19" t="s">
        <v>23</v>
      </c>
      <c r="H425" s="19" t="s">
        <v>23</v>
      </c>
      <c r="I425" s="20" t="s">
        <v>23</v>
      </c>
      <c r="J425" s="19" t="s">
        <v>23</v>
      </c>
      <c r="K425" s="35"/>
      <c r="L425" s="19"/>
      <c r="M425" s="263">
        <f t="shared" ca="1" si="80"/>
        <v>35.2</v>
      </c>
      <c r="N425" s="20" t="s">
        <v>912</v>
      </c>
      <c r="O425" s="20"/>
      <c r="P425" s="20"/>
      <c r="Q425" s="134"/>
      <c r="R425" s="127"/>
      <c r="S425" s="157">
        <f t="shared" si="81"/>
        <v>2.5</v>
      </c>
      <c r="T425" s="158"/>
      <c r="U425" s="21">
        <v>0</v>
      </c>
      <c r="V425" s="21">
        <v>1</v>
      </c>
      <c r="W425" s="21">
        <v>0</v>
      </c>
      <c r="X425" s="156">
        <v>2.5</v>
      </c>
      <c r="Y425" s="157">
        <f t="shared" si="82"/>
        <v>2.5</v>
      </c>
      <c r="Z425" s="22"/>
      <c r="AA425" s="157">
        <f t="shared" si="83"/>
        <v>2.5</v>
      </c>
      <c r="AB425" s="20"/>
      <c r="AC425" s="34"/>
      <c r="AD425" s="23" t="str">
        <f t="shared" si="84"/>
        <v/>
      </c>
    </row>
    <row r="426" spans="1:30" ht="15.5" outlineLevel="2" x14ac:dyDescent="0.35">
      <c r="A426" s="86" t="s">
        <v>0</v>
      </c>
      <c r="B426" s="18"/>
      <c r="C426" s="78"/>
      <c r="D426" s="78"/>
      <c r="E426" s="78"/>
      <c r="F426" s="79"/>
      <c r="G426" s="19" t="s">
        <v>23</v>
      </c>
      <c r="H426" s="19" t="s">
        <v>23</v>
      </c>
      <c r="I426" s="20" t="s">
        <v>23</v>
      </c>
      <c r="J426" s="19" t="s">
        <v>23</v>
      </c>
      <c r="K426" s="35"/>
      <c r="L426" s="19"/>
      <c r="M426" s="263">
        <f t="shared" ca="1" si="80"/>
        <v>35.3</v>
      </c>
      <c r="N426" s="20" t="s">
        <v>913</v>
      </c>
      <c r="O426" s="20"/>
      <c r="P426" s="20"/>
      <c r="Q426" s="134"/>
      <c r="R426" s="127"/>
      <c r="S426" s="157">
        <f t="shared" si="81"/>
        <v>3.5</v>
      </c>
      <c r="T426" s="158"/>
      <c r="U426" s="21">
        <v>0</v>
      </c>
      <c r="V426" s="21">
        <v>1</v>
      </c>
      <c r="W426" s="21">
        <v>0</v>
      </c>
      <c r="X426" s="156">
        <v>3.5</v>
      </c>
      <c r="Y426" s="157">
        <f t="shared" si="82"/>
        <v>3.5</v>
      </c>
      <c r="Z426" s="22"/>
      <c r="AA426" s="157">
        <f t="shared" si="83"/>
        <v>3.5</v>
      </c>
      <c r="AB426" s="20"/>
      <c r="AC426" s="34"/>
      <c r="AD426" s="23" t="str">
        <f t="shared" si="84"/>
        <v/>
      </c>
    </row>
    <row r="427" spans="1:30" ht="15.5" outlineLevel="2" x14ac:dyDescent="0.35">
      <c r="A427" s="86" t="s">
        <v>0</v>
      </c>
      <c r="B427" s="18"/>
      <c r="C427" s="78"/>
      <c r="D427" s="78"/>
      <c r="E427" s="78"/>
      <c r="F427" s="79"/>
      <c r="G427" s="19" t="s">
        <v>23</v>
      </c>
      <c r="H427" s="19" t="s">
        <v>23</v>
      </c>
      <c r="I427" s="20" t="s">
        <v>23</v>
      </c>
      <c r="J427" s="19" t="s">
        <v>23</v>
      </c>
      <c r="K427" s="35"/>
      <c r="L427" s="19"/>
      <c r="M427" s="263">
        <f t="shared" ca="1" si="80"/>
        <v>35.4</v>
      </c>
      <c r="N427" s="20" t="s">
        <v>914</v>
      </c>
      <c r="O427" s="20"/>
      <c r="P427" s="20"/>
      <c r="Q427" s="134"/>
      <c r="R427" s="127"/>
      <c r="S427" s="157">
        <f t="shared" si="81"/>
        <v>3</v>
      </c>
      <c r="T427" s="158"/>
      <c r="U427" s="21">
        <v>0</v>
      </c>
      <c r="V427" s="21">
        <v>1</v>
      </c>
      <c r="W427" s="21">
        <v>0</v>
      </c>
      <c r="X427" s="156">
        <v>3</v>
      </c>
      <c r="Y427" s="157">
        <f t="shared" si="82"/>
        <v>3</v>
      </c>
      <c r="Z427" s="22"/>
      <c r="AA427" s="157">
        <f t="shared" si="83"/>
        <v>3</v>
      </c>
      <c r="AB427" s="20"/>
      <c r="AC427" s="34"/>
      <c r="AD427" s="23" t="str">
        <f t="shared" si="84"/>
        <v/>
      </c>
    </row>
    <row r="428" spans="1:30" ht="15.5" outlineLevel="2" x14ac:dyDescent="0.35">
      <c r="A428" s="86" t="s">
        <v>0</v>
      </c>
      <c r="B428" s="18"/>
      <c r="C428" s="78"/>
      <c r="D428" s="78"/>
      <c r="E428" s="78"/>
      <c r="F428" s="79"/>
      <c r="G428" s="19" t="s">
        <v>23</v>
      </c>
      <c r="H428" s="19" t="s">
        <v>23</v>
      </c>
      <c r="I428" s="20" t="s">
        <v>23</v>
      </c>
      <c r="J428" s="19" t="s">
        <v>23</v>
      </c>
      <c r="K428" s="35"/>
      <c r="L428" s="19"/>
      <c r="M428" s="263">
        <f t="shared" ca="1" si="80"/>
        <v>35.5</v>
      </c>
      <c r="N428" s="20" t="s">
        <v>915</v>
      </c>
      <c r="O428" s="20"/>
      <c r="P428" s="20"/>
      <c r="Q428" s="134"/>
      <c r="R428" s="127"/>
      <c r="S428" s="157">
        <f t="shared" si="81"/>
        <v>3.5</v>
      </c>
      <c r="T428" s="158"/>
      <c r="U428" s="21">
        <v>0</v>
      </c>
      <c r="V428" s="21">
        <v>1</v>
      </c>
      <c r="W428" s="21">
        <v>0</v>
      </c>
      <c r="X428" s="156">
        <v>3.5</v>
      </c>
      <c r="Y428" s="157">
        <f t="shared" si="82"/>
        <v>3.5</v>
      </c>
      <c r="Z428" s="22"/>
      <c r="AA428" s="157">
        <f t="shared" si="83"/>
        <v>3.5</v>
      </c>
      <c r="AB428" s="20"/>
      <c r="AC428" s="34"/>
      <c r="AD428" s="23" t="str">
        <f t="shared" si="84"/>
        <v/>
      </c>
    </row>
    <row r="429" spans="1:30" ht="15.5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/>
      <c r="L429" s="19"/>
      <c r="M429" s="263">
        <f t="shared" ca="1" si="80"/>
        <v>35.6</v>
      </c>
      <c r="N429" s="20" t="s">
        <v>916</v>
      </c>
      <c r="O429" s="20"/>
      <c r="P429" s="20"/>
      <c r="Q429" s="134"/>
      <c r="R429" s="127"/>
      <c r="S429" s="157">
        <f t="shared" si="81"/>
        <v>3.5</v>
      </c>
      <c r="T429" s="158"/>
      <c r="U429" s="21">
        <v>0</v>
      </c>
      <c r="V429" s="21">
        <v>1</v>
      </c>
      <c r="W429" s="21">
        <v>0</v>
      </c>
      <c r="X429" s="156">
        <v>3.5</v>
      </c>
      <c r="Y429" s="157">
        <f t="shared" si="82"/>
        <v>3.5</v>
      </c>
      <c r="Z429" s="22"/>
      <c r="AA429" s="157">
        <f t="shared" si="83"/>
        <v>3.5</v>
      </c>
      <c r="AB429" s="20"/>
      <c r="AC429" s="34"/>
      <c r="AD429" s="23" t="str">
        <f t="shared" si="84"/>
        <v/>
      </c>
    </row>
    <row r="430" spans="1:30" ht="29" outlineLevel="2" x14ac:dyDescent="0.35">
      <c r="A430" s="86" t="s">
        <v>0</v>
      </c>
      <c r="B430" s="18"/>
      <c r="C430" s="78"/>
      <c r="D430" s="78"/>
      <c r="E430" s="78"/>
      <c r="F430" s="79"/>
      <c r="G430" s="19" t="s">
        <v>23</v>
      </c>
      <c r="H430" s="19" t="s">
        <v>23</v>
      </c>
      <c r="I430" s="20" t="s">
        <v>23</v>
      </c>
      <c r="J430" s="19" t="s">
        <v>23</v>
      </c>
      <c r="K430" s="35"/>
      <c r="L430" s="19"/>
      <c r="M430" s="263">
        <f ca="1">IFERROR(OFFSET(M430,-1,,1,1)+0.1,OFFSET(M430,-1,-1,1,1)&amp;".1")</f>
        <v>35.7</v>
      </c>
      <c r="N430" s="20" t="s">
        <v>1276</v>
      </c>
      <c r="O430" s="20"/>
      <c r="P430" s="20"/>
      <c r="Q430" s="134"/>
      <c r="R430" s="127"/>
      <c r="S430" s="157">
        <f>CEILING((IF(J430="Yes", 0, IF(H430="-",AA430,AA430+AA430*VLOOKUP(H430,BUFFERS_BY_TYPE,2,FALSE)))) +
   (IF(J430="Yes", 0, IF(H430="-",AA430,AA430+AA430*VLOOKUP(H430,BUFFERS_BY_TYPE,2,FALSE))))*VLOOKUP($S$5, SALES_CALL_SCALE_ARRAY, 2,FALSE),0.25)</f>
        <v>2.5</v>
      </c>
      <c r="T430" s="158"/>
      <c r="U430" s="21">
        <v>0</v>
      </c>
      <c r="V430" s="21">
        <v>1</v>
      </c>
      <c r="W430" s="21">
        <v>0</v>
      </c>
      <c r="X430" s="156">
        <v>2.5</v>
      </c>
      <c r="Y430" s="157">
        <f>CEILING((IF(P430=AS_DEV_EFFORT, DEV_EFFORT*Q430%,
                           IF(P430=AS_DURATION_EFFORT, (MANUAL_DURATION*5)*Q430%,
                                    (IF(Q430&lt;=1,X430,
                                          IF(SUM(U430:W430)=0,(Q430*X430),
                                               (((Q430*U430)*(X430+(X430*EXTRA_FOR_H)))+
                                               ((Q430*V430)*X430)+
                                               ((Q430*W430)*(X430-(X430*LESS_FOR_L)))
                                    )*IF(R430=0,1,R430))))))+Z430), 0.25)</f>
        <v>2.5</v>
      </c>
      <c r="Z430" s="22"/>
      <c r="AA430" s="157">
        <f>Y430+Y430*VLOOKUP(I430,EXTRAS_ARRAY,2,FALSE)</f>
        <v>2.5</v>
      </c>
      <c r="AB430" s="20"/>
      <c r="AC430" s="34"/>
      <c r="AD430" s="23" t="str">
        <f>IF(J430&lt;&gt;"Yes",
IF(S430&lt;=0,"Error: Effort value is not defined or is invalid.",
IF(AND(SUM(U430:W430)&gt;0,SUM(U430:W430)&lt;&gt;1),"Error: Complexity % distribution should sum to 100%.",
IF(AND(P430=AS_DEV_EFFORT,X430&lt;&gt;0),"Error: PDs should not be defined when defining as dev effort %.",
IF(AND(P430=AS_DURATION_EFFORT,X430&lt;&gt;0),"Error: PDs should not be defined when defining as duration effort %.","")))))</f>
        <v/>
      </c>
    </row>
    <row r="431" spans="1:30" ht="29" outlineLevel="2" x14ac:dyDescent="0.35">
      <c r="A431" s="86" t="s">
        <v>0</v>
      </c>
      <c r="B431" s="18"/>
      <c r="C431" s="78"/>
      <c r="D431" s="78"/>
      <c r="E431" s="78"/>
      <c r="F431" s="79"/>
      <c r="G431" s="19" t="s">
        <v>23</v>
      </c>
      <c r="H431" s="19" t="s">
        <v>23</v>
      </c>
      <c r="I431" s="20" t="s">
        <v>23</v>
      </c>
      <c r="J431" s="19" t="s">
        <v>23</v>
      </c>
      <c r="K431" s="35"/>
      <c r="L431" s="19"/>
      <c r="M431" s="263">
        <f ca="1">IFERROR(OFFSET(M431,-1,,1,1)+0.1,OFFSET(M431,-1,-1,1,1)&amp;".1")</f>
        <v>35.8</v>
      </c>
      <c r="N431" s="20" t="s">
        <v>1277</v>
      </c>
      <c r="O431" s="20"/>
      <c r="P431" s="20"/>
      <c r="Q431" s="134"/>
      <c r="R431" s="127"/>
      <c r="S431" s="157">
        <f>CEILING((IF(J431="Yes", 0, IF(H431="-",AA431,AA431+AA431*VLOOKUP(H431,BUFFERS_BY_TYPE,2,FALSE)))) +
   (IF(J431="Yes", 0, IF(H431="-",AA431,AA431+AA431*VLOOKUP(H431,BUFFERS_BY_TYPE,2,FALSE))))*VLOOKUP($S$5, SALES_CALL_SCALE_ARRAY, 2,FALSE),0.25)</f>
        <v>3</v>
      </c>
      <c r="T431" s="158"/>
      <c r="U431" s="21">
        <v>0</v>
      </c>
      <c r="V431" s="21">
        <v>1</v>
      </c>
      <c r="W431" s="21">
        <v>0</v>
      </c>
      <c r="X431" s="156">
        <v>3</v>
      </c>
      <c r="Y431" s="157">
        <f>CEILING((IF(P431=AS_DEV_EFFORT, DEV_EFFORT*Q431%,
                           IF(P431=AS_DURATION_EFFORT, (MANUAL_DURATION*5)*Q431%,
                                    (IF(Q431&lt;=1,X431,
                                          IF(SUM(U431:W431)=0,(Q431*X431),
                                               (((Q431*U431)*(X431+(X431*EXTRA_FOR_H)))+
                                               ((Q431*V431)*X431)+
                                               ((Q431*W431)*(X431-(X431*LESS_FOR_L)))
                                    )*IF(R431=0,1,R431))))))+Z431), 0.25)</f>
        <v>3</v>
      </c>
      <c r="Z431" s="22"/>
      <c r="AA431" s="157">
        <f>Y431+Y431*VLOOKUP(I431,EXTRAS_ARRAY,2,FALSE)</f>
        <v>3</v>
      </c>
      <c r="AB431" s="20"/>
      <c r="AC431" s="34"/>
      <c r="AD431" s="23" t="str">
        <f>IF(J431&lt;&gt;"Yes",
IF(S431&lt;=0,"Error: Effort value is not defined or is invalid.",
IF(AND(SUM(U431:W431)&gt;0,SUM(U431:W431)&lt;&gt;1),"Error: Complexity % distribution should sum to 100%.",
IF(AND(P431=AS_DEV_EFFORT,X431&lt;&gt;0),"Error: PDs should not be defined when defining as dev effort %.",
IF(AND(P431=AS_DURATION_EFFORT,X431&lt;&gt;0),"Error: PDs should not be defined when defining as duration effort %.","")))))</f>
        <v/>
      </c>
    </row>
    <row r="432" spans="1:30" ht="15.5" outlineLevel="2" x14ac:dyDescent="0.35">
      <c r="A432" s="86" t="s">
        <v>0</v>
      </c>
      <c r="B432" s="18"/>
      <c r="C432" s="78"/>
      <c r="D432" s="78"/>
      <c r="E432" s="78"/>
      <c r="F432" s="79"/>
      <c r="G432" s="19" t="s">
        <v>23</v>
      </c>
      <c r="H432" s="19" t="s">
        <v>23</v>
      </c>
      <c r="I432" s="20" t="s">
        <v>23</v>
      </c>
      <c r="J432" s="19" t="s">
        <v>23</v>
      </c>
      <c r="K432" s="35"/>
      <c r="L432" s="19"/>
      <c r="M432" s="263">
        <f ca="1">IFERROR(OFFSET(M432,-1,,1,1)+0.1,OFFSET(M432,-1,-1,1,1)&amp;".1")</f>
        <v>35.9</v>
      </c>
      <c r="N432" s="20" t="s">
        <v>1278</v>
      </c>
      <c r="O432" s="20"/>
      <c r="P432" s="20"/>
      <c r="Q432" s="134"/>
      <c r="R432" s="127"/>
      <c r="S432" s="157">
        <f>CEILING((IF(J432="Yes", 0, IF(H432="-",AA432,AA432+AA432*VLOOKUP(H432,BUFFERS_BY_TYPE,2,FALSE)))) +
   (IF(J432="Yes", 0, IF(H432="-",AA432,AA432+AA432*VLOOKUP(H432,BUFFERS_BY_TYPE,2,FALSE))))*VLOOKUP($S$5, SALES_CALL_SCALE_ARRAY, 2,FALSE),0.25)</f>
        <v>1.5</v>
      </c>
      <c r="T432" s="158"/>
      <c r="U432" s="21">
        <v>0</v>
      </c>
      <c r="V432" s="21">
        <v>1</v>
      </c>
      <c r="W432" s="21">
        <v>0</v>
      </c>
      <c r="X432" s="156">
        <v>1.5</v>
      </c>
      <c r="Y432" s="157">
        <f>CEILING((IF(P432=AS_DEV_EFFORT, DEV_EFFORT*Q432%,
                           IF(P432=AS_DURATION_EFFORT, (MANUAL_DURATION*5)*Q432%,
                                    (IF(Q432&lt;=1,X432,
                                          IF(SUM(U432:W432)=0,(Q432*X432),
                                               (((Q432*U432)*(X432+(X432*EXTRA_FOR_H)))+
                                               ((Q432*V432)*X432)+
                                               ((Q432*W432)*(X432-(X432*LESS_FOR_L)))
                                    )*IF(R432=0,1,R432))))))+Z432), 0.25)</f>
        <v>1.5</v>
      </c>
      <c r="Z432" s="22"/>
      <c r="AA432" s="157">
        <f>Y432+Y432*VLOOKUP(I432,EXTRAS_ARRAY,2,FALSE)</f>
        <v>1.5</v>
      </c>
      <c r="AB432" s="20"/>
      <c r="AC432" s="34"/>
      <c r="AD432" s="23" t="str">
        <f>IF(J432&lt;&gt;"Yes",
IF(S432&lt;=0,"Error: Effort value is not defined or is invalid.",
IF(AND(SUM(U432:W432)&gt;0,SUM(U432:W432)&lt;&gt;1),"Error: Complexity % distribution should sum to 100%.",
IF(AND(P432=AS_DEV_EFFORT,X432&lt;&gt;0),"Error: PDs should not be defined when defining as dev effort %.",
IF(AND(P432=AS_DURATION_EFFORT,X432&lt;&gt;0),"Error: PDs should not be defined when defining as duration effort %.","")))))</f>
        <v/>
      </c>
    </row>
    <row r="433" spans="1:30" ht="58" outlineLevel="2" x14ac:dyDescent="0.35">
      <c r="A433" s="86" t="s">
        <v>0</v>
      </c>
      <c r="B433" s="18"/>
      <c r="C433" s="78"/>
      <c r="D433" s="78"/>
      <c r="E433" s="78"/>
      <c r="F433" s="79"/>
      <c r="G433" s="19" t="s">
        <v>23</v>
      </c>
      <c r="H433" s="19" t="s">
        <v>23</v>
      </c>
      <c r="I433" s="20" t="s">
        <v>23</v>
      </c>
      <c r="J433" s="19" t="s">
        <v>23</v>
      </c>
      <c r="K433" s="35"/>
      <c r="L433" s="19"/>
      <c r="M433" s="263">
        <f ca="1">IFERROR(OFFSET(M433,-1,,1,1)+0.1,OFFSET(M433,-1,-1,1,1)&amp;".1")</f>
        <v>36</v>
      </c>
      <c r="N433" s="20" t="inlineStr">
        <is>
          <t xml:space="preserve">Vehicle received / handed back; rental extensions and rental invoices</t>
        </is>
      </c>
      <c r="O433" s="20"/>
      <c r="P433" s="20"/>
      <c r="Q433" s="134"/>
      <c r="R433" s="127"/>
      <c r="S433" s="157">
        <f>CEILING((IF(J433="Yes", 0, IF(H433="-",AA433,AA433+AA433*VLOOKUP(H433,BUFFERS_BY_TYPE,2,FALSE)))) +
   (IF(J433="Yes", 0, IF(H433="-",AA433,AA433+AA433*VLOOKUP(H433,BUFFERS_BY_TYPE,2,FALSE))))*VLOOKUP($S$5, SALES_CALL_SCALE_ARRAY, 2,FALSE),0.25)</f>
        <v>2</v>
      </c>
      <c r="T433" s="158"/>
      <c r="U433" s="21">
        <v>0</v>
      </c>
      <c r="V433" s="21">
        <v>1</v>
      </c>
      <c r="W433" s="21">
        <v>0</v>
      </c>
      <c r="X433" s="156">
        <v>2</v>
      </c>
      <c r="Y433" s="157">
        <f>CEILING((IF(P433=AS_DEV_EFFORT, DEV_EFFORT*Q433%,
                           IF(P433=AS_DURATION_EFFORT, (MANUAL_DURATION*5)*Q433%,
                                    (IF(Q433&lt;=1,X433,
                                          IF(SUM(U433:W433)=0,(Q433*X433),
                                               (((Q433*U433)*(X433+(X433*EXTRA_FOR_H)))+
                                               ((Q433*V433)*X433)+
                                               ((Q433*W433)*(X433-(X433*LESS_FOR_L)))
                                    )*IF(R433=0,1,R433))))))+Z433), 0.25)</f>
        <v>2</v>
      </c>
      <c r="Z433" s="22"/>
      <c r="AA433" s="157">
        <f>Y433+Y433*VLOOKUP(I433,EXTRAS_ARRAY,2,FALSE)</f>
        <v>2</v>
      </c>
      <c r="AB433" s="20"/>
      <c r="AC433" s="34"/>
      <c r="AD433" s="23" t="str">
        <f>IF(J433&lt;&gt;"Yes",
IF(S433&lt;=0,"Error: Effort value is not defined or is invalid.",
IF(AND(SUM(U433:W433)&gt;0,SUM(U433:W433)&lt;&gt;1),"Error: Complexity % distribution should sum to 100%.",
IF(AND(P433=AS_DEV_EFFORT,X433&lt;&gt;0),"Error: PDs should not be defined when defining as dev effort %.",
IF(AND(P433=AS_DURATION_EFFORT,X433&lt;&gt;0),"Error: PDs should not be defined when defining as duration effort %.","")))))</f>
        <v/>
      </c>
    </row>
    <row r="434" spans="1:30" s="9" customFormat="1" ht="7.5" customHeight="1" outlineLevel="2" x14ac:dyDescent="0.35">
      <c r="A434" s="86" t="s">
        <v>132</v>
      </c>
      <c r="B434" s="15"/>
      <c r="C434" s="72"/>
      <c r="D434" s="72"/>
      <c r="E434" s="72"/>
      <c r="F434" s="72"/>
      <c r="M434" s="252"/>
      <c r="T434" s="15"/>
      <c r="X434" s="15"/>
      <c r="AB434" s="10"/>
      <c r="AC434" s="10"/>
      <c r="AD434" s="10"/>
    </row>
    <row r="435" spans="1:30" s="14" customFormat="1" ht="15.5" outlineLevel="1" x14ac:dyDescent="0.35">
      <c r="A435" s="86" t="s">
        <v>100</v>
      </c>
      <c r="B435" s="18"/>
      <c r="C435" s="77"/>
      <c r="D435" s="77"/>
      <c r="E435" s="77"/>
      <c r="F435" s="76"/>
      <c r="G435" s="29"/>
      <c r="H435" s="29"/>
      <c r="I435" s="29"/>
      <c r="J435" s="29"/>
      <c r="K435" s="29"/>
      <c r="L435" s="17">
        <f ca="1">LOOKUP(1000,INDIRECT("L1:"&amp;CELL("address",INDIRECT("R[-1]C",FALSE))))+1</f>
        <v>36</v>
      </c>
      <c r="M435" s="296" t="s">
        <v>1145</v>
      </c>
      <c r="N435" s="296"/>
      <c r="O435" s="5"/>
      <c r="P435" s="30"/>
      <c r="Q435" s="30"/>
      <c r="R435" s="30"/>
      <c r="S435" s="30"/>
      <c r="T435" s="155">
        <f>IF($S$6="Exclude", SUMIFS(S436:S442, J436:J442, "&lt;&gt;Yes", G436:G442, "&lt;&gt;Yes"), SUMIFS(S436:S442, J436:J442, "&lt;&gt;Yes"))</f>
        <v>15</v>
      </c>
      <c r="U435" s="30"/>
      <c r="V435" s="30"/>
      <c r="W435" s="30"/>
      <c r="X435" s="31"/>
      <c r="Y435" s="32"/>
      <c r="Z435" s="32"/>
      <c r="AA435" s="32"/>
      <c r="AB435" s="219" t="s">
        <v>978</v>
      </c>
      <c r="AC435" s="33"/>
      <c r="AD435" s="23" t="str">
        <f>IF(M435="", "Error: Task name cannot be empty.", "")</f>
        <v/>
      </c>
    </row>
    <row r="436" spans="1:30" s="12" customFormat="1" ht="1.5" customHeight="1" outlineLevel="2" x14ac:dyDescent="0.35">
      <c r="A436" s="86" t="s">
        <v>101</v>
      </c>
      <c r="B436" s="18"/>
      <c r="C436" s="77"/>
      <c r="D436" s="77"/>
      <c r="E436" s="77"/>
      <c r="F436" s="76"/>
      <c r="G436" s="29"/>
      <c r="H436" s="29"/>
      <c r="I436" s="29"/>
      <c r="J436" s="29"/>
      <c r="K436" s="29"/>
      <c r="L436" s="163">
        <f ca="1">L435</f>
        <v>36</v>
      </c>
      <c r="M436" s="164" t="s">
        <v>105</v>
      </c>
      <c r="N436" s="161"/>
      <c r="O436" s="162"/>
      <c r="P436" s="30"/>
      <c r="Q436" s="30"/>
      <c r="R436" s="30"/>
      <c r="S436" s="30"/>
      <c r="T436" s="155"/>
      <c r="U436" s="30"/>
      <c r="V436" s="30"/>
      <c r="W436" s="30"/>
      <c r="X436" s="31"/>
      <c r="Y436" s="32"/>
      <c r="Z436" s="32"/>
      <c r="AA436" s="32"/>
      <c r="AB436" s="33"/>
      <c r="AC436" s="33"/>
      <c r="AD436" s="23"/>
    </row>
    <row r="437" spans="1:30" ht="15.5" outlineLevel="2" x14ac:dyDescent="0.35">
      <c r="A437" s="86" t="s">
        <v>0</v>
      </c>
      <c r="B437" s="18"/>
      <c r="C437" s="78"/>
      <c r="D437" s="78"/>
      <c r="E437" s="78"/>
      <c r="F437" s="79"/>
      <c r="G437" s="19" t="s">
        <v>23</v>
      </c>
      <c r="H437" s="19" t="s">
        <v>23</v>
      </c>
      <c r="I437" s="20" t="s">
        <v>23</v>
      </c>
      <c r="J437" s="19" t="s">
        <v>23</v>
      </c>
      <c r="K437" s="35"/>
      <c r="L437" s="19"/>
      <c r="M437" s="263" t="str">
        <f ca="1">IFERROR(OFFSET(M437,-1,,1,1)+0.1,OFFSET(M437,-1,-1,1,1)&amp;".1")</f>
        <v>36.1</v>
      </c>
      <c r="N437" s="20" t="s">
        <v>917</v>
      </c>
      <c r="O437" s="20"/>
      <c r="P437" s="20"/>
      <c r="Q437" s="134"/>
      <c r="R437" s="127"/>
      <c r="S437" s="157">
        <f>CEILING((IF(J437="Yes", 0, IF(H437="-",AA437,AA437+AA437*VLOOKUP(H437,BUFFERS_BY_TYPE,2,FALSE)))) +
   (IF(J437="Yes", 0, IF(H437="-",AA437,AA437+AA437*VLOOKUP(H437,BUFFERS_BY_TYPE,2,FALSE))))*VLOOKUP($S$5, SALES_CALL_SCALE_ARRAY, 2,FALSE),0.25)</f>
        <v>3</v>
      </c>
      <c r="T437" s="158"/>
      <c r="U437" s="21">
        <v>0</v>
      </c>
      <c r="V437" s="21">
        <v>1</v>
      </c>
      <c r="W437" s="21">
        <v>0</v>
      </c>
      <c r="X437" s="156">
        <v>3</v>
      </c>
      <c r="Y437" s="157">
        <f>CEILING((IF(P437=AS_DEV_EFFORT, DEV_EFFORT*Q437%,
                           IF(P437=AS_DURATION_EFFORT, (MANUAL_DURATION*5)*Q437%,
                                    (IF(Q437&lt;=1,X437,
                                          IF(SUM(U437:W437)=0,(Q437*X437),
                                               (((Q437*U437)*(X437+(X437*EXTRA_FOR_H)))+
                                               ((Q437*V437)*X437)+
                                               ((Q437*W437)*(X437-(X437*LESS_FOR_L)))
                                    )*IF(R437=0,1,R437))))))+Z437), 0.25)</f>
        <v>3</v>
      </c>
      <c r="Z437" s="22"/>
      <c r="AA437" s="157">
        <f>Y437+Y437*VLOOKUP(I437,EXTRAS_ARRAY,2,FALSE)</f>
        <v>3</v>
      </c>
      <c r="AB437" s="20"/>
      <c r="AC437" s="34"/>
      <c r="AD437" s="23" t="str">
        <f>IF(J437&lt;&gt;"Yes",
IF(S437&lt;=0,"Error: Effort value is not defined or is invalid.",
IF(AND(SUM(U437:W437)&gt;0,SUM(U437:W437)&lt;&gt;1),"Error: Complexity % distribution should sum to 100%.",
IF(AND(P437=AS_DEV_EFFORT,X437&lt;&gt;0),"Error: PDs should not be defined when defining as dev effort %.",
IF(AND(P437=AS_DURATION_EFFORT,X437&lt;&gt;0),"Error: PDs should not be defined when defining as duration effort %.","")))))</f>
        <v/>
      </c>
    </row>
    <row r="438" spans="1:30" ht="15.5" outlineLevel="2" x14ac:dyDescent="0.35">
      <c r="A438" s="86" t="s">
        <v>0</v>
      </c>
      <c r="B438" s="18"/>
      <c r="C438" s="78"/>
      <c r="D438" s="78"/>
      <c r="E438" s="78"/>
      <c r="F438" s="79"/>
      <c r="G438" s="19" t="s">
        <v>23</v>
      </c>
      <c r="H438" s="19" t="s">
        <v>23</v>
      </c>
      <c r="I438" s="20" t="s">
        <v>23</v>
      </c>
      <c r="J438" s="19" t="s">
        <v>23</v>
      </c>
      <c r="K438" s="35"/>
      <c r="L438" s="19"/>
      <c r="M438" s="263">
        <f ca="1">IFERROR(OFFSET(M438,-1,,1,1)+0.1,OFFSET(M438,-1,-1,1,1)&amp;".1")</f>
        <v>36.2</v>
      </c>
      <c r="N438" s="20" t="s">
        <v>918</v>
      </c>
      <c r="O438" s="20"/>
      <c r="P438" s="20"/>
      <c r="Q438" s="134"/>
      <c r="R438" s="127"/>
      <c r="S438" s="157">
        <f>CEILING((IF(J438="Yes", 0, IF(H438="-",AA438,AA438+AA438*VLOOKUP(H438,BUFFERS_BY_TYPE,2,FALSE)))) +
   (IF(J438="Yes", 0, IF(H438="-",AA438,AA438+AA438*VLOOKUP(H438,BUFFERS_BY_TYPE,2,FALSE))))*VLOOKUP($S$5, SALES_CALL_SCALE_ARRAY, 2,FALSE),0.25)</f>
        <v>3</v>
      </c>
      <c r="T438" s="158"/>
      <c r="U438" s="21">
        <v>0</v>
      </c>
      <c r="V438" s="21">
        <v>1</v>
      </c>
      <c r="W438" s="21">
        <v>0</v>
      </c>
      <c r="X438" s="156">
        <v>3</v>
      </c>
      <c r="Y438" s="157">
        <f>CEILING((IF(P438=AS_DEV_EFFORT, DEV_EFFORT*Q438%,
                           IF(P438=AS_DURATION_EFFORT, (MANUAL_DURATION*5)*Q438%,
                                    (IF(Q438&lt;=1,X438,
                                          IF(SUM(U438:W438)=0,(Q438*X438),
                                               (((Q438*U438)*(X438+(X438*EXTRA_FOR_H)))+
                                               ((Q438*V438)*X438)+
                                               ((Q438*W438)*(X438-(X438*LESS_FOR_L)))
                                    )*IF(R438=0,1,R438))))))+Z438), 0.25)</f>
        <v>3</v>
      </c>
      <c r="Z438" s="22"/>
      <c r="AA438" s="157">
        <f>Y438+Y438*VLOOKUP(I438,EXTRAS_ARRAY,2,FALSE)</f>
        <v>3</v>
      </c>
      <c r="AB438" s="20"/>
      <c r="AC438" s="34"/>
      <c r="AD438" s="23" t="str">
        <f>IF(J438&lt;&gt;"Yes",
IF(S438&lt;=0,"Error: Effort value is not defined or is invalid.",
IF(AND(SUM(U438:W438)&gt;0,SUM(U438:W438)&lt;&gt;1),"Error: Complexity % distribution should sum to 100%.",
IF(AND(P438=AS_DEV_EFFORT,X438&lt;&gt;0),"Error: PDs should not be defined when defining as dev effort %.",
IF(AND(P438=AS_DURATION_EFFORT,X438&lt;&gt;0),"Error: PDs should not be defined when defining as duration effort %.","")))))</f>
        <v/>
      </c>
    </row>
    <row r="439" spans="1:30" ht="15.5" outlineLevel="2" x14ac:dyDescent="0.35">
      <c r="A439" s="86" t="s">
        <v>0</v>
      </c>
      <c r="B439" s="18"/>
      <c r="C439" s="78"/>
      <c r="D439" s="78"/>
      <c r="E439" s="78"/>
      <c r="F439" s="79"/>
      <c r="G439" s="19" t="s">
        <v>23</v>
      </c>
      <c r="H439" s="19" t="s">
        <v>23</v>
      </c>
      <c r="I439" s="20" t="s">
        <v>23</v>
      </c>
      <c r="J439" s="19" t="s">
        <v>23</v>
      </c>
      <c r="K439" s="35"/>
      <c r="L439" s="19"/>
      <c r="M439" s="263">
        <f ca="1">IFERROR(OFFSET(M439,-1,,1,1)+0.1,OFFSET(M439,-1,-1,1,1)&amp;".1")</f>
        <v>36.3</v>
      </c>
      <c r="N439" s="20" t="s">
        <v>919</v>
      </c>
      <c r="O439" s="20"/>
      <c r="P439" s="20"/>
      <c r="Q439" s="134"/>
      <c r="R439" s="127"/>
      <c r="S439" s="157">
        <f>CEILING((IF(J439="Yes", 0, IF(H439="-",AA439,AA439+AA439*VLOOKUP(H439,BUFFERS_BY_TYPE,2,FALSE)))) +
   (IF(J439="Yes", 0, IF(H439="-",AA439,AA439+AA439*VLOOKUP(H439,BUFFERS_BY_TYPE,2,FALSE))))*VLOOKUP($S$5, SALES_CALL_SCALE_ARRAY, 2,FALSE),0.25)</f>
        <v>3</v>
      </c>
      <c r="T439" s="158"/>
      <c r="U439" s="21">
        <v>0</v>
      </c>
      <c r="V439" s="21">
        <v>1</v>
      </c>
      <c r="W439" s="21">
        <v>0</v>
      </c>
      <c r="X439" s="156">
        <v>3</v>
      </c>
      <c r="Y439" s="157">
        <f>CEILING((IF(P439=AS_DEV_EFFORT, DEV_EFFORT*Q439%,
                           IF(P439=AS_DURATION_EFFORT, (MANUAL_DURATION*5)*Q439%,
                                    (IF(Q439&lt;=1,X439,
                                          IF(SUM(U439:W439)=0,(Q439*X439),
                                               (((Q439*U439)*(X439+(X439*EXTRA_FOR_H)))+
                                               ((Q439*V439)*X439)+
                                               ((Q439*W439)*(X439-(X439*LESS_FOR_L)))
                                    )*IF(R439=0,1,R439))))))+Z439), 0.25)</f>
        <v>3</v>
      </c>
      <c r="Z439" s="22"/>
      <c r="AA439" s="157">
        <f>Y439+Y439*VLOOKUP(I439,EXTRAS_ARRAY,2,FALSE)</f>
        <v>3</v>
      </c>
      <c r="AB439" s="20"/>
      <c r="AC439" s="34"/>
      <c r="AD439" s="23" t="str">
        <f>IF(J439&lt;&gt;"Yes",
IF(S439&lt;=0,"Error: Effort value is not defined or is invalid.",
IF(AND(SUM(U439:W439)&gt;0,SUM(U439:W439)&lt;&gt;1),"Error: Complexity % distribution should sum to 100%.",
IF(AND(P439=AS_DEV_EFFORT,X439&lt;&gt;0),"Error: PDs should not be defined when defining as dev effort %.",
IF(AND(P439=AS_DURATION_EFFORT,X439&lt;&gt;0),"Error: PDs should not be defined when defining as duration effort %.","")))))</f>
        <v/>
      </c>
    </row>
    <row r="440" spans="1:30" ht="15.5" outlineLevel="2" x14ac:dyDescent="0.35">
      <c r="A440" s="86" t="s">
        <v>0</v>
      </c>
      <c r="B440" s="18"/>
      <c r="C440" s="78"/>
      <c r="D440" s="78"/>
      <c r="E440" s="78"/>
      <c r="F440" s="79"/>
      <c r="G440" s="19" t="s">
        <v>23</v>
      </c>
      <c r="H440" s="19" t="s">
        <v>23</v>
      </c>
      <c r="I440" s="20" t="s">
        <v>23</v>
      </c>
      <c r="J440" s="19" t="s">
        <v>23</v>
      </c>
      <c r="K440" s="35"/>
      <c r="L440" s="19"/>
      <c r="M440" s="263">
        <f ca="1">IFERROR(OFFSET(M440,-1,,1,1)+0.1,OFFSET(M440,-1,-1,1,1)&amp;".1")</f>
        <v>36.4</v>
      </c>
      <c r="N440" s="20" t="s">
        <v>920</v>
      </c>
      <c r="O440" s="20"/>
      <c r="P440" s="20"/>
      <c r="Q440" s="134"/>
      <c r="R440" s="127"/>
      <c r="S440" s="157">
        <f>CEILING((IF(J440="Yes", 0, IF(H440="-",AA440,AA440+AA440*VLOOKUP(H440,BUFFERS_BY_TYPE,2,FALSE)))) +
   (IF(J440="Yes", 0, IF(H440="-",AA440,AA440+AA440*VLOOKUP(H440,BUFFERS_BY_TYPE,2,FALSE))))*VLOOKUP($S$5, SALES_CALL_SCALE_ARRAY, 2,FALSE),0.25)</f>
        <v>3</v>
      </c>
      <c r="T440" s="158"/>
      <c r="U440" s="21">
        <v>0</v>
      </c>
      <c r="V440" s="21">
        <v>1</v>
      </c>
      <c r="W440" s="21">
        <v>0</v>
      </c>
      <c r="X440" s="156">
        <v>3</v>
      </c>
      <c r="Y440" s="157">
        <f>CEILING((IF(P440=AS_DEV_EFFORT, DEV_EFFORT*Q440%,
                           IF(P440=AS_DURATION_EFFORT, (MANUAL_DURATION*5)*Q440%,
                                    (IF(Q440&lt;=1,X440,
                                          IF(SUM(U440:W440)=0,(Q440*X440),
                                               (((Q440*U440)*(X440+(X440*EXTRA_FOR_H)))+
                                               ((Q440*V440)*X440)+
                                               ((Q440*W440)*(X440-(X440*LESS_FOR_L)))
                                    )*IF(R440=0,1,R440))))))+Z440), 0.25)</f>
        <v>3</v>
      </c>
      <c r="Z440" s="22"/>
      <c r="AA440" s="157">
        <f>Y440+Y440*VLOOKUP(I440,EXTRAS_ARRAY,2,FALSE)</f>
        <v>3</v>
      </c>
      <c r="AB440" s="20"/>
      <c r="AC440" s="34"/>
      <c r="AD440" s="23" t="str">
        <f>IF(J440&lt;&gt;"Yes",
IF(S440&lt;=0,"Error: Effort value is not defined or is invalid.",
IF(AND(SUM(U440:W440)&gt;0,SUM(U440:W440)&lt;&gt;1),"Error: Complexity % distribution should sum to 100%.",
IF(AND(P440=AS_DEV_EFFORT,X440&lt;&gt;0),"Error: PDs should not be defined when defining as dev effort %.",
IF(AND(P440=AS_DURATION_EFFORT,X440&lt;&gt;0),"Error: PDs should not be defined when defining as duration effort %.","")))))</f>
        <v/>
      </c>
    </row>
    <row r="441" spans="1:30" ht="15.5" outlineLevel="2" x14ac:dyDescent="0.35">
      <c r="A441" s="86" t="s">
        <v>0</v>
      </c>
      <c r="B441" s="18"/>
      <c r="C441" s="78"/>
      <c r="D441" s="78"/>
      <c r="E441" s="78"/>
      <c r="F441" s="79"/>
      <c r="G441" s="19" t="s">
        <v>23</v>
      </c>
      <c r="H441" s="19" t="s">
        <v>23</v>
      </c>
      <c r="I441" s="20" t="s">
        <v>23</v>
      </c>
      <c r="J441" s="19" t="s">
        <v>23</v>
      </c>
      <c r="K441" s="35"/>
      <c r="L441" s="19"/>
      <c r="M441" s="263">
        <f ca="1">IFERROR(OFFSET(M441,-1,,1,1)+0.1,OFFSET(M441,-1,-1,1,1)&amp;".1")</f>
        <v>36.5</v>
      </c>
      <c r="N441" s="20" t="s">
        <v>921</v>
      </c>
      <c r="O441" s="20"/>
      <c r="P441" s="20"/>
      <c r="Q441" s="134"/>
      <c r="R441" s="127"/>
      <c r="S441" s="157">
        <f>CEILING((IF(J441="Yes", 0, IF(H441="-",AA441,AA441+AA441*VLOOKUP(H441,BUFFERS_BY_TYPE,2,FALSE)))) +
   (IF(J441="Yes", 0, IF(H441="-",AA441,AA441+AA441*VLOOKUP(H441,BUFFERS_BY_TYPE,2,FALSE))))*VLOOKUP($S$5, SALES_CALL_SCALE_ARRAY, 2,FALSE),0.25)</f>
        <v>3</v>
      </c>
      <c r="T441" s="158"/>
      <c r="U441" s="21">
        <v>0</v>
      </c>
      <c r="V441" s="21">
        <v>1</v>
      </c>
      <c r="W441" s="21">
        <v>0</v>
      </c>
      <c r="X441" s="156">
        <v>3</v>
      </c>
      <c r="Y441" s="157">
        <f>CEILING((IF(P441=AS_DEV_EFFORT, DEV_EFFORT*Q441%,
                           IF(P441=AS_DURATION_EFFORT, (MANUAL_DURATION*5)*Q441%,
                                    (IF(Q441&lt;=1,X441,
                                          IF(SUM(U441:W441)=0,(Q441*X441),
                                               (((Q441*U441)*(X441+(X441*EXTRA_FOR_H)))+
                                               ((Q441*V441)*X441)+
                                               ((Q441*W441)*(X441-(X441*LESS_FOR_L)))
                                    )*IF(R441=0,1,R441))))))+Z441), 0.25)</f>
        <v>3</v>
      </c>
      <c r="Z441" s="22"/>
      <c r="AA441" s="157">
        <f>Y441+Y441*VLOOKUP(I441,EXTRAS_ARRAY,2,FALSE)</f>
        <v>3</v>
      </c>
      <c r="AB441" s="20"/>
      <c r="AC441" s="34"/>
      <c r="AD441" s="23" t="str">
        <f>IF(J441&lt;&gt;"Yes",
IF(S441&lt;=0,"Error: Effort value is not defined or is invalid.",
IF(AND(SUM(U441:W441)&gt;0,SUM(U441:W441)&lt;&gt;1),"Error: Complexity % distribution should sum to 100%.",
IF(AND(P441=AS_DEV_EFFORT,X441&lt;&gt;0),"Error: PDs should not be defined when defining as dev effort %.",
IF(AND(P441=AS_DURATION_EFFORT,X441&lt;&gt;0),"Error: PDs should not be defined when defining as duration effort %.","")))))</f>
        <v/>
      </c>
    </row>
    <row r="442" spans="1:30" s="9" customFormat="1" ht="7.5" customHeight="1" outlineLevel="2" x14ac:dyDescent="0.35">
      <c r="A442" s="86" t="s">
        <v>132</v>
      </c>
      <c r="B442" s="15"/>
      <c r="C442" s="72"/>
      <c r="D442" s="72"/>
      <c r="E442" s="72"/>
      <c r="F442" s="72"/>
      <c r="M442" s="252"/>
      <c r="T442" s="15"/>
      <c r="X442" s="15"/>
      <c r="AB442" s="10"/>
      <c r="AC442" s="10"/>
      <c r="AD442" s="10"/>
    </row>
    <row r="443" spans="1:30" s="14" customFormat="1" ht="15.5" outlineLevel="1" collapsed="1" x14ac:dyDescent="0.35">
      <c r="A443" s="86" t="s">
        <v>100</v>
      </c>
      <c r="B443" s="18"/>
      <c r="C443" s="77"/>
      <c r="D443" s="77"/>
      <c r="E443" s="77"/>
      <c r="F443" s="76"/>
      <c r="G443" s="29"/>
      <c r="H443" s="29"/>
      <c r="I443" s="29"/>
      <c r="J443" s="29"/>
      <c r="K443" s="29"/>
      <c r="L443" s="17">
        <f ca="1">LOOKUP(1000,INDIRECT("L1:"&amp;CELL("address",INDIRECT("R[-1]C",FALSE))))+1</f>
        <v>37</v>
      </c>
      <c r="M443" s="296" t="s">
        <v>1146</v>
      </c>
      <c r="N443" s="296"/>
      <c r="O443" s="5"/>
      <c r="P443" s="30"/>
      <c r="Q443" s="30"/>
      <c r="R443" s="30"/>
      <c r="S443" s="30"/>
      <c r="T443" s="155">
        <f>IF($S$6="Exclude", SUMIFS(S444:S452, J444:J452, "&lt;&gt;Yes", G444:G452, "&lt;&gt;Yes"), SUMIFS(S444:S452, J444:J452, "&lt;&gt;Yes"))</f>
        <v>12</v>
      </c>
      <c r="U443" s="30"/>
      <c r="V443" s="30"/>
      <c r="W443" s="30"/>
      <c r="X443" s="31"/>
      <c r="Y443" s="32"/>
      <c r="Z443" s="32"/>
      <c r="AA443" s="32"/>
      <c r="AB443" s="219" t="s">
        <v>979</v>
      </c>
      <c r="AC443" s="33"/>
      <c r="AD443" s="23" t="str">
        <f>IF(M443="", "Error: Task name cannot be empty.", "")</f>
        <v/>
      </c>
    </row>
    <row r="444" spans="1:30" s="12" customFormat="1" ht="1.5" hidden="1" customHeight="1" outlineLevel="2" x14ac:dyDescent="0.35">
      <c r="A444" s="86" t="s">
        <v>101</v>
      </c>
      <c r="B444" s="18"/>
      <c r="C444" s="77"/>
      <c r="D444" s="77"/>
      <c r="E444" s="77"/>
      <c r="F444" s="76"/>
      <c r="G444" s="29"/>
      <c r="H444" s="29"/>
      <c r="I444" s="29"/>
      <c r="J444" s="29"/>
      <c r="K444" s="29"/>
      <c r="L444" s="163">
        <f ca="1">L443</f>
        <v>37</v>
      </c>
      <c r="M444" s="164" t="s">
        <v>105</v>
      </c>
      <c r="N444" s="161"/>
      <c r="O444" s="162"/>
      <c r="P444" s="30"/>
      <c r="Q444" s="30"/>
      <c r="R444" s="30"/>
      <c r="S444" s="30"/>
      <c r="T444" s="155"/>
      <c r="U444" s="30"/>
      <c r="V444" s="30"/>
      <c r="W444" s="30"/>
      <c r="X444" s="31"/>
      <c r="Y444" s="32"/>
      <c r="Z444" s="32"/>
      <c r="AA444" s="32"/>
      <c r="AB444" s="33"/>
      <c r="AC444" s="33"/>
      <c r="AD444" s="23"/>
    </row>
    <row r="445" spans="1:30" ht="15.5" hidden="1" outlineLevel="2" x14ac:dyDescent="0.35">
      <c r="A445" s="86" t="s">
        <v>0</v>
      </c>
      <c r="B445" s="18"/>
      <c r="C445" s="78"/>
      <c r="D445" s="78"/>
      <c r="E445" s="78"/>
      <c r="F445" s="79"/>
      <c r="G445" s="19" t="s">
        <v>23</v>
      </c>
      <c r="H445" s="19" t="s">
        <v>23</v>
      </c>
      <c r="I445" s="20" t="s">
        <v>23</v>
      </c>
      <c r="J445" s="19" t="s">
        <v>23</v>
      </c>
      <c r="K445" s="35"/>
      <c r="L445" s="19"/>
      <c r="M445" s="263" t="str">
        <f t="shared" ref="M445:M451" ca="1" si="85">IFERROR(OFFSET(M445,-1,,1,1)+0.1,OFFSET(M445,-1,-1,1,1)&amp;".1")</f>
        <v>37.1</v>
      </c>
      <c r="N445" s="20" t="s">
        <v>922</v>
      </c>
      <c r="O445" s="20"/>
      <c r="P445" s="20"/>
      <c r="Q445" s="134"/>
      <c r="R445" s="127"/>
      <c r="S445" s="157">
        <f t="shared" ref="S445:S451" si="86">CEILING((IF(J445="Yes", 0, IF(H445="-",AA445,AA445+AA445*VLOOKUP(H445,BUFFERS_BY_TYPE,2,FALSE)))) +
   (IF(J445="Yes", 0, IF(H445="-",AA445,AA445+AA445*VLOOKUP(H445,BUFFERS_BY_TYPE,2,FALSE))))*VLOOKUP($S$5, SALES_CALL_SCALE_ARRAY, 2,FALSE),0.25)</f>
        <v>1.5</v>
      </c>
      <c r="T445" s="158"/>
      <c r="U445" s="21">
        <v>0</v>
      </c>
      <c r="V445" s="21">
        <v>1</v>
      </c>
      <c r="W445" s="21">
        <v>0</v>
      </c>
      <c r="X445" s="156">
        <v>1.5</v>
      </c>
      <c r="Y445" s="157">
        <f t="shared" ref="Y445:Y451" si="87">CEILING((IF(P445=AS_DEV_EFFORT, DEV_EFFORT*Q445%,
                           IF(P445=AS_DURATION_EFFORT, (MANUAL_DURATION*5)*Q445%,
                                    (IF(Q445&lt;=1,X445,
                                          IF(SUM(U445:W445)=0,(Q445*X445),
                                               (((Q445*U445)*(X445+(X445*EXTRA_FOR_H)))+
                                               ((Q445*V445)*X445)+
                                               ((Q445*W445)*(X445-(X445*LESS_FOR_L)))
                                    )*IF(R445=0,1,R445))))))+Z445), 0.25)</f>
        <v>1.5</v>
      </c>
      <c r="Z445" s="22"/>
      <c r="AA445" s="157">
        <f t="shared" ref="AA445:AA451" si="88">Y445+Y445*VLOOKUP(I445,EXTRAS_ARRAY,2,FALSE)</f>
        <v>1.5</v>
      </c>
      <c r="AB445" s="20"/>
      <c r="AC445" s="34"/>
      <c r="AD445" s="23" t="str">
        <f t="shared" ref="AD445:AD451" si="89">IF(J445&lt;&gt;"Yes",
IF(S445&lt;=0,"Error: Effort value is not defined or is invalid.",
IF(AND(SUM(U445:W445)&gt;0,SUM(U445:W445)&lt;&gt;1),"Error: Complexity % distribution should sum to 100%.",
IF(AND(P445=AS_DEV_EFFORT,X445&lt;&gt;0),"Error: PDs should not be defined when defining as dev effort %.",
IF(AND(P445=AS_DURATION_EFFORT,X445&lt;&gt;0),"Error: PDs should not be defined when defining as duration effort %.","")))))</f>
        <v/>
      </c>
    </row>
    <row r="446" spans="1:30" ht="15.5" hidden="1" outlineLevel="2" x14ac:dyDescent="0.35">
      <c r="A446" s="86" t="s">
        <v>0</v>
      </c>
      <c r="B446" s="18"/>
      <c r="C446" s="78"/>
      <c r="D446" s="78"/>
      <c r="E446" s="78"/>
      <c r="F446" s="79"/>
      <c r="G446" s="19" t="s">
        <v>23</v>
      </c>
      <c r="H446" s="19" t="s">
        <v>23</v>
      </c>
      <c r="I446" s="20" t="s">
        <v>23</v>
      </c>
      <c r="J446" s="19" t="s">
        <v>23</v>
      </c>
      <c r="K446" s="35"/>
      <c r="L446" s="19"/>
      <c r="M446" s="263">
        <f t="shared" ca="1" si="85"/>
        <v>37.2</v>
      </c>
      <c r="N446" s="20" t="s">
        <v>923</v>
      </c>
      <c r="O446" s="20"/>
      <c r="P446" s="20"/>
      <c r="Q446" s="134"/>
      <c r="R446" s="127"/>
      <c r="S446" s="157">
        <f t="shared" si="86"/>
        <v>2</v>
      </c>
      <c r="T446" s="158"/>
      <c r="U446" s="21">
        <v>0</v>
      </c>
      <c r="V446" s="21">
        <v>1</v>
      </c>
      <c r="W446" s="21">
        <v>0</v>
      </c>
      <c r="X446" s="156">
        <v>2</v>
      </c>
      <c r="Y446" s="157">
        <f t="shared" si="87"/>
        <v>2</v>
      </c>
      <c r="Z446" s="22"/>
      <c r="AA446" s="157">
        <f t="shared" si="88"/>
        <v>2</v>
      </c>
      <c r="AB446" s="20"/>
      <c r="AC446" s="34"/>
      <c r="AD446" s="23" t="str">
        <f t="shared" si="89"/>
        <v/>
      </c>
    </row>
    <row r="447" spans="1:30" ht="15.5" hidden="1" outlineLevel="2" x14ac:dyDescent="0.35">
      <c r="A447" s="86" t="s">
        <v>0</v>
      </c>
      <c r="B447" s="18"/>
      <c r="C447" s="78"/>
      <c r="D447" s="78"/>
      <c r="E447" s="78"/>
      <c r="F447" s="79"/>
      <c r="G447" s="19" t="s">
        <v>23</v>
      </c>
      <c r="H447" s="19" t="s">
        <v>23</v>
      </c>
      <c r="I447" s="20" t="s">
        <v>23</v>
      </c>
      <c r="J447" s="19" t="s">
        <v>23</v>
      </c>
      <c r="K447" s="35"/>
      <c r="L447" s="19"/>
      <c r="M447" s="263">
        <f t="shared" ca="1" si="85"/>
        <v>37.3</v>
      </c>
      <c r="N447" s="20" t="s">
        <v>924</v>
      </c>
      <c r="O447" s="20"/>
      <c r="P447" s="20"/>
      <c r="Q447" s="134"/>
      <c r="R447" s="127"/>
      <c r="S447" s="157">
        <f t="shared" si="86"/>
        <v>1.5</v>
      </c>
      <c r="T447" s="158"/>
      <c r="U447" s="21">
        <v>0</v>
      </c>
      <c r="V447" s="21">
        <v>1</v>
      </c>
      <c r="W447" s="21">
        <v>0</v>
      </c>
      <c r="X447" s="156">
        <v>1.5</v>
      </c>
      <c r="Y447" s="157">
        <f t="shared" si="87"/>
        <v>1.5</v>
      </c>
      <c r="Z447" s="22"/>
      <c r="AA447" s="157">
        <f t="shared" si="88"/>
        <v>1.5</v>
      </c>
      <c r="AB447" s="20"/>
      <c r="AC447" s="34"/>
      <c r="AD447" s="23" t="str">
        <f t="shared" si="89"/>
        <v/>
      </c>
    </row>
    <row r="448" spans="1:30" ht="15.5" hidden="1" outlineLevel="2" x14ac:dyDescent="0.35">
      <c r="A448" s="86" t="s">
        <v>0</v>
      </c>
      <c r="B448" s="18"/>
      <c r="C448" s="78"/>
      <c r="D448" s="78"/>
      <c r="E448" s="78"/>
      <c r="F448" s="79"/>
      <c r="G448" s="19" t="s">
        <v>23</v>
      </c>
      <c r="H448" s="19" t="s">
        <v>23</v>
      </c>
      <c r="I448" s="20" t="s">
        <v>23</v>
      </c>
      <c r="J448" s="19" t="s">
        <v>23</v>
      </c>
      <c r="K448" s="35"/>
      <c r="L448" s="19"/>
      <c r="M448" s="263">
        <f t="shared" ca="1" si="85"/>
        <v>37.4</v>
      </c>
      <c r="N448" s="20" t="s">
        <v>925</v>
      </c>
      <c r="O448" s="20"/>
      <c r="P448" s="20"/>
      <c r="Q448" s="134"/>
      <c r="R448" s="127"/>
      <c r="S448" s="157">
        <f t="shared" si="86"/>
        <v>2</v>
      </c>
      <c r="T448" s="158"/>
      <c r="U448" s="21">
        <v>0</v>
      </c>
      <c r="V448" s="21">
        <v>1</v>
      </c>
      <c r="W448" s="21">
        <v>0</v>
      </c>
      <c r="X448" s="156">
        <v>2</v>
      </c>
      <c r="Y448" s="157">
        <f t="shared" si="87"/>
        <v>2</v>
      </c>
      <c r="Z448" s="22"/>
      <c r="AA448" s="157">
        <f t="shared" si="88"/>
        <v>2</v>
      </c>
      <c r="AB448" s="20"/>
      <c r="AC448" s="34"/>
      <c r="AD448" s="23" t="str">
        <f t="shared" si="89"/>
        <v/>
      </c>
    </row>
    <row r="449" spans="1:30" ht="15.5" hidden="1" outlineLevel="2" x14ac:dyDescent="0.35">
      <c r="A449" s="86" t="s">
        <v>0</v>
      </c>
      <c r="B449" s="18"/>
      <c r="C449" s="78"/>
      <c r="D449" s="78"/>
      <c r="E449" s="78"/>
      <c r="F449" s="79"/>
      <c r="G449" s="19" t="s">
        <v>23</v>
      </c>
      <c r="H449" s="19" t="s">
        <v>23</v>
      </c>
      <c r="I449" s="20" t="s">
        <v>23</v>
      </c>
      <c r="J449" s="19" t="s">
        <v>23</v>
      </c>
      <c r="K449" s="35"/>
      <c r="L449" s="19"/>
      <c r="M449" s="263">
        <f t="shared" ca="1" si="85"/>
        <v>37.5</v>
      </c>
      <c r="N449" s="20" t="s">
        <v>926</v>
      </c>
      <c r="O449" s="20"/>
      <c r="P449" s="20"/>
      <c r="Q449" s="134"/>
      <c r="R449" s="127"/>
      <c r="S449" s="157">
        <f t="shared" si="86"/>
        <v>2</v>
      </c>
      <c r="T449" s="158"/>
      <c r="U449" s="21">
        <v>0</v>
      </c>
      <c r="V449" s="21">
        <v>1</v>
      </c>
      <c r="W449" s="21">
        <v>0</v>
      </c>
      <c r="X449" s="156">
        <v>2</v>
      </c>
      <c r="Y449" s="157">
        <f t="shared" si="87"/>
        <v>2</v>
      </c>
      <c r="Z449" s="22"/>
      <c r="AA449" s="157">
        <f t="shared" si="88"/>
        <v>2</v>
      </c>
      <c r="AB449" s="20"/>
      <c r="AC449" s="34"/>
      <c r="AD449" s="23" t="str">
        <f t="shared" si="89"/>
        <v/>
      </c>
    </row>
    <row r="450" spans="1:30" ht="15.5" hidden="1" outlineLevel="2" x14ac:dyDescent="0.35">
      <c r="A450" s="86" t="s">
        <v>0</v>
      </c>
      <c r="B450" s="18"/>
      <c r="C450" s="78"/>
      <c r="D450" s="78"/>
      <c r="E450" s="78"/>
      <c r="F450" s="79"/>
      <c r="G450" s="19" t="s">
        <v>23</v>
      </c>
      <c r="H450" s="19" t="s">
        <v>23</v>
      </c>
      <c r="I450" s="20" t="s">
        <v>23</v>
      </c>
      <c r="J450" s="19" t="s">
        <v>23</v>
      </c>
      <c r="K450" s="35"/>
      <c r="L450" s="19"/>
      <c r="M450" s="263">
        <f t="shared" ca="1" si="85"/>
        <v>37.6</v>
      </c>
      <c r="N450" s="20" t="s">
        <v>927</v>
      </c>
      <c r="O450" s="20"/>
      <c r="P450" s="20"/>
      <c r="Q450" s="134"/>
      <c r="R450" s="127"/>
      <c r="S450" s="157">
        <f t="shared" si="86"/>
        <v>1.5</v>
      </c>
      <c r="T450" s="158"/>
      <c r="U450" s="21">
        <v>0</v>
      </c>
      <c r="V450" s="21">
        <v>1</v>
      </c>
      <c r="W450" s="21">
        <v>0</v>
      </c>
      <c r="X450" s="156">
        <v>1.5</v>
      </c>
      <c r="Y450" s="157">
        <f t="shared" si="87"/>
        <v>1.5</v>
      </c>
      <c r="Z450" s="22"/>
      <c r="AA450" s="157">
        <f t="shared" si="88"/>
        <v>1.5</v>
      </c>
      <c r="AB450" s="20"/>
      <c r="AC450" s="34"/>
      <c r="AD450" s="23" t="str">
        <f t="shared" si="89"/>
        <v/>
      </c>
    </row>
    <row r="451" spans="1:30" ht="15.5" hidden="1" outlineLevel="2" x14ac:dyDescent="0.35">
      <c r="A451" s="86" t="s">
        <v>0</v>
      </c>
      <c r="B451" s="18"/>
      <c r="C451" s="78"/>
      <c r="D451" s="78"/>
      <c r="E451" s="78"/>
      <c r="F451" s="79"/>
      <c r="G451" s="19" t="s">
        <v>23</v>
      </c>
      <c r="H451" s="19" t="s">
        <v>23</v>
      </c>
      <c r="I451" s="20" t="s">
        <v>23</v>
      </c>
      <c r="J451" s="19" t="s">
        <v>23</v>
      </c>
      <c r="K451" s="35"/>
      <c r="L451" s="19"/>
      <c r="M451" s="263">
        <f t="shared" ca="1" si="85"/>
        <v>37.7</v>
      </c>
      <c r="N451" s="20" t="s">
        <v>928</v>
      </c>
      <c r="O451" s="20"/>
      <c r="P451" s="20"/>
      <c r="Q451" s="134"/>
      <c r="R451" s="127"/>
      <c r="S451" s="157">
        <f t="shared" si="86"/>
        <v>1.5</v>
      </c>
      <c r="T451" s="158"/>
      <c r="U451" s="21">
        <v>0</v>
      </c>
      <c r="V451" s="21">
        <v>1</v>
      </c>
      <c r="W451" s="21">
        <v>0</v>
      </c>
      <c r="X451" s="156">
        <v>1.5</v>
      </c>
      <c r="Y451" s="157">
        <f t="shared" si="87"/>
        <v>1.5</v>
      </c>
      <c r="Z451" s="22"/>
      <c r="AA451" s="157">
        <f t="shared" si="88"/>
        <v>1.5</v>
      </c>
      <c r="AB451" s="20"/>
      <c r="AC451" s="34"/>
      <c r="AD451" s="23" t="str">
        <f t="shared" si="89"/>
        <v/>
      </c>
    </row>
    <row r="452" spans="1:30" s="9" customFormat="1" ht="7.5" hidden="1" customHeight="1" outlineLevel="2" x14ac:dyDescent="0.35">
      <c r="A452" s="86" t="s">
        <v>132</v>
      </c>
      <c r="B452" s="15"/>
      <c r="C452" s="72"/>
      <c r="D452" s="72"/>
      <c r="E452" s="72"/>
      <c r="F452" s="72"/>
      <c r="M452" s="252"/>
      <c r="T452" s="15"/>
      <c r="X452" s="15"/>
      <c r="AB452" s="10"/>
      <c r="AC452" s="10"/>
      <c r="AD452" s="10"/>
    </row>
    <row r="453" spans="1:30" s="14" customFormat="1" ht="15.5" outlineLevel="1" x14ac:dyDescent="0.35">
      <c r="A453" s="86" t="s">
        <v>107</v>
      </c>
      <c r="B453" s="18"/>
      <c r="C453" s="77"/>
      <c r="D453" s="77"/>
      <c r="E453" s="77"/>
      <c r="F453" s="76"/>
      <c r="G453" s="170"/>
      <c r="H453" s="170"/>
      <c r="I453" s="170"/>
      <c r="J453" s="170"/>
      <c r="K453" s="170"/>
      <c r="L453" s="85" t="s">
        <v>109</v>
      </c>
      <c r="M453" s="297" t="s">
        <v>459</v>
      </c>
      <c r="N453" s="297"/>
      <c r="O453" s="80"/>
      <c r="P453" s="81"/>
      <c r="Q453" s="81"/>
      <c r="R453" s="81"/>
      <c r="S453" s="293">
        <f>SUMGROUP(ROW(), "T")</f>
        <v>14</v>
      </c>
      <c r="T453" s="293"/>
      <c r="U453" s="294"/>
      <c r="V453" s="294"/>
      <c r="W453" s="294"/>
      <c r="X453" s="82"/>
      <c r="Y453" s="83"/>
      <c r="Z453" s="83"/>
      <c r="AA453" s="83"/>
      <c r="AB453" s="221"/>
      <c r="AC453" s="84"/>
      <c r="AD453" s="23" t="str">
        <f>IF(M453="", "Error: Module name cannot be empty.", "")</f>
        <v/>
      </c>
    </row>
    <row r="454" spans="1:30" s="14" customFormat="1" ht="15.5" outlineLevel="1" collapsed="1" x14ac:dyDescent="0.35">
      <c r="A454" s="86" t="s">
        <v>100</v>
      </c>
      <c r="B454" s="18"/>
      <c r="C454" s="77"/>
      <c r="D454" s="77"/>
      <c r="E454" s="77"/>
      <c r="F454" s="76"/>
      <c r="G454" s="29"/>
      <c r="H454" s="29"/>
      <c r="I454" s="29"/>
      <c r="J454" s="29"/>
      <c r="K454" s="29"/>
      <c r="L454" s="17">
        <f ca="1">LOOKUP(1000,INDIRECT("L1:"&amp;CELL("address",INDIRECT("R[-1]C",FALSE))))+1</f>
        <v>38</v>
      </c>
      <c r="M454" s="296" t="s">
        <v>1147</v>
      </c>
      <c r="N454" s="296"/>
      <c r="O454" s="5"/>
      <c r="P454" s="30"/>
      <c r="Q454" s="30"/>
      <c r="R454" s="30"/>
      <c r="S454" s="30"/>
      <c r="T454" s="155">
        <f>IF($S$6="Exclude", SUMIFS(S455:S459, J455:J459, "&lt;&gt;Yes", G455:G459, "&lt;&gt;Yes"), SUMIFS(S455:S459, J455:J459, "&lt;&gt;Yes"))</f>
        <v>14</v>
      </c>
      <c r="U454" s="30"/>
      <c r="V454" s="30"/>
      <c r="W454" s="30"/>
      <c r="X454" s="31"/>
      <c r="Y454" s="32"/>
      <c r="Z454" s="32"/>
      <c r="AA454" s="32"/>
      <c r="AB454" s="219" t="s">
        <v>980</v>
      </c>
      <c r="AC454" s="33"/>
      <c r="AD454" s="23" t="str">
        <f>IF(M454="", "Error: Task name cannot be empty.", "")</f>
        <v/>
      </c>
    </row>
    <row r="455" spans="1:30" s="12" customFormat="1" ht="1.5" hidden="1" customHeight="1" outlineLevel="2" x14ac:dyDescent="0.35">
      <c r="A455" s="86" t="s">
        <v>101</v>
      </c>
      <c r="B455" s="18"/>
      <c r="C455" s="77"/>
      <c r="D455" s="77"/>
      <c r="E455" s="77"/>
      <c r="F455" s="76"/>
      <c r="G455" s="29"/>
      <c r="H455" s="29"/>
      <c r="I455" s="29"/>
      <c r="J455" s="29"/>
      <c r="K455" s="29"/>
      <c r="L455" s="163">
        <f ca="1">L454</f>
        <v>38</v>
      </c>
      <c r="M455" s="164" t="s">
        <v>105</v>
      </c>
      <c r="N455" s="161"/>
      <c r="O455" s="162"/>
      <c r="P455" s="30"/>
      <c r="Q455" s="30"/>
      <c r="R455" s="30"/>
      <c r="S455" s="30"/>
      <c r="T455" s="155"/>
      <c r="U455" s="30"/>
      <c r="V455" s="30"/>
      <c r="W455" s="30"/>
      <c r="X455" s="31"/>
      <c r="Y455" s="32"/>
      <c r="Z455" s="32"/>
      <c r="AA455" s="32"/>
      <c r="AB455" s="33"/>
      <c r="AC455" s="33"/>
      <c r="AD455" s="23"/>
    </row>
    <row r="456" spans="1:30" ht="15.5" hidden="1" outlineLevel="2" x14ac:dyDescent="0.35">
      <c r="A456" s="86" t="s">
        <v>0</v>
      </c>
      <c r="B456" s="18"/>
      <c r="C456" s="78"/>
      <c r="D456" s="78"/>
      <c r="E456" s="78"/>
      <c r="F456" s="79"/>
      <c r="G456" s="19" t="s">
        <v>23</v>
      </c>
      <c r="H456" s="19" t="s">
        <v>23</v>
      </c>
      <c r="I456" s="20" t="s">
        <v>23</v>
      </c>
      <c r="J456" s="19" t="s">
        <v>23</v>
      </c>
      <c r="K456" s="35"/>
      <c r="L456" s="19"/>
      <c r="M456" s="263" t="str">
        <f ca="1">IFERROR(OFFSET(M456,-1,,1,1)+0.1,OFFSET(M456,-1,-1,1,1)&amp;".1")</f>
        <v>38.1</v>
      </c>
      <c r="N456" s="20" t="s">
        <v>1148</v>
      </c>
      <c r="O456" s="20"/>
      <c r="P456" s="20"/>
      <c r="Q456" s="134"/>
      <c r="R456" s="127"/>
      <c r="S456" s="157">
        <f>CEILING((IF(J456="Yes", 0, IF(H456="-",AA456,AA456+AA456*VLOOKUP(H456,BUFFERS_BY_TYPE,2,FALSE)))) +
   (IF(J456="Yes", 0, IF(H456="-",AA456,AA456+AA456*VLOOKUP(H456,BUFFERS_BY_TYPE,2,FALSE))))*VLOOKUP($S$5, SALES_CALL_SCALE_ARRAY, 2,FALSE),0.25)</f>
        <v>5</v>
      </c>
      <c r="T456" s="158"/>
      <c r="U456" s="21">
        <v>0</v>
      </c>
      <c r="V456" s="21">
        <v>1</v>
      </c>
      <c r="W456" s="21">
        <v>0</v>
      </c>
      <c r="X456" s="156">
        <v>5</v>
      </c>
      <c r="Y456" s="157">
        <f>CEILING((IF(P456=AS_DEV_EFFORT, DEV_EFFORT*Q456%,
                           IF(P456=AS_DURATION_EFFORT, (MANUAL_DURATION*5)*Q456%,
                                    (IF(Q456&lt;=1,X456,
                                          IF(SUM(U456:W456)=0,(Q456*X456),
                                               (((Q456*U456)*(X456+(X456*EXTRA_FOR_H)))+
                                               ((Q456*V456)*X456)+
                                               ((Q456*W456)*(X456-(X456*LESS_FOR_L)))
                                    )*IF(R456=0,1,R456))))))+Z456), 0.25)</f>
        <v>5</v>
      </c>
      <c r="Z456" s="22"/>
      <c r="AA456" s="157">
        <f>Y456+Y456*VLOOKUP(I456,EXTRAS_ARRAY,2,FALSE)</f>
        <v>5</v>
      </c>
      <c r="AB456" s="20"/>
      <c r="AC456" s="34"/>
      <c r="AD456" s="23" t="str">
        <f>IF(J456&lt;&gt;"Yes",
IF(S456&lt;=0,"Error: Effort value is not defined or is invalid.",
IF(AND(SUM(U456:W456)&gt;0,SUM(U456:W456)&lt;&gt;1),"Error: Complexity % distribution should sum to 100%.",
IF(AND(P456=AS_DEV_EFFORT,X456&lt;&gt;0),"Error: PDs should not be defined when defining as dev effort %.",
IF(AND(P456=AS_DURATION_EFFORT,X456&lt;&gt;0),"Error: PDs should not be defined when defining as duration effort %.","")))))</f>
        <v/>
      </c>
    </row>
    <row r="457" spans="1:30" ht="43.5" hidden="1" outlineLevel="2" x14ac:dyDescent="0.35">
      <c r="A457" s="86" t="s">
        <v>0</v>
      </c>
      <c r="B457" s="18"/>
      <c r="C457" s="78"/>
      <c r="D457" s="78"/>
      <c r="E457" s="78"/>
      <c r="F457" s="79"/>
      <c r="G457" s="19" t="s">
        <v>23</v>
      </c>
      <c r="H457" s="19" t="s">
        <v>23</v>
      </c>
      <c r="I457" s="20" t="s">
        <v>23</v>
      </c>
      <c r="J457" s="19" t="s">
        <v>23</v>
      </c>
      <c r="K457" s="35" t="s">
        <v>483</v>
      </c>
      <c r="L457" s="19"/>
      <c r="M457" s="263">
        <f ca="1">IFERROR(OFFSET(M457,-1,,1,1)+0.1,OFFSET(M457,-1,-1,1,1)&amp;".1")</f>
        <v>38.2</v>
      </c>
      <c r="N457" s="20" t="s">
        <v>1149</v>
      </c>
      <c r="O457" s="20"/>
      <c r="P457" s="20"/>
      <c r="Q457" s="134"/>
      <c r="R457" s="127"/>
      <c r="S457" s="157">
        <f>CEILING((IF(J457="Yes", 0, IF(H457="-",AA457,AA457+AA457*VLOOKUP(H457,BUFFERS_BY_TYPE,2,FALSE)))) +
   (IF(J457="Yes", 0, IF(H457="-",AA457,AA457+AA457*VLOOKUP(H457,BUFFERS_BY_TYPE,2,FALSE))))*VLOOKUP($S$5, SALES_CALL_SCALE_ARRAY, 2,FALSE),0.25)</f>
        <v>5</v>
      </c>
      <c r="T457" s="158"/>
      <c r="U457" s="21">
        <v>0</v>
      </c>
      <c r="V457" s="21">
        <v>1</v>
      </c>
      <c r="W457" s="21">
        <v>0</v>
      </c>
      <c r="X457" s="156">
        <v>5</v>
      </c>
      <c r="Y457" s="157">
        <f>CEILING((IF(P457=AS_DEV_EFFORT, DEV_EFFORT*Q457%,
                           IF(P457=AS_DURATION_EFFORT, (MANUAL_DURATION*5)*Q457%,
                                    (IF(Q457&lt;=1,X457,
                                          IF(SUM(U457:W457)=0,(Q457*X457),
                                               (((Q457*U457)*(X457+(X457*EXTRA_FOR_H)))+
                                               ((Q457*V457)*X457)+
                                               ((Q457*W457)*(X457-(X457*LESS_FOR_L)))
                                    )*IF(R457=0,1,R457))))))+Z457), 0.25)</f>
        <v>5</v>
      </c>
      <c r="Z457" s="22"/>
      <c r="AA457" s="157">
        <f>Y457+Y457*VLOOKUP(I457,EXTRAS_ARRAY,2,FALSE)</f>
        <v>5</v>
      </c>
      <c r="AB457" s="20"/>
      <c r="AC457" s="34"/>
      <c r="AD457" s="23" t="str">
        <f>IF(J457&lt;&gt;"Yes",
IF(S457&lt;=0,"Error: Effort value is not defined or is invalid.",
IF(AND(SUM(U457:W457)&gt;0,SUM(U457:W457)&lt;&gt;1),"Error: Complexity % distribution should sum to 100%.",
IF(AND(P457=AS_DEV_EFFORT,X457&lt;&gt;0),"Error: PDs should not be defined when defining as dev effort %.",
IF(AND(P457=AS_DURATION_EFFORT,X457&lt;&gt;0),"Error: PDs should not be defined when defining as duration effort %.","")))))</f>
        <v/>
      </c>
    </row>
    <row r="458" spans="1:30" ht="15.5" hidden="1" outlineLevel="2" x14ac:dyDescent="0.35">
      <c r="A458" s="86" t="s">
        <v>0</v>
      </c>
      <c r="B458" s="18"/>
      <c r="C458" s="78"/>
      <c r="D458" s="78"/>
      <c r="E458" s="78"/>
      <c r="F458" s="79"/>
      <c r="G458" s="19" t="s">
        <v>23</v>
      </c>
      <c r="H458" s="19" t="s">
        <v>23</v>
      </c>
      <c r="I458" s="20" t="s">
        <v>23</v>
      </c>
      <c r="J458" s="19" t="s">
        <v>23</v>
      </c>
      <c r="K458" s="35"/>
      <c r="L458" s="19"/>
      <c r="M458" s="263">
        <f ca="1">IFERROR(OFFSET(M458,-1,,1,1)+0.1,OFFSET(M458,-1,-1,1,1)&amp;".1")</f>
        <v>38.3</v>
      </c>
      <c r="N458" s="20" t="s">
        <v>1150</v>
      </c>
      <c r="O458" s="20"/>
      <c r="P458" s="20"/>
      <c r="Q458" s="134"/>
      <c r="R458" s="127"/>
      <c r="S458" s="157">
        <f>CEILING((IF(J458="Yes", 0, IF(H458="-",AA458,AA458+AA458*VLOOKUP(H458,BUFFERS_BY_TYPE,2,FALSE)))) +
   (IF(J458="Yes", 0, IF(H458="-",AA458,AA458+AA458*VLOOKUP(H458,BUFFERS_BY_TYPE,2,FALSE))))*VLOOKUP($S$5, SALES_CALL_SCALE_ARRAY, 2,FALSE),0.25)</f>
        <v>4</v>
      </c>
      <c r="T458" s="158"/>
      <c r="U458" s="21">
        <v>0</v>
      </c>
      <c r="V458" s="21">
        <v>1</v>
      </c>
      <c r="W458" s="21">
        <v>0</v>
      </c>
      <c r="X458" s="156">
        <v>4</v>
      </c>
      <c r="Y458" s="157">
        <f>CEILING((IF(P458=AS_DEV_EFFORT, DEV_EFFORT*Q458%,
                           IF(P458=AS_DURATION_EFFORT, (MANUAL_DURATION*5)*Q458%,
                                    (IF(Q458&lt;=1,X458,
                                          IF(SUM(U458:W458)=0,(Q458*X458),
                                               (((Q458*U458)*(X458+(X458*EXTRA_FOR_H)))+
                                               ((Q458*V458)*X458)+
                                               ((Q458*W458)*(X458-(X458*LESS_FOR_L)))
                                    )*IF(R458=0,1,R458))))))+Z458), 0.25)</f>
        <v>4</v>
      </c>
      <c r="Z458" s="22"/>
      <c r="AA458" s="157">
        <f>Y458+Y458*VLOOKUP(I458,EXTRAS_ARRAY,2,FALSE)</f>
        <v>4</v>
      </c>
      <c r="AB458" s="20"/>
      <c r="AC458" s="34"/>
      <c r="AD458" s="23" t="str">
        <f>IF(J458&lt;&gt;"Yes",
IF(S458&lt;=0,"Error: Effort value is not defined or is invalid.",
IF(AND(SUM(U458:W458)&gt;0,SUM(U458:W458)&lt;&gt;1),"Error: Complexity % distribution should sum to 100%.",
IF(AND(P458=AS_DEV_EFFORT,X458&lt;&gt;0),"Error: PDs should not be defined when defining as dev effort %.",
IF(AND(P458=AS_DURATION_EFFORT,X458&lt;&gt;0),"Error: PDs should not be defined when defining as duration effort %.","")))))</f>
        <v/>
      </c>
    </row>
    <row r="459" spans="1:30" s="9" customFormat="1" ht="7.5" hidden="1" customHeight="1" outlineLevel="2" x14ac:dyDescent="0.35">
      <c r="A459" s="86" t="s">
        <v>132</v>
      </c>
      <c r="B459" s="15"/>
      <c r="C459" s="72"/>
      <c r="D459" s="72"/>
      <c r="E459" s="72"/>
      <c r="F459" s="72"/>
      <c r="M459" s="252"/>
      <c r="T459" s="15"/>
      <c r="X459" s="15"/>
      <c r="AB459" s="10"/>
      <c r="AC459" s="10"/>
      <c r="AD459" s="10"/>
    </row>
    <row r="460" spans="1:30" s="9" customFormat="1" ht="3" customHeight="1" outlineLevel="1" x14ac:dyDescent="0.35">
      <c r="A460" s="86" t="s">
        <v>102</v>
      </c>
      <c r="C460" s="72"/>
      <c r="D460" s="72"/>
      <c r="E460" s="72"/>
      <c r="F460" s="72"/>
      <c r="G460" s="25"/>
      <c r="H460" s="25"/>
      <c r="I460" s="25"/>
      <c r="J460" s="25"/>
      <c r="K460" s="25"/>
      <c r="L460" s="56"/>
      <c r="M460" s="264"/>
      <c r="N460" s="57"/>
      <c r="O460" s="57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7"/>
      <c r="AC460" s="57"/>
      <c r="AD460" s="10"/>
    </row>
    <row r="461" spans="1:30" s="14" customFormat="1" ht="18.5" x14ac:dyDescent="0.35">
      <c r="A461" s="86" t="s">
        <v>98</v>
      </c>
      <c r="B461" s="12"/>
      <c r="C461" s="73"/>
      <c r="D461" s="73"/>
      <c r="E461" s="73"/>
      <c r="F461" s="72"/>
      <c r="G461" s="52"/>
      <c r="H461" s="52"/>
      <c r="I461" s="52"/>
      <c r="J461" s="52"/>
      <c r="K461" s="52"/>
      <c r="L461" s="52" t="s">
        <v>70</v>
      </c>
      <c r="M461" s="261" t="s">
        <v>74</v>
      </c>
      <c r="N461" s="53"/>
      <c r="O461" s="54"/>
      <c r="P461" s="55"/>
      <c r="Q461" s="55"/>
      <c r="R461" s="55"/>
      <c r="S461" s="316">
        <f>CEILING(SUMIF(J462:J499, "&lt;&gt;Yes", T462:T499),1)</f>
        <v>121</v>
      </c>
      <c r="T461" s="316"/>
      <c r="U461" s="55"/>
      <c r="V461" s="55"/>
      <c r="W461" s="55"/>
      <c r="X461" s="55"/>
      <c r="Y461" s="55"/>
      <c r="Z461" s="55"/>
      <c r="AA461" s="55"/>
      <c r="AB461" s="55"/>
      <c r="AC461" s="55"/>
      <c r="AD461" s="13"/>
    </row>
    <row r="462" spans="1:30" s="9" customFormat="1" ht="3" customHeight="1" outlineLevel="1" x14ac:dyDescent="0.35">
      <c r="A462" s="86" t="s">
        <v>99</v>
      </c>
      <c r="B462" s="15"/>
      <c r="C462" s="72"/>
      <c r="D462" s="72"/>
      <c r="E462" s="72"/>
      <c r="F462" s="72"/>
      <c r="G462" s="25"/>
      <c r="H462" s="25"/>
      <c r="I462" s="25"/>
      <c r="J462" s="25"/>
      <c r="K462" s="25"/>
      <c r="L462" s="26">
        <v>0</v>
      </c>
      <c r="M462" s="262"/>
      <c r="N462" s="25"/>
      <c r="O462" s="25"/>
      <c r="P462" s="25"/>
      <c r="Q462" s="25"/>
      <c r="R462" s="25"/>
      <c r="S462" s="25"/>
      <c r="T462" s="27"/>
      <c r="U462" s="25"/>
      <c r="V462" s="25"/>
      <c r="W462" s="25"/>
      <c r="X462" s="27"/>
      <c r="Y462" s="25"/>
      <c r="Z462" s="25"/>
      <c r="AA462" s="25"/>
      <c r="AB462" s="28"/>
      <c r="AC462" s="28"/>
      <c r="AD462" s="10"/>
    </row>
    <row r="463" spans="1:30" s="14" customFormat="1" ht="15.5" outlineLevel="1" x14ac:dyDescent="0.35">
      <c r="A463" s="86" t="s">
        <v>107</v>
      </c>
      <c r="B463" s="18"/>
      <c r="C463" s="77"/>
      <c r="D463" s="77"/>
      <c r="E463" s="77"/>
      <c r="F463" s="76"/>
      <c r="G463" s="170"/>
      <c r="H463" s="170"/>
      <c r="I463" s="170"/>
      <c r="J463" s="170"/>
      <c r="K463" s="170"/>
      <c r="L463" s="85" t="s">
        <v>109</v>
      </c>
      <c r="M463" s="297" t="s">
        <v>1151</v>
      </c>
      <c r="N463" s="297"/>
      <c r="O463" s="80"/>
      <c r="P463" s="81"/>
      <c r="Q463" s="81"/>
      <c r="R463" s="81"/>
      <c r="S463" s="293">
        <f>SUMGROUP(ROW(), "T")</f>
        <v>11.5</v>
      </c>
      <c r="T463" s="293"/>
      <c r="U463" s="294"/>
      <c r="V463" s="294"/>
      <c r="W463" s="294"/>
      <c r="X463" s="82"/>
      <c r="Y463" s="83"/>
      <c r="Z463" s="83"/>
      <c r="AA463" s="83"/>
      <c r="AB463" s="221"/>
      <c r="AC463" s="84"/>
      <c r="AD463" s="23" t="str">
        <f>IF(M463="", "Error: Module name cannot be empty.", "")</f>
        <v/>
      </c>
    </row>
    <row r="464" spans="1:30" s="14" customFormat="1" ht="15.5" outlineLevel="1" collapsed="1" x14ac:dyDescent="0.35">
      <c r="A464" s="86" t="s">
        <v>100</v>
      </c>
      <c r="B464" s="18"/>
      <c r="C464" s="77"/>
      <c r="D464" s="77"/>
      <c r="E464" s="77"/>
      <c r="F464" s="76"/>
      <c r="G464" s="29"/>
      <c r="H464" s="29"/>
      <c r="I464" s="29"/>
      <c r="J464" s="29"/>
      <c r="K464" s="29"/>
      <c r="L464" s="17">
        <f ca="1">LOOKUP(1000,INDIRECT("L1:"&amp;CELL("address",INDIRECT("R[-1]C",FALSE))))+1</f>
        <v>1</v>
      </c>
      <c r="M464" s="296" t="s">
        <v>484</v>
      </c>
      <c r="N464" s="296"/>
      <c r="O464" s="5"/>
      <c r="P464" s="30"/>
      <c r="Q464" s="30"/>
      <c r="R464" s="30"/>
      <c r="S464" s="30"/>
      <c r="T464" s="155">
        <f>IF($S$6="Exclude", SUMIFS(S465:S468, J465:J468, "&lt;&gt;Yes", G465:G468, "&lt;&gt;Yes"), SUMIFS(S465:S468, J465:J468, "&lt;&gt;Yes"))</f>
        <v>11.5</v>
      </c>
      <c r="U464" s="30"/>
      <c r="V464" s="30"/>
      <c r="W464" s="30"/>
      <c r="X464" s="31"/>
      <c r="Y464" s="32"/>
      <c r="Z464" s="32"/>
      <c r="AA464" s="32"/>
      <c r="AB464" s="219"/>
      <c r="AC464" s="33"/>
      <c r="AD464" s="23" t="str">
        <f>IF(M464="", "Error: Task name cannot be empty.", "")</f>
        <v/>
      </c>
    </row>
    <row r="465" spans="1:30" s="12" customFormat="1" ht="1.5" hidden="1" customHeight="1" outlineLevel="2" x14ac:dyDescent="0.35">
      <c r="A465" s="86" t="s">
        <v>101</v>
      </c>
      <c r="B465" s="18"/>
      <c r="C465" s="77"/>
      <c r="D465" s="77"/>
      <c r="E465" s="77"/>
      <c r="F465" s="76"/>
      <c r="G465" s="29"/>
      <c r="H465" s="29"/>
      <c r="I465" s="29"/>
      <c r="J465" s="29"/>
      <c r="K465" s="29"/>
      <c r="L465" s="163">
        <f ca="1">L464</f>
        <v>1</v>
      </c>
      <c r="M465" s="164" t="s">
        <v>105</v>
      </c>
      <c r="N465" s="161"/>
      <c r="O465" s="162"/>
      <c r="P465" s="30"/>
      <c r="Q465" s="30"/>
      <c r="R465" s="30"/>
      <c r="S465" s="30"/>
      <c r="T465" s="155"/>
      <c r="U465" s="30"/>
      <c r="V465" s="30"/>
      <c r="W465" s="30"/>
      <c r="X465" s="31"/>
      <c r="Y465" s="32"/>
      <c r="Z465" s="32"/>
      <c r="AA465" s="32"/>
      <c r="AB465" s="33"/>
      <c r="AC465" s="33"/>
      <c r="AD465" s="23"/>
    </row>
    <row r="466" spans="1:30" ht="87" hidden="1" outlineLevel="2" x14ac:dyDescent="0.35">
      <c r="A466" s="86" t="s">
        <v>0</v>
      </c>
      <c r="B466" s="18"/>
      <c r="C466" s="78"/>
      <c r="D466" s="78"/>
      <c r="E466" s="78"/>
      <c r="F466" s="79"/>
      <c r="G466" s="19" t="s">
        <v>23</v>
      </c>
      <c r="H466" s="19" t="s">
        <v>23</v>
      </c>
      <c r="I466" s="20" t="s">
        <v>23</v>
      </c>
      <c r="J466" s="19" t="s">
        <v>23</v>
      </c>
      <c r="K466" s="35"/>
      <c r="L466" s="19"/>
      <c r="M466" s="263" t="str">
        <f ca="1">IFERROR(OFFSET(M466,-1,,1,1)+0.1,OFFSET(M466,-1,-1,1,1)&amp;".1")</f>
        <v>1.1</v>
      </c>
      <c r="N466" s="20" t="s">
        <v>929</v>
      </c>
      <c r="O466" s="20"/>
      <c r="P466" s="20"/>
      <c r="Q466" s="134"/>
      <c r="R466" s="127"/>
      <c r="S466" s="157">
        <f>CEILING((IF(J466="Yes", 0, IF(H466="-",AA466,AA466+AA466*VLOOKUP(H466,BUFFERS_BY_TYPE,2,FALSE)))) +
   (IF(J466="Yes", 0, IF(H466="-",AA466,AA466+AA466*VLOOKUP(H466,BUFFERS_BY_TYPE,2,FALSE))))*VLOOKUP($S$5, SALES_CALL_SCALE_ARRAY, 2,FALSE),0.25)</f>
        <v>5</v>
      </c>
      <c r="T466" s="158"/>
      <c r="U466" s="21">
        <v>0.2</v>
      </c>
      <c r="V466" s="21">
        <v>0.5</v>
      </c>
      <c r="W466" s="21">
        <v>0.3</v>
      </c>
      <c r="X466" s="156">
        <v>5</v>
      </c>
      <c r="Y466" s="157">
        <f>CEILING((IF(P466=AS_DEV_EFFORT, DEV_EFFORT*Q466%,
                           IF(P466=AS_DURATION_EFFORT, (MANUAL_DURATION*5)*Q466%,
                                    (IF(Q466&lt;=1,X466,
                                          IF(SUM(U466:W466)=0,(Q466*X466),
                                               (((Q466*U466)*(X466+(X466*EXTRA_FOR_H)))+
                                               ((Q466*V466)*X466)+
                                               ((Q466*W466)*(X466-(X466*LESS_FOR_L)))
                                    )*IF(R466=0,1,R466))))))+Z466), 0.25)</f>
        <v>5</v>
      </c>
      <c r="Z466" s="22"/>
      <c r="AA466" s="157">
        <f>Y466+Y466*VLOOKUP(I466,EXTRAS_ARRAY,2,FALSE)</f>
        <v>5</v>
      </c>
      <c r="AB466" s="20"/>
      <c r="AC466" s="34"/>
      <c r="AD466" s="23" t="str">
        <f>IF(J466&lt;&gt;"Yes",
IF(S466&lt;=0,"Error: Effort value is not defined or is invalid.",
IF(AND(SUM(U466:W466)&gt;0,SUM(U466:W466)&lt;&gt;1),"Error: Complexity % distribution should sum to 100%.",
IF(AND(P466=AS_DEV_EFFORT,X466&lt;&gt;0),"Error: PDs should not be defined when defining as dev effort %.",
IF(AND(P466=AS_DURATION_EFFORT,X466&lt;&gt;0),"Error: PDs should not be defined when defining as duration effort %.","")))))</f>
        <v/>
      </c>
    </row>
    <row r="467" spans="1:30" ht="116" hidden="1" outlineLevel="2" x14ac:dyDescent="0.35">
      <c r="A467" s="86" t="s">
        <v>0</v>
      </c>
      <c r="B467" s="18"/>
      <c r="C467" s="78"/>
      <c r="D467" s="78"/>
      <c r="E467" s="78"/>
      <c r="F467" s="79"/>
      <c r="G467" s="19" t="s">
        <v>23</v>
      </c>
      <c r="H467" s="19" t="s">
        <v>23</v>
      </c>
      <c r="I467" s="20" t="s">
        <v>23</v>
      </c>
      <c r="J467" s="19" t="s">
        <v>23</v>
      </c>
      <c r="K467" s="35"/>
      <c r="L467" s="19"/>
      <c r="M467" s="263">
        <f ca="1">IFERROR(OFFSET(M467,-1,,1,1)+0.1,OFFSET(M467,-1,-1,1,1)&amp;".1")</f>
        <v>1.2</v>
      </c>
      <c r="N467" s="20" t="s">
        <v>930</v>
      </c>
      <c r="O467" s="20"/>
      <c r="P467" s="20" t="s">
        <v>485</v>
      </c>
      <c r="Q467" s="134">
        <f>Total_Use_Cases</f>
        <v>30.5</v>
      </c>
      <c r="R467" s="127"/>
      <c r="S467" s="157">
        <f>CEILING((IF(J467="Yes", 0, IF(H467="-",AA467,AA467+AA467*VLOOKUP(H467,BUFFERS_BY_TYPE,2,FALSE)))) +
   (IF(J467="Yes", 0, IF(H467="-",AA467,AA467+AA467*VLOOKUP(H467,BUFFERS_BY_TYPE,2,FALSE))))*VLOOKUP($S$5, SALES_CALL_SCALE_ARRAY, 2,FALSE),0.25)</f>
        <v>6.5</v>
      </c>
      <c r="T467" s="158"/>
      <c r="U467" s="21">
        <v>0.2</v>
      </c>
      <c r="V467" s="21">
        <v>0.5</v>
      </c>
      <c r="W467" s="21">
        <v>0.3</v>
      </c>
      <c r="X467" s="156">
        <v>0.2</v>
      </c>
      <c r="Y467" s="157">
        <f>CEILING((IF(P467=AS_DEV_EFFORT, DEV_EFFORT*Q467%,
                           IF(P467=AS_DURATION_EFFORT, (MANUAL_DURATION*5)*Q467%,
                                    (IF(Q467&lt;=1,X467,
                                          IF(SUM(U467:W467)=0,(Q467*X467),
                                               (((Q467*U467)*(X467+(X467*EXTRA_FOR_H)))+
                                               ((Q467*V467)*X467)+
                                               ((Q467*W467)*(X467-(X467*LESS_FOR_L)))
                                    )*IF(R467=0,1,R467))))))+Z467), 0.25)</f>
        <v>6.5</v>
      </c>
      <c r="Z467" s="22">
        <v>7.9000000000000001E-2</v>
      </c>
      <c r="AA467" s="157">
        <f>Y467+Y467*VLOOKUP(I467,EXTRAS_ARRAY,2,FALSE)</f>
        <v>6.5</v>
      </c>
      <c r="AB467" s="20"/>
      <c r="AC467" s="34"/>
      <c r="AD467" s="23" t="str">
        <f>IF(J467&lt;&gt;"Yes",
IF(S467&lt;=0,"Error: Effort value is not defined or is invalid.",
IF(AND(SUM(U467:W467)&gt;0,SUM(U467:W467)&lt;&gt;1),"Error: Complexity % distribution should sum to 100%.",
IF(AND(P467=AS_DEV_EFFORT,X467&lt;&gt;0),"Error: PDs should not be defined when defining as dev effort %.",
IF(AND(P467=AS_DURATION_EFFORT,X467&lt;&gt;0),"Error: PDs should not be defined when defining as duration effort %.","")))))</f>
        <v/>
      </c>
    </row>
    <row r="468" spans="1:30" s="9" customFormat="1" ht="7.5" hidden="1" customHeight="1" outlineLevel="2" x14ac:dyDescent="0.35">
      <c r="A468" s="86" t="s">
        <v>132</v>
      </c>
      <c r="B468" s="15"/>
      <c r="C468" s="72"/>
      <c r="D468" s="72"/>
      <c r="E468" s="72"/>
      <c r="F468" s="72"/>
      <c r="M468" s="252"/>
      <c r="T468" s="15"/>
      <c r="X468" s="15"/>
      <c r="AB468" s="10"/>
      <c r="AC468" s="10"/>
      <c r="AD468" s="10"/>
    </row>
    <row r="469" spans="1:30" s="14" customFormat="1" ht="15.5" outlineLevel="1" x14ac:dyDescent="0.35">
      <c r="A469" s="86" t="s">
        <v>107</v>
      </c>
      <c r="B469" s="18"/>
      <c r="C469" s="77"/>
      <c r="D469" s="77"/>
      <c r="E469" s="77"/>
      <c r="F469" s="76"/>
      <c r="G469" s="170"/>
      <c r="H469" s="170"/>
      <c r="I469" s="170"/>
      <c r="J469" s="170"/>
      <c r="K469" s="170"/>
      <c r="L469" s="85" t="s">
        <v>109</v>
      </c>
      <c r="M469" s="297" t="s">
        <v>1152</v>
      </c>
      <c r="N469" s="297"/>
      <c r="O469" s="80"/>
      <c r="P469" s="81"/>
      <c r="Q469" s="81"/>
      <c r="R469" s="81"/>
      <c r="S469" s="293">
        <f>SUMGROUP(ROW(), "T")</f>
        <v>109.5</v>
      </c>
      <c r="T469" s="293"/>
      <c r="U469" s="294"/>
      <c r="V469" s="294"/>
      <c r="W469" s="294"/>
      <c r="X469" s="82"/>
      <c r="Y469" s="83"/>
      <c r="Z469" s="83"/>
      <c r="AA469" s="83"/>
      <c r="AB469" s="221"/>
      <c r="AC469" s="84"/>
      <c r="AD469" s="23" t="str">
        <f>IF(M469="", "Error: Module name cannot be empty.", "")</f>
        <v/>
      </c>
    </row>
    <row r="470" spans="1:30" s="14" customFormat="1" ht="15.5" outlineLevel="1" collapsed="1" x14ac:dyDescent="0.35">
      <c r="A470" s="86" t="s">
        <v>100</v>
      </c>
      <c r="B470" s="18"/>
      <c r="C470" s="77"/>
      <c r="D470" s="77"/>
      <c r="E470" s="77"/>
      <c r="F470" s="76"/>
      <c r="G470" s="29"/>
      <c r="H470" s="29"/>
      <c r="I470" s="29"/>
      <c r="J470" s="29"/>
      <c r="K470" s="29"/>
      <c r="L470" s="17">
        <f ca="1">LOOKUP(1000,INDIRECT("L1:"&amp;CELL("address",INDIRECT("R[-1]C",FALSE))))+1</f>
        <v>2</v>
      </c>
      <c r="M470" s="296" t="s">
        <v>452</v>
      </c>
      <c r="N470" s="296"/>
      <c r="O470" s="5"/>
      <c r="P470" s="30"/>
      <c r="Q470" s="30"/>
      <c r="R470" s="30"/>
      <c r="S470" s="30"/>
      <c r="T470" s="155">
        <f>IF($S$6="Exclude", SUMIFS(S471:S476, J471:J476, "&lt;&gt;Yes", G471:G476, "&lt;&gt;Yes"), SUMIFS(S471:S476, J471:J476, "&lt;&gt;Yes"))</f>
        <v>34</v>
      </c>
      <c r="U470" s="30"/>
      <c r="V470" s="30"/>
      <c r="W470" s="30"/>
      <c r="X470" s="31"/>
      <c r="Y470" s="32"/>
      <c r="Z470" s="32"/>
      <c r="AA470" s="32"/>
      <c r="AB470" s="219"/>
      <c r="AC470" s="33"/>
      <c r="AD470" s="23" t="str">
        <f>IF(M470="", "Error: Task name cannot be empty.", "")</f>
        <v/>
      </c>
    </row>
    <row r="471" spans="1:30" s="12" customFormat="1" ht="1.5" hidden="1" customHeight="1" outlineLevel="2" x14ac:dyDescent="0.35">
      <c r="A471" s="86" t="s">
        <v>101</v>
      </c>
      <c r="B471" s="18"/>
      <c r="C471" s="77"/>
      <c r="D471" s="77"/>
      <c r="E471" s="77"/>
      <c r="F471" s="76"/>
      <c r="G471" s="29"/>
      <c r="H471" s="29"/>
      <c r="I471" s="29"/>
      <c r="J471" s="29"/>
      <c r="K471" s="29"/>
      <c r="L471" s="163">
        <f ca="1">L470</f>
        <v>2</v>
      </c>
      <c r="M471" s="164" t="s">
        <v>105</v>
      </c>
      <c r="N471" s="161"/>
      <c r="O471" s="162"/>
      <c r="P471" s="30"/>
      <c r="Q471" s="30"/>
      <c r="R471" s="30"/>
      <c r="S471" s="30"/>
      <c r="T471" s="155"/>
      <c r="U471" s="30"/>
      <c r="V471" s="30"/>
      <c r="W471" s="30"/>
      <c r="X471" s="31"/>
      <c r="Y471" s="32"/>
      <c r="Z471" s="32"/>
      <c r="AA471" s="32"/>
      <c r="AB471" s="33"/>
      <c r="AC471" s="33"/>
      <c r="AD471" s="23"/>
    </row>
    <row r="472" spans="1:30" ht="72.5" hidden="1" outlineLevel="2" x14ac:dyDescent="0.35">
      <c r="A472" s="86" t="s">
        <v>0</v>
      </c>
      <c r="B472" s="18"/>
      <c r="C472" s="78"/>
      <c r="D472" s="78"/>
      <c r="E472" s="78"/>
      <c r="F472" s="79"/>
      <c r="G472" s="19" t="s">
        <v>23</v>
      </c>
      <c r="H472" s="19" t="s">
        <v>23</v>
      </c>
      <c r="I472" s="20" t="s">
        <v>23</v>
      </c>
      <c r="J472" s="19" t="s">
        <v>23</v>
      </c>
      <c r="K472" s="35"/>
      <c r="L472" s="19"/>
      <c r="M472" s="263" t="str">
        <f ca="1">IFERROR(OFFSET(M472,-1,,1,1)+0.1,OFFSET(M472,-1,-1,1,1)&amp;".1")</f>
        <v>2.1</v>
      </c>
      <c r="N472" s="20" t="s">
        <v>931</v>
      </c>
      <c r="O472" s="20"/>
      <c r="P472" s="20"/>
      <c r="Q472" s="134"/>
      <c r="R472" s="127"/>
      <c r="S472" s="157">
        <f>CEILING((IF(J472="Yes", 0, IF(H472="-",AA472,AA472+AA472*VLOOKUP(H472,BUFFERS_BY_TYPE,2,FALSE)))) +
   (IF(J472="Yes", 0, IF(H472="-",AA472,AA472+AA472*VLOOKUP(H472,BUFFERS_BY_TYPE,2,FALSE))))*VLOOKUP($S$5, SALES_CALL_SCALE_ARRAY, 2,FALSE),0.25)</f>
        <v>6</v>
      </c>
      <c r="T472" s="158"/>
      <c r="U472" s="21">
        <v>0</v>
      </c>
      <c r="V472" s="21">
        <v>1</v>
      </c>
      <c r="W472" s="21">
        <v>0</v>
      </c>
      <c r="X472" s="156">
        <v>6</v>
      </c>
      <c r="Y472" s="157">
        <f>CEILING((IF(P472=AS_DEV_EFFORT, DEV_EFFORT*Q472%,
                           IF(P472=AS_DURATION_EFFORT, (MANUAL_DURATION*5)*Q472%,
                                    (IF(Q472&lt;=1,X472,
                                          IF(SUM(U472:W472)=0,(Q472*X472),
                                               (((Q472*U472)*(X472+(X472*EXTRA_FOR_H)))+
                                               ((Q472*V472)*X472)+
                                               ((Q472*W472)*(X472-(X472*LESS_FOR_L)))
                                    )*IF(R472=0,1,R472))))))+Z472), 0.25)</f>
        <v>6</v>
      </c>
      <c r="Z472" s="22"/>
      <c r="AA472" s="157">
        <f>Y472+Y472*VLOOKUP(I472,EXTRAS_ARRAY,2,FALSE)</f>
        <v>6</v>
      </c>
      <c r="AB472" s="20"/>
      <c r="AC472" s="34"/>
      <c r="AD472" s="23" t="str">
        <f>IF(J472&lt;&gt;"Yes",
IF(S472&lt;=0,"Error: Effort value is not defined or is invalid.",
IF(AND(SUM(U472:W472)&gt;0,SUM(U472:W472)&lt;&gt;1),"Error: Complexity % distribution should sum to 100%.",
IF(AND(P472=AS_DEV_EFFORT,X472&lt;&gt;0),"Error: PDs should not be defined when defining as dev effort %.",
IF(AND(P472=AS_DURATION_EFFORT,X472&lt;&gt;0),"Error: PDs should not be defined when defining as duration effort %.","")))))</f>
        <v/>
      </c>
    </row>
    <row r="473" spans="1:30" ht="130.5" hidden="1" outlineLevel="2" x14ac:dyDescent="0.35">
      <c r="A473" s="86" t="s">
        <v>0</v>
      </c>
      <c r="B473" s="18"/>
      <c r="C473" s="78"/>
      <c r="D473" s="78"/>
      <c r="E473" s="78"/>
      <c r="F473" s="79"/>
      <c r="G473" s="19" t="s">
        <v>23</v>
      </c>
      <c r="H473" s="19" t="s">
        <v>23</v>
      </c>
      <c r="I473" s="20" t="s">
        <v>23</v>
      </c>
      <c r="J473" s="19" t="s">
        <v>23</v>
      </c>
      <c r="K473" s="35" t="s">
        <v>1153</v>
      </c>
      <c r="L473" s="19"/>
      <c r="M473" s="263">
        <f ca="1">IFERROR(OFFSET(M473,-1,,1,1)+0.1,OFFSET(M473,-1,-1,1,1)&amp;".1")</f>
        <v>2.2</v>
      </c>
      <c r="N473" s="20" t="s">
        <v>932</v>
      </c>
      <c r="O473" s="20" t="s">
        <v>1154</v>
      </c>
      <c r="P473" s="20">
        <f>Total_Use_Cases * R473</f>
        <v>152.5</v>
      </c>
      <c r="Q473" s="134">
        <f>Total_Use_Cases</f>
        <v>30.5</v>
      </c>
      <c r="R473" s="127">
        <v>5</v>
      </c>
      <c r="S473" s="157">
        <f>CEILING((IF(J473="Yes", 0, IF(H473="-",AA473,AA473+AA473*VLOOKUP(H473,BUFFERS_BY_TYPE,2,FALSE)))) +
   (IF(J473="Yes", 0, IF(H473="-",AA473,AA473+AA473*VLOOKUP(H473,BUFFERS_BY_TYPE,2,FALSE))))*VLOOKUP($S$5, SALES_CALL_SCALE_ARRAY, 2,FALSE),0.25)</f>
        <v>23</v>
      </c>
      <c r="T473" s="158"/>
      <c r="U473" s="21">
        <v>0.15</v>
      </c>
      <c r="V473" s="21">
        <v>0.5</v>
      </c>
      <c r="W473" s="21">
        <v>0.35</v>
      </c>
      <c r="X473" s="156">
        <v>0.15</v>
      </c>
      <c r="Y473" s="157">
        <f>CEILING((IF(P473=AS_DEV_EFFORT, DEV_EFFORT*Q473%,
                           IF(P473=AS_DURATION_EFFORT, (MANUAL_DURATION*5)*Q473%,
                                    (IF(Q473&lt;=1,X473,
                                          IF(SUM(U473:W473)=0,(Q473*X473),
                                               (((Q473*U473)*(X473+(X473*EXTRA_FOR_H)))+
                                               ((Q473*V473)*X473)+
                                               ((Q473*W473)*(X473-(X473*LESS_FOR_L)))
                                    )*IF(R473=0,1,R473))))))+Z473), 0.25)</f>
        <v>23</v>
      </c>
      <c r="Z473" s="22">
        <v>0.224</v>
      </c>
      <c r="AA473" s="157">
        <f>Y473+Y473*VLOOKUP(I473,EXTRAS_ARRAY,2,FALSE)</f>
        <v>23</v>
      </c>
      <c r="AB473" s="20"/>
      <c r="AC473" s="34"/>
      <c r="AD473" s="23" t="str">
        <f>IF(J473&lt;&gt;"Yes",
IF(S473&lt;=0,"Error: Effort value is not defined or is invalid.",
IF(AND(SUM(U473:W473)&gt;0,SUM(U473:W473)&lt;&gt;1),"Error: Complexity % distribution should sum to 100%.",
IF(AND(P473=AS_DEV_EFFORT,X473&lt;&gt;0),"Error: PDs should not be defined when defining as dev effort %.",
IF(AND(P473=AS_DURATION_EFFORT,X473&lt;&gt;0),"Error: PDs should not be defined when defining as duration effort %.","")))))</f>
        <v/>
      </c>
    </row>
    <row r="474" spans="1:30" ht="101.5" hidden="1" outlineLevel="2" x14ac:dyDescent="0.35">
      <c r="A474" s="86" t="s">
        <v>0</v>
      </c>
      <c r="B474" s="18"/>
      <c r="C474" s="78"/>
      <c r="D474" s="78"/>
      <c r="E474" s="78"/>
      <c r="F474" s="79"/>
      <c r="G474" s="19" t="s">
        <v>23</v>
      </c>
      <c r="H474" s="19" t="s">
        <v>23</v>
      </c>
      <c r="I474" s="20" t="s">
        <v>23</v>
      </c>
      <c r="J474" s="19" t="s">
        <v>6</v>
      </c>
      <c r="K474" s="35" t="s">
        <v>1155</v>
      </c>
      <c r="L474" s="19"/>
      <c r="M474" s="263">
        <f ca="1">IFERROR(OFFSET(M474,-1,,1,1)+0.1,OFFSET(M474,-1,-1,1,1)&amp;".1")</f>
        <v>2.3</v>
      </c>
      <c r="N474" s="20" t="s">
        <v>933</v>
      </c>
      <c r="O474" s="20" t="s">
        <v>1156</v>
      </c>
      <c r="P474" s="20">
        <f>Total_Use_Cases * R474 * 50%</f>
        <v>76.25</v>
      </c>
      <c r="Q474" s="134">
        <f>Total_Use_Cases</f>
        <v>30.5</v>
      </c>
      <c r="R474" s="127">
        <v>5</v>
      </c>
      <c r="S474" s="157">
        <f>CEILING((IF(J474="Yes", 0, IF(H474="-",AA474,AA474+AA474*VLOOKUP(H474,BUFFERS_BY_TYPE,2,FALSE)))) +
   (IF(J474="Yes", 0, IF(H474="-",AA474,AA474+AA474*VLOOKUP(H474,BUFFERS_BY_TYPE,2,FALSE))))*VLOOKUP($S$5, SALES_CALL_SCALE_ARRAY, 2,FALSE),0.25)</f>
        <v>0</v>
      </c>
      <c r="T474" s="158"/>
      <c r="U474" s="21">
        <v>0.15</v>
      </c>
      <c r="V474" s="21">
        <v>0.5</v>
      </c>
      <c r="W474" s="21">
        <v>0.35</v>
      </c>
      <c r="X474" s="156">
        <v>0.1</v>
      </c>
      <c r="Y474" s="157">
        <f>CEILING((IF(P474=AS_DEV_EFFORT, DEV_EFFORT*Q474%,
                           IF(P474=AS_DURATION_EFFORT, (MANUAL_DURATION*5)*Q474%,
                                    (IF(Q474&lt;=1,X474,
                                          IF(SUM(U474:W474)=0,(Q474*X474),
                                               (((Q474*U474)*(X474+(X474*EXTRA_FOR_H)))+
                                               ((Q474*V474)*X474)+
                                               ((Q474*W474)*(X474-(X474*LESS_FOR_L)))
                                    )*IF(R474=0,1,R474))))))+Z474), 0.25)</f>
        <v>12.25</v>
      </c>
      <c r="Z474" s="22">
        <v>-2.851</v>
      </c>
      <c r="AA474" s="157">
        <f>Y474+Y474*VLOOKUP(I474,EXTRAS_ARRAY,2,FALSE)</f>
        <v>12.25</v>
      </c>
      <c r="AB474" s="20"/>
      <c r="AC474" s="34"/>
      <c r="AD474" s="23" t="b">
        <f>IF(J474&lt;&gt;"Yes",
IF(S474&lt;=0,"Error: Effort value is not defined or is invalid.",
IF(AND(SUM(U474:W474)&gt;0,SUM(U474:W474)&lt;&gt;1),"Error: Complexity % distribution should sum to 100%.",
IF(AND(P474=AS_DEV_EFFORT,X474&lt;&gt;0),"Error: PDs should not be defined when defining as dev effort %.",
IF(AND(P474=AS_DURATION_EFFORT,X474&lt;&gt;0),"Error: PDs should not be defined when defining as duration effort %.","")))))</f>
        <v>0</v>
      </c>
    </row>
    <row r="475" spans="1:30" ht="72.5" hidden="1" outlineLevel="2" x14ac:dyDescent="0.35">
      <c r="A475" s="86" t="s">
        <v>0</v>
      </c>
      <c r="B475" s="18"/>
      <c r="C475" s="78"/>
      <c r="D475" s="78"/>
      <c r="E475" s="78"/>
      <c r="F475" s="79"/>
      <c r="G475" s="19" t="s">
        <v>23</v>
      </c>
      <c r="H475" s="19" t="s">
        <v>23</v>
      </c>
      <c r="I475" s="20" t="s">
        <v>23</v>
      </c>
      <c r="J475" s="19" t="s">
        <v>23</v>
      </c>
      <c r="K475" s="35"/>
      <c r="L475" s="19"/>
      <c r="M475" s="263">
        <f ca="1">IFERROR(OFFSET(M475,-1,,1,1)+0.1,OFFSET(M475,-1,-1,1,1)&amp;".1")</f>
        <v>2.4</v>
      </c>
      <c r="N475" s="20" t="s">
        <v>934</v>
      </c>
      <c r="O475" s="20"/>
      <c r="P475" s="20"/>
      <c r="Q475" s="134"/>
      <c r="R475" s="127"/>
      <c r="S475" s="157">
        <f>CEILING((IF(J475="Yes", 0, IF(H475="-",AA475,AA475+AA475*VLOOKUP(H475,BUFFERS_BY_TYPE,2,FALSE)))) +
   (IF(J475="Yes", 0, IF(H475="-",AA475,AA475+AA475*VLOOKUP(H475,BUFFERS_BY_TYPE,2,FALSE))))*VLOOKUP($S$5, SALES_CALL_SCALE_ARRAY, 2,FALSE),0.25)</f>
        <v>5</v>
      </c>
      <c r="T475" s="158"/>
      <c r="U475" s="21">
        <v>0</v>
      </c>
      <c r="V475" s="21">
        <v>1</v>
      </c>
      <c r="W475" s="21">
        <v>0</v>
      </c>
      <c r="X475" s="156">
        <v>5</v>
      </c>
      <c r="Y475" s="157">
        <f>CEILING((IF(P475=AS_DEV_EFFORT, DEV_EFFORT*Q475%,
                           IF(P475=AS_DURATION_EFFORT, (MANUAL_DURATION*5)*Q475%,
                                    (IF(Q475&lt;=1,X475,
                                          IF(SUM(U475:W475)=0,(Q475*X475),
                                               (((Q475*U475)*(X475+(X475*EXTRA_FOR_H)))+
                                               ((Q475*V475)*X475)+
                                               ((Q475*W475)*(X475-(X475*LESS_FOR_L)))
                                    )*IF(R475=0,1,R475))))))+Z475), 0.25)</f>
        <v>5</v>
      </c>
      <c r="Z475" s="22"/>
      <c r="AA475" s="157">
        <f>Y475+Y475*VLOOKUP(I475,EXTRAS_ARRAY,2,FALSE)</f>
        <v>5</v>
      </c>
      <c r="AB475" s="20"/>
      <c r="AC475" s="34"/>
      <c r="AD475" s="23" t="str">
        <f>IF(J475&lt;&gt;"Yes",
IF(S475&lt;=0,"Error: Effort value is not defined or is invalid.",
IF(AND(SUM(U475:W475)&gt;0,SUM(U475:W475)&lt;&gt;1),"Error: Complexity % distribution should sum to 100%.",
IF(AND(P475=AS_DEV_EFFORT,X475&lt;&gt;0),"Error: PDs should not be defined when defining as dev effort %.",
IF(AND(P475=AS_DURATION_EFFORT,X475&lt;&gt;0),"Error: PDs should not be defined when defining as duration effort %.","")))))</f>
        <v/>
      </c>
    </row>
    <row r="476" spans="1:30" s="9" customFormat="1" ht="7.5" hidden="1" customHeight="1" outlineLevel="2" x14ac:dyDescent="0.35">
      <c r="A476" s="86" t="s">
        <v>132</v>
      </c>
      <c r="B476" s="15"/>
      <c r="C476" s="72"/>
      <c r="D476" s="72"/>
      <c r="E476" s="72"/>
      <c r="F476" s="72"/>
      <c r="M476" s="252"/>
      <c r="T476" s="15"/>
      <c r="X476" s="15"/>
      <c r="AB476" s="10"/>
      <c r="AC476" s="10"/>
      <c r="AD476" s="10"/>
    </row>
    <row r="477" spans="1:30" s="14" customFormat="1" ht="15.5" outlineLevel="1" collapsed="1" x14ac:dyDescent="0.35">
      <c r="A477" s="86" t="s">
        <v>100</v>
      </c>
      <c r="B477" s="18"/>
      <c r="C477" s="77"/>
      <c r="D477" s="77"/>
      <c r="E477" s="77"/>
      <c r="F477" s="76"/>
      <c r="G477" s="29"/>
      <c r="H477" s="29"/>
      <c r="I477" s="29"/>
      <c r="J477" s="29"/>
      <c r="K477" s="29"/>
      <c r="L477" s="17">
        <f ca="1">LOOKUP(1000,INDIRECT("L1:"&amp;CELL("address",INDIRECT("R[-1]C",FALSE))))+1</f>
        <v>3</v>
      </c>
      <c r="M477" s="296" t="s">
        <v>455</v>
      </c>
      <c r="N477" s="296"/>
      <c r="O477" s="5"/>
      <c r="P477" s="30"/>
      <c r="Q477" s="30"/>
      <c r="R477" s="30"/>
      <c r="S477" s="30"/>
      <c r="T477" s="155">
        <f>IF($S$6="Exclude", SUMIFS(S478:S481, J478:J481, "&lt;&gt;Yes", G478:G481, "&lt;&gt;Yes"), SUMIFS(S478:S481, J478:J481, "&lt;&gt;Yes"))</f>
        <v>36.5</v>
      </c>
      <c r="U477" s="30"/>
      <c r="V477" s="30"/>
      <c r="W477" s="30"/>
      <c r="X477" s="31"/>
      <c r="Y477" s="32"/>
      <c r="Z477" s="32"/>
      <c r="AA477" s="32"/>
      <c r="AB477" s="219"/>
      <c r="AC477" s="33"/>
      <c r="AD477" s="23" t="str">
        <f>IF(M477="", "Error: Task name cannot be empty.", "")</f>
        <v/>
      </c>
    </row>
    <row r="478" spans="1:30" s="12" customFormat="1" ht="1.5" hidden="1" customHeight="1" outlineLevel="2" x14ac:dyDescent="0.35">
      <c r="A478" s="86" t="s">
        <v>101</v>
      </c>
      <c r="B478" s="18"/>
      <c r="C478" s="77"/>
      <c r="D478" s="77"/>
      <c r="E478" s="77"/>
      <c r="F478" s="76"/>
      <c r="G478" s="29"/>
      <c r="H478" s="29"/>
      <c r="I478" s="29"/>
      <c r="J478" s="29"/>
      <c r="K478" s="29"/>
      <c r="L478" s="163">
        <f ca="1">L477</f>
        <v>3</v>
      </c>
      <c r="M478" s="164" t="s">
        <v>105</v>
      </c>
      <c r="N478" s="161"/>
      <c r="O478" s="162"/>
      <c r="P478" s="30"/>
      <c r="Q478" s="30"/>
      <c r="R478" s="30"/>
      <c r="S478" s="30"/>
      <c r="T478" s="155"/>
      <c r="U478" s="30"/>
      <c r="V478" s="30"/>
      <c r="W478" s="30"/>
      <c r="X478" s="31"/>
      <c r="Y478" s="32"/>
      <c r="Z478" s="32"/>
      <c r="AA478" s="32"/>
      <c r="AB478" s="33"/>
      <c r="AC478" s="33"/>
      <c r="AD478" s="23"/>
    </row>
    <row r="479" spans="1:30" ht="72.5" hidden="1" outlineLevel="2" x14ac:dyDescent="0.35">
      <c r="A479" s="86" t="s">
        <v>0</v>
      </c>
      <c r="B479" s="18"/>
      <c r="C479" s="78"/>
      <c r="D479" s="78"/>
      <c r="E479" s="78"/>
      <c r="F479" s="79"/>
      <c r="G479" s="19" t="s">
        <v>23</v>
      </c>
      <c r="H479" s="19" t="s">
        <v>23</v>
      </c>
      <c r="I479" s="20" t="s">
        <v>23</v>
      </c>
      <c r="J479" s="19" t="s">
        <v>23</v>
      </c>
      <c r="K479" s="35"/>
      <c r="L479" s="19"/>
      <c r="M479" s="263" t="str">
        <f ca="1">IFERROR(OFFSET(M479,-1,,1,1)+0.1,OFFSET(M479,-1,-1,1,1)&amp;".1")</f>
        <v>3.1</v>
      </c>
      <c r="N479" s="20" t="s">
        <v>935</v>
      </c>
      <c r="O479" s="20"/>
      <c r="P479" s="20"/>
      <c r="Q479" s="134"/>
      <c r="R479" s="127"/>
      <c r="S479" s="157">
        <f>CEILING((IF(J479="Yes", 0, IF(H479="-",AA479,AA479+AA479*VLOOKUP(H479,BUFFERS_BY_TYPE,2,FALSE)))) +
   (IF(J479="Yes", 0, IF(H479="-",AA479,AA479+AA479*VLOOKUP(H479,BUFFERS_BY_TYPE,2,FALSE))))*VLOOKUP($S$5, SALES_CALL_SCALE_ARRAY, 2,FALSE),0.25)</f>
        <v>8</v>
      </c>
      <c r="T479" s="158"/>
      <c r="U479" s="21">
        <v>0</v>
      </c>
      <c r="V479" s="21">
        <v>1</v>
      </c>
      <c r="W479" s="21">
        <v>0</v>
      </c>
      <c r="X479" s="156">
        <v>8</v>
      </c>
      <c r="Y479" s="157">
        <f>CEILING((IF(P479=AS_DEV_EFFORT, DEV_EFFORT*Q479%,
                           IF(P479=AS_DURATION_EFFORT, (MANUAL_DURATION*5)*Q479%,
                                    (IF(Q479&lt;=1,X479,
                                          IF(SUM(U479:W479)=0,(Q479*X479),
                                               (((Q479*U479)*(X479+(X479*EXTRA_FOR_H)))+
                                               ((Q479*V479)*X479)+
                                               ((Q479*W479)*(X479-(X479*LESS_FOR_L)))
                                    )*IF(R479=0,1,R479))))))+Z479), 0.25)</f>
        <v>8</v>
      </c>
      <c r="Z479" s="22"/>
      <c r="AA479" s="157">
        <f>Y479+Y479*VLOOKUP(I479,EXTRAS_ARRAY,2,FALSE)</f>
        <v>8</v>
      </c>
      <c r="AB479" s="20"/>
      <c r="AC479" s="34"/>
      <c r="AD479" s="23" t="str">
        <f>IF(J479&lt;&gt;"Yes",
IF(S479&lt;=0,"Error: Effort value is not defined or is invalid.",
IF(AND(SUM(U479:W479)&gt;0,SUM(U479:W479)&lt;&gt;1),"Error: Complexity % distribution should sum to 100%.",
IF(AND(P479=AS_DEV_EFFORT,X479&lt;&gt;0),"Error: PDs should not be defined when defining as dev effort %.",
IF(AND(P479=AS_DURATION_EFFORT,X479&lt;&gt;0),"Error: PDs should not be defined when defining as duration effort %.","")))))</f>
        <v/>
      </c>
    </row>
    <row r="480" spans="1:30" ht="116" hidden="1" outlineLevel="2" x14ac:dyDescent="0.35">
      <c r="A480" s="86" t="s">
        <v>0</v>
      </c>
      <c r="B480" s="18"/>
      <c r="C480" s="78"/>
      <c r="D480" s="78"/>
      <c r="E480" s="78"/>
      <c r="F480" s="79"/>
      <c r="G480" s="19" t="s">
        <v>23</v>
      </c>
      <c r="H480" s="19" t="s">
        <v>23</v>
      </c>
      <c r="I480" s="20" t="s">
        <v>23</v>
      </c>
      <c r="J480" s="19" t="s">
        <v>23</v>
      </c>
      <c r="K480" s="35" t="s">
        <v>487</v>
      </c>
      <c r="L480" s="19"/>
      <c r="M480" s="263">
        <f ca="1">IFERROR(OFFSET(M480,-1,,1,1)+0.1,OFFSET(M480,-1,-1,1,1)&amp;".1")</f>
        <v>3.2</v>
      </c>
      <c r="N480" s="20" t="s">
        <v>936</v>
      </c>
      <c r="O480" s="20" t="s">
        <v>486</v>
      </c>
      <c r="P480" s="251">
        <v>0.75</v>
      </c>
      <c r="Q480" s="134">
        <f>Total_Test_Cases * P480</f>
        <v>114.375</v>
      </c>
      <c r="R480" s="127"/>
      <c r="S480" s="157">
        <f>CEILING((IF(J480="Yes", 0, IF(H480="-",AA480,AA480+AA480*VLOOKUP(H480,BUFFERS_BY_TYPE,2,FALSE)))) +
   (IF(J480="Yes", 0, IF(H480="-",AA480,AA480+AA480*VLOOKUP(H480,BUFFERS_BY_TYPE,2,FALSE))))*VLOOKUP($S$5, SALES_CALL_SCALE_ARRAY, 2,FALSE),0.25)</f>
        <v>28.5</v>
      </c>
      <c r="T480" s="158"/>
      <c r="U480" s="21">
        <v>0.2</v>
      </c>
      <c r="V480" s="21">
        <v>0.6</v>
      </c>
      <c r="W480" s="21">
        <v>0.2</v>
      </c>
      <c r="X480" s="156">
        <v>0.25</v>
      </c>
      <c r="Y480" s="157">
        <f>CEILING((IF(P480=AS_DEV_EFFORT, DEV_EFFORT*Q480%,
                           IF(P480=AS_DURATION_EFFORT, (MANUAL_DURATION*5)*Q480%,
                                    (IF(Q480&lt;=1,X480,
                                          IF(SUM(U480:W480)=0,(Q480*X480),
                                               (((Q480*U480)*(X480+(X480*EXTRA_FOR_H)))+
                                               ((Q480*V480)*X480)+
                                               ((Q480*W480)*(X480-(X480*LESS_FOR_L)))
                                    )*IF(R480=0,1,R480))))))+Z480), 0.25)</f>
        <v>28.5</v>
      </c>
      <c r="Z480" s="22">
        <v>-1.6259999999999999</v>
      </c>
      <c r="AA480" s="157">
        <f>Y480+Y480*VLOOKUP(I480,EXTRAS_ARRAY,2,FALSE)</f>
        <v>28.5</v>
      </c>
      <c r="AB480" s="20"/>
      <c r="AC480" s="34"/>
      <c r="AD480" s="23" t="str">
        <f>IF(J480&lt;&gt;"Yes",
IF(S480&lt;=0,"Error: Effort value is not defined or is invalid.",
IF(AND(SUM(U480:W480)&gt;0,SUM(U480:W480)&lt;&gt;1),"Error: Complexity % distribution should sum to 100%.",
IF(AND(P480=AS_DEV_EFFORT,X480&lt;&gt;0),"Error: PDs should not be defined when defining as dev effort %.",
IF(AND(P480=AS_DURATION_EFFORT,X480&lt;&gt;0),"Error: PDs should not be defined when defining as duration effort %.","")))))</f>
        <v/>
      </c>
    </row>
    <row r="481" spans="1:30" s="9" customFormat="1" ht="7.5" hidden="1" customHeight="1" outlineLevel="2" x14ac:dyDescent="0.35">
      <c r="A481" s="86" t="s">
        <v>132</v>
      </c>
      <c r="B481" s="15"/>
      <c r="C481" s="72"/>
      <c r="D481" s="72"/>
      <c r="E481" s="72"/>
      <c r="F481" s="72"/>
      <c r="M481" s="252"/>
      <c r="T481" s="15"/>
      <c r="X481" s="15"/>
      <c r="AB481" s="10"/>
      <c r="AC481" s="10"/>
      <c r="AD481" s="10"/>
    </row>
    <row r="482" spans="1:30" s="14" customFormat="1" ht="15.5" outlineLevel="1" collapsed="1" x14ac:dyDescent="0.35">
      <c r="A482" s="86" t="s">
        <v>100</v>
      </c>
      <c r="B482" s="18"/>
      <c r="C482" s="77"/>
      <c r="D482" s="77"/>
      <c r="E482" s="77"/>
      <c r="F482" s="76"/>
      <c r="G482" s="29"/>
      <c r="H482" s="29"/>
      <c r="I482" s="29"/>
      <c r="J482" s="29"/>
      <c r="K482" s="29"/>
      <c r="L482" s="17">
        <f ca="1">LOOKUP(1000,INDIRECT("L1:"&amp;CELL("address",INDIRECT("R[-1]C",FALSE))))+1</f>
        <v>4</v>
      </c>
      <c r="M482" s="296" t="s">
        <v>456</v>
      </c>
      <c r="N482" s="296"/>
      <c r="O482" s="5"/>
      <c r="P482" s="30"/>
      <c r="Q482" s="30"/>
      <c r="R482" s="30"/>
      <c r="S482" s="30"/>
      <c r="T482" s="155">
        <f>IF($S$6="Exclude", SUMIFS(S483:S488, J483:J488, "&lt;&gt;Yes", G483:G488, "&lt;&gt;Yes"), SUMIFS(S483:S488, J483:J488, "&lt;&gt;Yes"))</f>
        <v>20</v>
      </c>
      <c r="U482" s="30"/>
      <c r="V482" s="30"/>
      <c r="W482" s="30"/>
      <c r="X482" s="31"/>
      <c r="Y482" s="32"/>
      <c r="Z482" s="32"/>
      <c r="AA482" s="32"/>
      <c r="AB482" s="219"/>
      <c r="AC482" s="33"/>
      <c r="AD482" s="23" t="str">
        <f>IF(M482="", "Error: Task name cannot be empty.", "")</f>
        <v/>
      </c>
    </row>
    <row r="483" spans="1:30" s="12" customFormat="1" ht="1.5" hidden="1" customHeight="1" outlineLevel="2" x14ac:dyDescent="0.35">
      <c r="A483" s="86" t="s">
        <v>101</v>
      </c>
      <c r="B483" s="18"/>
      <c r="C483" s="77"/>
      <c r="D483" s="77"/>
      <c r="E483" s="77"/>
      <c r="F483" s="76"/>
      <c r="G483" s="29"/>
      <c r="H483" s="29"/>
      <c r="I483" s="29"/>
      <c r="J483" s="29"/>
      <c r="K483" s="29"/>
      <c r="L483" s="163">
        <f ca="1">L482</f>
        <v>4</v>
      </c>
      <c r="M483" s="164" t="s">
        <v>105</v>
      </c>
      <c r="N483" s="161"/>
      <c r="O483" s="162"/>
      <c r="P483" s="30"/>
      <c r="Q483" s="30"/>
      <c r="R483" s="30"/>
      <c r="S483" s="30"/>
      <c r="T483" s="155"/>
      <c r="U483" s="30"/>
      <c r="V483" s="30"/>
      <c r="W483" s="30"/>
      <c r="X483" s="31"/>
      <c r="Y483" s="32"/>
      <c r="Z483" s="32"/>
      <c r="AA483" s="32"/>
      <c r="AB483" s="33"/>
      <c r="AC483" s="33"/>
      <c r="AD483" s="23"/>
    </row>
    <row r="484" spans="1:30" ht="58" hidden="1" outlineLevel="2" x14ac:dyDescent="0.35">
      <c r="A484" s="86" t="s">
        <v>0</v>
      </c>
      <c r="B484" s="18"/>
      <c r="C484" s="78"/>
      <c r="D484" s="78"/>
      <c r="E484" s="78"/>
      <c r="F484" s="79"/>
      <c r="G484" s="19" t="s">
        <v>23</v>
      </c>
      <c r="H484" s="19" t="s">
        <v>23</v>
      </c>
      <c r="I484" s="20" t="s">
        <v>23</v>
      </c>
      <c r="J484" s="19" t="s">
        <v>23</v>
      </c>
      <c r="K484" s="35"/>
      <c r="L484" s="19"/>
      <c r="M484" s="263" t="str">
        <f ca="1">IFERROR(OFFSET(M484,-1,,1,1)+0.1,OFFSET(M484,-1,-1,1,1)&amp;".1")</f>
        <v>4.1</v>
      </c>
      <c r="N484" s="20" t="s">
        <v>937</v>
      </c>
      <c r="O484" s="20"/>
      <c r="P484" s="20" t="s">
        <v>457</v>
      </c>
      <c r="Q484" s="134"/>
      <c r="R484" s="127"/>
      <c r="S484" s="157">
        <f>CEILING((IF(J484="Yes", 0, IF(H484="-",AA484,AA484+AA484*VLOOKUP(H484,BUFFERS_BY_TYPE,2,FALSE)))) +
   (IF(J484="Yes", 0, IF(H484="-",AA484,AA484+AA484*VLOOKUP(H484,BUFFERS_BY_TYPE,2,FALSE))))*VLOOKUP($S$5, SALES_CALL_SCALE_ARRAY, 2,FALSE),0.25)</f>
        <v>5</v>
      </c>
      <c r="T484" s="158"/>
      <c r="U484" s="21">
        <v>0</v>
      </c>
      <c r="V484" s="21">
        <v>1</v>
      </c>
      <c r="W484" s="21">
        <v>0</v>
      </c>
      <c r="X484" s="156">
        <v>5</v>
      </c>
      <c r="Y484" s="157">
        <f>CEILING((IF(P484=AS_DEV_EFFORT, DEV_EFFORT*Q484%,
                           IF(P484=AS_DURATION_EFFORT, (MANUAL_DURATION*5)*Q484%,
                                    (IF(Q484&lt;=1,X484,
                                          IF(SUM(U484:W484)=0,(Q484*X484),
                                               (((Q484*U484)*(X484+(X484*EXTRA_FOR_H)))+
                                               ((Q484*V484)*X484)+
                                               ((Q484*W484)*(X484-(X484*LESS_FOR_L)))
                                    )*IF(R484=0,1,R484))))))+Z484), 0.25)</f>
        <v>5</v>
      </c>
      <c r="Z484" s="22"/>
      <c r="AA484" s="157">
        <f>Y484+Y484*VLOOKUP(I484,EXTRAS_ARRAY,2,FALSE)</f>
        <v>5</v>
      </c>
      <c r="AB484" s="20"/>
      <c r="AC484" s="34"/>
      <c r="AD484" s="23" t="str">
        <f>IF(J484&lt;&gt;"Yes",
IF(S484&lt;=0,"Error: Effort value is not defined or is invalid.",
IF(AND(SUM(U484:W484)&gt;0,SUM(U484:W484)&lt;&gt;1),"Error: Complexity % distribution should sum to 100%.",
IF(AND(P484=AS_DEV_EFFORT,X484&lt;&gt;0),"Error: PDs should not be defined when defining as dev effort %.",
IF(AND(P484=AS_DURATION_EFFORT,X484&lt;&gt;0),"Error: PDs should not be defined when defining as duration effort %.","")))))</f>
        <v/>
      </c>
    </row>
    <row r="485" spans="1:30" ht="58" hidden="1" outlineLevel="2" x14ac:dyDescent="0.35">
      <c r="A485" s="86" t="s">
        <v>0</v>
      </c>
      <c r="B485" s="18"/>
      <c r="C485" s="78"/>
      <c r="D485" s="78"/>
      <c r="E485" s="78"/>
      <c r="F485" s="79"/>
      <c r="G485" s="19" t="s">
        <v>23</v>
      </c>
      <c r="H485" s="19" t="s">
        <v>23</v>
      </c>
      <c r="I485" s="20" t="s">
        <v>23</v>
      </c>
      <c r="J485" s="19" t="s">
        <v>23</v>
      </c>
      <c r="K485" s="35"/>
      <c r="L485" s="19"/>
      <c r="M485" s="263">
        <f ca="1">IFERROR(OFFSET(M485,-1,,1,1)+0.1,OFFSET(M485,-1,-1,1,1)&amp;".1")</f>
        <v>4.2</v>
      </c>
      <c r="N485" s="20" t="s">
        <v>938</v>
      </c>
      <c r="O485" s="20"/>
      <c r="P485" s="20" t="s">
        <v>454</v>
      </c>
      <c r="Q485" s="134">
        <f>Total_Test_Cases * 15%</f>
        <v>22.875</v>
      </c>
      <c r="R485" s="127"/>
      <c r="S485" s="157">
        <f>CEILING((IF(J485="Yes", 0, IF(H485="-",AA485,AA485+AA485*VLOOKUP(H485,BUFFERS_BY_TYPE,2,FALSE)))) +
   (IF(J485="Yes", 0, IF(H485="-",AA485,AA485+AA485*VLOOKUP(H485,BUFFERS_BY_TYPE,2,FALSE))))*VLOOKUP($S$5, SALES_CALL_SCALE_ARRAY, 2,FALSE),0.25)</f>
        <v>5.5</v>
      </c>
      <c r="T485" s="158"/>
      <c r="U485" s="21">
        <v>0</v>
      </c>
      <c r="V485" s="21">
        <v>1</v>
      </c>
      <c r="W485" s="21">
        <v>0</v>
      </c>
      <c r="X485" s="156">
        <v>0.3</v>
      </c>
      <c r="Y485" s="157">
        <f>CEILING((IF(P485=AS_DEV_EFFORT, DEV_EFFORT*Q485%,
                           IF(P485=AS_DURATION_EFFORT, (MANUAL_DURATION*5)*Q485%,
                                    (IF(Q485&lt;=1,X485,
                                          IF(SUM(U485:W485)=0,(Q485*X485),
                                               (((Q485*U485)*(X485+(X485*EXTRA_FOR_H)))+
                                               ((Q485*V485)*X485)+
                                               ((Q485*W485)*(X485-(X485*LESS_FOR_L)))
                                    )*IF(R485=0,1,R485))))))+Z485), 0.25)</f>
        <v>5.5</v>
      </c>
      <c r="Z485" s="22">
        <v>-1.401</v>
      </c>
      <c r="AA485" s="157">
        <f>Y485+Y485*VLOOKUP(I485,EXTRAS_ARRAY,2,FALSE)</f>
        <v>5.5</v>
      </c>
      <c r="AB485" s="20" t="s">
        <v>488</v>
      </c>
      <c r="AC485" s="34"/>
      <c r="AD485" s="23" t="str">
        <f>IF(J485&lt;&gt;"Yes",
IF(S485&lt;=0,"Error: Effort value is not defined or is invalid.",
IF(AND(SUM(U485:W485)&gt;0,SUM(U485:W485)&lt;&gt;1),"Error: Complexity % distribution should sum to 100%.",
IF(AND(P485=AS_DEV_EFFORT,X485&lt;&gt;0),"Error: PDs should not be defined when defining as dev effort %.",
IF(AND(P485=AS_DURATION_EFFORT,X485&lt;&gt;0),"Error: PDs should not be defined when defining as duration effort %.","")))))</f>
        <v/>
      </c>
    </row>
    <row r="486" spans="1:30" ht="72.5" hidden="1" outlineLevel="2" x14ac:dyDescent="0.35">
      <c r="A486" s="86" t="s">
        <v>0</v>
      </c>
      <c r="B486" s="18"/>
      <c r="C486" s="78"/>
      <c r="D486" s="78"/>
      <c r="E486" s="78"/>
      <c r="F486" s="79"/>
      <c r="G486" s="19" t="s">
        <v>23</v>
      </c>
      <c r="H486" s="19" t="s">
        <v>23</v>
      </c>
      <c r="I486" s="20" t="s">
        <v>23</v>
      </c>
      <c r="J486" s="19" t="s">
        <v>23</v>
      </c>
      <c r="K486" s="35"/>
      <c r="L486" s="19"/>
      <c r="M486" s="263">
        <f ca="1">IFERROR(OFFSET(M486,-1,,1,1)+0.1,OFFSET(M486,-1,-1,1,1)&amp;".1")</f>
        <v>4.3</v>
      </c>
      <c r="N486" s="20" t="s">
        <v>939</v>
      </c>
      <c r="O486" s="20"/>
      <c r="P486" s="20" t="s">
        <v>454</v>
      </c>
      <c r="Q486" s="134">
        <f>Total_Test_Cases * 15%</f>
        <v>22.875</v>
      </c>
      <c r="R486" s="127">
        <v>3</v>
      </c>
      <c r="S486" s="157">
        <f>CEILING((IF(J486="Yes", 0, IF(H486="-",AA486,AA486+AA486*VLOOKUP(H486,BUFFERS_BY_TYPE,2,FALSE)))) +
   (IF(J486="Yes", 0, IF(H486="-",AA486,AA486+AA486*VLOOKUP(H486,BUFFERS_BY_TYPE,2,FALSE))))*VLOOKUP($S$5, SALES_CALL_SCALE_ARRAY, 2,FALSE),0.25)</f>
        <v>5.5</v>
      </c>
      <c r="T486" s="158"/>
      <c r="U486" s="21">
        <v>0</v>
      </c>
      <c r="V486" s="21">
        <v>1</v>
      </c>
      <c r="W486" s="21">
        <v>0</v>
      </c>
      <c r="X486" s="156">
        <v>0.1</v>
      </c>
      <c r="Y486" s="157">
        <f>CEILING((IF(P486=AS_DEV_EFFORT, DEV_EFFORT*Q486%,
                           IF(P486=AS_DURATION_EFFORT, (MANUAL_DURATION*5)*Q486%,
                                    (IF(Q486&lt;=1,X486,
                                          IF(SUM(U486:W486)=0,(Q486*X486),
                                               (((Q486*U486)*(X486+(X486*EXTRA_FOR_H)))+
                                               ((Q486*V486)*X486)+
                                               ((Q486*W486)*(X486-(X486*LESS_FOR_L)))
                                    )*IF(R486=0,1,R486))))))+Z486), 0.25)</f>
        <v>5.5</v>
      </c>
      <c r="Z486" s="22">
        <v>-1.401</v>
      </c>
      <c r="AA486" s="157">
        <f>Y486+Y486*VLOOKUP(I486,EXTRAS_ARRAY,2,FALSE)</f>
        <v>5.5</v>
      </c>
      <c r="AB486" s="20" t="s">
        <v>1279</v>
      </c>
      <c r="AC486" s="34"/>
      <c r="AD486" s="23" t="str">
        <f>IF(J486&lt;&gt;"Yes",
IF(S486&lt;=0,"Error: Effort value is not defined or is invalid.",
IF(AND(SUM(U486:W486)&gt;0,SUM(U486:W486)&lt;&gt;1),"Error: Complexity % distribution should sum to 100%.",
IF(AND(P486=AS_DEV_EFFORT,X486&lt;&gt;0),"Error: PDs should not be defined when defining as dev effort %.",
IF(AND(P486=AS_DURATION_EFFORT,X486&lt;&gt;0),"Error: PDs should not be defined when defining as duration effort %.","")))))</f>
        <v/>
      </c>
    </row>
    <row r="487" spans="1:30" ht="72.5" hidden="1" outlineLevel="2" x14ac:dyDescent="0.35">
      <c r="A487" s="86" t="s">
        <v>0</v>
      </c>
      <c r="B487" s="18"/>
      <c r="C487" s="78"/>
      <c r="D487" s="78"/>
      <c r="E487" s="78"/>
      <c r="F487" s="79"/>
      <c r="G487" s="19" t="s">
        <v>23</v>
      </c>
      <c r="H487" s="19" t="s">
        <v>23</v>
      </c>
      <c r="I487" s="20" t="s">
        <v>23</v>
      </c>
      <c r="J487" s="19" t="s">
        <v>23</v>
      </c>
      <c r="K487" s="35"/>
      <c r="L487" s="19"/>
      <c r="M487" s="263">
        <f ca="1">IFERROR(OFFSET(M487,-1,,1,1)+0.1,OFFSET(M487,-1,-1,1,1)&amp;".1")</f>
        <v>4.4</v>
      </c>
      <c r="N487" s="20" t="s">
        <v>940</v>
      </c>
      <c r="O487" s="20"/>
      <c r="P487" s="20"/>
      <c r="Q487" s="134"/>
      <c r="R487" s="127"/>
      <c r="S487" s="157">
        <f>CEILING((IF(J487="Yes", 0, IF(H487="-",AA487,AA487+AA487*VLOOKUP(H487,BUFFERS_BY_TYPE,2,FALSE)))) +
   (IF(J487="Yes", 0, IF(H487="-",AA487,AA487+AA487*VLOOKUP(H487,BUFFERS_BY_TYPE,2,FALSE))))*VLOOKUP($S$5, SALES_CALL_SCALE_ARRAY, 2,FALSE),0.25)</f>
        <v>4</v>
      </c>
      <c r="T487" s="158"/>
      <c r="U487" s="21">
        <v>0</v>
      </c>
      <c r="V487" s="21">
        <v>1</v>
      </c>
      <c r="W487" s="21">
        <v>0</v>
      </c>
      <c r="X487" s="156">
        <v>4</v>
      </c>
      <c r="Y487" s="157">
        <f>CEILING((IF(P487=AS_DEV_EFFORT, DEV_EFFORT*Q487%,
                           IF(P487=AS_DURATION_EFFORT, (MANUAL_DURATION*5)*Q487%,
                                    (IF(Q487&lt;=1,X487,
                                          IF(SUM(U487:W487)=0,(Q487*X487),
                                               (((Q487*U487)*(X487+(X487*EXTRA_FOR_H)))+
                                               ((Q487*V487)*X487)+
                                               ((Q487*W487)*(X487-(X487*LESS_FOR_L)))
                                    )*IF(R487=0,1,R487))))))+Z487), 0.25)</f>
        <v>4</v>
      </c>
      <c r="Z487" s="22"/>
      <c r="AA487" s="157">
        <f>Y487+Y487*VLOOKUP(I487,EXTRAS_ARRAY,2,FALSE)</f>
        <v>4</v>
      </c>
      <c r="AB487" s="20"/>
      <c r="AC487" s="34"/>
      <c r="AD487" s="23" t="str">
        <f>IF(J487&lt;&gt;"Yes",
IF(S487&lt;=0,"Error: Effort value is not defined or is invalid.",
IF(AND(SUM(U487:W487)&gt;0,SUM(U487:W487)&lt;&gt;1),"Error: Complexity % distribution should sum to 100%.",
IF(AND(P487=AS_DEV_EFFORT,X487&lt;&gt;0),"Error: PDs should not be defined when defining as dev effort %.",
IF(AND(P487=AS_DURATION_EFFORT,X487&lt;&gt;0),"Error: PDs should not be defined when defining as duration effort %.","")))))</f>
        <v/>
      </c>
    </row>
    <row r="488" spans="1:30" s="9" customFormat="1" ht="7.5" hidden="1" customHeight="1" outlineLevel="2" x14ac:dyDescent="0.35">
      <c r="A488" s="86" t="s">
        <v>132</v>
      </c>
      <c r="B488" s="15"/>
      <c r="C488" s="72"/>
      <c r="D488" s="72"/>
      <c r="E488" s="72"/>
      <c r="F488" s="72"/>
      <c r="M488" s="252"/>
      <c r="T488" s="15"/>
      <c r="X488" s="15"/>
      <c r="AB488" s="10"/>
      <c r="AC488" s="10"/>
      <c r="AD488" s="10"/>
    </row>
    <row r="489" spans="1:30" s="14" customFormat="1" ht="15.5" outlineLevel="1" x14ac:dyDescent="0.35">
      <c r="A489" s="86" t="s">
        <v>100</v>
      </c>
      <c r="B489" s="18"/>
      <c r="C489" s="77"/>
      <c r="D489" s="77"/>
      <c r="E489" s="77"/>
      <c r="F489" s="76"/>
      <c r="G489" s="29"/>
      <c r="H489" s="29"/>
      <c r="I489" s="29"/>
      <c r="J489" s="29"/>
      <c r="K489" s="29"/>
      <c r="L489" s="17">
        <f ca="1">LOOKUP(1000,INDIRECT("L1:"&amp;CELL("address",INDIRECT("R[-1]C",FALSE))))+1</f>
        <v>5</v>
      </c>
      <c r="M489" s="296" t="s">
        <v>458</v>
      </c>
      <c r="N489" s="296"/>
      <c r="O489" s="5"/>
      <c r="P489" s="30"/>
      <c r="Q489" s="30"/>
      <c r="R489" s="30"/>
      <c r="S489" s="30"/>
      <c r="T489" s="155">
        <f>IF($S$6="Exclude", SUMIFS(S490:S498, J490:J498, "&lt;&gt;Yes", G490:G498, "&lt;&gt;Yes"), SUMIFS(S490:S498, J490:J498, "&lt;&gt;Yes"))</f>
        <v>19</v>
      </c>
      <c r="U489" s="30"/>
      <c r="V489" s="30"/>
      <c r="W489" s="30"/>
      <c r="X489" s="31"/>
      <c r="Y489" s="32"/>
      <c r="Z489" s="32"/>
      <c r="AA489" s="32"/>
      <c r="AB489" s="219"/>
      <c r="AC489" s="33"/>
      <c r="AD489" s="23" t="str">
        <f>IF(M489="", "Error: Task name cannot be empty.", "")</f>
        <v/>
      </c>
    </row>
    <row r="490" spans="1:30" s="12" customFormat="1" ht="1.5" customHeight="1" outlineLevel="2" x14ac:dyDescent="0.35">
      <c r="A490" s="86" t="s">
        <v>101</v>
      </c>
      <c r="B490" s="18"/>
      <c r="C490" s="77"/>
      <c r="D490" s="77"/>
      <c r="E490" s="77"/>
      <c r="F490" s="76"/>
      <c r="G490" s="29"/>
      <c r="H490" s="29"/>
      <c r="I490" s="29"/>
      <c r="J490" s="29"/>
      <c r="K490" s="29"/>
      <c r="L490" s="163">
        <f ca="1">L489</f>
        <v>5</v>
      </c>
      <c r="M490" s="164" t="s">
        <v>105</v>
      </c>
      <c r="N490" s="161"/>
      <c r="O490" s="162"/>
      <c r="P490" s="30"/>
      <c r="Q490" s="30"/>
      <c r="R490" s="30"/>
      <c r="S490" s="30"/>
      <c r="T490" s="155"/>
      <c r="U490" s="30"/>
      <c r="V490" s="30"/>
      <c r="W490" s="30"/>
      <c r="X490" s="31"/>
      <c r="Y490" s="32"/>
      <c r="Z490" s="32"/>
      <c r="AA490" s="32"/>
      <c r="AB490" s="33"/>
      <c r="AC490" s="33"/>
      <c r="AD490" s="23"/>
    </row>
    <row r="491" spans="1:30" ht="58" outlineLevel="2" x14ac:dyDescent="0.35">
      <c r="A491" s="86" t="s">
        <v>0</v>
      </c>
      <c r="B491" s="18"/>
      <c r="C491" s="78"/>
      <c r="D491" s="78"/>
      <c r="E491" s="78"/>
      <c r="F491" s="79"/>
      <c r="G491" s="19" t="s">
        <v>23</v>
      </c>
      <c r="H491" s="19" t="s">
        <v>23</v>
      </c>
      <c r="I491" s="20" t="s">
        <v>23</v>
      </c>
      <c r="J491" s="19" t="s">
        <v>23</v>
      </c>
      <c r="K491" s="35"/>
      <c r="L491" s="19"/>
      <c r="M491" s="263" t="str">
        <f t="shared" ref="M491:M494" ca="1" si="90">IFERROR(OFFSET(M491,-1,,1,1)+0.1,OFFSET(M491,-1,-1,1,1)&amp;".1")</f>
        <v>5.1</v>
      </c>
      <c r="N491" s="20" t="s">
        <v>941</v>
      </c>
      <c r="O491" s="20"/>
      <c r="P491" s="20" t="s">
        <v>489</v>
      </c>
      <c r="Q491" s="134">
        <f>Total_Screens</f>
        <v>18</v>
      </c>
      <c r="R491" s="127">
        <v>3</v>
      </c>
      <c r="S491" s="157">
        <f t="shared" ref="S491:S494" si="91">CEILING((IF(J491="Yes", 0, IF(H491="-",AA491,AA491+AA491*VLOOKUP(H491,BUFFERS_BY_TYPE,2,FALSE)))) +
   (IF(J491="Yes", 0, IF(H491="-",AA491,AA491+AA491*VLOOKUP(H491,BUFFERS_BY_TYPE,2,FALSE))))*VLOOKUP($S$5, SALES_CALL_SCALE_ARRAY, 2,FALSE),0.25)</f>
        <v>2.5</v>
      </c>
      <c r="T491" s="158"/>
      <c r="U491" s="21">
        <v>0</v>
      </c>
      <c r="V491" s="21">
        <v>1</v>
      </c>
      <c r="W491" s="21">
        <v>0</v>
      </c>
      <c r="X491" s="156">
        <v>0.05</v>
      </c>
      <c r="Y491" s="157">
        <f t="shared" ref="Y491:Y494" si="92">CEILING((IF(P491=AS_DEV_EFFORT, DEV_EFFORT*Q491%,
                           IF(P491=AS_DURATION_EFFORT, (MANUAL_DURATION*5)*Q491%,
                                    (IF(Q491&lt;=1,X491,
                                          IF(SUM(U491:W491)=0,(Q491*X491),
                                               (((Q491*U491)*(X491+(X491*EXTRA_FOR_H)))+
                                               ((Q491*V491)*X491)+
                                               ((Q491*W491)*(X491-(X491*LESS_FOR_L)))
                                    )*IF(R491=0,1,R491))))))+Z491), 0.25)</f>
        <v>2.5</v>
      </c>
      <c r="Z491" s="22">
        <v>-0.20100000000000001</v>
      </c>
      <c r="AA491" s="157">
        <f t="shared" ref="AA491:AA494" si="93">Y491+Y491*VLOOKUP(I491,EXTRAS_ARRAY,2,FALSE)</f>
        <v>2.5</v>
      </c>
      <c r="AB491" s="20"/>
      <c r="AC491" s="34"/>
      <c r="AD491" s="23" t="str">
        <f t="shared" ref="AD491:AD494" si="94">IF(J491&lt;&gt;"Yes",
IF(S491&lt;=0,"Error: Effort value is not defined or is invalid.",
IF(AND(SUM(U491:W491)&gt;0,SUM(U491:W491)&lt;&gt;1),"Error: Complexity % distribution should sum to 100%.",
IF(AND(P491=AS_DEV_EFFORT,X491&lt;&gt;0),"Error: PDs should not be defined when defining as dev effort %.",
IF(AND(P491=AS_DURATION_EFFORT,X491&lt;&gt;0),"Error: PDs should not be defined when defining as duration effort %.","")))))</f>
        <v/>
      </c>
    </row>
    <row r="492" spans="1:30" ht="58" outlineLevel="2" x14ac:dyDescent="0.35">
      <c r="A492" s="86" t="s">
        <v>0</v>
      </c>
      <c r="B492" s="18"/>
      <c r="C492" s="78"/>
      <c r="D492" s="78"/>
      <c r="E492" s="78"/>
      <c r="F492" s="79"/>
      <c r="G492" s="19" t="s">
        <v>23</v>
      </c>
      <c r="H492" s="19" t="s">
        <v>23</v>
      </c>
      <c r="I492" s="20" t="s">
        <v>23</v>
      </c>
      <c r="J492" s="19" t="s">
        <v>23</v>
      </c>
      <c r="K492" s="35"/>
      <c r="L492" s="19"/>
      <c r="M492" s="263">
        <f t="shared" ca="1" si="90"/>
        <v>5.2</v>
      </c>
      <c r="N492" s="20" t="s">
        <v>942</v>
      </c>
      <c r="O492" s="20"/>
      <c r="P492" s="20" t="s">
        <v>490</v>
      </c>
      <c r="Q492" s="134">
        <f>Total_Screens</f>
        <v>18</v>
      </c>
      <c r="R492" s="127">
        <v>3</v>
      </c>
      <c r="S492" s="157">
        <f t="shared" si="91"/>
        <v>2.5</v>
      </c>
      <c r="T492" s="158"/>
      <c r="U492" s="21">
        <v>0</v>
      </c>
      <c r="V492" s="21">
        <v>1</v>
      </c>
      <c r="W492" s="21">
        <v>0</v>
      </c>
      <c r="X492" s="156">
        <v>0.05</v>
      </c>
      <c r="Y492" s="157">
        <f t="shared" si="92"/>
        <v>2.5</v>
      </c>
      <c r="Z492" s="22">
        <v>-0.20100000000000001</v>
      </c>
      <c r="AA492" s="157">
        <f t="shared" si="93"/>
        <v>2.5</v>
      </c>
      <c r="AB492" s="20"/>
      <c r="AC492" s="34"/>
      <c r="AD492" s="23" t="str">
        <f t="shared" si="94"/>
        <v/>
      </c>
    </row>
    <row r="493" spans="1:30" ht="58" outlineLevel="2" x14ac:dyDescent="0.35">
      <c r="A493" s="86" t="s">
        <v>0</v>
      </c>
      <c r="B493" s="18"/>
      <c r="C493" s="78"/>
      <c r="D493" s="78"/>
      <c r="E493" s="78"/>
      <c r="F493" s="79"/>
      <c r="G493" s="19" t="s">
        <v>6</v>
      </c>
      <c r="H493" s="19" t="s">
        <v>23</v>
      </c>
      <c r="I493" s="20" t="s">
        <v>23</v>
      </c>
      <c r="J493" s="19" t="s">
        <v>23</v>
      </c>
      <c r="K493" s="35"/>
      <c r="L493" s="19"/>
      <c r="M493" s="263">
        <f t="shared" ca="1" si="90"/>
        <v>5.3</v>
      </c>
      <c r="N493" s="20" t="s">
        <v>943</v>
      </c>
      <c r="O493" s="20"/>
      <c r="P493" s="20" t="s">
        <v>493</v>
      </c>
      <c r="Q493" s="134"/>
      <c r="R493" s="127"/>
      <c r="S493" s="157">
        <f t="shared" si="91"/>
        <v>2.5</v>
      </c>
      <c r="T493" s="158"/>
      <c r="U493" s="21">
        <v>0</v>
      </c>
      <c r="V493" s="21">
        <v>1</v>
      </c>
      <c r="W493" s="21">
        <v>0</v>
      </c>
      <c r="X493" s="156">
        <v>2.5</v>
      </c>
      <c r="Y493" s="157">
        <f t="shared" si="92"/>
        <v>2.5</v>
      </c>
      <c r="Z493" s="22"/>
      <c r="AA493" s="157">
        <f t="shared" si="93"/>
        <v>2.5</v>
      </c>
      <c r="AB493" s="20"/>
      <c r="AC493" s="34"/>
      <c r="AD493" s="23" t="str">
        <f t="shared" si="94"/>
        <v/>
      </c>
    </row>
    <row r="494" spans="1:30" ht="72.5" outlineLevel="2" x14ac:dyDescent="0.35">
      <c r="A494" s="86" t="s">
        <v>0</v>
      </c>
      <c r="B494" s="18"/>
      <c r="C494" s="78"/>
      <c r="D494" s="78"/>
      <c r="E494" s="78"/>
      <c r="F494" s="79"/>
      <c r="G494" s="19" t="s">
        <v>6</v>
      </c>
      <c r="H494" s="19" t="s">
        <v>23</v>
      </c>
      <c r="I494" s="20" t="s">
        <v>23</v>
      </c>
      <c r="J494" s="19" t="s">
        <v>23</v>
      </c>
      <c r="K494" s="35"/>
      <c r="L494" s="19"/>
      <c r="M494" s="263">
        <f t="shared" ca="1" si="90"/>
        <v>5.4</v>
      </c>
      <c r="N494" s="20" t="s">
        <v>944</v>
      </c>
      <c r="O494" s="20"/>
      <c r="P494" s="20" t="s">
        <v>493</v>
      </c>
      <c r="Q494" s="134"/>
      <c r="R494" s="127"/>
      <c r="S494" s="157">
        <f t="shared" si="91"/>
        <v>2.5</v>
      </c>
      <c r="T494" s="158"/>
      <c r="U494" s="21">
        <v>0</v>
      </c>
      <c r="V494" s="21">
        <v>1</v>
      </c>
      <c r="W494" s="21">
        <v>0</v>
      </c>
      <c r="X494" s="156">
        <v>2.5</v>
      </c>
      <c r="Y494" s="157">
        <f t="shared" si="92"/>
        <v>2.5</v>
      </c>
      <c r="Z494" s="22"/>
      <c r="AA494" s="157">
        <f t="shared" si="93"/>
        <v>2.5</v>
      </c>
      <c r="AB494" s="20"/>
      <c r="AC494" s="34"/>
      <c r="AD494" s="23" t="str">
        <f t="shared" si="94"/>
        <v/>
      </c>
    </row>
    <row r="495" spans="1:30" ht="101.5" outlineLevel="2" x14ac:dyDescent="0.35">
      <c r="A495" s="86" t="s">
        <v>0</v>
      </c>
      <c r="B495" s="18"/>
      <c r="C495" s="78"/>
      <c r="D495" s="78"/>
      <c r="E495" s="78"/>
      <c r="F495" s="79"/>
      <c r="G495" s="19" t="s">
        <v>23</v>
      </c>
      <c r="H495" s="19" t="s">
        <v>23</v>
      </c>
      <c r="I495" s="20" t="s">
        <v>23</v>
      </c>
      <c r="J495" s="19" t="s">
        <v>23</v>
      </c>
      <c r="K495" s="35"/>
      <c r="L495" s="19"/>
      <c r="M495" s="263">
        <f ca="1">IFERROR(OFFSET(M495,-1,,1,1)+0.1,OFFSET(M495,-1,-1,1,1)&amp;".1")</f>
        <v>5.5</v>
      </c>
      <c r="N495" s="20" t="s">
        <v>1196</v>
      </c>
      <c r="O495" s="20"/>
      <c r="P495" s="20"/>
      <c r="Q495" s="134"/>
      <c r="R495" s="127"/>
      <c r="S495" s="157">
        <f>CEILING((IF(J495="Yes", 0, IF(H495="-",AA495,AA495+AA495*VLOOKUP(H495,BUFFERS_BY_TYPE,2,FALSE)))) +
   (IF(J495="Yes", 0, IF(H495="-",AA495,AA495+AA495*VLOOKUP(H495,BUFFERS_BY_TYPE,2,FALSE))))*VLOOKUP($S$5, SALES_CALL_SCALE_ARRAY, 2,FALSE),0.25)</f>
        <v>4</v>
      </c>
      <c r="T495" s="158"/>
      <c r="U495" s="21">
        <v>0</v>
      </c>
      <c r="V495" s="21">
        <v>1</v>
      </c>
      <c r="W495" s="21">
        <v>0</v>
      </c>
      <c r="X495" s="156">
        <v>4</v>
      </c>
      <c r="Y495" s="157">
        <f>CEILING((IF(P495=AS_DEV_EFFORT, DEV_EFFORT*Q495%,
                           IF(P495=AS_DURATION_EFFORT, (MANUAL_DURATION*5)*Q495%,
                                    (IF(Q495&lt;=1,X495,
                                          IF(SUM(U495:W495)=0,(Q495*X495),
                                               (((Q495*U495)*(X495+(X495*EXTRA_FOR_H)))+
                                               ((Q495*V495)*X495)+
                                               ((Q495*W495)*(X495-(X495*LESS_FOR_L)))
                                    )*IF(R495=0,1,R495))))))+Z495), 0.25)</f>
        <v>4</v>
      </c>
      <c r="Z495" s="22"/>
      <c r="AA495" s="157">
        <f>Y495+Y495*VLOOKUP(I495,EXTRAS_ARRAY,2,FALSE)</f>
        <v>4</v>
      </c>
      <c r="AB495" s="20" t="s">
        <v>1197</v>
      </c>
      <c r="AC495" s="34"/>
      <c r="AD495" s="23" t="str">
        <f>IF(J495&lt;&gt;"Yes",
IF(S495&lt;=0,"Error: Effort value is not defined or is invalid.",
IF(AND(SUM(U495:W495)&gt;0,SUM(U495:W495)&lt;&gt;1),"Error: Complexity % distribution should sum to 100%.",
IF(AND(P495=AS_DEV_EFFORT,X495&lt;&gt;0),"Error: PDs should not be defined when defining as dev effort %.",
IF(AND(P495=AS_DURATION_EFFORT,X495&lt;&gt;0),"Error: PDs should not be defined when defining as duration effort %.","")))))</f>
        <v/>
      </c>
    </row>
    <row r="496" spans="1:30" ht="72.5" outlineLevel="2" x14ac:dyDescent="0.35">
      <c r="A496" s="86" t="s">
        <v>0</v>
      </c>
      <c r="B496" s="18"/>
      <c r="C496" s="78"/>
      <c r="D496" s="78"/>
      <c r="E496" s="78"/>
      <c r="F496" s="79"/>
      <c r="G496" s="19" t="s">
        <v>23</v>
      </c>
      <c r="H496" s="19" t="s">
        <v>23</v>
      </c>
      <c r="I496" s="20" t="s">
        <v>23</v>
      </c>
      <c r="J496" s="19" t="s">
        <v>23</v>
      </c>
      <c r="K496" s="35"/>
      <c r="L496" s="19"/>
      <c r="M496" s="263">
        <f ca="1">IFERROR(OFFSET(M496,-1,,1,1)+0.1,OFFSET(M496,-1,-1,1,1)&amp;".1")</f>
        <v>5.6</v>
      </c>
      <c r="N496" s="20" t="s">
        <v>1280</v>
      </c>
      <c r="O496" s="20"/>
      <c r="P496" s="20"/>
      <c r="Q496" s="134"/>
      <c r="R496" s="127"/>
      <c r="S496" s="157">
        <f>CEILING((IF(J496="Yes", 0, IF(H496="-",AA496,AA496+AA496*VLOOKUP(H496,BUFFERS_BY_TYPE,2,FALSE)))) +
   (IF(J496="Yes", 0, IF(H496="-",AA496,AA496+AA496*VLOOKUP(H496,BUFFERS_BY_TYPE,2,FALSE))))*VLOOKUP($S$5, SALES_CALL_SCALE_ARRAY, 2,FALSE),0.25)</f>
        <v>3</v>
      </c>
      <c r="T496" s="158"/>
      <c r="U496" s="21">
        <v>0</v>
      </c>
      <c r="V496" s="21">
        <v>1</v>
      </c>
      <c r="W496" s="21">
        <v>0</v>
      </c>
      <c r="X496" s="156">
        <v>3</v>
      </c>
      <c r="Y496" s="157">
        <f>CEILING((IF(P496=AS_DEV_EFFORT, DEV_EFFORT*Q496%,
                           IF(P496=AS_DURATION_EFFORT, (MANUAL_DURATION*5)*Q496%,
                                    (IF(Q496&lt;=1,X496,
                                          IF(SUM(U496:W496)=0,(Q496*X496),
                                               (((Q496*U496)*(X496+(X496*EXTRA_FOR_H)))+
                                               ((Q496*V496)*X496)+
                                               ((Q496*W496)*(X496-(X496*LESS_FOR_L)))
                                    )*IF(R496=0,1,R496))))))+Z496), 0.25)</f>
        <v>3</v>
      </c>
      <c r="Z496" s="22"/>
      <c r="AA496" s="157">
        <f>Y496+Y496*VLOOKUP(I496,EXTRAS_ARRAY,2,FALSE)</f>
        <v>3</v>
      </c>
      <c r="AB496" s="20" t="s">
        <v>1281</v>
      </c>
      <c r="AC496" s="34"/>
      <c r="AD496" s="23" t="str">
        <f>IF(J496&lt;&gt;"Yes",
IF(S496&lt;=0,"Error: Effort value is not defined or is invalid.",
IF(AND(SUM(U496:W496)&gt;0,SUM(U496:W496)&lt;&gt;1),"Error: Complexity % distribution should sum to 100%.",
IF(AND(P496=AS_DEV_EFFORT,X496&lt;&gt;0),"Error: PDs should not be defined when defining as dev effort %.",
IF(AND(P496=AS_DURATION_EFFORT,X496&lt;&gt;0),"Error: PDs should not be defined when defining as duration effort %.","")))))</f>
        <v/>
      </c>
    </row>
    <row r="497" spans="1:30" ht="58" outlineLevel="2" x14ac:dyDescent="0.35">
      <c r="A497" s="86" t="s">
        <v>0</v>
      </c>
      <c r="B497" s="18"/>
      <c r="C497" s="78"/>
      <c r="D497" s="78"/>
      <c r="E497" s="78"/>
      <c r="F497" s="79"/>
      <c r="G497" s="19" t="s">
        <v>23</v>
      </c>
      <c r="H497" s="19" t="s">
        <v>23</v>
      </c>
      <c r="I497" s="20" t="s">
        <v>23</v>
      </c>
      <c r="J497" s="19" t="s">
        <v>23</v>
      </c>
      <c r="K497" s="35"/>
      <c r="L497" s="19"/>
      <c r="M497" s="263">
        <f ca="1">IFERROR(OFFSET(M497,-1,,1,1)+0.1,OFFSET(M497,-1,-1,1,1)&amp;".1")</f>
        <v>5.7</v>
      </c>
      <c r="N497" s="20" t="inlineStr">
        <is>
          <t xml:space="preserve">End-to-end checks of the v2.0 flows (staging)
&gt;&gt; Information requests and disputes
&gt;&gt; Click-to-sign
&gt;&gt; Total loss and theft
&gt;&gt; Rental extension and payout
&gt;&gt; Premium and ledger postings against E3 / E4 stubs
&gt;&gt; SES inbound replies</t>
        </is>
      </c>
      <c r="O497" s="20"/>
      <c r="P497" s="20"/>
      <c r="Q497" s="134"/>
      <c r="R497" s="127"/>
      <c r="S497" s="157">
        <f>CEILING((IF(J497="Yes", 0, IF(H497="-",AA497,AA497+AA497*VLOOKUP(H497,BUFFERS_BY_TYPE,2,FALSE)))) +
   (IF(J497="Yes", 0, IF(H497="-",AA497,AA497+AA497*VLOOKUP(H497,BUFFERS_BY_TYPE,2,FALSE))))*VLOOKUP($S$5, SALES_CALL_SCALE_ARRAY, 2,FALSE),0.25)</f>
        <v>2</v>
      </c>
      <c r="T497" s="158"/>
      <c r="U497" s="21">
        <v>0</v>
      </c>
      <c r="V497" s="21">
        <v>1</v>
      </c>
      <c r="W497" s="21">
        <v>0</v>
      </c>
      <c r="X497" s="156">
        <v>2</v>
      </c>
      <c r="Y497" s="157">
        <f>CEILING((IF(P497=AS_DEV_EFFORT, DEV_EFFORT*Q497%,
                           IF(P497=AS_DURATION_EFFORT, (MANUAL_DURATION*5)*Q497%,
                                    (IF(Q497&lt;=1,X497,
                                          IF(SUM(U497:W497)=0,(Q497*X497),
                                               (((Q497*U497)*(X497+(X497*EXTRA_FOR_H)))+
                                               ((Q497*V497)*X497)+
                                               ((Q497*W497)*(X497-(X497*LESS_FOR_L)))
                                    )*IF(R497=0,1,R497))))))+Z497), 0.25)</f>
        <v>2</v>
      </c>
      <c r="Z497" s="22"/>
      <c r="AA497" s="157">
        <f>Y497+Y497*VLOOKUP(I497,EXTRAS_ARRAY,2,FALSE)</f>
        <v>2</v>
      </c>
      <c r="AB497" s="20" t="inlineStr">
        <is>
          <t xml:space="preserve">Staging; alongside the v1.9 checks (5.6)</t>
        </is>
      </c>
      <c r="AC497" s="34"/>
      <c r="AD497" s="23" t="str">
        <f>IF(J497&lt;&gt;"Yes",
IF(S497&lt;=0,"Error: Effort value is not defined or is invalid.",
IF(AND(SUM(U497:W497)&gt;0,SUM(U497:W497)&lt;&gt;1),"Error: Complexity % distribution should sum to 100%.",
IF(AND(P497=AS_DEV_EFFORT,X497&lt;&gt;0),"Error: PDs should not be defined when defining as dev effort %.",
IF(AND(P497=AS_DURATION_EFFORT,X497&lt;&gt;0),"Error: PDs should not be defined when defining as duration effort %.","")))))</f>
        <v/>
      </c>
    </row>
    <row r="498" spans="1:30" s="9" customFormat="1" ht="7.5" customHeight="1" outlineLevel="2" x14ac:dyDescent="0.35">
      <c r="A498" s="86" t="s">
        <v>132</v>
      </c>
      <c r="B498" s="15"/>
      <c r="C498" s="72"/>
      <c r="D498" s="72"/>
      <c r="E498" s="72"/>
      <c r="F498" s="72"/>
      <c r="M498" s="252"/>
      <c r="T498" s="15"/>
      <c r="X498" s="15"/>
      <c r="AB498" s="10"/>
      <c r="AC498" s="10"/>
      <c r="AD498" s="10"/>
    </row>
    <row r="499" spans="1:30" s="9" customFormat="1" ht="3" customHeight="1" outlineLevel="1" x14ac:dyDescent="0.35">
      <c r="A499" s="86" t="s">
        <v>102</v>
      </c>
      <c r="C499" s="72"/>
      <c r="D499" s="72"/>
      <c r="E499" s="72"/>
      <c r="F499" s="72"/>
      <c r="G499" s="25"/>
      <c r="H499" s="25"/>
      <c r="I499" s="25"/>
      <c r="J499" s="25"/>
      <c r="K499" s="25"/>
      <c r="L499" s="56"/>
      <c r="M499" s="264"/>
      <c r="N499" s="57"/>
      <c r="O499" s="57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7"/>
      <c r="AC499" s="57"/>
      <c r="AD499" s="10"/>
    </row>
    <row r="500" spans="1:30" s="14" customFormat="1" ht="18.5" collapsed="1" x14ac:dyDescent="0.35">
      <c r="A500" s="86" t="s">
        <v>98</v>
      </c>
      <c r="B500" s="12"/>
      <c r="C500" s="73"/>
      <c r="D500" s="73"/>
      <c r="E500" s="73"/>
      <c r="F500" s="72"/>
      <c r="G500" s="52"/>
      <c r="H500" s="52"/>
      <c r="I500" s="52"/>
      <c r="J500" s="52"/>
      <c r="K500" s="52"/>
      <c r="L500" s="52" t="s">
        <v>71</v>
      </c>
      <c r="M500" s="261" t="s">
        <v>75</v>
      </c>
      <c r="N500" s="53"/>
      <c r="O500" s="54"/>
      <c r="P500" s="55"/>
      <c r="Q500" s="55"/>
      <c r="R500" s="55"/>
      <c r="S500" s="316">
        <f>CEILING(SUMIF(J501:J527, "&lt;&gt;Yes", T501:T527),1)</f>
        <v>122</v>
      </c>
      <c r="T500" s="316"/>
      <c r="U500" s="55"/>
      <c r="V500" s="55"/>
      <c r="W500" s="55"/>
      <c r="X500" s="55"/>
      <c r="Y500" s="55"/>
      <c r="Z500" s="55"/>
      <c r="AA500" s="55"/>
      <c r="AB500" s="55"/>
      <c r="AC500" s="55"/>
      <c r="AD500" s="13"/>
    </row>
    <row r="501" spans="1:30" s="9" customFormat="1" ht="3" hidden="1" customHeight="1" outlineLevel="1" x14ac:dyDescent="0.35">
      <c r="A501" s="86" t="s">
        <v>99</v>
      </c>
      <c r="B501" s="15"/>
      <c r="C501" s="72"/>
      <c r="D501" s="72"/>
      <c r="E501" s="72"/>
      <c r="F501" s="72"/>
      <c r="G501" s="25"/>
      <c r="H501" s="25"/>
      <c r="I501" s="25"/>
      <c r="J501" s="25"/>
      <c r="K501" s="25"/>
      <c r="L501" s="26">
        <v>0</v>
      </c>
      <c r="M501" s="262"/>
      <c r="N501" s="25"/>
      <c r="O501" s="25"/>
      <c r="P501" s="25"/>
      <c r="Q501" s="25"/>
      <c r="R501" s="25"/>
      <c r="S501" s="25"/>
      <c r="T501" s="27"/>
      <c r="U501" s="25"/>
      <c r="V501" s="25"/>
      <c r="W501" s="25"/>
      <c r="X501" s="27"/>
      <c r="Y501" s="25"/>
      <c r="Z501" s="25"/>
      <c r="AA501" s="25"/>
      <c r="AB501" s="28"/>
      <c r="AC501" s="28"/>
      <c r="AD501" s="10"/>
    </row>
    <row r="502" spans="1:30" s="14" customFormat="1" ht="15.5" hidden="1" outlineLevel="1" collapsed="1" x14ac:dyDescent="0.35">
      <c r="A502" s="86" t="s">
        <v>100</v>
      </c>
      <c r="B502" s="18"/>
      <c r="C502" s="77"/>
      <c r="D502" s="77"/>
      <c r="E502" s="77"/>
      <c r="F502" s="76"/>
      <c r="G502" s="29"/>
      <c r="H502" s="29"/>
      <c r="I502" s="29"/>
      <c r="J502" s="29"/>
      <c r="K502" s="29"/>
      <c r="L502" s="17">
        <f ca="1">LOOKUP(1000,INDIRECT("L1:"&amp;CELL("address",INDIRECT("R[-1]C",FALSE))))+1</f>
        <v>1</v>
      </c>
      <c r="M502" s="296" t="s">
        <v>460</v>
      </c>
      <c r="N502" s="296"/>
      <c r="O502" s="5"/>
      <c r="P502" s="30"/>
      <c r="Q502" s="30"/>
      <c r="R502" s="30"/>
      <c r="S502" s="30"/>
      <c r="T502" s="155">
        <f>IF($S$6="Exclude", SUMIFS(S503:S506, J503:J506, "&lt;&gt;Yes", G503:G506, "&lt;&gt;Yes"), SUMIFS(S503:S506, J503:J506, "&lt;&gt;Yes"))</f>
        <v>15</v>
      </c>
      <c r="U502" s="30"/>
      <c r="V502" s="30"/>
      <c r="W502" s="30"/>
      <c r="X502" s="31"/>
      <c r="Y502" s="32"/>
      <c r="Z502" s="32"/>
      <c r="AA502" s="32"/>
      <c r="AB502" s="219"/>
      <c r="AC502" s="33"/>
      <c r="AD502" s="23" t="str">
        <f>IF(M502="", "Error: Task name cannot be empty.", "")</f>
        <v/>
      </c>
    </row>
    <row r="503" spans="1:30" s="12" customFormat="1" ht="1.5" hidden="1" customHeight="1" outlineLevel="2" x14ac:dyDescent="0.35">
      <c r="A503" s="86" t="s">
        <v>101</v>
      </c>
      <c r="B503" s="18"/>
      <c r="C503" s="77"/>
      <c r="D503" s="77"/>
      <c r="E503" s="77"/>
      <c r="F503" s="76"/>
      <c r="G503" s="29"/>
      <c r="H503" s="29"/>
      <c r="I503" s="29"/>
      <c r="J503" s="29"/>
      <c r="K503" s="29"/>
      <c r="L503" s="163">
        <f ca="1">L502</f>
        <v>1</v>
      </c>
      <c r="M503" s="164" t="s">
        <v>105</v>
      </c>
      <c r="N503" s="161"/>
      <c r="O503" s="162"/>
      <c r="P503" s="30"/>
      <c r="Q503" s="30"/>
      <c r="R503" s="30"/>
      <c r="S503" s="30"/>
      <c r="T503" s="155"/>
      <c r="U503" s="30"/>
      <c r="V503" s="30"/>
      <c r="W503" s="30"/>
      <c r="X503" s="31"/>
      <c r="Y503" s="32"/>
      <c r="Z503" s="32"/>
      <c r="AA503" s="32"/>
      <c r="AB503" s="33"/>
      <c r="AC503" s="33"/>
      <c r="AD503" s="23"/>
    </row>
    <row r="504" spans="1:30" ht="116" hidden="1" outlineLevel="2" x14ac:dyDescent="0.35">
      <c r="A504" s="86" t="s">
        <v>0</v>
      </c>
      <c r="B504" s="18"/>
      <c r="C504" s="78"/>
      <c r="D504" s="78"/>
      <c r="E504" s="78"/>
      <c r="F504" s="79"/>
      <c r="G504" s="19" t="s">
        <v>23</v>
      </c>
      <c r="H504" s="19" t="s">
        <v>23</v>
      </c>
      <c r="I504" s="20" t="s">
        <v>23</v>
      </c>
      <c r="J504" s="19" t="s">
        <v>23</v>
      </c>
      <c r="K504" s="35"/>
      <c r="L504" s="19"/>
      <c r="M504" s="263" t="str">
        <f ca="1">IFERROR(OFFSET(M504,-1,,1,1)+0.1,OFFSET(M504,-1,-1,1,1)&amp;".1")</f>
        <v>1.1</v>
      </c>
      <c r="N504" s="20" t="s">
        <v>958</v>
      </c>
      <c r="O504" s="20"/>
      <c r="P504" s="20" t="s">
        <v>463</v>
      </c>
      <c r="Q504" s="134"/>
      <c r="R504" s="127"/>
      <c r="S504" s="157">
        <f>CEILING((IF(J504="Yes", 0, IF(H504="-",AA504,AA504+AA504*VLOOKUP(H504,BUFFERS_BY_TYPE,2,FALSE)))) +
   (IF(J504="Yes", 0, IF(H504="-",AA504,AA504+AA504*VLOOKUP(H504,BUFFERS_BY_TYPE,2,FALSE))))*VLOOKUP($S$5, SALES_CALL_SCALE_ARRAY, 2,FALSE),0.25)</f>
        <v>7.5</v>
      </c>
      <c r="T504" s="158"/>
      <c r="U504" s="21">
        <v>0</v>
      </c>
      <c r="V504" s="21">
        <v>1</v>
      </c>
      <c r="W504" s="21">
        <v>0</v>
      </c>
      <c r="X504" s="156">
        <v>7.5</v>
      </c>
      <c r="Y504" s="157">
        <f>CEILING((IF(P504=AS_DEV_EFFORT, DEV_EFFORT*Q504%,
                           IF(P504=AS_DURATION_EFFORT, (MANUAL_DURATION*5)*Q504%,
                                    (IF(Q504&lt;=1,X504,
                                          IF(SUM(U504:W504)=0,(Q504*X504),
                                               (((Q504*U504)*(X504+(X504*EXTRA_FOR_H)))+
                                               ((Q504*V504)*X504)+
                                               ((Q504*W504)*(X504-(X504*LESS_FOR_L)))
                                    )*IF(R504=0,1,R504))))))+Z504), 0.25)</f>
        <v>7.5</v>
      </c>
      <c r="Z504" s="22"/>
      <c r="AA504" s="157">
        <f>Y504+Y504*VLOOKUP(I504,EXTRAS_ARRAY,2,FALSE)</f>
        <v>7.5</v>
      </c>
      <c r="AB504" s="20"/>
      <c r="AC504" s="34"/>
      <c r="AD504" s="23" t="str">
        <f>IF(J504&lt;&gt;"Yes",
IF(S504&lt;=0,"Error: Effort value is not defined or is invalid.",
IF(AND(SUM(U504:W504)&gt;0,SUM(U504:W504)&lt;&gt;1),"Error: Complexity % distribution should sum to 100%.",
IF(AND(P504=AS_DEV_EFFORT,X504&lt;&gt;0),"Error: PDs should not be defined when defining as dev effort %.",
IF(AND(P504=AS_DURATION_EFFORT,X504&lt;&gt;0),"Error: PDs should not be defined when defining as duration effort %.","")))))</f>
        <v/>
      </c>
    </row>
    <row r="505" spans="1:30" ht="87" hidden="1" outlineLevel="2" x14ac:dyDescent="0.35">
      <c r="A505" s="86" t="s">
        <v>0</v>
      </c>
      <c r="B505" s="18"/>
      <c r="C505" s="78"/>
      <c r="D505" s="78"/>
      <c r="E505" s="78"/>
      <c r="F505" s="79"/>
      <c r="G505" s="19" t="s">
        <v>23</v>
      </c>
      <c r="H505" s="19" t="s">
        <v>23</v>
      </c>
      <c r="I505" s="20" t="s">
        <v>23</v>
      </c>
      <c r="J505" s="19" t="s">
        <v>23</v>
      </c>
      <c r="K505" s="35"/>
      <c r="L505" s="19"/>
      <c r="M505" s="263">
        <f ca="1">IFERROR(OFFSET(M505,-1,,1,1)+0.1,OFFSET(M505,-1,-1,1,1)&amp;".1")</f>
        <v>1.2</v>
      </c>
      <c r="N505" s="20" t="s">
        <v>959</v>
      </c>
      <c r="O505" s="20"/>
      <c r="P505" s="20" t="s">
        <v>462</v>
      </c>
      <c r="Q505" s="134"/>
      <c r="R505" s="127"/>
      <c r="S505" s="157">
        <f>CEILING((IF(J505="Yes", 0, IF(H505="-",AA505,AA505+AA505*VLOOKUP(H505,BUFFERS_BY_TYPE,2,FALSE)))) +
   (IF(J505="Yes", 0, IF(H505="-",AA505,AA505+AA505*VLOOKUP(H505,BUFFERS_BY_TYPE,2,FALSE))))*VLOOKUP($S$5, SALES_CALL_SCALE_ARRAY, 2,FALSE),0.25)</f>
        <v>7.5</v>
      </c>
      <c r="T505" s="158"/>
      <c r="U505" s="21">
        <v>0</v>
      </c>
      <c r="V505" s="21">
        <v>1</v>
      </c>
      <c r="W505" s="21">
        <v>0</v>
      </c>
      <c r="X505" s="156">
        <v>7.5</v>
      </c>
      <c r="Y505" s="157">
        <f>CEILING((IF(P505=AS_DEV_EFFORT, DEV_EFFORT*Q505%,
                           IF(P505=AS_DURATION_EFFORT, (MANUAL_DURATION*5)*Q505%,
                                    (IF(Q505&lt;=1,X505,
                                          IF(SUM(U505:W505)=0,(Q505*X505),
                                               (((Q505*U505)*(X505+(X505*EXTRA_FOR_H)))+
                                               ((Q505*V505)*X505)+
                                               ((Q505*W505)*(X505-(X505*LESS_FOR_L)))
                                    )*IF(R505=0,1,R505))))))+Z505), 0.25)</f>
        <v>7.5</v>
      </c>
      <c r="Z505" s="22"/>
      <c r="AA505" s="157">
        <f>Y505+Y505*VLOOKUP(I505,EXTRAS_ARRAY,2,FALSE)</f>
        <v>7.5</v>
      </c>
      <c r="AB505" s="20"/>
      <c r="AC505" s="34"/>
      <c r="AD505" s="23" t="str">
        <f>IF(J505&lt;&gt;"Yes",
IF(S505&lt;=0,"Error: Effort value is not defined or is invalid.",
IF(AND(SUM(U505:W505)&gt;0,SUM(U505:W505)&lt;&gt;1),"Error: Complexity % distribution should sum to 100%.",
IF(AND(P505=AS_DEV_EFFORT,X505&lt;&gt;0),"Error: PDs should not be defined when defining as dev effort %.",
IF(AND(P505=AS_DURATION_EFFORT,X505&lt;&gt;0),"Error: PDs should not be defined when defining as duration effort %.","")))))</f>
        <v/>
      </c>
    </row>
    <row r="506" spans="1:30" s="9" customFormat="1" ht="7.5" hidden="1" customHeight="1" outlineLevel="2" x14ac:dyDescent="0.35">
      <c r="A506" s="86" t="s">
        <v>132</v>
      </c>
      <c r="B506" s="15"/>
      <c r="C506" s="72"/>
      <c r="D506" s="72"/>
      <c r="E506" s="72"/>
      <c r="F506" s="72"/>
      <c r="M506" s="252"/>
      <c r="T506" s="15"/>
      <c r="X506" s="15"/>
      <c r="AB506" s="10"/>
      <c r="AC506" s="10"/>
      <c r="AD506" s="10"/>
    </row>
    <row r="507" spans="1:30" s="14" customFormat="1" ht="15.5" hidden="1" outlineLevel="1" collapsed="1" x14ac:dyDescent="0.35">
      <c r="A507" s="86" t="s">
        <v>100</v>
      </c>
      <c r="B507" s="18"/>
      <c r="C507" s="77"/>
      <c r="D507" s="77"/>
      <c r="E507" s="77"/>
      <c r="F507" s="76"/>
      <c r="G507" s="29"/>
      <c r="H507" s="29"/>
      <c r="I507" s="29"/>
      <c r="J507" s="29"/>
      <c r="K507" s="29"/>
      <c r="L507" s="17">
        <f ca="1">LOOKUP(1000,INDIRECT("L1:"&amp;CELL("address",INDIRECT("R[-1]C",FALSE))))+1</f>
        <v>2</v>
      </c>
      <c r="M507" s="296" t="s">
        <v>461</v>
      </c>
      <c r="N507" s="296"/>
      <c r="O507" s="5"/>
      <c r="P507" s="30"/>
      <c r="Q507" s="30"/>
      <c r="R507" s="30"/>
      <c r="S507" s="30"/>
      <c r="T507" s="155">
        <f>IF($S$6="Exclude", SUMIFS(S508:S512, J508:J512, "&lt;&gt;Yes", G508:G512, "&lt;&gt;Yes"), SUMIFS(S508:S512, J508:J512, "&lt;&gt;Yes"))</f>
        <v>55</v>
      </c>
      <c r="U507" s="30"/>
      <c r="V507" s="30"/>
      <c r="W507" s="30"/>
      <c r="X507" s="31"/>
      <c r="Y507" s="32"/>
      <c r="Z507" s="32"/>
      <c r="AA507" s="32"/>
      <c r="AB507" s="219"/>
      <c r="AC507" s="33"/>
      <c r="AD507" s="23" t="str">
        <f>IF(M507="", "Error: Task name cannot be empty.", "")</f>
        <v/>
      </c>
    </row>
    <row r="508" spans="1:30" s="12" customFormat="1" ht="1.5" hidden="1" customHeight="1" outlineLevel="2" x14ac:dyDescent="0.35">
      <c r="A508" s="86" t="s">
        <v>101</v>
      </c>
      <c r="B508" s="18"/>
      <c r="C508" s="77"/>
      <c r="D508" s="77"/>
      <c r="E508" s="77"/>
      <c r="F508" s="76"/>
      <c r="G508" s="29"/>
      <c r="H508" s="29"/>
      <c r="I508" s="29"/>
      <c r="J508" s="29"/>
      <c r="K508" s="29"/>
      <c r="L508" s="163">
        <f ca="1">L507</f>
        <v>2</v>
      </c>
      <c r="M508" s="164" t="s">
        <v>105</v>
      </c>
      <c r="N508" s="161"/>
      <c r="O508" s="162"/>
      <c r="P508" s="30"/>
      <c r="Q508" s="30"/>
      <c r="R508" s="30"/>
      <c r="S508" s="30"/>
      <c r="T508" s="155"/>
      <c r="U508" s="30"/>
      <c r="V508" s="30"/>
      <c r="W508" s="30"/>
      <c r="X508" s="31"/>
      <c r="Y508" s="32"/>
      <c r="Z508" s="32"/>
      <c r="AA508" s="32"/>
      <c r="AB508" s="33"/>
      <c r="AC508" s="33"/>
      <c r="AD508" s="23"/>
    </row>
    <row r="509" spans="1:30" ht="87" hidden="1" outlineLevel="2" x14ac:dyDescent="0.35">
      <c r="A509" s="86" t="s">
        <v>0</v>
      </c>
      <c r="B509" s="18"/>
      <c r="C509" s="78"/>
      <c r="D509" s="78"/>
      <c r="E509" s="78"/>
      <c r="F509" s="79"/>
      <c r="G509" s="19" t="s">
        <v>23</v>
      </c>
      <c r="H509" s="19" t="s">
        <v>23</v>
      </c>
      <c r="I509" s="20" t="s">
        <v>23</v>
      </c>
      <c r="J509" s="19" t="s">
        <v>23</v>
      </c>
      <c r="K509" s="35"/>
      <c r="L509" s="19"/>
      <c r="M509" s="263" t="str">
        <f ca="1">IFERROR(OFFSET(M509,-1,,1,1)+0.1,OFFSET(M509,-1,-1,1,1)&amp;".1")</f>
        <v>2.1</v>
      </c>
      <c r="N509" s="20" t="s">
        <v>960</v>
      </c>
      <c r="O509" s="20"/>
      <c r="P509" s="20"/>
      <c r="Q509" s="134"/>
      <c r="R509" s="127"/>
      <c r="S509" s="157">
        <f>CEILING((IF(J509="Yes", 0, IF(H509="-",AA509,AA509+AA509*VLOOKUP(H509,BUFFERS_BY_TYPE,2,FALSE)))) +
   (IF(J509="Yes", 0, IF(H509="-",AA509,AA509+AA509*VLOOKUP(H509,BUFFERS_BY_TYPE,2,FALSE))))*VLOOKUP($S$5, SALES_CALL_SCALE_ARRAY, 2,FALSE),0.25)</f>
        <v>20</v>
      </c>
      <c r="T509" s="158"/>
      <c r="U509" s="21">
        <v>0</v>
      </c>
      <c r="V509" s="21">
        <v>1</v>
      </c>
      <c r="W509" s="21">
        <v>0</v>
      </c>
      <c r="X509" s="156">
        <v>20</v>
      </c>
      <c r="Y509" s="157">
        <f>CEILING((IF(P509=AS_DEV_EFFORT, DEV_EFFORT*Q509%,
                           IF(P509=AS_DURATION_EFFORT, (MANUAL_DURATION*5)*Q509%,
                                    (IF(Q509&lt;=1,X509,
                                          IF(SUM(U509:W509)=0,(Q509*X509),
                                               (((Q509*U509)*(X509+(X509*EXTRA_FOR_H)))+
                                               ((Q509*V509)*X509)+
                                               ((Q509*W509)*(X509-(X509*LESS_FOR_L)))
                                    )*IF(R509=0,1,R509))))))+Z509), 0.25)</f>
        <v>20</v>
      </c>
      <c r="Z509" s="22"/>
      <c r="AA509" s="157">
        <f>Y509+Y509*VLOOKUP(I509,EXTRAS_ARRAY,2,FALSE)</f>
        <v>20</v>
      </c>
      <c r="AB509" s="20"/>
      <c r="AC509" s="34"/>
      <c r="AD509" s="23" t="str">
        <f>IF(J509&lt;&gt;"Yes",
IF(S509&lt;=0,"Error: Effort value is not defined or is invalid.",
IF(AND(SUM(U509:W509)&gt;0,SUM(U509:W509)&lt;&gt;1),"Error: Complexity % distribution should sum to 100%.",
IF(AND(P509=AS_DEV_EFFORT,X509&lt;&gt;0),"Error: PDs should not be defined when defining as dev effort %.",
IF(AND(P509=AS_DURATION_EFFORT,X509&lt;&gt;0),"Error: PDs should not be defined when defining as duration effort %.","")))))</f>
        <v/>
      </c>
    </row>
    <row r="510" spans="1:30" ht="87" hidden="1" outlineLevel="2" x14ac:dyDescent="0.35">
      <c r="A510" s="86" t="s">
        <v>0</v>
      </c>
      <c r="B510" s="18"/>
      <c r="C510" s="78"/>
      <c r="D510" s="78"/>
      <c r="E510" s="78"/>
      <c r="F510" s="79"/>
      <c r="G510" s="19" t="s">
        <v>23</v>
      </c>
      <c r="H510" s="19" t="s">
        <v>23</v>
      </c>
      <c r="I510" s="20" t="s">
        <v>23</v>
      </c>
      <c r="J510" s="19" t="s">
        <v>23</v>
      </c>
      <c r="K510" s="35"/>
      <c r="L510" s="19"/>
      <c r="M510" s="263">
        <f ca="1">IFERROR(OFFSET(M510,-1,,1,1)+0.1,OFFSET(M510,-1,-1,1,1)&amp;".1")</f>
        <v>2.2</v>
      </c>
      <c r="N510" s="20" t="s">
        <v>961</v>
      </c>
      <c r="O510" s="20"/>
      <c r="P510" s="20" t="s">
        <v>968</v>
      </c>
      <c r="Q510" s="134"/>
      <c r="R510" s="127"/>
      <c r="S510" s="157">
        <f>CEILING((IF(J510="Yes", 0, IF(H510="-",AA510,AA510+AA510*VLOOKUP(H510,BUFFERS_BY_TYPE,2,FALSE)))) +
   (IF(J510="Yes", 0, IF(H510="-",AA510,AA510+AA510*VLOOKUP(H510,BUFFERS_BY_TYPE,2,FALSE))))*VLOOKUP($S$5, SALES_CALL_SCALE_ARRAY, 2,FALSE),0.25)</f>
        <v>20</v>
      </c>
      <c r="T510" s="158"/>
      <c r="U510" s="21">
        <v>0</v>
      </c>
      <c r="V510" s="21">
        <v>1</v>
      </c>
      <c r="W510" s="21">
        <v>0</v>
      </c>
      <c r="X510" s="156">
        <v>20</v>
      </c>
      <c r="Y510" s="157">
        <f>CEILING((IF(P510=AS_DEV_EFFORT, DEV_EFFORT*Q510%,
                           IF(P510=AS_DURATION_EFFORT, (MANUAL_DURATION*5)*Q510%,
                                    (IF(Q510&lt;=1,X510,
                                          IF(SUM(U510:W510)=0,(Q510*X510),
                                               (((Q510*U510)*(X510+(X510*EXTRA_FOR_H)))+
                                               ((Q510*V510)*X510)+
                                               ((Q510*W510)*(X510-(X510*LESS_FOR_L)))
                                    )*IF(R510=0,1,R510))))))+Z510), 0.25)</f>
        <v>20</v>
      </c>
      <c r="Z510" s="22"/>
      <c r="AA510" s="157">
        <f>Y510+Y510*VLOOKUP(I510,EXTRAS_ARRAY,2,FALSE)</f>
        <v>20</v>
      </c>
      <c r="AB510" s="20"/>
      <c r="AC510" s="34"/>
      <c r="AD510" s="23" t="str">
        <f>IF(J510&lt;&gt;"Yes",
IF(S510&lt;=0,"Error: Effort value is not defined or is invalid.",
IF(AND(SUM(U510:W510)&gt;0,SUM(U510:W510)&lt;&gt;1),"Error: Complexity % distribution should sum to 100%.",
IF(AND(P510=AS_DEV_EFFORT,X510&lt;&gt;0),"Error: PDs should not be defined when defining as dev effort %.",
IF(AND(P510=AS_DURATION_EFFORT,X510&lt;&gt;0),"Error: PDs should not be defined when defining as duration effort %.","")))))</f>
        <v/>
      </c>
    </row>
    <row r="511" spans="1:30" ht="87" hidden="1" outlineLevel="2" x14ac:dyDescent="0.35">
      <c r="A511" s="86" t="s">
        <v>0</v>
      </c>
      <c r="B511" s="18"/>
      <c r="C511" s="78"/>
      <c r="D511" s="78"/>
      <c r="E511" s="78"/>
      <c r="F511" s="79"/>
      <c r="G511" s="19" t="s">
        <v>23</v>
      </c>
      <c r="H511" s="19" t="s">
        <v>23</v>
      </c>
      <c r="I511" s="20" t="s">
        <v>23</v>
      </c>
      <c r="J511" s="19" t="s">
        <v>23</v>
      </c>
      <c r="K511" s="35"/>
      <c r="L511" s="19"/>
      <c r="M511" s="263">
        <f ca="1">IFERROR(OFFSET(M511,-1,,1,1)+0.1,OFFSET(M511,-1,-1,1,1)&amp;".1")</f>
        <v>2.3</v>
      </c>
      <c r="N511" s="20" t="s">
        <v>1157</v>
      </c>
      <c r="O511" s="20"/>
      <c r="P511" s="20"/>
      <c r="Q511" s="134"/>
      <c r="R511" s="127"/>
      <c r="S511" s="157">
        <f>CEILING((IF(J511="Yes", 0, IF(H511="-",AA511,AA511+AA511*VLOOKUP(H511,BUFFERS_BY_TYPE,2,FALSE)))) +
   (IF(J511="Yes", 0, IF(H511="-",AA511,AA511+AA511*VLOOKUP(H511,BUFFERS_BY_TYPE,2,FALSE))))*VLOOKUP($S$5, SALES_CALL_SCALE_ARRAY, 2,FALSE),0.25)</f>
        <v>15</v>
      </c>
      <c r="T511" s="158"/>
      <c r="U511" s="21">
        <v>0</v>
      </c>
      <c r="V511" s="21">
        <v>1</v>
      </c>
      <c r="W511" s="21">
        <v>0</v>
      </c>
      <c r="X511" s="156">
        <v>15</v>
      </c>
      <c r="Y511" s="157">
        <f>CEILING((IF(P511=AS_DEV_EFFORT, DEV_EFFORT*Q511%,
                           IF(P511=AS_DURATION_EFFORT, (MANUAL_DURATION*5)*Q511%,
                                    (IF(Q511&lt;=1,X511,
                                          IF(SUM(U511:W511)=0,(Q511*X511),
                                               (((Q511*U511)*(X511+(X511*EXTRA_FOR_H)))+
                                               ((Q511*V511)*X511)+
                                               ((Q511*W511)*(X511-(X511*LESS_FOR_L)))
                                    )*IF(R511=0,1,R511))))))+Z511), 0.25)</f>
        <v>15</v>
      </c>
      <c r="Z511" s="22"/>
      <c r="AA511" s="157">
        <f>Y511+Y511*VLOOKUP(I511,EXTRAS_ARRAY,2,FALSE)</f>
        <v>15</v>
      </c>
      <c r="AB511" s="20"/>
      <c r="AC511" s="34"/>
      <c r="AD511" s="23" t="str">
        <f>IF(J511&lt;&gt;"Yes",
IF(S511&lt;=0,"Error: Effort value is not defined or is invalid.",
IF(AND(SUM(U511:W511)&gt;0,SUM(U511:W511)&lt;&gt;1),"Error: Complexity % distribution should sum to 100%.",
IF(AND(P511=AS_DEV_EFFORT,X511&lt;&gt;0),"Error: PDs should not be defined when defining as dev effort %.",
IF(AND(P511=AS_DURATION_EFFORT,X511&lt;&gt;0),"Error: PDs should not be defined when defining as duration effort %.","")))))</f>
        <v/>
      </c>
    </row>
    <row r="512" spans="1:30" s="9" customFormat="1" ht="7.5" hidden="1" customHeight="1" outlineLevel="2" x14ac:dyDescent="0.35">
      <c r="A512" s="86" t="s">
        <v>132</v>
      </c>
      <c r="B512" s="15"/>
      <c r="C512" s="72"/>
      <c r="D512" s="72"/>
      <c r="E512" s="72"/>
      <c r="F512" s="72"/>
      <c r="M512" s="252"/>
      <c r="T512" s="15"/>
      <c r="X512" s="15"/>
      <c r="AB512" s="10"/>
      <c r="AC512" s="10"/>
      <c r="AD512" s="10"/>
    </row>
    <row r="513" spans="1:30" s="14" customFormat="1" ht="15.5" hidden="1" outlineLevel="1" collapsed="1" x14ac:dyDescent="0.35">
      <c r="A513" s="86" t="s">
        <v>100</v>
      </c>
      <c r="B513" s="18"/>
      <c r="C513" s="77"/>
      <c r="D513" s="77"/>
      <c r="E513" s="77"/>
      <c r="F513" s="76"/>
      <c r="G513" s="29"/>
      <c r="H513" s="29"/>
      <c r="I513" s="29"/>
      <c r="J513" s="29"/>
      <c r="K513" s="29"/>
      <c r="L513" s="17">
        <f ca="1">LOOKUP(1000,INDIRECT("L1:"&amp;CELL("address",INDIRECT("R[-1]C",FALSE))))+1</f>
        <v>3</v>
      </c>
      <c r="M513" s="296" t="s">
        <v>464</v>
      </c>
      <c r="N513" s="296"/>
      <c r="O513" s="5"/>
      <c r="P513" s="30"/>
      <c r="Q513" s="30"/>
      <c r="R513" s="30"/>
      <c r="S513" s="30"/>
      <c r="T513" s="155">
        <f>IF($S$6="Exclude", SUMIFS(S514:S519, J514:J519, "&lt;&gt;Yes", G514:G519, "&lt;&gt;Yes"), SUMIFS(S514:S519, J514:J519, "&lt;&gt;Yes"))</f>
        <v>27</v>
      </c>
      <c r="U513" s="30"/>
      <c r="V513" s="30"/>
      <c r="W513" s="30"/>
      <c r="X513" s="31"/>
      <c r="Y513" s="32"/>
      <c r="Z513" s="32"/>
      <c r="AA513" s="32"/>
      <c r="AB513" s="219"/>
      <c r="AC513" s="33"/>
      <c r="AD513" s="23" t="str">
        <f>IF(M513="", "Error: Task name cannot be empty.", "")</f>
        <v/>
      </c>
    </row>
    <row r="514" spans="1:30" s="12" customFormat="1" ht="1.5" hidden="1" customHeight="1" outlineLevel="2" x14ac:dyDescent="0.35">
      <c r="A514" s="86" t="s">
        <v>101</v>
      </c>
      <c r="B514" s="18"/>
      <c r="C514" s="77"/>
      <c r="D514" s="77"/>
      <c r="E514" s="77"/>
      <c r="F514" s="76"/>
      <c r="G514" s="29"/>
      <c r="H514" s="29"/>
      <c r="I514" s="29"/>
      <c r="J514" s="29"/>
      <c r="K514" s="29"/>
      <c r="L514" s="163">
        <f ca="1">L513</f>
        <v>3</v>
      </c>
      <c r="M514" s="164" t="s">
        <v>105</v>
      </c>
      <c r="N514" s="161"/>
      <c r="O514" s="162"/>
      <c r="P514" s="30"/>
      <c r="Q514" s="30"/>
      <c r="R514" s="30"/>
      <c r="S514" s="30"/>
      <c r="T514" s="155"/>
      <c r="U514" s="30"/>
      <c r="V514" s="30"/>
      <c r="W514" s="30"/>
      <c r="X514" s="31"/>
      <c r="Y514" s="32"/>
      <c r="Z514" s="32"/>
      <c r="AA514" s="32"/>
      <c r="AB514" s="33"/>
      <c r="AC514" s="33"/>
      <c r="AD514" s="23"/>
    </row>
    <row r="515" spans="1:30" ht="72.5" hidden="1" outlineLevel="2" x14ac:dyDescent="0.35">
      <c r="A515" s="86" t="s">
        <v>0</v>
      </c>
      <c r="B515" s="18"/>
      <c r="C515" s="78"/>
      <c r="D515" s="78"/>
      <c r="E515" s="78"/>
      <c r="F515" s="79"/>
      <c r="G515" s="19" t="s">
        <v>23</v>
      </c>
      <c r="H515" s="19" t="s">
        <v>23</v>
      </c>
      <c r="I515" s="20" t="s">
        <v>23</v>
      </c>
      <c r="J515" s="19" t="s">
        <v>23</v>
      </c>
      <c r="K515" s="35"/>
      <c r="L515" s="19"/>
      <c r="M515" s="263" t="str">
        <f ca="1">IFERROR(OFFSET(M515,-1,,1,1)+0.1,OFFSET(M515,-1,-1,1,1)&amp;".1")</f>
        <v>3.1</v>
      </c>
      <c r="N515" s="20" t="s">
        <v>962</v>
      </c>
      <c r="O515" s="20"/>
      <c r="P515" s="20"/>
      <c r="Q515" s="134"/>
      <c r="R515" s="127"/>
      <c r="S515" s="157">
        <f>CEILING((IF(J515="Yes", 0, IF(H515="-",AA515,AA515+AA515*VLOOKUP(H515,BUFFERS_BY_TYPE,2,FALSE)))) +
   (IF(J515="Yes", 0, IF(H515="-",AA515,AA515+AA515*VLOOKUP(H515,BUFFERS_BY_TYPE,2,FALSE))))*VLOOKUP($S$5, SALES_CALL_SCALE_ARRAY, 2,FALSE),0.25)</f>
        <v>8</v>
      </c>
      <c r="T515" s="158"/>
      <c r="U515" s="21">
        <v>0</v>
      </c>
      <c r="V515" s="21">
        <v>1</v>
      </c>
      <c r="W515" s="21">
        <v>0</v>
      </c>
      <c r="X515" s="156">
        <v>8</v>
      </c>
      <c r="Y515" s="157">
        <f>CEILING((IF(P515=AS_DEV_EFFORT, DEV_EFFORT*Q515%,
                           IF(P515=AS_DURATION_EFFORT, (MANUAL_DURATION*5)*Q515%,
                                    (IF(Q515&lt;=1,X515,
                                          IF(SUM(U515:W515)=0,(Q515*X515),
                                               (((Q515*U515)*(X515+(X515*EXTRA_FOR_H)))+
                                               ((Q515*V515)*X515)+
                                               ((Q515*W515)*(X515-(X515*LESS_FOR_L)))
                                    )*IF(R515=0,1,R515))))))+Z515), 0.25)</f>
        <v>8</v>
      </c>
      <c r="Z515" s="22"/>
      <c r="AA515" s="157">
        <f>Y515+Y515*VLOOKUP(I515,EXTRAS_ARRAY,2,FALSE)</f>
        <v>8</v>
      </c>
      <c r="AB515" s="20"/>
      <c r="AC515" s="34"/>
      <c r="AD515" s="23" t="str">
        <f>IF(J515&lt;&gt;"Yes",
IF(S515&lt;=0,"Error: Effort value is not defined or is invalid.",
IF(AND(SUM(U515:W515)&gt;0,SUM(U515:W515)&lt;&gt;1),"Error: Complexity % distribution should sum to 100%.",
IF(AND(P515=AS_DEV_EFFORT,X515&lt;&gt;0),"Error: PDs should not be defined when defining as dev effort %.",
IF(AND(P515=AS_DURATION_EFFORT,X515&lt;&gt;0),"Error: PDs should not be defined when defining as duration effort %.","")))))</f>
        <v/>
      </c>
    </row>
    <row r="516" spans="1:30" ht="58" hidden="1" outlineLevel="2" x14ac:dyDescent="0.35">
      <c r="A516" s="86" t="s">
        <v>0</v>
      </c>
      <c r="B516" s="18"/>
      <c r="C516" s="78"/>
      <c r="D516" s="78"/>
      <c r="E516" s="78"/>
      <c r="F516" s="79"/>
      <c r="G516" s="19" t="s">
        <v>23</v>
      </c>
      <c r="H516" s="19" t="s">
        <v>23</v>
      </c>
      <c r="I516" s="20" t="s">
        <v>23</v>
      </c>
      <c r="J516" s="19" t="s">
        <v>23</v>
      </c>
      <c r="K516" s="35"/>
      <c r="L516" s="19"/>
      <c r="M516" s="263">
        <f ca="1">IFERROR(OFFSET(M516,-1,,1,1)+0.1,OFFSET(M516,-1,-1,1,1)&amp;".1")</f>
        <v>3.2</v>
      </c>
      <c r="N516" s="20" t="s">
        <v>1198</v>
      </c>
      <c r="O516" s="20"/>
      <c r="P516" s="20"/>
      <c r="Q516" s="134"/>
      <c r="R516" s="127"/>
      <c r="S516" s="157">
        <f>CEILING((IF(J516="Yes", 0, IF(H516="-",AA516,AA516+AA516*VLOOKUP(H516,BUFFERS_BY_TYPE,2,FALSE)))) +
   (IF(J516="Yes", 0, IF(H516="-",AA516,AA516+AA516*VLOOKUP(H516,BUFFERS_BY_TYPE,2,FALSE))))*VLOOKUP($S$5, SALES_CALL_SCALE_ARRAY, 2,FALSE),0.25)</f>
        <v>2</v>
      </c>
      <c r="T516" s="158"/>
      <c r="U516" s="21">
        <v>0</v>
      </c>
      <c r="V516" s="21">
        <v>1</v>
      </c>
      <c r="W516" s="21">
        <v>0</v>
      </c>
      <c r="X516" s="156">
        <v>2</v>
      </c>
      <c r="Y516" s="157">
        <f>CEILING((IF(P516=AS_DEV_EFFORT, DEV_EFFORT*Q516%,
                           IF(P516=AS_DURATION_EFFORT, (MANUAL_DURATION*5)*Q516%,
                                    (IF(Q516&lt;=1,X516,
                                          IF(SUM(U516:W516)=0,(Q516*X516),
                                               (((Q516*U516)*(X516+(X516*EXTRA_FOR_H)))+
                                               ((Q516*V516)*X516)+
                                               ((Q516*W516)*(X516-(X516*LESS_FOR_L)))
                                    )*IF(R516=0,1,R516))))))+Z516), 0.25)</f>
        <v>2</v>
      </c>
      <c r="Z516" s="22"/>
      <c r="AA516" s="157">
        <f>Y516+Y516*VLOOKUP(I516,EXTRAS_ARRAY,2,FALSE)</f>
        <v>2</v>
      </c>
      <c r="AB516" s="20" t="s">
        <v>1199</v>
      </c>
      <c r="AC516" s="34"/>
      <c r="AD516" s="23" t="str">
        <f>IF(J516&lt;&gt;"Yes",
IF(S516&lt;=0,"Error: Effort value is not defined or is invalid.",
IF(AND(SUM(U516:W516)&gt;0,SUM(U516:W516)&lt;&gt;1),"Error: Complexity % distribution should sum to 100%.",
IF(AND(P516=AS_DEV_EFFORT,X516&lt;&gt;0),"Error: PDs should not be defined when defining as dev effort %.",
IF(AND(P516=AS_DURATION_EFFORT,X516&lt;&gt;0),"Error: PDs should not be defined when defining as duration effort %.","")))))</f>
        <v/>
      </c>
    </row>
    <row r="517" spans="1:30" ht="116" hidden="1" outlineLevel="2" x14ac:dyDescent="0.35">
      <c r="A517" s="86" t="s">
        <v>0</v>
      </c>
      <c r="B517" s="18"/>
      <c r="C517" s="78"/>
      <c r="D517" s="78"/>
      <c r="E517" s="78"/>
      <c r="F517" s="79"/>
      <c r="G517" s="19" t="s">
        <v>23</v>
      </c>
      <c r="H517" s="19" t="s">
        <v>23</v>
      </c>
      <c r="I517" s="20" t="s">
        <v>23</v>
      </c>
      <c r="J517" s="19" t="s">
        <v>23</v>
      </c>
      <c r="K517" s="35"/>
      <c r="L517" s="19"/>
      <c r="M517" s="263">
        <f ca="1">IFERROR(OFFSET(M517,-1,,1,1)+0.1,OFFSET(M517,-1,-1,1,1)&amp;".1")</f>
        <v>3.3</v>
      </c>
      <c r="N517" s="20" t="s">
        <v>963</v>
      </c>
      <c r="O517" s="20"/>
      <c r="P517" s="20"/>
      <c r="Q517" s="134">
        <v>1</v>
      </c>
      <c r="R517" s="127"/>
      <c r="S517" s="157">
        <f>CEILING((IF(J517="Yes", 0, IF(H517="-",AA517,AA517+AA517*VLOOKUP(H517,BUFFERS_BY_TYPE,2,FALSE)))) +
   (IF(J517="Yes", 0, IF(H517="-",AA517,AA517+AA517*VLOOKUP(H517,BUFFERS_BY_TYPE,2,FALSE))))*VLOOKUP($S$5, SALES_CALL_SCALE_ARRAY, 2,FALSE),0.25)</f>
        <v>9</v>
      </c>
      <c r="T517" s="158"/>
      <c r="U517" s="21">
        <v>0</v>
      </c>
      <c r="V517" s="21">
        <v>1</v>
      </c>
      <c r="W517" s="21">
        <v>0</v>
      </c>
      <c r="X517" s="156">
        <v>9</v>
      </c>
      <c r="Y517" s="157">
        <f>CEILING((IF(P517=AS_DEV_EFFORT, DEV_EFFORT*Q517%,
                           IF(P517=AS_DURATION_EFFORT, (MANUAL_DURATION*5)*Q517%,
                                    (IF(Q517&lt;=1,X517,
                                          IF(SUM(U517:W517)=0,(Q517*X517),
                                               (((Q517*U517)*(X517+(X517*EXTRA_FOR_H)))+
                                               ((Q517*V517)*X517)+
                                               ((Q517*W517)*(X517-(X517*LESS_FOR_L)))
                                    )*IF(R517=0,1,R517))))))+Z517), 0.25)</f>
        <v>9</v>
      </c>
      <c r="Z517" s="22"/>
      <c r="AA517" s="157">
        <f>Y517+Y517*VLOOKUP(I517,EXTRAS_ARRAY,2,FALSE)</f>
        <v>9</v>
      </c>
      <c r="AB517" s="20"/>
      <c r="AC517" s="34"/>
      <c r="AD517" s="23" t="str">
        <f>IF(J517&lt;&gt;"Yes",
IF(S517&lt;=0,"Error: Effort value is not defined or is invalid.",
IF(AND(SUM(U517:W517)&gt;0,SUM(U517:W517)&lt;&gt;1),"Error: Complexity % distribution should sum to 100%.",
IF(AND(P517=AS_DEV_EFFORT,X517&lt;&gt;0),"Error: PDs should not be defined when defining as dev effort %.",
IF(AND(P517=AS_DURATION_EFFORT,X517&lt;&gt;0),"Error: PDs should not be defined when defining as duration effort %.","")))))</f>
        <v/>
      </c>
    </row>
    <row r="518" spans="1:30" ht="101.5" hidden="1" outlineLevel="2" x14ac:dyDescent="0.35">
      <c r="A518" s="86" t="s">
        <v>0</v>
      </c>
      <c r="B518" s="18"/>
      <c r="C518" s="78"/>
      <c r="D518" s="78"/>
      <c r="E518" s="78"/>
      <c r="F518" s="79"/>
      <c r="G518" s="19" t="s">
        <v>23</v>
      </c>
      <c r="H518" s="19" t="s">
        <v>23</v>
      </c>
      <c r="I518" s="20" t="s">
        <v>23</v>
      </c>
      <c r="J518" s="19" t="s">
        <v>23</v>
      </c>
      <c r="K518" s="35"/>
      <c r="L518" s="19"/>
      <c r="M518" s="263">
        <f ca="1">IFERROR(OFFSET(M518,-1,,1,1)+0.1,OFFSET(M518,-1,-1,1,1)&amp;".1")</f>
        <v>3.4</v>
      </c>
      <c r="N518" s="20" t="s">
        <v>1158</v>
      </c>
      <c r="O518" s="20"/>
      <c r="P518" s="20"/>
      <c r="Q518" s="134"/>
      <c r="R518" s="127"/>
      <c r="S518" s="157">
        <f>CEILING((IF(J518="Yes", 0, IF(H518="-",AA518,AA518+AA518*VLOOKUP(H518,BUFFERS_BY_TYPE,2,FALSE)))) +
   (IF(J518="Yes", 0, IF(H518="-",AA518,AA518+AA518*VLOOKUP(H518,BUFFERS_BY_TYPE,2,FALSE))))*VLOOKUP($S$5, SALES_CALL_SCALE_ARRAY, 2,FALSE),0.25)</f>
        <v>8</v>
      </c>
      <c r="T518" s="158"/>
      <c r="U518" s="21">
        <v>0</v>
      </c>
      <c r="V518" s="21">
        <v>1</v>
      </c>
      <c r="W518" s="21">
        <v>0</v>
      </c>
      <c r="X518" s="156">
        <v>8</v>
      </c>
      <c r="Y518" s="157">
        <f>CEILING((IF(P518=AS_DEV_EFFORT, DEV_EFFORT*Q518%,
                           IF(P518=AS_DURATION_EFFORT, (MANUAL_DURATION*5)*Q518%,
                                    (IF(Q518&lt;=1,X518,
                                          IF(SUM(U518:W518)=0,(Q518*X518),
                                               (((Q518*U518)*(X518+(X518*EXTRA_FOR_H)))+
                                               ((Q518*V518)*X518)+
                                               ((Q518*W518)*(X518-(X518*LESS_FOR_L)))
                                    )*IF(R518=0,1,R518))))))+Z518), 0.25)</f>
        <v>8</v>
      </c>
      <c r="Z518" s="22"/>
      <c r="AA518" s="157">
        <f>Y518+Y518*VLOOKUP(I518,EXTRAS_ARRAY,2,FALSE)</f>
        <v>8</v>
      </c>
      <c r="AB518" s="20" t="s">
        <v>1159</v>
      </c>
      <c r="AC518" s="34"/>
      <c r="AD518" s="23" t="str">
        <f>IF(J518&lt;&gt;"Yes",
IF(S518&lt;=0,"Error: Effort value is not defined or is invalid.",
IF(AND(SUM(U518:W518)&gt;0,SUM(U518:W518)&lt;&gt;1),"Error: Complexity % distribution should sum to 100%.",
IF(AND(P518=AS_DEV_EFFORT,X518&lt;&gt;0),"Error: PDs should not be defined when defining as dev effort %.",
IF(AND(P518=AS_DURATION_EFFORT,X518&lt;&gt;0),"Error: PDs should not be defined when defining as duration effort %.","")))))</f>
        <v/>
      </c>
    </row>
    <row r="519" spans="1:30" s="9" customFormat="1" ht="7.5" hidden="1" customHeight="1" outlineLevel="2" x14ac:dyDescent="0.35">
      <c r="A519" s="86" t="s">
        <v>132</v>
      </c>
      <c r="B519" s="15"/>
      <c r="C519" s="72"/>
      <c r="D519" s="72"/>
      <c r="E519" s="72"/>
      <c r="F519" s="72"/>
      <c r="M519" s="252"/>
      <c r="T519" s="15"/>
      <c r="X519" s="15"/>
      <c r="AB519" s="10"/>
      <c r="AC519" s="10"/>
      <c r="AD519" s="10"/>
    </row>
    <row r="520" spans="1:30" s="14" customFormat="1" ht="15.5" hidden="1" outlineLevel="1" collapsed="1" x14ac:dyDescent="0.35">
      <c r="A520" s="86" t="s">
        <v>100</v>
      </c>
      <c r="B520" s="18"/>
      <c r="C520" s="77"/>
      <c r="D520" s="77"/>
      <c r="E520" s="77"/>
      <c r="F520" s="76"/>
      <c r="G520" s="29"/>
      <c r="H520" s="29"/>
      <c r="I520" s="29"/>
      <c r="J520" s="29"/>
      <c r="K520" s="29"/>
      <c r="L520" s="17">
        <f ca="1">LOOKUP(1000,INDIRECT("L1:"&amp;CELL("address",INDIRECT("R[-1]C",FALSE))))+1</f>
        <v>4</v>
      </c>
      <c r="M520" s="296" t="s">
        <v>465</v>
      </c>
      <c r="N520" s="296"/>
      <c r="O520" s="5"/>
      <c r="P520" s="30"/>
      <c r="Q520" s="30"/>
      <c r="R520" s="30"/>
      <c r="S520" s="30"/>
      <c r="T520" s="155">
        <f>IF($S$6="Exclude", SUMIFS(S521:S526, J521:J526, "&lt;&gt;Yes", G521:G526, "&lt;&gt;Yes"), SUMIFS(S521:S526, J521:J526, "&lt;&gt;Yes"))</f>
        <v>25</v>
      </c>
      <c r="U520" s="30"/>
      <c r="V520" s="30"/>
      <c r="W520" s="30"/>
      <c r="X520" s="31"/>
      <c r="Y520" s="32"/>
      <c r="Z520" s="32"/>
      <c r="AA520" s="32"/>
      <c r="AB520" s="219"/>
      <c r="AC520" s="33"/>
      <c r="AD520" s="23" t="str">
        <f>IF(M520="", "Error: Task name cannot be empty.", "")</f>
        <v/>
      </c>
    </row>
    <row r="521" spans="1:30" s="12" customFormat="1" ht="1.5" hidden="1" customHeight="1" outlineLevel="2" x14ac:dyDescent="0.35">
      <c r="A521" s="86" t="s">
        <v>101</v>
      </c>
      <c r="B521" s="18"/>
      <c r="C521" s="77"/>
      <c r="D521" s="77"/>
      <c r="E521" s="77"/>
      <c r="F521" s="76"/>
      <c r="G521" s="29"/>
      <c r="H521" s="29"/>
      <c r="I521" s="29"/>
      <c r="J521" s="29"/>
      <c r="K521" s="29"/>
      <c r="L521" s="163">
        <f ca="1">L520</f>
        <v>4</v>
      </c>
      <c r="M521" s="164" t="s">
        <v>105</v>
      </c>
      <c r="N521" s="161"/>
      <c r="O521" s="162"/>
      <c r="P521" s="30"/>
      <c r="Q521" s="30"/>
      <c r="R521" s="30"/>
      <c r="S521" s="30"/>
      <c r="T521" s="155"/>
      <c r="U521" s="30"/>
      <c r="V521" s="30"/>
      <c r="W521" s="30"/>
      <c r="X521" s="31"/>
      <c r="Y521" s="32"/>
      <c r="Z521" s="32"/>
      <c r="AA521" s="32"/>
      <c r="AB521" s="33"/>
      <c r="AC521" s="33"/>
      <c r="AD521" s="23"/>
    </row>
    <row r="522" spans="1:30" ht="72.5" hidden="1" outlineLevel="2" x14ac:dyDescent="0.35">
      <c r="A522" s="86" t="s">
        <v>0</v>
      </c>
      <c r="B522" s="18"/>
      <c r="C522" s="78"/>
      <c r="D522" s="78"/>
      <c r="E522" s="78"/>
      <c r="F522" s="79"/>
      <c r="G522" s="19" t="s">
        <v>23</v>
      </c>
      <c r="H522" s="19" t="s">
        <v>23</v>
      </c>
      <c r="I522" s="20" t="s">
        <v>23</v>
      </c>
      <c r="J522" s="19" t="s">
        <v>23</v>
      </c>
      <c r="K522" s="35"/>
      <c r="L522" s="19"/>
      <c r="M522" s="263" t="str">
        <f ca="1">IFERROR(OFFSET(M522,-1,,1,1)+0.1,OFFSET(M522,-1,-1,1,1)&amp;".1")</f>
        <v>4.1</v>
      </c>
      <c r="N522" s="20" t="s">
        <v>964</v>
      </c>
      <c r="O522" s="20"/>
      <c r="P522" s="20"/>
      <c r="Q522" s="134"/>
      <c r="R522" s="127"/>
      <c r="S522" s="157">
        <f>CEILING((IF(J522="Yes", 0, IF(H522="-",AA522,AA522+AA522*VLOOKUP(H522,BUFFERS_BY_TYPE,2,FALSE)))) +
   (IF(J522="Yes", 0, IF(H522="-",AA522,AA522+AA522*VLOOKUP(H522,BUFFERS_BY_TYPE,2,FALSE))))*VLOOKUP($S$5, SALES_CALL_SCALE_ARRAY, 2,FALSE),0.25)</f>
        <v>6</v>
      </c>
      <c r="T522" s="158"/>
      <c r="U522" s="21">
        <v>0</v>
      </c>
      <c r="V522" s="21">
        <v>1</v>
      </c>
      <c r="W522" s="21">
        <v>0</v>
      </c>
      <c r="X522" s="156">
        <v>6</v>
      </c>
      <c r="Y522" s="157">
        <f>CEILING((IF(P522=AS_DEV_EFFORT, DEV_EFFORT*Q522%,
                           IF(P522=AS_DURATION_EFFORT, (MANUAL_DURATION*5)*Q522%,
                                    (IF(Q522&lt;=1,X522,
                                          IF(SUM(U522:W522)=0,(Q522*X522),
                                               (((Q522*U522)*(X522+(X522*EXTRA_FOR_H)))+
                                               ((Q522*V522)*X522)+
                                               ((Q522*W522)*(X522-(X522*LESS_FOR_L)))
                                    )*IF(R522=0,1,R522))))))+Z522), 0.25)</f>
        <v>6</v>
      </c>
      <c r="Z522" s="22"/>
      <c r="AA522" s="157">
        <f>Y522+Y522*VLOOKUP(I522,EXTRAS_ARRAY,2,FALSE)</f>
        <v>6</v>
      </c>
      <c r="AB522" s="20"/>
      <c r="AC522" s="34"/>
      <c r="AD522" s="23" t="str">
        <f>IF(J522&lt;&gt;"Yes",
IF(S522&lt;=0,"Error: Effort value is not defined or is invalid.",
IF(AND(SUM(U522:W522)&gt;0,SUM(U522:W522)&lt;&gt;1),"Error: Complexity % distribution should sum to 100%.",
IF(AND(P522=AS_DEV_EFFORT,X522&lt;&gt;0),"Error: PDs should not be defined when defining as dev effort %.",
IF(AND(P522=AS_DURATION_EFFORT,X522&lt;&gt;0),"Error: PDs should not be defined when defining as duration effort %.","")))))</f>
        <v/>
      </c>
    </row>
    <row r="523" spans="1:30" ht="72.5" hidden="1" outlineLevel="2" x14ac:dyDescent="0.35">
      <c r="A523" s="86" t="s">
        <v>0</v>
      </c>
      <c r="B523" s="18"/>
      <c r="C523" s="78"/>
      <c r="D523" s="78"/>
      <c r="E523" s="78"/>
      <c r="F523" s="79"/>
      <c r="G523" s="19" t="s">
        <v>23</v>
      </c>
      <c r="H523" s="19" t="s">
        <v>23</v>
      </c>
      <c r="I523" s="20" t="s">
        <v>23</v>
      </c>
      <c r="J523" s="19" t="s">
        <v>23</v>
      </c>
      <c r="K523" s="35"/>
      <c r="L523" s="19"/>
      <c r="M523" s="263">
        <f ca="1">IFERROR(OFFSET(M523,-1,,1,1)+0.1,OFFSET(M523,-1,-1,1,1)&amp;".1")</f>
        <v>4.2</v>
      </c>
      <c r="N523" s="20" t="s">
        <v>965</v>
      </c>
      <c r="O523" s="20"/>
      <c r="P523" s="20"/>
      <c r="Q523" s="134"/>
      <c r="R523" s="127"/>
      <c r="S523" s="157">
        <f>CEILING((IF(J523="Yes", 0, IF(H523="-",AA523,AA523+AA523*VLOOKUP(H523,BUFFERS_BY_TYPE,2,FALSE)))) +
   (IF(J523="Yes", 0, IF(H523="-",AA523,AA523+AA523*VLOOKUP(H523,BUFFERS_BY_TYPE,2,FALSE))))*VLOOKUP($S$5, SALES_CALL_SCALE_ARRAY, 2,FALSE),0.25)</f>
        <v>6</v>
      </c>
      <c r="T523" s="158"/>
      <c r="U523" s="21">
        <v>0</v>
      </c>
      <c r="V523" s="21">
        <v>1</v>
      </c>
      <c r="W523" s="21">
        <v>0</v>
      </c>
      <c r="X523" s="156">
        <v>6</v>
      </c>
      <c r="Y523" s="157">
        <f>CEILING((IF(P523=AS_DEV_EFFORT, DEV_EFFORT*Q523%,
                           IF(P523=AS_DURATION_EFFORT, (MANUAL_DURATION*5)*Q523%,
                                    (IF(Q523&lt;=1,X523,
                                          IF(SUM(U523:W523)=0,(Q523*X523),
                                               (((Q523*U523)*(X523+(X523*EXTRA_FOR_H)))+
                                               ((Q523*V523)*X523)+
                                               ((Q523*W523)*(X523-(X523*LESS_FOR_L)))
                                    )*IF(R523=0,1,R523))))))+Z523), 0.25)</f>
        <v>6</v>
      </c>
      <c r="Z523" s="22"/>
      <c r="AA523" s="157">
        <f>Y523+Y523*VLOOKUP(I523,EXTRAS_ARRAY,2,FALSE)</f>
        <v>6</v>
      </c>
      <c r="AB523" s="20"/>
      <c r="AC523" s="34"/>
      <c r="AD523" s="23" t="str">
        <f>IF(J523&lt;&gt;"Yes",
IF(S523&lt;=0,"Error: Effort value is not defined or is invalid.",
IF(AND(SUM(U523:W523)&gt;0,SUM(U523:W523)&lt;&gt;1),"Error: Complexity % distribution should sum to 100%.",
IF(AND(P523=AS_DEV_EFFORT,X523&lt;&gt;0),"Error: PDs should not be defined when defining as dev effort %.",
IF(AND(P523=AS_DURATION_EFFORT,X523&lt;&gt;0),"Error: PDs should not be defined when defining as duration effort %.","")))))</f>
        <v/>
      </c>
    </row>
    <row r="524" spans="1:30" ht="87" hidden="1" outlineLevel="2" x14ac:dyDescent="0.35">
      <c r="A524" s="86" t="s">
        <v>0</v>
      </c>
      <c r="B524" s="18"/>
      <c r="C524" s="78"/>
      <c r="D524" s="78"/>
      <c r="E524" s="78"/>
      <c r="F524" s="79"/>
      <c r="G524" s="19" t="s">
        <v>23</v>
      </c>
      <c r="H524" s="19" t="s">
        <v>23</v>
      </c>
      <c r="I524" s="20" t="s">
        <v>23</v>
      </c>
      <c r="J524" s="19" t="s">
        <v>23</v>
      </c>
      <c r="K524" s="35"/>
      <c r="L524" s="19"/>
      <c r="M524" s="263">
        <f ca="1">IFERROR(OFFSET(M524,-1,,1,1)+0.1,OFFSET(M524,-1,-1,1,1)&amp;".1")</f>
        <v>4.3</v>
      </c>
      <c r="N524" s="20" t="s">
        <v>966</v>
      </c>
      <c r="O524" s="20"/>
      <c r="P524" s="20"/>
      <c r="Q524" s="134"/>
      <c r="R524" s="127"/>
      <c r="S524" s="157">
        <f>CEILING((IF(J524="Yes", 0, IF(H524="-",AA524,AA524+AA524*VLOOKUP(H524,BUFFERS_BY_TYPE,2,FALSE)))) +
   (IF(J524="Yes", 0, IF(H524="-",AA524,AA524+AA524*VLOOKUP(H524,BUFFERS_BY_TYPE,2,FALSE))))*VLOOKUP($S$5, SALES_CALL_SCALE_ARRAY, 2,FALSE),0.25)</f>
        <v>7</v>
      </c>
      <c r="T524" s="158"/>
      <c r="U524" s="21">
        <v>0</v>
      </c>
      <c r="V524" s="21">
        <v>1</v>
      </c>
      <c r="W524" s="21">
        <v>0</v>
      </c>
      <c r="X524" s="156">
        <v>7</v>
      </c>
      <c r="Y524" s="157">
        <f>CEILING((IF(P524=AS_DEV_EFFORT, DEV_EFFORT*Q524%,
                           IF(P524=AS_DURATION_EFFORT, (MANUAL_DURATION*5)*Q524%,
                                    (IF(Q524&lt;=1,X524,
                                          IF(SUM(U524:W524)=0,(Q524*X524),
                                               (((Q524*U524)*(X524+(X524*EXTRA_FOR_H)))+
                                               ((Q524*V524)*X524)+
                                               ((Q524*W524)*(X524-(X524*LESS_FOR_L)))
                                    )*IF(R524=0,1,R524))))))+Z524), 0.25)</f>
        <v>7</v>
      </c>
      <c r="Z524" s="22"/>
      <c r="AA524" s="157">
        <f>Y524+Y524*VLOOKUP(I524,EXTRAS_ARRAY,2,FALSE)</f>
        <v>7</v>
      </c>
      <c r="AB524" s="20"/>
      <c r="AC524" s="34"/>
      <c r="AD524" s="23" t="str">
        <f>IF(J524&lt;&gt;"Yes",
IF(S524&lt;=0,"Error: Effort value is not defined or is invalid.",
IF(AND(SUM(U524:W524)&gt;0,SUM(U524:W524)&lt;&gt;1),"Error: Complexity % distribution should sum to 100%.",
IF(AND(P524=AS_DEV_EFFORT,X524&lt;&gt;0),"Error: PDs should not be defined when defining as dev effort %.",
IF(AND(P524=AS_DURATION_EFFORT,X524&lt;&gt;0),"Error: PDs should not be defined when defining as duration effort %.","")))))</f>
        <v/>
      </c>
    </row>
    <row r="525" spans="1:30" ht="72.5" hidden="1" outlineLevel="2" x14ac:dyDescent="0.35">
      <c r="A525" s="86" t="s">
        <v>0</v>
      </c>
      <c r="B525" s="18"/>
      <c r="C525" s="78"/>
      <c r="D525" s="78"/>
      <c r="E525" s="78"/>
      <c r="F525" s="79"/>
      <c r="G525" s="19" t="s">
        <v>23</v>
      </c>
      <c r="H525" s="19" t="s">
        <v>23</v>
      </c>
      <c r="I525" s="20" t="s">
        <v>23</v>
      </c>
      <c r="J525" s="19" t="s">
        <v>23</v>
      </c>
      <c r="K525" s="35"/>
      <c r="L525" s="19"/>
      <c r="M525" s="263">
        <f ca="1">IFERROR(OFFSET(M525,-1,,1,1)+0.1,OFFSET(M525,-1,-1,1,1)&amp;".1")</f>
        <v>4.4</v>
      </c>
      <c r="N525" s="20" t="s">
        <v>967</v>
      </c>
      <c r="O525" s="20"/>
      <c r="P525" s="20"/>
      <c r="Q525" s="134"/>
      <c r="R525" s="127"/>
      <c r="S525" s="157">
        <f>CEILING((IF(J525="Yes", 0, IF(H525="-",AA525,AA525+AA525*VLOOKUP(H525,BUFFERS_BY_TYPE,2,FALSE)))) +
   (IF(J525="Yes", 0, IF(H525="-",AA525,AA525+AA525*VLOOKUP(H525,BUFFERS_BY_TYPE,2,FALSE))))*VLOOKUP($S$5, SALES_CALL_SCALE_ARRAY, 2,FALSE),0.25)</f>
        <v>6</v>
      </c>
      <c r="T525" s="158"/>
      <c r="U525" s="21">
        <v>0</v>
      </c>
      <c r="V525" s="21">
        <v>1</v>
      </c>
      <c r="W525" s="21">
        <v>0</v>
      </c>
      <c r="X525" s="156">
        <v>6</v>
      </c>
      <c r="Y525" s="157">
        <f>CEILING((IF(P525=AS_DEV_EFFORT, DEV_EFFORT*Q525%,
                           IF(P525=AS_DURATION_EFFORT, (MANUAL_DURATION*5)*Q525%,
                                    (IF(Q525&lt;=1,X525,
                                          IF(SUM(U525:W525)=0,(Q525*X525),
                                               (((Q525*U525)*(X525+(X525*EXTRA_FOR_H)))+
                                               ((Q525*V525)*X525)+
                                               ((Q525*W525)*(X525-(X525*LESS_FOR_L)))
                                    )*IF(R525=0,1,R525))))))+Z525), 0.25)</f>
        <v>6</v>
      </c>
      <c r="Z525" s="22"/>
      <c r="AA525" s="157">
        <f>Y525+Y525*VLOOKUP(I525,EXTRAS_ARRAY,2,FALSE)</f>
        <v>6</v>
      </c>
      <c r="AB525" s="20"/>
      <c r="AC525" s="34"/>
      <c r="AD525" s="23" t="str">
        <f>IF(J525&lt;&gt;"Yes",
IF(S525&lt;=0,"Error: Effort value is not defined or is invalid.",
IF(AND(SUM(U525:W525)&gt;0,SUM(U525:W525)&lt;&gt;1),"Error: Complexity % distribution should sum to 100%.",
IF(AND(P525=AS_DEV_EFFORT,X525&lt;&gt;0),"Error: PDs should not be defined when defining as dev effort %.",
IF(AND(P525=AS_DURATION_EFFORT,X525&lt;&gt;0),"Error: PDs should not be defined when defining as duration effort %.","")))))</f>
        <v/>
      </c>
    </row>
    <row r="526" spans="1:30" s="9" customFormat="1" ht="7.5" hidden="1" customHeight="1" outlineLevel="2" x14ac:dyDescent="0.35">
      <c r="A526" s="86" t="s">
        <v>132</v>
      </c>
      <c r="B526" s="15"/>
      <c r="C526" s="72"/>
      <c r="D526" s="72"/>
      <c r="E526" s="72"/>
      <c r="F526" s="72"/>
      <c r="M526" s="252"/>
      <c r="T526" s="15"/>
      <c r="X526" s="15"/>
      <c r="AB526" s="10"/>
      <c r="AC526" s="10"/>
      <c r="AD526" s="10"/>
    </row>
    <row r="527" spans="1:30" s="9" customFormat="1" ht="3" hidden="1" customHeight="1" outlineLevel="1" x14ac:dyDescent="0.35">
      <c r="A527" s="86" t="s">
        <v>102</v>
      </c>
      <c r="C527" s="72"/>
      <c r="D527" s="72"/>
      <c r="E527" s="72"/>
      <c r="F527" s="72"/>
      <c r="G527" s="25"/>
      <c r="H527" s="25"/>
      <c r="I527" s="25"/>
      <c r="J527" s="25"/>
      <c r="K527" s="25"/>
      <c r="L527" s="56"/>
      <c r="M527" s="264"/>
      <c r="N527" s="57"/>
      <c r="O527" s="57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7"/>
      <c r="AC527" s="57"/>
      <c r="AD527" s="10"/>
    </row>
    <row r="528" spans="1:30" s="14" customFormat="1" ht="18.5" collapsed="1" x14ac:dyDescent="0.35">
      <c r="A528" s="86" t="s">
        <v>98</v>
      </c>
      <c r="B528" s="12"/>
      <c r="C528" s="73"/>
      <c r="D528" s="73"/>
      <c r="E528" s="73"/>
      <c r="F528" s="72"/>
      <c r="G528" s="52"/>
      <c r="H528" s="52"/>
      <c r="I528" s="52"/>
      <c r="J528" s="52"/>
      <c r="K528" s="52"/>
      <c r="L528" s="52" t="s">
        <v>83</v>
      </c>
      <c r="M528" s="261" t="s">
        <v>76</v>
      </c>
      <c r="N528" s="53"/>
      <c r="O528" s="54"/>
      <c r="P528" s="55"/>
      <c r="Q528" s="55"/>
      <c r="R528" s="55"/>
      <c r="S528" s="326">
        <f>CEILING(SUMIF(J529:J534, "&lt;&gt;Yes", T529:T534),1)</f>
        <v>87</v>
      </c>
      <c r="T528" s="326"/>
      <c r="U528" s="55"/>
      <c r="V528" s="55"/>
      <c r="W528" s="55"/>
      <c r="X528" s="55"/>
      <c r="Y528" s="55"/>
      <c r="Z528" s="55"/>
      <c r="AA528" s="55"/>
      <c r="AB528" s="55"/>
      <c r="AC528" s="55"/>
      <c r="AD528" s="13"/>
    </row>
    <row r="529" spans="1:30" s="9" customFormat="1" ht="3" hidden="1" customHeight="1" outlineLevel="1" x14ac:dyDescent="0.35">
      <c r="A529" s="86" t="s">
        <v>99</v>
      </c>
      <c r="B529" s="15"/>
      <c r="C529" s="72"/>
      <c r="D529" s="72"/>
      <c r="E529" s="72"/>
      <c r="F529" s="72"/>
      <c r="G529" s="25"/>
      <c r="H529" s="25"/>
      <c r="I529" s="25"/>
      <c r="J529" s="25"/>
      <c r="K529" s="25"/>
      <c r="L529" s="26">
        <v>0</v>
      </c>
      <c r="M529" s="262"/>
      <c r="N529" s="25"/>
      <c r="O529" s="25"/>
      <c r="P529" s="25"/>
      <c r="Q529" s="25"/>
      <c r="R529" s="25"/>
      <c r="S529" s="25"/>
      <c r="T529" s="27"/>
      <c r="U529" s="25"/>
      <c r="V529" s="25"/>
      <c r="W529" s="25"/>
      <c r="X529" s="27"/>
      <c r="Y529" s="25"/>
      <c r="Z529" s="25"/>
      <c r="AA529" s="25"/>
      <c r="AB529" s="28"/>
      <c r="AC529" s="28"/>
      <c r="AD529" s="10"/>
    </row>
    <row r="530" spans="1:30" s="14" customFormat="1" ht="15.5" hidden="1" outlineLevel="1" x14ac:dyDescent="0.35">
      <c r="A530" s="86" t="s">
        <v>100</v>
      </c>
      <c r="B530" s="18"/>
      <c r="C530" s="77"/>
      <c r="D530" s="77"/>
      <c r="E530" s="77"/>
      <c r="F530" s="76"/>
      <c r="G530" s="29"/>
      <c r="H530" s="29"/>
      <c r="I530" s="29"/>
      <c r="J530" s="29"/>
      <c r="K530" s="29"/>
      <c r="L530" s="17">
        <f ca="1">LOOKUP(1000,INDIRECT("L1:"&amp;CELL("address",INDIRECT("R[-1]C",FALSE))))+1</f>
        <v>1</v>
      </c>
      <c r="M530" s="296" t="s">
        <v>471</v>
      </c>
      <c r="N530" s="296"/>
      <c r="O530" s="5"/>
      <c r="P530" s="30"/>
      <c r="Q530" s="30"/>
      <c r="R530" s="30"/>
      <c r="S530" s="30"/>
      <c r="T530" s="155">
        <f>IF($S$6="Exclude", SUMIFS(S531:S533, J531:J533, "&lt;&gt;Yes", G531:G533, "&lt;&gt;Yes"), SUMIFS(S531:S533, J531:J533, "&lt;&gt;Yes"))</f>
        <v>86.5</v>
      </c>
      <c r="U530" s="30"/>
      <c r="V530" s="30"/>
      <c r="W530" s="30"/>
      <c r="X530" s="31"/>
      <c r="Y530" s="32"/>
      <c r="Z530" s="32"/>
      <c r="AA530" s="32"/>
      <c r="AB530" s="219"/>
      <c r="AC530" s="33"/>
      <c r="AD530" s="23" t="str">
        <f>IF(M530="", "Error: Task name cannot be empty.", "")</f>
        <v/>
      </c>
    </row>
    <row r="531" spans="1:30" s="12" customFormat="1" ht="1.5" hidden="1" customHeight="1" outlineLevel="2" x14ac:dyDescent="0.35">
      <c r="A531" s="86" t="s">
        <v>101</v>
      </c>
      <c r="B531" s="18"/>
      <c r="C531" s="77"/>
      <c r="D531" s="77"/>
      <c r="E531" s="77"/>
      <c r="F531" s="76"/>
      <c r="G531" s="29"/>
      <c r="H531" s="29"/>
      <c r="I531" s="29"/>
      <c r="J531" s="29"/>
      <c r="K531" s="29"/>
      <c r="L531" s="163">
        <f ca="1">L530</f>
        <v>1</v>
      </c>
      <c r="M531" s="164" t="s">
        <v>105</v>
      </c>
      <c r="N531" s="161"/>
      <c r="O531" s="162"/>
      <c r="P531" s="30"/>
      <c r="Q531" s="30"/>
      <c r="R531" s="30"/>
      <c r="S531" s="30"/>
      <c r="T531" s="155"/>
      <c r="U531" s="30"/>
      <c r="V531" s="30"/>
      <c r="W531" s="30"/>
      <c r="X531" s="31"/>
      <c r="Y531" s="32"/>
      <c r="Z531" s="32"/>
      <c r="AA531" s="32"/>
      <c r="AB531" s="33"/>
      <c r="AC531" s="33"/>
      <c r="AD531" s="23"/>
    </row>
    <row r="532" spans="1:30" ht="15.5" hidden="1" outlineLevel="2" x14ac:dyDescent="0.35">
      <c r="A532" s="86" t="s">
        <v>0</v>
      </c>
      <c r="B532" s="18"/>
      <c r="C532" s="78"/>
      <c r="D532" s="78"/>
      <c r="E532" s="78"/>
      <c r="F532" s="79"/>
      <c r="G532" s="19" t="s">
        <v>23</v>
      </c>
      <c r="H532" s="19" t="s">
        <v>23</v>
      </c>
      <c r="I532" s="20" t="s">
        <v>23</v>
      </c>
      <c r="J532" s="19" t="s">
        <v>23</v>
      </c>
      <c r="K532" s="35"/>
      <c r="L532" s="19"/>
      <c r="M532" s="263" t="str">
        <f ca="1">IFERROR(OFFSET(M532,-1,,1,1)+0.1,OFFSET(M532,-1,-1,1,1)&amp;".1")</f>
        <v>1.1</v>
      </c>
      <c r="N532" s="20" t="s">
        <v>472</v>
      </c>
      <c r="O532" s="20" t="s">
        <v>473</v>
      </c>
      <c r="P532" s="251">
        <v>7.8600000000000003E-2</v>
      </c>
      <c r="Q532" s="134"/>
      <c r="R532" s="127"/>
      <c r="S532" s="157">
        <f>CEILING((IF(J532="Yes", 0, IF(H532="-",AA532,AA532+AA532*VLOOKUP(H532,BUFFERS_BY_TYPE,2,FALSE)))) +
   (IF(J532="Yes", 0, IF(H532="-",AA532,AA532+AA532*VLOOKUP(H532,BUFFERS_BY_TYPE,2,FALSE))))*VLOOKUP($S$5, SALES_CALL_SCALE_ARRAY, 2,FALSE),0.25)</f>
        <v>86.5</v>
      </c>
      <c r="T532" s="158"/>
      <c r="U532" s="21">
        <v>0</v>
      </c>
      <c r="V532" s="21">
        <v>1</v>
      </c>
      <c r="W532" s="21">
        <v>0</v>
      </c>
      <c r="X532" s="156">
        <f>(REQ_EFFORT+DESIGN_EFFORT+DEV_EFFORT+QA_EFFORT+UAT_EFFORT) * P532</f>
        <v>86.3814</v>
      </c>
      <c r="Y532" s="157">
        <f>CEILING((IF(P532=AS_DEV_EFFORT, DEV_EFFORT*Q532%,
                           IF(P532=AS_DURATION_EFFORT, (MANUAL_DURATION*5)*Q532%,
                                    (IF(Q532&lt;=1,X532,
                                          IF(SUM(U532:W532)=0,(Q532*X532),
                                               (((Q532*U532)*(X532+(X532*EXTRA_FOR_H)))+
                                               ((Q532*V532)*X532)+
                                               ((Q532*W532)*(X532-(X532*LESS_FOR_L)))
                                    )*IF(R532=0,1,R532))))))+Z532), 0.25)</f>
        <v>86.5</v>
      </c>
      <c r="Z532" s="22">
        <v>4.4999999999999998E-2</v>
      </c>
      <c r="AA532" s="157">
        <f>Y532+Y532*VLOOKUP(I532,EXTRAS_ARRAY,2,FALSE)</f>
        <v>86.5</v>
      </c>
      <c r="AB532" s="20"/>
      <c r="AC532" s="34"/>
      <c r="AD532" s="23" t="str">
        <f>IF(J532&lt;&gt;"Yes",
IF(S532&lt;=0,"Error: Effort value is not defined or is invalid.",
IF(AND(SUM(U532:W532)&gt;0,SUM(U532:W532)&lt;&gt;1),"Error: Complexity % distribution should sum to 100%.",
IF(AND(P532=AS_DEV_EFFORT,X532&lt;&gt;0),"Error: PDs should not be defined when defining as dev effort %.",
IF(AND(P532=AS_DURATION_EFFORT,X532&lt;&gt;0),"Error: PDs should not be defined when defining as duration effort %.","")))))</f>
        <v/>
      </c>
    </row>
    <row r="533" spans="1:30" s="9" customFormat="1" ht="7.5" hidden="1" customHeight="1" outlineLevel="2" x14ac:dyDescent="0.35">
      <c r="A533" s="86" t="s">
        <v>132</v>
      </c>
      <c r="B533" s="15"/>
      <c r="C533" s="72"/>
      <c r="D533" s="72"/>
      <c r="E533" s="72"/>
      <c r="F533" s="72"/>
      <c r="M533" s="252"/>
      <c r="T533" s="15"/>
      <c r="X533" s="15"/>
      <c r="AB533" s="10"/>
      <c r="AC533" s="10"/>
      <c r="AD533" s="10"/>
    </row>
    <row r="534" spans="1:30" s="9" customFormat="1" ht="3" hidden="1" customHeight="1" outlineLevel="1" x14ac:dyDescent="0.35">
      <c r="A534" s="86" t="s">
        <v>102</v>
      </c>
      <c r="C534" s="72"/>
      <c r="D534" s="72"/>
      <c r="E534" s="72"/>
      <c r="F534" s="72"/>
      <c r="G534" s="25"/>
      <c r="H534" s="25"/>
      <c r="I534" s="25"/>
      <c r="J534" s="25"/>
      <c r="K534" s="25"/>
      <c r="L534" s="56"/>
      <c r="M534" s="264"/>
      <c r="N534" s="57"/>
      <c r="O534" s="57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7"/>
      <c r="AC534" s="57"/>
      <c r="AD534" s="10"/>
    </row>
    <row r="535" spans="1:30" s="9" customFormat="1" ht="20.25" customHeight="1" x14ac:dyDescent="0.35">
      <c r="A535" s="86" t="s">
        <v>103</v>
      </c>
      <c r="C535" s="72"/>
      <c r="D535" s="72"/>
      <c r="E535" s="72"/>
      <c r="F535" s="72"/>
      <c r="G535" s="40"/>
      <c r="H535" s="40"/>
      <c r="I535" s="40"/>
      <c r="J535" s="40"/>
      <c r="K535" s="40"/>
      <c r="L535" s="136"/>
      <c r="M535" s="258"/>
      <c r="N535" s="40"/>
      <c r="O535" s="40"/>
      <c r="P535" s="40"/>
      <c r="Q535" s="40"/>
      <c r="R535" s="40"/>
      <c r="S535" s="327">
        <f>TOTAL_EFFORT</f>
        <v>1186</v>
      </c>
      <c r="T535" s="327"/>
      <c r="U535" s="40"/>
      <c r="V535" s="40"/>
      <c r="W535" s="40"/>
      <c r="X535" s="40"/>
      <c r="Y535" s="40"/>
      <c r="Z535" s="40"/>
      <c r="AA535" s="40"/>
      <c r="AB535" s="135"/>
      <c r="AC535" s="40"/>
      <c r="AD535" s="10"/>
    </row>
    <row r="536" spans="1:30" s="9" customFormat="1" x14ac:dyDescent="0.35">
      <c r="A536" s="86"/>
      <c r="C536" s="74"/>
      <c r="D536" s="74"/>
      <c r="E536" s="74"/>
      <c r="F536" s="72"/>
      <c r="M536" s="252"/>
      <c r="N536" s="10"/>
      <c r="O536" s="10"/>
      <c r="AB536" s="10"/>
      <c r="AC536" s="10"/>
      <c r="AD536" s="10"/>
    </row>
    <row r="537" spans="1:30" s="9" customFormat="1" ht="20.25" customHeight="1" x14ac:dyDescent="0.35">
      <c r="A537" s="86"/>
      <c r="C537" s="72"/>
      <c r="D537" s="72"/>
      <c r="E537" s="72"/>
      <c r="F537" s="72"/>
      <c r="G537" s="320" t="s">
        <v>48</v>
      </c>
      <c r="H537" s="320"/>
      <c r="I537" s="165"/>
      <c r="J537" s="40"/>
      <c r="K537" s="40"/>
      <c r="L537" s="36"/>
      <c r="M537" s="265" t="s">
        <v>154</v>
      </c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10"/>
    </row>
    <row r="538" spans="1:30" s="9" customFormat="1" outlineLevel="1" x14ac:dyDescent="0.35">
      <c r="A538" s="86"/>
      <c r="C538" s="74"/>
      <c r="D538" s="74"/>
      <c r="E538" s="74"/>
      <c r="F538" s="72"/>
      <c r="G538" s="25"/>
      <c r="H538" s="25"/>
      <c r="I538" s="25"/>
      <c r="J538" s="25"/>
      <c r="K538" s="25"/>
      <c r="L538" s="25"/>
      <c r="M538" s="262"/>
      <c r="N538" s="28"/>
      <c r="O538" s="28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8"/>
      <c r="AC538" s="28"/>
      <c r="AD538" s="10"/>
    </row>
    <row r="539" spans="1:30" s="9" customFormat="1" ht="15" customHeight="1" outlineLevel="1" x14ac:dyDescent="0.35">
      <c r="A539" s="86"/>
      <c r="C539" s="74"/>
      <c r="D539" s="74"/>
      <c r="E539" s="74"/>
      <c r="F539" s="72"/>
      <c r="G539" s="25"/>
      <c r="H539" s="25"/>
      <c r="I539" s="25"/>
      <c r="J539" s="25"/>
      <c r="K539" s="25"/>
      <c r="L539" s="25"/>
      <c r="M539" s="302" t="s">
        <v>444</v>
      </c>
      <c r="N539" s="302"/>
      <c r="O539" s="302"/>
      <c r="P539" s="302"/>
      <c r="Q539" s="302"/>
      <c r="R539" s="302"/>
      <c r="S539" s="302"/>
      <c r="T539" s="302"/>
      <c r="U539" s="28"/>
      <c r="V539" s="28"/>
      <c r="W539" s="28"/>
      <c r="X539" s="25"/>
      <c r="Y539" s="25"/>
      <c r="Z539" s="25"/>
      <c r="AA539" s="25"/>
      <c r="AB539" s="28"/>
      <c r="AC539" s="28"/>
      <c r="AD539" s="10"/>
    </row>
    <row r="540" spans="1:30" s="9" customFormat="1" outlineLevel="1" x14ac:dyDescent="0.35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302"/>
      <c r="N540" s="302"/>
      <c r="O540" s="302"/>
      <c r="P540" s="302"/>
      <c r="Q540" s="302"/>
      <c r="R540" s="302"/>
      <c r="S540" s="302"/>
      <c r="T540" s="302"/>
      <c r="U540" s="28"/>
      <c r="V540" s="28"/>
      <c r="W540" s="28"/>
      <c r="X540" s="25"/>
      <c r="Y540" s="25"/>
      <c r="Z540" s="25"/>
      <c r="AA540" s="25"/>
      <c r="AB540" s="28"/>
      <c r="AC540" s="28"/>
      <c r="AD540" s="10"/>
    </row>
    <row r="541" spans="1:30" s="9" customFormat="1" ht="3.75" customHeight="1" outlineLevel="1" x14ac:dyDescent="0.35">
      <c r="A541" s="86"/>
      <c r="C541" s="74"/>
      <c r="D541" s="74"/>
      <c r="E541" s="74"/>
      <c r="F541" s="72"/>
      <c r="G541" s="25"/>
      <c r="H541" s="25"/>
      <c r="I541" s="25"/>
      <c r="J541" s="25"/>
      <c r="K541" s="25"/>
      <c r="L541" s="25"/>
      <c r="M541" s="262"/>
      <c r="N541" s="28"/>
      <c r="O541" s="28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8"/>
      <c r="AC541" s="28"/>
      <c r="AD541" s="10"/>
    </row>
    <row r="542" spans="1:30" s="9" customFormat="1" ht="15.5" outlineLevel="1" x14ac:dyDescent="0.35">
      <c r="A542" s="86"/>
      <c r="C542" s="74"/>
      <c r="D542" s="74"/>
      <c r="E542" s="74"/>
      <c r="F542" s="72"/>
      <c r="G542" s="25"/>
      <c r="H542" s="25"/>
      <c r="I542" s="25"/>
      <c r="J542" s="25"/>
      <c r="K542" s="25"/>
      <c r="L542" s="25"/>
      <c r="M542" s="266" t="s">
        <v>153</v>
      </c>
      <c r="N542" s="184" t="s">
        <v>3</v>
      </c>
      <c r="O542" s="188" t="s">
        <v>59</v>
      </c>
      <c r="P542" s="187" t="str">
        <f>"Cost ("&amp;CHOSEN_CURRENCY&amp;")"</f>
        <v>Cost (USD)</v>
      </c>
      <c r="Q542" s="25"/>
      <c r="R542" s="220" t="s">
        <v>437</v>
      </c>
      <c r="S542" s="58" t="s">
        <v>443</v>
      </c>
      <c r="T542" s="230" t="s">
        <v>445</v>
      </c>
      <c r="U542" s="25"/>
      <c r="V542" s="25"/>
      <c r="W542" s="25"/>
      <c r="X542" s="25"/>
      <c r="Y542" s="25"/>
      <c r="Z542" s="25"/>
      <c r="AA542" s="25"/>
      <c r="AB542" s="28"/>
      <c r="AC542" s="28"/>
      <c r="AD542" s="10"/>
    </row>
    <row r="543" spans="1:30" s="9" customFormat="1" ht="3" customHeight="1" outlineLevel="1" x14ac:dyDescent="0.35">
      <c r="A543" s="86"/>
      <c r="C543" s="74"/>
      <c r="D543" s="74"/>
      <c r="E543" s="74"/>
      <c r="F543" s="72"/>
      <c r="G543" s="25"/>
      <c r="H543" s="25"/>
      <c r="I543" s="25"/>
      <c r="J543" s="25"/>
      <c r="K543" s="25"/>
      <c r="L543" s="25"/>
      <c r="M543" s="267"/>
      <c r="N543" s="245"/>
      <c r="O543" s="245"/>
      <c r="P543" s="244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8"/>
      <c r="AC543" s="28"/>
      <c r="AD543" s="10"/>
    </row>
    <row r="544" spans="1:30" s="9" customFormat="1" outlineLevel="1" x14ac:dyDescent="0.35">
      <c r="A544" s="86"/>
      <c r="C544" s="74"/>
      <c r="D544" s="74"/>
      <c r="E544" s="74"/>
      <c r="F544" s="72"/>
      <c r="G544" s="25"/>
      <c r="H544" s="25"/>
      <c r="I544" s="25"/>
      <c r="J544" s="25"/>
      <c r="K544" s="25"/>
      <c r="L544" s="25"/>
      <c r="M544" s="262"/>
      <c r="N544" s="28"/>
      <c r="O544" s="28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8"/>
      <c r="AC544" s="28"/>
      <c r="AD544" s="10"/>
    </row>
    <row r="545" spans="1:30" s="9" customFormat="1" ht="29" outlineLevel="1" x14ac:dyDescent="0.35">
      <c r="A545" s="86"/>
      <c r="C545" s="74"/>
      <c r="D545" s="74"/>
      <c r="E545" s="74"/>
      <c r="F545" s="72"/>
      <c r="G545" s="25"/>
      <c r="H545" s="25"/>
      <c r="I545" s="25"/>
      <c r="J545" s="25"/>
      <c r="K545" s="25"/>
      <c r="L545" s="25"/>
      <c r="M545" s="262">
        <v>1</v>
      </c>
      <c r="N545" s="28" t="s">
        <v>987</v>
      </c>
      <c r="O545" s="291">
        <v>13.8</v>
      </c>
      <c r="P545" s="292">
        <v>3096</v>
      </c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8"/>
      <c r="AC545" s="28"/>
      <c r="AD545" s="10"/>
    </row>
    <row r="546" spans="1:30" s="282" customFormat="1" outlineLevel="1" x14ac:dyDescent="0.35">
      <c r="A546" s="281"/>
      <c r="C546" s="283"/>
      <c r="D546" s="283"/>
      <c r="E546" s="283"/>
      <c r="F546" s="284"/>
      <c r="G546" s="285"/>
      <c r="H546" s="285"/>
      <c r="I546" s="285"/>
      <c r="J546" s="285"/>
      <c r="K546" s="285"/>
      <c r="L546" s="285"/>
      <c r="M546" s="286" t="s">
        <v>109</v>
      </c>
      <c r="N546" s="287" t="s">
        <v>878</v>
      </c>
      <c r="O546" s="288">
        <v>200.4</v>
      </c>
      <c r="P546" s="289">
        <v>44892.5</v>
      </c>
      <c r="Q546" s="285"/>
      <c r="R546" s="285"/>
      <c r="S546" s="285"/>
      <c r="T546" s="285"/>
      <c r="U546" s="285"/>
      <c r="V546" s="285"/>
      <c r="W546" s="285"/>
      <c r="X546" s="285"/>
      <c r="Y546" s="285"/>
      <c r="Z546" s="285"/>
      <c r="AA546" s="285"/>
      <c r="AB546" s="287"/>
      <c r="AC546" s="287"/>
      <c r="AD546" s="290"/>
    </row>
    <row r="547" spans="1:30" s="9" customFormat="1" ht="29" outlineLevel="1" x14ac:dyDescent="0.35">
      <c r="A547" s="86"/>
      <c r="C547" s="74"/>
      <c r="D547" s="74"/>
      <c r="E547" s="74"/>
      <c r="F547" s="72"/>
      <c r="G547" s="25"/>
      <c r="H547" s="25"/>
      <c r="I547" s="25"/>
      <c r="J547" s="25"/>
      <c r="K547" s="25"/>
      <c r="L547" s="25"/>
      <c r="M547" s="262">
        <v>2</v>
      </c>
      <c r="N547" s="28" t="s">
        <v>991</v>
      </c>
      <c r="O547" s="291">
        <v>27.6</v>
      </c>
      <c r="P547" s="292">
        <v>6192.1</v>
      </c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8"/>
      <c r="AC547" s="28"/>
      <c r="AD547" s="10"/>
    </row>
    <row r="548" spans="1:30" s="9" customFormat="1" outlineLevel="1" x14ac:dyDescent="0.35">
      <c r="A548" s="86"/>
      <c r="C548" s="74"/>
      <c r="D548" s="74"/>
      <c r="E548" s="74"/>
      <c r="F548" s="72"/>
      <c r="G548" s="25"/>
      <c r="H548" s="25"/>
      <c r="I548" s="25"/>
      <c r="J548" s="25"/>
      <c r="K548" s="25"/>
      <c r="L548" s="25"/>
      <c r="M548" s="262">
        <v>3</v>
      </c>
      <c r="N548" s="28" t="s">
        <v>998</v>
      </c>
      <c r="O548" s="291">
        <v>38</v>
      </c>
      <c r="P548" s="292">
        <v>8514.1</v>
      </c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8"/>
      <c r="AC548" s="28"/>
      <c r="AD548" s="10"/>
    </row>
    <row r="549" spans="1:30" s="9" customFormat="1" ht="29" outlineLevel="1" x14ac:dyDescent="0.35">
      <c r="A549" s="86"/>
      <c r="C549" s="74"/>
      <c r="D549" s="74"/>
      <c r="E549" s="74"/>
      <c r="F549" s="72"/>
      <c r="G549" s="25"/>
      <c r="H549" s="25"/>
      <c r="I549" s="25"/>
      <c r="J549" s="25"/>
      <c r="K549" s="25"/>
      <c r="L549" s="25"/>
      <c r="M549" s="262">
        <v>4</v>
      </c>
      <c r="N549" s="28" t="s">
        <v>1006</v>
      </c>
      <c r="O549" s="291">
        <v>31.1</v>
      </c>
      <c r="P549" s="292">
        <v>6966.1</v>
      </c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8"/>
      <c r="AC549" s="28"/>
      <c r="AD549" s="10"/>
    </row>
    <row r="550" spans="1:30" s="9" customFormat="1" outlineLevel="1" x14ac:dyDescent="0.35">
      <c r="A550" s="86"/>
      <c r="C550" s="74"/>
      <c r="D550" s="74"/>
      <c r="E550" s="74"/>
      <c r="F550" s="72"/>
      <c r="G550" s="25"/>
      <c r="H550" s="25"/>
      <c r="I550" s="25"/>
      <c r="J550" s="25"/>
      <c r="K550" s="25"/>
      <c r="L550" s="25"/>
      <c r="M550" s="262">
        <v>5</v>
      </c>
      <c r="N550" s="28" t="s">
        <v>1012</v>
      </c>
      <c r="O550" s="291">
        <v>20.7</v>
      </c>
      <c r="P550" s="292">
        <v>4644.1000000000004</v>
      </c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8"/>
      <c r="AC550" s="28"/>
      <c r="AD550" s="10"/>
    </row>
    <row r="551" spans="1:30" s="9" customFormat="1" ht="29" outlineLevel="1" x14ac:dyDescent="0.35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>
        <v>6</v>
      </c>
      <c r="N551" s="28" t="s">
        <v>1019</v>
      </c>
      <c r="O551" s="291">
        <v>27.6</v>
      </c>
      <c r="P551" s="292">
        <v>6192.1</v>
      </c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8"/>
      <c r="AC551" s="28"/>
      <c r="AD551" s="10"/>
    </row>
    <row r="552" spans="1:30" s="9" customFormat="1" ht="29" outlineLevel="1" x14ac:dyDescent="0.35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>
        <v>7</v>
      </c>
      <c r="N552" s="28" t="s">
        <v>1186</v>
      </c>
      <c r="O552" s="291">
        <v>35.4</v>
      </c>
      <c r="P552" s="292">
        <v>7933.6</v>
      </c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8"/>
      <c r="AC552" s="28"/>
      <c r="AD552" s="10"/>
    </row>
    <row r="553" spans="1:30" s="9" customFormat="1" ht="43.5" outlineLevel="1" x14ac:dyDescent="0.35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>
        <v>8</v>
      </c>
      <c r="N553" s="28" t="s">
        <v>1226</v>
      </c>
      <c r="O553" s="291">
        <v>19.899999999999999</v>
      </c>
      <c r="P553" s="292">
        <v>4450.6000000000004</v>
      </c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8"/>
      <c r="AC553" s="28"/>
      <c r="AD553" s="10"/>
    </row>
    <row r="554" spans="1:30" s="282" customFormat="1" outlineLevel="1" x14ac:dyDescent="0.35">
      <c r="A554" s="281"/>
      <c r="C554" s="283"/>
      <c r="D554" s="283"/>
      <c r="E554" s="283"/>
      <c r="F554" s="284"/>
      <c r="G554" s="285"/>
      <c r="H554" s="285"/>
      <c r="I554" s="285"/>
      <c r="J554" s="285"/>
      <c r="K554" s="285"/>
      <c r="L554" s="285"/>
      <c r="M554" s="286" t="s">
        <v>109</v>
      </c>
      <c r="N554" s="287" t="s">
        <v>1025</v>
      </c>
      <c r="O554" s="288">
        <v>158.9</v>
      </c>
      <c r="P554" s="289">
        <v>35604.400000000001</v>
      </c>
      <c r="Q554" s="285"/>
      <c r="R554" s="285"/>
      <c r="S554" s="285"/>
      <c r="T554" s="285"/>
      <c r="U554" s="285"/>
      <c r="V554" s="285"/>
      <c r="W554" s="285"/>
      <c r="X554" s="285"/>
      <c r="Y554" s="285"/>
      <c r="Z554" s="285"/>
      <c r="AA554" s="285"/>
      <c r="AB554" s="287"/>
      <c r="AC554" s="287"/>
      <c r="AD554" s="290"/>
    </row>
    <row r="555" spans="1:30" s="9" customFormat="1" ht="29" outlineLevel="1" x14ac:dyDescent="0.35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>
        <v>9</v>
      </c>
      <c r="N555" s="28" t="s">
        <v>1026</v>
      </c>
      <c r="O555" s="291">
        <v>31.1</v>
      </c>
      <c r="P555" s="292">
        <v>6966.1</v>
      </c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8"/>
      <c r="AC555" s="28"/>
      <c r="AD555" s="10"/>
    </row>
    <row r="556" spans="1:30" s="9" customFormat="1" ht="29" outlineLevel="1" x14ac:dyDescent="0.35">
      <c r="A556" s="86"/>
      <c r="C556" s="74"/>
      <c r="D556" s="74"/>
      <c r="E556" s="74"/>
      <c r="F556" s="72"/>
      <c r="G556" s="25"/>
      <c r="H556" s="25"/>
      <c r="I556" s="25"/>
      <c r="J556" s="25"/>
      <c r="K556" s="25"/>
      <c r="L556" s="25"/>
      <c r="M556" s="262">
        <v>10</v>
      </c>
      <c r="N556" s="28" t="s">
        <v>1033</v>
      </c>
      <c r="O556" s="291">
        <v>25.9</v>
      </c>
      <c r="P556" s="292">
        <v>5805.1</v>
      </c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8"/>
      <c r="AC556" s="28"/>
      <c r="AD556" s="10"/>
    </row>
    <row r="557" spans="1:30" s="9" customFormat="1" outlineLevel="1" x14ac:dyDescent="0.35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>
        <v>11</v>
      </c>
      <c r="N557" s="28" t="s">
        <v>1040</v>
      </c>
      <c r="O557" s="291">
        <v>25.9</v>
      </c>
      <c r="P557" s="292">
        <v>5805.1</v>
      </c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8"/>
      <c r="AC557" s="28"/>
      <c r="AD557" s="10"/>
    </row>
    <row r="558" spans="1:30" s="9" customFormat="1" ht="29" outlineLevel="1" x14ac:dyDescent="0.35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>
        <v>12</v>
      </c>
      <c r="N558" s="28" t="s">
        <v>1046</v>
      </c>
      <c r="O558" s="291">
        <v>31.1</v>
      </c>
      <c r="P558" s="292">
        <v>6966.1</v>
      </c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8"/>
      <c r="AC558" s="28"/>
      <c r="AD558" s="10"/>
    </row>
    <row r="559" spans="1:30" s="9" customFormat="1" ht="29" outlineLevel="1" x14ac:dyDescent="0.35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2">
        <v>13</v>
      </c>
      <c r="N559" s="28" t="s">
        <v>1051</v>
      </c>
      <c r="O559" s="291">
        <v>20.7</v>
      </c>
      <c r="P559" s="292">
        <v>4644.1000000000004</v>
      </c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8"/>
      <c r="AC559" s="28"/>
      <c r="AD559" s="10"/>
    </row>
    <row r="560" spans="1:30" s="9" customFormat="1" ht="29" outlineLevel="1" x14ac:dyDescent="0.35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2">
        <v>14</v>
      </c>
      <c r="N560" s="28" t="s">
        <v>1233</v>
      </c>
      <c r="O560" s="291">
        <v>24.2</v>
      </c>
      <c r="P560" s="292">
        <v>5418.1</v>
      </c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8"/>
      <c r="AC560" s="28"/>
      <c r="AD560" s="10"/>
    </row>
    <row r="561" spans="1:30" s="282" customFormat="1" outlineLevel="1" x14ac:dyDescent="0.35">
      <c r="A561" s="281"/>
      <c r="C561" s="283"/>
      <c r="D561" s="283"/>
      <c r="E561" s="283"/>
      <c r="F561" s="284"/>
      <c r="G561" s="285"/>
      <c r="H561" s="285"/>
      <c r="I561" s="285"/>
      <c r="J561" s="285"/>
      <c r="K561" s="285"/>
      <c r="L561" s="285"/>
      <c r="M561" s="286" t="s">
        <v>109</v>
      </c>
      <c r="N561" s="287" t="s">
        <v>881</v>
      </c>
      <c r="O561" s="288">
        <v>150.30000000000001</v>
      </c>
      <c r="P561" s="289">
        <v>33669.4</v>
      </c>
      <c r="Q561" s="285"/>
      <c r="R561" s="285"/>
      <c r="S561" s="285"/>
      <c r="T561" s="285"/>
      <c r="U561" s="285"/>
      <c r="V561" s="285"/>
      <c r="W561" s="285"/>
      <c r="X561" s="285"/>
      <c r="Y561" s="285"/>
      <c r="Z561" s="285"/>
      <c r="AA561" s="285"/>
      <c r="AB561" s="287"/>
      <c r="AC561" s="287"/>
      <c r="AD561" s="290"/>
    </row>
    <row r="562" spans="1:30" s="9" customFormat="1" outlineLevel="1" x14ac:dyDescent="0.35">
      <c r="A562" s="86"/>
      <c r="C562" s="74"/>
      <c r="D562" s="74"/>
      <c r="E562" s="74"/>
      <c r="F562" s="72"/>
      <c r="G562" s="25"/>
      <c r="H562" s="25"/>
      <c r="I562" s="25"/>
      <c r="J562" s="25"/>
      <c r="K562" s="25"/>
      <c r="L562" s="25"/>
      <c r="M562" s="262">
        <v>15</v>
      </c>
      <c r="N562" s="28" t="s">
        <v>1058</v>
      </c>
      <c r="O562" s="291">
        <v>48.4</v>
      </c>
      <c r="P562" s="292">
        <v>10836.1</v>
      </c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8"/>
      <c r="AC562" s="28"/>
      <c r="AD562" s="10"/>
    </row>
    <row r="563" spans="1:30" s="9" customFormat="1" ht="29" outlineLevel="1" x14ac:dyDescent="0.35">
      <c r="A563" s="86"/>
      <c r="C563" s="74"/>
      <c r="D563" s="74"/>
      <c r="E563" s="74"/>
      <c r="F563" s="72"/>
      <c r="G563" s="25"/>
      <c r="H563" s="25"/>
      <c r="I563" s="25"/>
      <c r="J563" s="25"/>
      <c r="K563" s="25"/>
      <c r="L563" s="25"/>
      <c r="M563" s="262">
        <v>16</v>
      </c>
      <c r="N563" s="28" t="s">
        <v>1065</v>
      </c>
      <c r="O563" s="291">
        <v>38</v>
      </c>
      <c r="P563" s="292">
        <v>8514.1</v>
      </c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8"/>
      <c r="AC563" s="28"/>
      <c r="AD563" s="10"/>
    </row>
    <row r="564" spans="1:30" s="9" customFormat="1" outlineLevel="1" x14ac:dyDescent="0.35">
      <c r="A564" s="86"/>
      <c r="C564" s="74"/>
      <c r="D564" s="74"/>
      <c r="E564" s="74"/>
      <c r="F564" s="72"/>
      <c r="G564" s="25"/>
      <c r="H564" s="25"/>
      <c r="I564" s="25"/>
      <c r="J564" s="25"/>
      <c r="K564" s="25"/>
      <c r="L564" s="25"/>
      <c r="M564" s="262">
        <v>17</v>
      </c>
      <c r="N564" s="28" t="s">
        <v>1073</v>
      </c>
      <c r="O564" s="291">
        <v>24.2</v>
      </c>
      <c r="P564" s="292">
        <v>5418.1</v>
      </c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8"/>
      <c r="AC564" s="28"/>
      <c r="AD564" s="10"/>
    </row>
    <row r="565" spans="1:30" s="9" customFormat="1" ht="29" outlineLevel="1" x14ac:dyDescent="0.35">
      <c r="A565" s="86"/>
      <c r="C565" s="74"/>
      <c r="D565" s="74"/>
      <c r="E565" s="74"/>
      <c r="F565" s="72"/>
      <c r="G565" s="25"/>
      <c r="H565" s="25"/>
      <c r="I565" s="25"/>
      <c r="J565" s="25"/>
      <c r="K565" s="25"/>
      <c r="L565" s="25"/>
      <c r="M565" s="262">
        <v>18</v>
      </c>
      <c r="N565" s="28" t="s">
        <v>1241</v>
      </c>
      <c r="O565" s="291">
        <v>22.5</v>
      </c>
      <c r="P565" s="292">
        <v>5031.1000000000004</v>
      </c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8"/>
      <c r="AC565" s="28"/>
      <c r="AD565" s="10"/>
    </row>
    <row r="566" spans="1:30" s="9" customFormat="1" ht="29" outlineLevel="1" x14ac:dyDescent="0.35">
      <c r="A566" s="86"/>
      <c r="C566" s="74"/>
      <c r="D566" s="74"/>
      <c r="E566" s="74"/>
      <c r="F566" s="72"/>
      <c r="G566" s="25"/>
      <c r="H566" s="25"/>
      <c r="I566" s="25"/>
      <c r="J566" s="25"/>
      <c r="K566" s="25"/>
      <c r="L566" s="25"/>
      <c r="M566" s="262">
        <v>19</v>
      </c>
      <c r="N566" s="28" t="s">
        <v>1248</v>
      </c>
      <c r="O566" s="291">
        <v>17.3</v>
      </c>
      <c r="P566" s="292">
        <v>3870</v>
      </c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8"/>
      <c r="AC566" s="28"/>
      <c r="AD566" s="10"/>
    </row>
    <row r="567" spans="1:30" s="282" customFormat="1" outlineLevel="1" x14ac:dyDescent="0.35">
      <c r="A567" s="281"/>
      <c r="C567" s="283"/>
      <c r="D567" s="283"/>
      <c r="E567" s="283"/>
      <c r="F567" s="284"/>
      <c r="G567" s="285"/>
      <c r="H567" s="285"/>
      <c r="I567" s="285"/>
      <c r="J567" s="285"/>
      <c r="K567" s="285"/>
      <c r="L567" s="285"/>
      <c r="M567" s="286" t="s">
        <v>109</v>
      </c>
      <c r="N567" s="287" t="s">
        <v>882</v>
      </c>
      <c r="O567" s="288">
        <v>158.9</v>
      </c>
      <c r="P567" s="289">
        <v>35604.400000000001</v>
      </c>
      <c r="Q567" s="285"/>
      <c r="R567" s="285"/>
      <c r="S567" s="285"/>
      <c r="T567" s="285"/>
      <c r="U567" s="285"/>
      <c r="V567" s="285"/>
      <c r="W567" s="285"/>
      <c r="X567" s="285"/>
      <c r="Y567" s="285"/>
      <c r="Z567" s="285"/>
      <c r="AA567" s="285"/>
      <c r="AB567" s="287"/>
      <c r="AC567" s="287"/>
      <c r="AD567" s="290"/>
    </row>
    <row r="568" spans="1:30" s="9" customFormat="1" ht="29" outlineLevel="1" x14ac:dyDescent="0.35">
      <c r="A568" s="86"/>
      <c r="C568" s="74"/>
      <c r="D568" s="74"/>
      <c r="E568" s="74"/>
      <c r="F568" s="72"/>
      <c r="G568" s="25"/>
      <c r="H568" s="25"/>
      <c r="I568" s="25"/>
      <c r="J568" s="25"/>
      <c r="K568" s="25"/>
      <c r="L568" s="25"/>
      <c r="M568" s="262">
        <v>20</v>
      </c>
      <c r="N568" s="28" t="s">
        <v>1080</v>
      </c>
      <c r="O568" s="291">
        <v>37.1</v>
      </c>
      <c r="P568" s="292">
        <v>8320.6</v>
      </c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8"/>
      <c r="AC568" s="28"/>
      <c r="AD568" s="10"/>
    </row>
    <row r="569" spans="1:30" s="9" customFormat="1" outlineLevel="1" x14ac:dyDescent="0.35">
      <c r="A569" s="86"/>
      <c r="C569" s="74"/>
      <c r="D569" s="74"/>
      <c r="E569" s="74"/>
      <c r="F569" s="72"/>
      <c r="G569" s="25"/>
      <c r="H569" s="25"/>
      <c r="I569" s="25"/>
      <c r="J569" s="25"/>
      <c r="K569" s="25"/>
      <c r="L569" s="25"/>
      <c r="M569" s="262">
        <v>21</v>
      </c>
      <c r="N569" s="28" t="s">
        <v>1085</v>
      </c>
      <c r="O569" s="291">
        <v>27.6</v>
      </c>
      <c r="P569" s="292">
        <v>6192.1</v>
      </c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8"/>
      <c r="AC569" s="28"/>
      <c r="AD569" s="10"/>
    </row>
    <row r="570" spans="1:30" s="9" customFormat="1" outlineLevel="1" x14ac:dyDescent="0.35">
      <c r="A570" s="86"/>
      <c r="C570" s="74"/>
      <c r="D570" s="74"/>
      <c r="E570" s="74"/>
      <c r="F570" s="72"/>
      <c r="G570" s="25"/>
      <c r="H570" s="25"/>
      <c r="I570" s="25"/>
      <c r="J570" s="25"/>
      <c r="K570" s="25"/>
      <c r="L570" s="25"/>
      <c r="M570" s="262">
        <v>22</v>
      </c>
      <c r="N570" s="28" t="s">
        <v>1091</v>
      </c>
      <c r="O570" s="291">
        <v>46.6</v>
      </c>
      <c r="P570" s="292">
        <v>10449.1</v>
      </c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8"/>
      <c r="AC570" s="28"/>
      <c r="AD570" s="10"/>
    </row>
    <row r="571" spans="1:30" s="9" customFormat="1" ht="29" outlineLevel="1" x14ac:dyDescent="0.35">
      <c r="A571" s="86"/>
      <c r="C571" s="74"/>
      <c r="D571" s="74"/>
      <c r="E571" s="74"/>
      <c r="F571" s="72"/>
      <c r="G571" s="25"/>
      <c r="H571" s="25"/>
      <c r="I571" s="25"/>
      <c r="J571" s="25"/>
      <c r="K571" s="25"/>
      <c r="L571" s="25"/>
      <c r="M571" s="262">
        <v>23</v>
      </c>
      <c r="N571" s="28" t="s">
        <v>1097</v>
      </c>
      <c r="O571" s="291">
        <v>47.5</v>
      </c>
      <c r="P571" s="292">
        <v>10642.6</v>
      </c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8"/>
      <c r="AC571" s="28"/>
      <c r="AD571" s="10"/>
    </row>
    <row r="572" spans="1:30" s="282" customFormat="1" outlineLevel="1" x14ac:dyDescent="0.35">
      <c r="A572" s="281"/>
      <c r="C572" s="283"/>
      <c r="D572" s="283"/>
      <c r="E572" s="283"/>
      <c r="F572" s="284"/>
      <c r="G572" s="285"/>
      <c r="H572" s="285"/>
      <c r="I572" s="285"/>
      <c r="J572" s="285"/>
      <c r="K572" s="285"/>
      <c r="L572" s="285"/>
      <c r="M572" s="286" t="s">
        <v>109</v>
      </c>
      <c r="N572" s="287" t="s">
        <v>1103</v>
      </c>
      <c r="O572" s="288">
        <v>40.6</v>
      </c>
      <c r="P572" s="289">
        <v>9094.6</v>
      </c>
      <c r="Q572" s="285"/>
      <c r="R572" s="285"/>
      <c r="S572" s="285"/>
      <c r="T572" s="285"/>
      <c r="U572" s="285"/>
      <c r="V572" s="285"/>
      <c r="W572" s="285"/>
      <c r="X572" s="285"/>
      <c r="Y572" s="285"/>
      <c r="Z572" s="285"/>
      <c r="AA572" s="285"/>
      <c r="AB572" s="287"/>
      <c r="AC572" s="287"/>
      <c r="AD572" s="290"/>
    </row>
    <row r="573" spans="1:30" s="9" customFormat="1" ht="29" outlineLevel="1" x14ac:dyDescent="0.35">
      <c r="A573" s="86"/>
      <c r="C573" s="74"/>
      <c r="D573" s="74"/>
      <c r="E573" s="74"/>
      <c r="F573" s="72"/>
      <c r="G573" s="25"/>
      <c r="H573" s="25"/>
      <c r="I573" s="25"/>
      <c r="J573" s="25"/>
      <c r="K573" s="25"/>
      <c r="L573" s="25"/>
      <c r="M573" s="262">
        <v>24</v>
      </c>
      <c r="N573" s="28" t="s">
        <v>1104</v>
      </c>
      <c r="O573" s="291">
        <v>24.2</v>
      </c>
      <c r="P573" s="292">
        <v>5418.1</v>
      </c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8"/>
      <c r="AC573" s="28"/>
      <c r="AD573" s="10"/>
    </row>
    <row r="574" spans="1:30" s="9" customFormat="1" outlineLevel="1" x14ac:dyDescent="0.35">
      <c r="A574" s="86"/>
      <c r="C574" s="74"/>
      <c r="D574" s="74"/>
      <c r="E574" s="74"/>
      <c r="F574" s="72"/>
      <c r="G574" s="25"/>
      <c r="H574" s="25"/>
      <c r="I574" s="25"/>
      <c r="J574" s="25"/>
      <c r="K574" s="25"/>
      <c r="L574" s="25"/>
      <c r="M574" s="262">
        <v>25</v>
      </c>
      <c r="N574" s="28" t="s">
        <v>1111</v>
      </c>
      <c r="O574" s="291">
        <v>16.399999999999999</v>
      </c>
      <c r="P574" s="292">
        <v>3676.5</v>
      </c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8"/>
      <c r="AC574" s="28"/>
      <c r="AD574" s="10"/>
    </row>
    <row r="575" spans="1:30" s="282" customFormat="1" outlineLevel="1" x14ac:dyDescent="0.35">
      <c r="A575" s="281"/>
      <c r="C575" s="283"/>
      <c r="D575" s="283"/>
      <c r="E575" s="283"/>
      <c r="F575" s="284"/>
      <c r="G575" s="285"/>
      <c r="H575" s="285"/>
      <c r="I575" s="285"/>
      <c r="J575" s="285"/>
      <c r="K575" s="285"/>
      <c r="L575" s="285"/>
      <c r="M575" s="286" t="s">
        <v>109</v>
      </c>
      <c r="N575" s="287" t="s">
        <v>884</v>
      </c>
      <c r="O575" s="288">
        <v>115.8</v>
      </c>
      <c r="P575" s="289">
        <v>25929.3</v>
      </c>
      <c r="Q575" s="285"/>
      <c r="R575" s="285"/>
      <c r="S575" s="285"/>
      <c r="T575" s="285"/>
      <c r="U575" s="285"/>
      <c r="V575" s="285"/>
      <c r="W575" s="285"/>
      <c r="X575" s="285"/>
      <c r="Y575" s="285"/>
      <c r="Z575" s="285"/>
      <c r="AA575" s="285"/>
      <c r="AB575" s="287"/>
      <c r="AC575" s="287"/>
      <c r="AD575" s="290"/>
    </row>
    <row r="576" spans="1:30" s="9" customFormat="1" ht="29" outlineLevel="1" x14ac:dyDescent="0.35">
      <c r="A576" s="86"/>
      <c r="C576" s="74"/>
      <c r="D576" s="74"/>
      <c r="E576" s="74"/>
      <c r="F576" s="72"/>
      <c r="G576" s="25"/>
      <c r="H576" s="25"/>
      <c r="I576" s="25"/>
      <c r="J576" s="25"/>
      <c r="K576" s="25"/>
      <c r="L576" s="25"/>
      <c r="M576" s="262">
        <v>26</v>
      </c>
      <c r="N576" s="28" t="s">
        <v>1113</v>
      </c>
      <c r="O576" s="291">
        <v>24.2</v>
      </c>
      <c r="P576" s="292">
        <v>5418.1</v>
      </c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8"/>
      <c r="AC576" s="28"/>
      <c r="AD576" s="10"/>
    </row>
    <row r="577" spans="1:30" s="9" customFormat="1" outlineLevel="1" x14ac:dyDescent="0.35">
      <c r="A577" s="86"/>
      <c r="C577" s="74"/>
      <c r="D577" s="74"/>
      <c r="E577" s="74"/>
      <c r="F577" s="72"/>
      <c r="G577" s="25"/>
      <c r="H577" s="25"/>
      <c r="I577" s="25"/>
      <c r="J577" s="25"/>
      <c r="K577" s="25"/>
      <c r="L577" s="25"/>
      <c r="M577" s="262">
        <v>27</v>
      </c>
      <c r="N577" s="28" t="s">
        <v>1119</v>
      </c>
      <c r="O577" s="291">
        <v>27.6</v>
      </c>
      <c r="P577" s="292">
        <v>6192.1</v>
      </c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8"/>
      <c r="AC577" s="28"/>
      <c r="AD577" s="10"/>
    </row>
    <row r="578" spans="1:30" s="9" customFormat="1" outlineLevel="1" x14ac:dyDescent="0.35">
      <c r="A578" s="86"/>
      <c r="C578" s="74"/>
      <c r="D578" s="74"/>
      <c r="E578" s="74"/>
      <c r="F578" s="72"/>
      <c r="G578" s="25"/>
      <c r="H578" s="25"/>
      <c r="I578" s="25"/>
      <c r="J578" s="25"/>
      <c r="K578" s="25"/>
      <c r="L578" s="25"/>
      <c r="M578" s="262">
        <v>28</v>
      </c>
      <c r="N578" s="28" t="s">
        <v>1124</v>
      </c>
      <c r="O578" s="291">
        <v>22.5</v>
      </c>
      <c r="P578" s="292">
        <v>5031.1000000000004</v>
      </c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8"/>
      <c r="AC578" s="28"/>
      <c r="AD578" s="10"/>
    </row>
    <row r="579" spans="1:30" s="9" customFormat="1" outlineLevel="1" x14ac:dyDescent="0.35">
      <c r="A579" s="86"/>
      <c r="C579" s="74"/>
      <c r="D579" s="74"/>
      <c r="E579" s="74"/>
      <c r="F579" s="72"/>
      <c r="G579" s="25"/>
      <c r="H579" s="25"/>
      <c r="I579" s="25"/>
      <c r="J579" s="25"/>
      <c r="K579" s="25"/>
      <c r="L579" s="25"/>
      <c r="M579" s="262">
        <v>29</v>
      </c>
      <c r="N579" s="28" t="s">
        <v>1127</v>
      </c>
      <c r="O579" s="291">
        <v>17.3</v>
      </c>
      <c r="P579" s="292">
        <v>3870</v>
      </c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8"/>
      <c r="AC579" s="28"/>
      <c r="AD579" s="10"/>
    </row>
    <row r="580" spans="1:30" s="9" customFormat="1" ht="29" outlineLevel="1" x14ac:dyDescent="0.35">
      <c r="A580" s="86"/>
      <c r="C580" s="74"/>
      <c r="D580" s="74"/>
      <c r="E580" s="74"/>
      <c r="F580" s="72"/>
      <c r="G580" s="25"/>
      <c r="H580" s="25"/>
      <c r="I580" s="25"/>
      <c r="J580" s="25"/>
      <c r="K580" s="25"/>
      <c r="L580" s="25"/>
      <c r="M580" s="262">
        <v>30</v>
      </c>
      <c r="N580" s="28" t="s">
        <v>1130</v>
      </c>
      <c r="O580" s="291">
        <v>24.2</v>
      </c>
      <c r="P580" s="292">
        <v>5418.1</v>
      </c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8"/>
      <c r="AC580" s="28"/>
      <c r="AD580" s="10"/>
    </row>
    <row r="581" spans="1:30" s="282" customFormat="1" outlineLevel="1" x14ac:dyDescent="0.35">
      <c r="A581" s="281"/>
      <c r="C581" s="283"/>
      <c r="D581" s="283"/>
      <c r="E581" s="283"/>
      <c r="F581" s="284"/>
      <c r="G581" s="285"/>
      <c r="H581" s="285"/>
      <c r="I581" s="285"/>
      <c r="J581" s="285"/>
      <c r="K581" s="285"/>
      <c r="L581" s="285"/>
      <c r="M581" s="286" t="s">
        <v>109</v>
      </c>
      <c r="N581" s="287" t="s">
        <v>885</v>
      </c>
      <c r="O581" s="288">
        <v>241</v>
      </c>
      <c r="P581" s="289">
        <v>53987.199999999997</v>
      </c>
      <c r="Q581" s="285"/>
      <c r="R581" s="285"/>
      <c r="S581" s="285"/>
      <c r="T581" s="285"/>
      <c r="U581" s="285"/>
      <c r="V581" s="285"/>
      <c r="W581" s="285"/>
      <c r="X581" s="285"/>
      <c r="Y581" s="285"/>
      <c r="Z581" s="285"/>
      <c r="AA581" s="285"/>
      <c r="AB581" s="287"/>
      <c r="AC581" s="287"/>
      <c r="AD581" s="290"/>
    </row>
    <row r="582" spans="1:30" s="9" customFormat="1" ht="29" outlineLevel="1" x14ac:dyDescent="0.35">
      <c r="A582" s="86"/>
      <c r="C582" s="74"/>
      <c r="D582" s="74"/>
      <c r="E582" s="74"/>
      <c r="F582" s="72"/>
      <c r="G582" s="25"/>
      <c r="H582" s="25"/>
      <c r="I582" s="25"/>
      <c r="J582" s="25"/>
      <c r="K582" s="25"/>
      <c r="L582" s="25"/>
      <c r="M582" s="262">
        <v>31</v>
      </c>
      <c r="N582" s="28" t="s">
        <v>1133</v>
      </c>
      <c r="O582" s="291">
        <v>20.7</v>
      </c>
      <c r="P582" s="292">
        <v>4644.1000000000004</v>
      </c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8"/>
      <c r="AC582" s="28"/>
      <c r="AD582" s="10"/>
    </row>
    <row r="583" spans="1:30" s="9" customFormat="1" ht="29" outlineLevel="1" x14ac:dyDescent="0.35">
      <c r="A583" s="86"/>
      <c r="C583" s="74"/>
      <c r="D583" s="74"/>
      <c r="E583" s="74"/>
      <c r="F583" s="72"/>
      <c r="G583" s="25"/>
      <c r="H583" s="25"/>
      <c r="I583" s="25"/>
      <c r="J583" s="25"/>
      <c r="K583" s="25"/>
      <c r="L583" s="25"/>
      <c r="M583" s="262">
        <v>32</v>
      </c>
      <c r="N583" s="28" t="s">
        <v>1135</v>
      </c>
      <c r="O583" s="291">
        <v>27.6</v>
      </c>
      <c r="P583" s="292">
        <v>6192.1</v>
      </c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8"/>
      <c r="AC583" s="28"/>
      <c r="AD583" s="10"/>
    </row>
    <row r="584" spans="1:30" s="9" customFormat="1" outlineLevel="1" x14ac:dyDescent="0.35">
      <c r="A584" s="86"/>
      <c r="C584" s="74"/>
      <c r="D584" s="74"/>
      <c r="E584" s="74"/>
      <c r="F584" s="72"/>
      <c r="G584" s="25"/>
      <c r="H584" s="25"/>
      <c r="I584" s="25"/>
      <c r="J584" s="25"/>
      <c r="K584" s="25"/>
      <c r="L584" s="25"/>
      <c r="M584" s="262">
        <v>33</v>
      </c>
      <c r="N584" s="28" t="s">
        <v>1141</v>
      </c>
      <c r="O584" s="291">
        <v>54.4</v>
      </c>
      <c r="P584" s="292">
        <v>12190.6</v>
      </c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8"/>
      <c r="AC584" s="28"/>
      <c r="AD584" s="10"/>
    </row>
    <row r="585" spans="1:30" s="9" customFormat="1" outlineLevel="1" x14ac:dyDescent="0.35">
      <c r="A585" s="86"/>
      <c r="C585" s="74"/>
      <c r="D585" s="74"/>
      <c r="E585" s="74"/>
      <c r="F585" s="72"/>
      <c r="G585" s="25"/>
      <c r="H585" s="25"/>
      <c r="I585" s="25"/>
      <c r="J585" s="25"/>
      <c r="K585" s="25"/>
      <c r="L585" s="25"/>
      <c r="M585" s="262">
        <v>34</v>
      </c>
      <c r="N585" s="28" t="s">
        <v>1143</v>
      </c>
      <c r="O585" s="291">
        <v>48.4</v>
      </c>
      <c r="P585" s="292">
        <v>10836.1</v>
      </c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8"/>
      <c r="AC585" s="28"/>
      <c r="AD585" s="10"/>
    </row>
    <row r="586" spans="1:30" s="9" customFormat="1" outlineLevel="1" x14ac:dyDescent="0.35">
      <c r="A586" s="86"/>
      <c r="C586" s="74"/>
      <c r="D586" s="74"/>
      <c r="E586" s="74"/>
      <c r="F586" s="72"/>
      <c r="G586" s="25"/>
      <c r="H586" s="25"/>
      <c r="I586" s="25"/>
      <c r="J586" s="25"/>
      <c r="K586" s="25"/>
      <c r="L586" s="25"/>
      <c r="M586" s="262">
        <v>35</v>
      </c>
      <c r="N586" s="28" t="s">
        <v>1144</v>
      </c>
      <c r="O586" s="291">
        <v>43.2</v>
      </c>
      <c r="P586" s="292">
        <v>9675.1</v>
      </c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8"/>
      <c r="AC586" s="28"/>
      <c r="AD586" s="10"/>
    </row>
    <row r="587" spans="1:30" s="9" customFormat="1" outlineLevel="1" x14ac:dyDescent="0.35">
      <c r="A587" s="86"/>
      <c r="C587" s="74"/>
      <c r="D587" s="74"/>
      <c r="E587" s="74"/>
      <c r="F587" s="72"/>
      <c r="G587" s="25"/>
      <c r="H587" s="25"/>
      <c r="I587" s="25"/>
      <c r="J587" s="25"/>
      <c r="K587" s="25"/>
      <c r="L587" s="25"/>
      <c r="M587" s="262">
        <v>36</v>
      </c>
      <c r="N587" s="28" t="s">
        <v>1145</v>
      </c>
      <c r="O587" s="291">
        <v>25.9</v>
      </c>
      <c r="P587" s="292">
        <v>5805.1</v>
      </c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8"/>
      <c r="AC587" s="28"/>
      <c r="AD587" s="10"/>
    </row>
    <row r="588" spans="1:30" s="9" customFormat="1" outlineLevel="1" x14ac:dyDescent="0.35">
      <c r="A588" s="86"/>
      <c r="C588" s="74"/>
      <c r="D588" s="74"/>
      <c r="E588" s="74"/>
      <c r="F588" s="72"/>
      <c r="G588" s="25"/>
      <c r="H588" s="25"/>
      <c r="I588" s="25"/>
      <c r="J588" s="25"/>
      <c r="K588" s="25"/>
      <c r="L588" s="25"/>
      <c r="M588" s="262">
        <v>37</v>
      </c>
      <c r="N588" s="28" t="s">
        <v>1146</v>
      </c>
      <c r="O588" s="291">
        <v>20.7</v>
      </c>
      <c r="P588" s="292">
        <v>4644.1000000000004</v>
      </c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8"/>
      <c r="AC588" s="28"/>
      <c r="AD588" s="10"/>
    </row>
    <row r="589" spans="1:30" s="282" customFormat="1" outlineLevel="1" x14ac:dyDescent="0.35">
      <c r="A589" s="281"/>
      <c r="C589" s="283"/>
      <c r="D589" s="283"/>
      <c r="E589" s="283"/>
      <c r="F589" s="284"/>
      <c r="G589" s="285"/>
      <c r="H589" s="285"/>
      <c r="I589" s="285"/>
      <c r="J589" s="285"/>
      <c r="K589" s="285"/>
      <c r="L589" s="285"/>
      <c r="M589" s="286" t="s">
        <v>109</v>
      </c>
      <c r="N589" s="287" t="s">
        <v>459</v>
      </c>
      <c r="O589" s="288">
        <v>24.2</v>
      </c>
      <c r="P589" s="289">
        <v>5418.1</v>
      </c>
      <c r="Q589" s="285"/>
      <c r="R589" s="285"/>
      <c r="S589" s="285"/>
      <c r="T589" s="285"/>
      <c r="U589" s="285"/>
      <c r="V589" s="285"/>
      <c r="W589" s="285"/>
      <c r="X589" s="285"/>
      <c r="Y589" s="285"/>
      <c r="Z589" s="285"/>
      <c r="AA589" s="285"/>
      <c r="AB589" s="287"/>
      <c r="AC589" s="287"/>
      <c r="AD589" s="290"/>
    </row>
    <row r="590" spans="1:30" s="9" customFormat="1" outlineLevel="1" x14ac:dyDescent="0.35">
      <c r="A590" s="86"/>
      <c r="C590" s="74"/>
      <c r="D590" s="74"/>
      <c r="E590" s="74"/>
      <c r="F590" s="72"/>
      <c r="G590" s="25"/>
      <c r="H590" s="25"/>
      <c r="I590" s="25"/>
      <c r="J590" s="25"/>
      <c r="K590" s="25"/>
      <c r="L590" s="25"/>
      <c r="M590" s="262">
        <v>38</v>
      </c>
      <c r="N590" s="28" t="s">
        <v>1147</v>
      </c>
      <c r="O590" s="291">
        <v>24.2</v>
      </c>
      <c r="P590" s="292">
        <v>5418.1</v>
      </c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8"/>
      <c r="AC590" s="28"/>
      <c r="AD590" s="10"/>
    </row>
    <row r="591" spans="1:30" s="9" customFormat="1" outlineLevel="1" x14ac:dyDescent="0.35">
      <c r="A591" s="86"/>
      <c r="C591" s="74"/>
      <c r="D591" s="74"/>
      <c r="E591" s="74"/>
      <c r="F591" s="72"/>
      <c r="G591" s="25"/>
      <c r="H591" s="25"/>
      <c r="I591" s="25"/>
      <c r="J591" s="25"/>
      <c r="K591" s="25"/>
      <c r="L591" s="25"/>
      <c r="M591" s="262"/>
      <c r="N591" s="28"/>
      <c r="O591" s="28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8"/>
      <c r="AC591" s="28"/>
      <c r="AD591" s="10"/>
    </row>
    <row r="592" spans="1:30" s="9" customFormat="1" ht="3" customHeight="1" outlineLevel="1" x14ac:dyDescent="0.35">
      <c r="A592" s="86"/>
      <c r="C592" s="74"/>
      <c r="D592" s="74"/>
      <c r="E592" s="74"/>
      <c r="F592" s="72"/>
      <c r="G592" s="25"/>
      <c r="H592" s="25"/>
      <c r="I592" s="25"/>
      <c r="J592" s="25"/>
      <c r="K592" s="25"/>
      <c r="L592" s="25"/>
      <c r="M592" s="267"/>
      <c r="N592" s="245"/>
      <c r="O592" s="245"/>
      <c r="P592" s="244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8"/>
      <c r="AC592" s="28"/>
      <c r="AD592" s="10"/>
    </row>
    <row r="593" spans="1:30" s="9" customFormat="1" outlineLevel="1" x14ac:dyDescent="0.35">
      <c r="A593" s="86"/>
      <c r="C593" s="74"/>
      <c r="D593" s="74"/>
      <c r="E593" s="74"/>
      <c r="F593" s="72"/>
      <c r="G593" s="25"/>
      <c r="H593" s="25"/>
      <c r="I593" s="25"/>
      <c r="J593" s="25"/>
      <c r="K593" s="25"/>
      <c r="L593" s="25"/>
      <c r="M593" s="268"/>
      <c r="N593" s="185"/>
      <c r="O593" s="186">
        <f>TOTAL_EFFORT</f>
        <v>1186</v>
      </c>
      <c r="P593" s="186">
        <f>TOTAL_COST</f>
        <v>265664</v>
      </c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8"/>
      <c r="AC593" s="28"/>
      <c r="AD593" s="10"/>
    </row>
    <row r="594" spans="1:30" s="9" customFormat="1" outlineLevel="1" x14ac:dyDescent="0.35">
      <c r="A594" s="86"/>
      <c r="C594" s="74"/>
      <c r="D594" s="74"/>
      <c r="E594" s="74"/>
      <c r="F594" s="72"/>
      <c r="G594" s="25"/>
      <c r="H594" s="25"/>
      <c r="I594" s="25"/>
      <c r="J594" s="25"/>
      <c r="K594" s="25"/>
      <c r="L594" s="25"/>
      <c r="M594" s="262"/>
      <c r="N594" s="28"/>
      <c r="O594" s="28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8"/>
      <c r="AC594" s="28"/>
      <c r="AD594" s="10"/>
    </row>
    <row r="595" spans="1:30" s="9" customFormat="1" ht="20.25" customHeight="1" outlineLevel="1" x14ac:dyDescent="0.35">
      <c r="A595" s="86"/>
      <c r="C595" s="72"/>
      <c r="D595" s="72"/>
      <c r="E595" s="72"/>
      <c r="F595" s="72"/>
      <c r="G595" s="40"/>
      <c r="H595" s="40"/>
      <c r="I595" s="40"/>
      <c r="J595" s="40"/>
      <c r="K595" s="40"/>
      <c r="L595" s="40"/>
      <c r="M595" s="258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10"/>
    </row>
    <row r="596" spans="1:30" ht="15" customHeight="1" x14ac:dyDescent="0.35">
      <c r="F596" s="72"/>
    </row>
    <row r="597" spans="1:30" s="9" customFormat="1" ht="20.25" customHeight="1" collapsed="1" x14ac:dyDescent="0.35">
      <c r="A597" s="86"/>
      <c r="C597" s="72"/>
      <c r="D597" s="72"/>
      <c r="E597" s="72"/>
      <c r="F597" s="72"/>
      <c r="G597" s="320" t="s">
        <v>48</v>
      </c>
      <c r="H597" s="320"/>
      <c r="I597" s="165"/>
      <c r="J597" s="40"/>
      <c r="K597" s="40"/>
      <c r="L597" s="36"/>
      <c r="M597" s="265" t="s">
        <v>111</v>
      </c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10"/>
    </row>
    <row r="598" spans="1:30" hidden="1" outlineLevel="1" x14ac:dyDescent="0.35">
      <c r="F598" s="72"/>
      <c r="G598" s="58"/>
      <c r="H598" s="58"/>
      <c r="I598" s="58"/>
      <c r="J598" s="58"/>
      <c r="K598" s="58"/>
      <c r="L598" s="58"/>
      <c r="M598" s="270"/>
      <c r="N598" s="59"/>
      <c r="O598" s="59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9"/>
      <c r="AC598" s="28"/>
    </row>
    <row r="599" spans="1:30" hidden="1" outlineLevel="1" x14ac:dyDescent="0.35">
      <c r="F599" s="72"/>
      <c r="G599" s="58">
        <v>1</v>
      </c>
      <c r="H599" s="58"/>
      <c r="I599" s="58"/>
      <c r="J599" s="58"/>
      <c r="K599" s="58"/>
      <c r="L599" s="58"/>
      <c r="M599" s="270"/>
      <c r="N599" s="59"/>
      <c r="O599" s="59"/>
      <c r="P599" s="58"/>
      <c r="Q599" s="329" t="s">
        <v>79</v>
      </c>
      <c r="R599" s="329"/>
      <c r="S599" s="329"/>
      <c r="T599" s="329"/>
      <c r="U599" s="329"/>
      <c r="V599" s="329"/>
      <c r="W599" s="232"/>
      <c r="X599" s="58"/>
      <c r="Y599" s="58"/>
      <c r="Z599" s="58"/>
      <c r="AA599" s="58"/>
      <c r="AB599" s="59"/>
      <c r="AC599" s="28"/>
    </row>
    <row r="600" spans="1:30" ht="15" hidden="1" customHeight="1" outlineLevel="1" x14ac:dyDescent="0.35">
      <c r="B600" s="9" t="str">
        <f>IF(OR(COUNTBLANK(Q600:W600)&lt;&gt;0,SUM(Q600:W600)=0), ".", "")</f>
        <v/>
      </c>
      <c r="F600" s="72"/>
      <c r="G600" s="58">
        <v>2</v>
      </c>
      <c r="H600" s="58"/>
      <c r="I600" s="58"/>
      <c r="J600" s="58"/>
      <c r="K600" s="58"/>
      <c r="L600" s="58"/>
      <c r="M600" s="270"/>
      <c r="N600" s="59"/>
      <c r="O600" s="304" t="s">
        <v>29</v>
      </c>
      <c r="P600" s="304" t="s">
        <v>94</v>
      </c>
      <c r="Q600" s="50">
        <f t="shared" ref="Q600:V600" si="95">28 * 8</f>
        <v>224</v>
      </c>
      <c r="R600" s="50">
        <f t="shared" si="95"/>
        <v>224</v>
      </c>
      <c r="S600" s="50">
        <f t="shared" si="95"/>
        <v>224</v>
      </c>
      <c r="T600" s="50">
        <f t="shared" si="95"/>
        <v>224</v>
      </c>
      <c r="U600" s="50">
        <f t="shared" si="95"/>
        <v>224</v>
      </c>
      <c r="V600" s="50">
        <f t="shared" si="95"/>
        <v>224</v>
      </c>
      <c r="W600" s="303" t="str">
        <f>CHOSEN_CURRENCY</f>
        <v>USD</v>
      </c>
      <c r="X600" s="304"/>
      <c r="Y600" s="58"/>
      <c r="Z600" s="58"/>
      <c r="AA600" s="58"/>
      <c r="AB600" s="59" t="s">
        <v>1160</v>
      </c>
      <c r="AC600" s="28"/>
    </row>
    <row r="601" spans="1:30" ht="15" hidden="1" customHeight="1" outlineLevel="1" x14ac:dyDescent="0.35">
      <c r="F601" s="72"/>
      <c r="G601" s="58">
        <v>3</v>
      </c>
      <c r="H601" s="58"/>
      <c r="I601" s="58"/>
      <c r="J601" s="58"/>
      <c r="K601" s="58"/>
      <c r="L601" s="58"/>
      <c r="M601" s="270"/>
      <c r="N601" s="59"/>
      <c r="O601" s="306"/>
      <c r="P601" s="306"/>
      <c r="Q601" s="271" t="s">
        <v>8</v>
      </c>
      <c r="R601" s="271" t="s">
        <v>9</v>
      </c>
      <c r="S601" s="271" t="s">
        <v>10</v>
      </c>
      <c r="T601" s="271" t="s">
        <v>12</v>
      </c>
      <c r="U601" s="271" t="s">
        <v>11</v>
      </c>
      <c r="V601" s="272" t="s">
        <v>13</v>
      </c>
      <c r="W601" s="305"/>
      <c r="X601" s="306"/>
      <c r="Y601" s="58"/>
      <c r="Z601" s="58"/>
      <c r="AA601" s="58"/>
      <c r="AB601" s="59" t="s">
        <v>1161</v>
      </c>
      <c r="AC601" s="28"/>
    </row>
    <row r="602" spans="1:30" ht="15" hidden="1" customHeight="1" outlineLevel="1" x14ac:dyDescent="0.35">
      <c r="B602" s="9" t="str">
        <f t="shared" ref="B602:B607" si="96">IF(SUM(Q602:V602)&lt;&gt;1,".","")</f>
        <v/>
      </c>
      <c r="F602" s="72"/>
      <c r="G602" s="58">
        <v>4</v>
      </c>
      <c r="H602" s="58"/>
      <c r="I602" s="58"/>
      <c r="J602" s="58"/>
      <c r="K602" s="58"/>
      <c r="L602" s="62" t="s">
        <v>84</v>
      </c>
      <c r="M602" s="262" t="str">
        <f>$L$12</f>
        <v>A</v>
      </c>
      <c r="N602" s="28" t="str">
        <f>$M$12</f>
        <v>Discovery / Requirement Analysis</v>
      </c>
      <c r="O602" s="60">
        <f>S12</f>
        <v>80</v>
      </c>
      <c r="P602" s="94">
        <f>ROUND(REQ_EFFORT/5,0)</f>
        <v>16</v>
      </c>
      <c r="Q602" s="95">
        <v>0.3</v>
      </c>
      <c r="R602" s="246">
        <v>0.05</v>
      </c>
      <c r="S602" s="42">
        <v>0.1</v>
      </c>
      <c r="T602" s="42">
        <v>0.4</v>
      </c>
      <c r="U602" s="42">
        <v>0.15</v>
      </c>
      <c r="V602" s="43"/>
      <c r="W602" s="307">
        <f t="shared" ref="W602:W607" si="97">(($O602*Q602)*Q$600)+(($O602*R602)*R$600)+(($O602*S602)*S$600)+(($O602*T602)*T$600)+(($O602*U602)*U$600)+(($O602*V602)*V$600)</f>
        <v>17920</v>
      </c>
      <c r="X602" s="308"/>
      <c r="Y602" s="58"/>
      <c r="Z602" s="58"/>
      <c r="AA602" s="58"/>
      <c r="AB602" s="59" t="s">
        <v>1162</v>
      </c>
      <c r="AC602" s="28"/>
    </row>
    <row r="603" spans="1:30" hidden="1" outlineLevel="1" x14ac:dyDescent="0.35">
      <c r="B603" s="9" t="str">
        <f t="shared" si="96"/>
        <v/>
      </c>
      <c r="F603" s="72"/>
      <c r="G603" s="58">
        <v>5</v>
      </c>
      <c r="H603" s="58"/>
      <c r="I603" s="58"/>
      <c r="J603" s="58"/>
      <c r="K603" s="58"/>
      <c r="L603" s="62" t="s">
        <v>85</v>
      </c>
      <c r="M603" s="262" t="str">
        <f>$L$64</f>
        <v>B</v>
      </c>
      <c r="N603" s="28" t="str">
        <f>$M$64</f>
        <v>System Design, Framework and Test Cases</v>
      </c>
      <c r="O603" s="60">
        <f>S64</f>
        <v>81</v>
      </c>
      <c r="P603" s="94">
        <f>ROUND(DESIGN_EFFORT/5,0)</f>
        <v>16</v>
      </c>
      <c r="Q603" s="42"/>
      <c r="R603" s="247">
        <v>0.2</v>
      </c>
      <c r="S603" s="41">
        <v>0.1</v>
      </c>
      <c r="T603" s="42">
        <v>0.7</v>
      </c>
      <c r="U603" s="41"/>
      <c r="V603" s="44"/>
      <c r="W603" s="307">
        <f t="shared" si="97"/>
        <v>18144</v>
      </c>
      <c r="X603" s="308"/>
      <c r="Y603" s="58"/>
      <c r="Z603" s="58"/>
      <c r="AA603" s="58"/>
      <c r="AB603" s="59"/>
      <c r="AC603" s="28"/>
    </row>
    <row r="604" spans="1:30" hidden="1" outlineLevel="1" x14ac:dyDescent="0.35">
      <c r="B604" s="9" t="str">
        <f t="shared" si="96"/>
        <v/>
      </c>
      <c r="F604" s="72"/>
      <c r="G604" s="58">
        <v>6</v>
      </c>
      <c r="H604" s="58"/>
      <c r="I604" s="58"/>
      <c r="J604" s="58"/>
      <c r="K604" s="58"/>
      <c r="L604" s="62" t="s">
        <v>87</v>
      </c>
      <c r="M604" s="262" t="str">
        <f>$L$95</f>
        <v>C</v>
      </c>
      <c r="N604" s="28" t="str">
        <f>$M$95</f>
        <v>Development and Unit Testing</v>
      </c>
      <c r="O604" s="60">
        <f>S95</f>
        <v>695</v>
      </c>
      <c r="P604" s="94">
        <f>ROUND(DEV_EFFORT/5,0)</f>
        <v>139</v>
      </c>
      <c r="Q604" s="42">
        <v>0.05</v>
      </c>
      <c r="R604" s="246">
        <v>0.1</v>
      </c>
      <c r="S604" s="41">
        <v>0.05</v>
      </c>
      <c r="T604" s="95">
        <v>0.75</v>
      </c>
      <c r="U604" s="42">
        <v>0.05</v>
      </c>
      <c r="V604" s="44"/>
      <c r="W604" s="307">
        <f t="shared" si="97"/>
        <v>155680</v>
      </c>
      <c r="X604" s="308"/>
      <c r="Y604" s="58"/>
      <c r="Z604" s="58"/>
      <c r="AA604" s="58"/>
      <c r="AB604" s="59"/>
      <c r="AC604" s="28"/>
    </row>
    <row r="605" spans="1:30" hidden="1" outlineLevel="1" x14ac:dyDescent="0.35">
      <c r="B605" s="9" t="str">
        <f t="shared" si="96"/>
        <v/>
      </c>
      <c r="F605" s="72"/>
      <c r="G605" s="58">
        <v>7</v>
      </c>
      <c r="H605" s="58"/>
      <c r="I605" s="58"/>
      <c r="J605" s="58"/>
      <c r="K605" s="58"/>
      <c r="L605" s="62" t="s">
        <v>11</v>
      </c>
      <c r="M605" s="262" t="str">
        <f>$L$461</f>
        <v>D</v>
      </c>
      <c r="N605" s="28" t="str">
        <f>$M$461</f>
        <v>System Testing and Stabilization</v>
      </c>
      <c r="O605" s="60">
        <f>S461</f>
        <v>121</v>
      </c>
      <c r="P605" s="94">
        <f>ROUND(QA_EFFORT/5,0)</f>
        <v>24</v>
      </c>
      <c r="Q605" s="42">
        <v>0.05</v>
      </c>
      <c r="R605" s="246">
        <v>0.05</v>
      </c>
      <c r="S605" s="41">
        <v>0.05</v>
      </c>
      <c r="T605" s="41">
        <v>0.55000000000000004</v>
      </c>
      <c r="U605" s="95">
        <v>0.3</v>
      </c>
      <c r="V605" s="44"/>
      <c r="W605" s="307">
        <f t="shared" si="97"/>
        <v>27104</v>
      </c>
      <c r="X605" s="308"/>
      <c r="Y605" s="58"/>
      <c r="Z605" s="58"/>
      <c r="AA605" s="58"/>
      <c r="AB605" s="59"/>
      <c r="AC605" s="28"/>
    </row>
    <row r="606" spans="1:30" hidden="1" outlineLevel="1" x14ac:dyDescent="0.35">
      <c r="B606" s="9" t="str">
        <f t="shared" si="96"/>
        <v/>
      </c>
      <c r="F606" s="72"/>
      <c r="G606" s="58">
        <v>8</v>
      </c>
      <c r="H606" s="58"/>
      <c r="I606" s="58"/>
      <c r="J606" s="58"/>
      <c r="K606" s="58"/>
      <c r="L606" s="62" t="s">
        <v>86</v>
      </c>
      <c r="M606" s="262" t="str">
        <f>$L$500</f>
        <v>E</v>
      </c>
      <c r="N606" s="28" t="str">
        <f>$M$500</f>
        <v>Deployment, UAT and Documentation</v>
      </c>
      <c r="O606" s="60">
        <f>S500</f>
        <v>122</v>
      </c>
      <c r="P606" s="94">
        <f>ROUND(UAT_EFFORT/5,0)</f>
        <v>24</v>
      </c>
      <c r="Q606" s="42">
        <v>0.25</v>
      </c>
      <c r="R606" s="246">
        <v>0.05</v>
      </c>
      <c r="S606" s="41">
        <v>0.1</v>
      </c>
      <c r="T606" s="95">
        <v>0.45</v>
      </c>
      <c r="U606" s="41">
        <v>0.15</v>
      </c>
      <c r="V606" s="44"/>
      <c r="W606" s="307">
        <f t="shared" si="97"/>
        <v>27328</v>
      </c>
      <c r="X606" s="308"/>
      <c r="Y606" s="58"/>
      <c r="Z606" s="58"/>
      <c r="AA606" s="58"/>
      <c r="AB606" s="59"/>
      <c r="AC606" s="28"/>
    </row>
    <row r="607" spans="1:30" hidden="1" outlineLevel="1" x14ac:dyDescent="0.35">
      <c r="B607" s="9" t="str">
        <f t="shared" si="96"/>
        <v/>
      </c>
      <c r="F607" s="72"/>
      <c r="G607" s="58">
        <v>9</v>
      </c>
      <c r="H607" s="58"/>
      <c r="I607" s="58"/>
      <c r="J607" s="58"/>
      <c r="K607" s="58"/>
      <c r="L607" s="62" t="s">
        <v>76</v>
      </c>
      <c r="M607" s="262" t="str">
        <f>$L$528</f>
        <v>F</v>
      </c>
      <c r="N607" s="28" t="str">
        <f>$M$528</f>
        <v>Others</v>
      </c>
      <c r="O607" s="60">
        <f>S528</f>
        <v>87</v>
      </c>
      <c r="P607" s="94">
        <f>ROUND(OTHER_EFFORT/5,0)</f>
        <v>17</v>
      </c>
      <c r="Q607" s="42"/>
      <c r="R607" s="246">
        <v>0.2</v>
      </c>
      <c r="S607" s="95">
        <v>0.8</v>
      </c>
      <c r="T607" s="42"/>
      <c r="U607" s="42"/>
      <c r="V607" s="44"/>
      <c r="W607" s="309">
        <f t="shared" si="97"/>
        <v>19488</v>
      </c>
      <c r="X607" s="310"/>
      <c r="Y607" s="58"/>
      <c r="Z607" s="58"/>
      <c r="AA607" s="58"/>
      <c r="AB607" s="59"/>
      <c r="AC607" s="28"/>
    </row>
    <row r="608" spans="1:30" ht="21" hidden="1" outlineLevel="1" x14ac:dyDescent="0.35">
      <c r="F608" s="72"/>
      <c r="G608" s="58">
        <v>10</v>
      </c>
      <c r="H608" s="58"/>
      <c r="I608" s="58"/>
      <c r="J608" s="58"/>
      <c r="K608" s="58"/>
      <c r="L608" s="58"/>
      <c r="M608" s="270"/>
      <c r="N608" s="59"/>
      <c r="O608" s="238">
        <f>SUM(O602:O607)</f>
        <v>1186</v>
      </c>
      <c r="P608" s="239">
        <f>SUM(P602:P607)</f>
        <v>236</v>
      </c>
      <c r="Q608" s="312" t="s">
        <v>116</v>
      </c>
      <c r="R608" s="312"/>
      <c r="S608" s="312"/>
      <c r="T608" s="312"/>
      <c r="U608" s="312"/>
      <c r="V608" s="312"/>
      <c r="W608" s="311">
        <f>SUM(W602:W607)</f>
        <v>265664</v>
      </c>
      <c r="X608" s="311"/>
      <c r="Y608" s="58"/>
      <c r="Z608" s="58"/>
      <c r="AA608" s="58"/>
      <c r="AB608" s="59"/>
      <c r="AC608" s="28"/>
    </row>
    <row r="609" spans="1:30" hidden="1" outlineLevel="1" x14ac:dyDescent="0.35">
      <c r="F609" s="72"/>
      <c r="G609" s="58"/>
      <c r="H609" s="58"/>
      <c r="I609" s="58"/>
      <c r="J609" s="58"/>
      <c r="K609" s="58"/>
      <c r="L609" s="58"/>
      <c r="M609" s="270"/>
      <c r="N609" s="59"/>
      <c r="O609" s="59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9"/>
      <c r="AC609" s="28"/>
    </row>
    <row r="610" spans="1:30" ht="15" hidden="1" customHeight="1" outlineLevel="1" x14ac:dyDescent="0.35">
      <c r="F610" s="72"/>
      <c r="G610" s="58"/>
      <c r="H610" s="58"/>
      <c r="I610" s="58"/>
      <c r="J610" s="58"/>
      <c r="K610" s="58"/>
      <c r="L610" s="58"/>
      <c r="M610" s="270"/>
      <c r="N610" s="59"/>
      <c r="O610" s="59"/>
      <c r="P610" s="58"/>
      <c r="Q610" s="328" t="s">
        <v>114</v>
      </c>
      <c r="R610" s="328"/>
      <c r="S610" s="328"/>
      <c r="T610" s="328"/>
      <c r="U610" s="328"/>
      <c r="V610" s="328"/>
      <c r="W610" s="313" t="s">
        <v>446</v>
      </c>
      <c r="X610" s="313"/>
      <c r="Y610" s="58"/>
      <c r="Z610" s="58"/>
      <c r="AA610" s="58"/>
      <c r="AB610" s="59"/>
      <c r="AC610" s="28"/>
    </row>
    <row r="611" spans="1:30" ht="15" hidden="1" customHeight="1" outlineLevel="1" x14ac:dyDescent="0.35">
      <c r="F611" s="72"/>
      <c r="G611" s="58"/>
      <c r="H611" s="58"/>
      <c r="I611" s="58"/>
      <c r="J611" s="58"/>
      <c r="K611" s="58"/>
      <c r="L611" s="58"/>
      <c r="M611" s="262"/>
      <c r="N611" s="28"/>
      <c r="O611" s="97" t="s">
        <v>112</v>
      </c>
      <c r="P611" s="98" t="s">
        <v>113</v>
      </c>
      <c r="Q611" s="271" t="s">
        <v>8</v>
      </c>
      <c r="R611" s="271" t="s">
        <v>9</v>
      </c>
      <c r="S611" s="271" t="s">
        <v>10</v>
      </c>
      <c r="T611" s="271" t="s">
        <v>12</v>
      </c>
      <c r="U611" s="271" t="s">
        <v>11</v>
      </c>
      <c r="V611" s="272" t="s">
        <v>13</v>
      </c>
      <c r="W611" s="313"/>
      <c r="X611" s="313"/>
      <c r="Y611" s="58"/>
      <c r="Z611" s="93"/>
      <c r="AA611" s="93"/>
      <c r="AB611" s="93"/>
      <c r="AC611" s="93"/>
    </row>
    <row r="612" spans="1:30" ht="15" hidden="1" customHeight="1" outlineLevel="1" x14ac:dyDescent="0.35">
      <c r="F612" s="72"/>
      <c r="G612" s="58"/>
      <c r="H612" s="58"/>
      <c r="I612" s="58"/>
      <c r="J612" s="58"/>
      <c r="K612" s="58"/>
      <c r="L612" s="58"/>
      <c r="M612" s="262" t="str">
        <f>$L$12</f>
        <v>A</v>
      </c>
      <c r="N612" s="28" t="str">
        <f>$M$12</f>
        <v>Discovery / Requirement Analysis</v>
      </c>
      <c r="O612" s="102">
        <v>46328</v>
      </c>
      <c r="P612" s="99">
        <f>O612+(((P602*REQ_BA_PERCENT)/REQ_BA_COUNT)*7)</f>
        <v>46361.6</v>
      </c>
      <c r="Q612" s="96">
        <v>1</v>
      </c>
      <c r="R612" s="203">
        <v>0.2</v>
      </c>
      <c r="S612" s="92">
        <v>0.3</v>
      </c>
      <c r="T612" s="92">
        <v>1.5</v>
      </c>
      <c r="U612" s="92">
        <v>0.5</v>
      </c>
      <c r="V612" s="51"/>
      <c r="W612" s="236">
        <v>0</v>
      </c>
      <c r="X612" s="58"/>
      <c r="Y612" s="298" t="s">
        <v>1163</v>
      </c>
      <c r="Z612" s="298"/>
      <c r="AA612" s="298"/>
      <c r="AB612" s="59"/>
      <c r="AC612" s="28"/>
    </row>
    <row r="613" spans="1:30" hidden="1" outlineLevel="1" x14ac:dyDescent="0.35">
      <c r="F613" s="72"/>
      <c r="G613" s="58"/>
      <c r="H613" s="58"/>
      <c r="I613" s="58"/>
      <c r="J613" s="58"/>
      <c r="K613" s="58"/>
      <c r="L613" s="58"/>
      <c r="M613" s="262" t="str">
        <f>$L$64</f>
        <v>B</v>
      </c>
      <c r="N613" s="28" t="str">
        <f>$M$64</f>
        <v>System Design, Framework and Test Cases</v>
      </c>
      <c r="O613" s="100">
        <f>O612+((P612-O612)*W612)+1</f>
        <v>46329</v>
      </c>
      <c r="P613" s="99">
        <f>O613+(((P603*DESIGN_TA_PERCENT)/DESIGN_TA_COUNT)*7)</f>
        <v>46361</v>
      </c>
      <c r="Q613" s="92"/>
      <c r="R613" s="204">
        <v>0.7</v>
      </c>
      <c r="S613" s="92">
        <v>0.4</v>
      </c>
      <c r="T613" s="92">
        <v>2.5</v>
      </c>
      <c r="U613" s="92"/>
      <c r="V613" s="51"/>
      <c r="W613" s="237">
        <v>0.85</v>
      </c>
      <c r="X613" s="58"/>
      <c r="Y613" s="298"/>
      <c r="Z613" s="298"/>
      <c r="AA613" s="298"/>
      <c r="AB613" s="59"/>
      <c r="AC613" s="28"/>
    </row>
    <row r="614" spans="1:30" hidden="1" outlineLevel="1" x14ac:dyDescent="0.35">
      <c r="F614" s="72"/>
      <c r="G614" s="58"/>
      <c r="H614" s="58"/>
      <c r="I614" s="58"/>
      <c r="J614" s="58"/>
      <c r="K614" s="58"/>
      <c r="L614" s="58"/>
      <c r="M614" s="262" t="str">
        <f>$L$95</f>
        <v>C</v>
      </c>
      <c r="N614" s="28" t="str">
        <f>$M$95</f>
        <v>Development and Unit Testing</v>
      </c>
      <c r="O614" s="100">
        <f>O613+((P613-O613)*W613)+1</f>
        <v>46357.2</v>
      </c>
      <c r="P614" s="99">
        <f>O614+(((P604*DEV_DEV_PERCENT)/DEV_DEV_COUNT)*7)</f>
        <v>46549.2394736842</v>
      </c>
      <c r="Q614" s="92">
        <v>0.3</v>
      </c>
      <c r="R614" s="203">
        <v>0.5</v>
      </c>
      <c r="S614" s="92">
        <v>0.3</v>
      </c>
      <c r="T614" s="96">
        <v>3.8</v>
      </c>
      <c r="U614" s="92">
        <v>0.3</v>
      </c>
      <c r="V614" s="51"/>
      <c r="W614" s="236">
        <v>0.75</v>
      </c>
      <c r="X614" s="58"/>
      <c r="Y614" s="298"/>
      <c r="Z614" s="298"/>
      <c r="AA614" s="298"/>
      <c r="AB614" s="59"/>
      <c r="AC614" s="28"/>
    </row>
    <row r="615" spans="1:30" hidden="1" outlineLevel="1" x14ac:dyDescent="0.35">
      <c r="F615" s="72"/>
      <c r="G615" s="58"/>
      <c r="H615" s="58"/>
      <c r="I615" s="58"/>
      <c r="J615" s="58"/>
      <c r="K615" s="58"/>
      <c r="L615" s="58"/>
      <c r="M615" s="262" t="str">
        <f>$L$461</f>
        <v>D</v>
      </c>
      <c r="N615" s="28" t="str">
        <f>$M$461</f>
        <v>System Testing and Stabilization</v>
      </c>
      <c r="O615" s="100">
        <f>O614+((P614-O614)*W614)+1</f>
        <v>46502.2296052632</v>
      </c>
      <c r="P615" s="99">
        <f>O615+(((P605*TESTING_QA_PERCENT)/TESTING_QA_COUNT)*7)</f>
        <v>46552.6296052632</v>
      </c>
      <c r="Q615" s="92">
        <v>0.1</v>
      </c>
      <c r="R615" s="203">
        <v>0.2</v>
      </c>
      <c r="S615" s="92">
        <v>0.2</v>
      </c>
      <c r="T615" s="92">
        <v>1.7</v>
      </c>
      <c r="U615" s="96">
        <v>1</v>
      </c>
      <c r="V615" s="233"/>
      <c r="W615" s="236">
        <v>0.3</v>
      </c>
      <c r="X615" s="58"/>
      <c r="Y615" s="298"/>
      <c r="Z615" s="298"/>
      <c r="AA615" s="298"/>
      <c r="AB615" s="59"/>
      <c r="AC615" s="28"/>
    </row>
    <row r="616" spans="1:30" hidden="1" outlineLevel="1" x14ac:dyDescent="0.35">
      <c r="F616" s="72"/>
      <c r="G616" s="58"/>
      <c r="H616" s="58"/>
      <c r="I616" s="58"/>
      <c r="J616" s="58"/>
      <c r="K616" s="58"/>
      <c r="L616" s="58"/>
      <c r="M616" s="262" t="str">
        <f>$L$500</f>
        <v>E</v>
      </c>
      <c r="N616" s="28" t="str">
        <f>$M$500</f>
        <v>Deployment, UAT and Documentation</v>
      </c>
      <c r="O616" s="100">
        <f>O615+((P615-O615)*W615)+1</f>
        <v>46518.3496052632</v>
      </c>
      <c r="P616" s="99">
        <f>O616+(((P606*UAT_DEV_PERCENT)/UAT_DEV_COUNT)*7)</f>
        <v>46612.8496052632</v>
      </c>
      <c r="Q616" s="92">
        <v>0.4</v>
      </c>
      <c r="R616" s="203">
        <v>0.1</v>
      </c>
      <c r="S616" s="92">
        <v>0.2</v>
      </c>
      <c r="T616" s="96">
        <v>0.8</v>
      </c>
      <c r="U616" s="92">
        <v>0.3</v>
      </c>
      <c r="V616" s="51"/>
      <c r="W616" s="236">
        <v>0.15</v>
      </c>
      <c r="X616" s="58"/>
      <c r="Y616" s="298"/>
      <c r="Z616" s="298"/>
      <c r="AA616" s="298"/>
      <c r="AB616" s="59"/>
      <c r="AC616" s="28"/>
    </row>
    <row r="617" spans="1:30" hidden="1" outlineLevel="1" x14ac:dyDescent="0.35">
      <c r="F617" s="72"/>
      <c r="G617" s="58"/>
      <c r="H617" s="58"/>
      <c r="I617" s="58"/>
      <c r="J617" s="58"/>
      <c r="K617" s="58"/>
      <c r="L617" s="58"/>
      <c r="M617" s="262" t="str">
        <f>$L$528</f>
        <v>F</v>
      </c>
      <c r="N617" s="28" t="str">
        <f>$M$528</f>
        <v>Others</v>
      </c>
      <c r="O617" s="101">
        <f>O616+((P616-O616)*W616)+1</f>
        <v>46533.5246052632</v>
      </c>
      <c r="P617" s="108">
        <f>O617+(((P607*OTHER_TL_PERCENT)/OTHER_TL_COUNT)*7)</f>
        <v>46628.7246052632</v>
      </c>
      <c r="Q617" s="109"/>
      <c r="R617" s="205">
        <v>0.3</v>
      </c>
      <c r="S617" s="110">
        <v>1</v>
      </c>
      <c r="T617" s="109"/>
      <c r="U617" s="109"/>
      <c r="V617" s="111"/>
      <c r="W617" s="234"/>
      <c r="X617" s="58"/>
      <c r="Y617" s="58"/>
      <c r="Z617" s="58"/>
      <c r="AA617" s="58"/>
      <c r="AB617" s="59"/>
      <c r="AC617" s="28"/>
    </row>
    <row r="618" spans="1:30" ht="15.5" hidden="1" outlineLevel="1" x14ac:dyDescent="0.35">
      <c r="F618" s="72"/>
      <c r="G618" s="58">
        <v>1</v>
      </c>
      <c r="H618" s="58"/>
      <c r="I618" s="58"/>
      <c r="J618" s="58"/>
      <c r="K618" s="58"/>
      <c r="L618" s="25"/>
      <c r="M618" s="262"/>
      <c r="N618" s="25"/>
      <c r="O618" s="105" t="s">
        <v>118</v>
      </c>
      <c r="P618" s="114">
        <f>NETWORKDAYS(START_DATE,AUTOMATED_END_DATE)/5</f>
        <v>43</v>
      </c>
      <c r="Q618" s="113" t="s">
        <v>94</v>
      </c>
      <c r="R618" s="112"/>
      <c r="S618" s="107" t="s">
        <v>117</v>
      </c>
      <c r="T618" s="332">
        <f>AUTOMATED_END_DATE</f>
        <v>46628.7246052632</v>
      </c>
      <c r="U618" s="332"/>
      <c r="V618" s="235"/>
      <c r="W618" s="235"/>
      <c r="X618" s="235"/>
      <c r="Y618" s="25"/>
      <c r="Z618" s="25"/>
      <c r="AA618" s="25"/>
      <c r="AB618" s="28"/>
      <c r="AC618" s="28"/>
    </row>
    <row r="619" spans="1:30" ht="15.5" hidden="1" outlineLevel="1" x14ac:dyDescent="0.35">
      <c r="F619" s="72"/>
      <c r="G619" s="58">
        <v>2</v>
      </c>
      <c r="H619" s="58"/>
      <c r="I619" s="58"/>
      <c r="J619" s="58"/>
      <c r="K619" s="58"/>
      <c r="L619" s="25"/>
      <c r="M619" s="262"/>
      <c r="N619" s="25"/>
      <c r="O619" s="105" t="s">
        <v>119</v>
      </c>
      <c r="P619" s="114">
        <f>NETWORKDAYS(START_DATE,MANUAL_END_DATE)/5</f>
        <v>35</v>
      </c>
      <c r="Q619" s="113" t="s">
        <v>94</v>
      </c>
      <c r="R619" s="106"/>
      <c r="S619" s="107" t="s">
        <v>117</v>
      </c>
      <c r="T619" s="332">
        <f>MANUAL_END_DATE</f>
        <v>46570</v>
      </c>
      <c r="U619" s="332"/>
      <c r="V619" s="235"/>
      <c r="W619" s="235"/>
      <c r="X619" s="235"/>
      <c r="Y619" s="25"/>
      <c r="Z619" s="25"/>
      <c r="AA619" s="25"/>
      <c r="AB619" s="28"/>
      <c r="AC619" s="28"/>
    </row>
    <row r="620" spans="1:30" ht="15" hidden="1" customHeight="1" outlineLevel="1" x14ac:dyDescent="0.35">
      <c r="F620" s="72"/>
      <c r="G620" s="58"/>
      <c r="H620" s="58"/>
      <c r="I620" s="58"/>
      <c r="J620" s="58"/>
      <c r="K620" s="58"/>
      <c r="L620" s="25"/>
      <c r="M620" s="262"/>
      <c r="N620" s="25"/>
      <c r="O620" s="103"/>
      <c r="P620" s="61"/>
      <c r="Q620" s="104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8"/>
      <c r="AC620" s="28"/>
    </row>
    <row r="621" spans="1:30" hidden="1" outlineLevel="1" x14ac:dyDescent="0.35">
      <c r="F621" s="72"/>
      <c r="G621" s="58">
        <v>3</v>
      </c>
      <c r="H621" s="58"/>
      <c r="I621" s="58"/>
      <c r="J621" s="58"/>
      <c r="K621" s="58"/>
      <c r="L621" s="25"/>
      <c r="M621" s="262"/>
      <c r="N621" s="28"/>
      <c r="O621" s="28"/>
      <c r="P621" s="25"/>
      <c r="Q621" s="25"/>
      <c r="R621" s="25"/>
      <c r="S621" s="69" t="s">
        <v>115</v>
      </c>
      <c r="T621" s="70" t="s">
        <v>92</v>
      </c>
      <c r="U621" s="25"/>
      <c r="V621" s="25"/>
      <c r="W621" s="25"/>
      <c r="X621" s="25"/>
      <c r="Y621" s="25"/>
      <c r="Z621" s="25"/>
      <c r="AA621" s="25"/>
      <c r="AB621" s="28"/>
      <c r="AC621" s="28"/>
    </row>
    <row r="622" spans="1:30" hidden="1" outlineLevel="1" x14ac:dyDescent="0.35">
      <c r="F622" s="72"/>
      <c r="G622" s="58"/>
      <c r="H622" s="58"/>
      <c r="I622" s="58"/>
      <c r="J622" s="58"/>
      <c r="K622" s="58"/>
      <c r="L622" s="25"/>
      <c r="M622" s="262"/>
      <c r="N622" s="28"/>
      <c r="O622" s="28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8"/>
      <c r="AC622" s="28"/>
    </row>
    <row r="623" spans="1:30" s="9" customFormat="1" ht="20.25" hidden="1" customHeight="1" outlineLevel="1" x14ac:dyDescent="0.35">
      <c r="A623" s="86"/>
      <c r="C623" s="72"/>
      <c r="D623" s="72"/>
      <c r="E623" s="72"/>
      <c r="F623" s="72"/>
      <c r="G623" s="40"/>
      <c r="H623" s="40"/>
      <c r="I623" s="40"/>
      <c r="J623" s="40"/>
      <c r="K623" s="40"/>
      <c r="L623" s="40"/>
      <c r="M623" s="258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10"/>
    </row>
    <row r="624" spans="1:30" s="9" customFormat="1" x14ac:dyDescent="0.35">
      <c r="A624" s="86"/>
      <c r="C624" s="74"/>
      <c r="D624" s="74"/>
      <c r="E624" s="74"/>
      <c r="F624" s="72"/>
      <c r="M624" s="252"/>
      <c r="N624" s="10"/>
      <c r="O624" s="10"/>
      <c r="AB624" s="10"/>
      <c r="AC624" s="10"/>
      <c r="AD624" s="10"/>
    </row>
    <row r="625" spans="1:30" s="9" customFormat="1" ht="20.25" customHeight="1" collapsed="1" x14ac:dyDescent="0.35">
      <c r="A625" s="86"/>
      <c r="C625" s="72"/>
      <c r="D625" s="72"/>
      <c r="E625" s="72"/>
      <c r="F625" s="72"/>
      <c r="G625" s="320" t="s">
        <v>48</v>
      </c>
      <c r="H625" s="320"/>
      <c r="I625" s="165"/>
      <c r="J625" s="40"/>
      <c r="K625" s="40"/>
      <c r="L625" s="36"/>
      <c r="M625" s="265" t="s">
        <v>185</v>
      </c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200" t="str">
        <f>TEMPLATE_NAME&amp;" "&amp;TEMPLATE_VER</f>
        <v>AG Estimation Template -  Version 2.0.4</v>
      </c>
      <c r="AC625" s="36"/>
      <c r="AD625" s="10"/>
    </row>
    <row r="626" spans="1:30" s="9" customFormat="1" hidden="1" outlineLevel="1" x14ac:dyDescent="0.35">
      <c r="A626" s="86"/>
      <c r="C626" s="74"/>
      <c r="D626" s="74"/>
      <c r="E626" s="74"/>
      <c r="F626" s="72"/>
      <c r="G626" s="25"/>
      <c r="H626" s="25"/>
      <c r="I626" s="25"/>
      <c r="J626" s="25"/>
      <c r="K626" s="25"/>
      <c r="L626" s="25"/>
      <c r="M626" s="262"/>
      <c r="N626" s="28"/>
      <c r="O626" s="28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8"/>
      <c r="AC626" s="28"/>
      <c r="AD626" s="10"/>
    </row>
    <row r="627" spans="1:30" s="9" customFormat="1" ht="15" hidden="1" customHeight="1" outlineLevel="1" x14ac:dyDescent="0.35">
      <c r="A627" s="86"/>
      <c r="C627" s="74"/>
      <c r="D627" s="74"/>
      <c r="E627" s="74"/>
      <c r="F627" s="72"/>
      <c r="G627" s="25"/>
      <c r="H627" s="25"/>
      <c r="I627" s="25"/>
      <c r="J627" s="25"/>
      <c r="K627" s="25"/>
      <c r="L627" s="25"/>
      <c r="M627" s="262"/>
      <c r="N627" s="132" t="s">
        <v>130</v>
      </c>
      <c r="O627" s="28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8"/>
      <c r="AC627" s="28"/>
      <c r="AD627" s="10"/>
    </row>
    <row r="628" spans="1:30" s="9" customFormat="1" ht="14.25" hidden="1" customHeight="1" outlineLevel="1" x14ac:dyDescent="0.35">
      <c r="A628" s="86"/>
      <c r="C628" s="72"/>
      <c r="D628" s="72"/>
      <c r="E628" s="72"/>
      <c r="F628" s="72"/>
      <c r="G628" s="25"/>
      <c r="H628" s="25"/>
      <c r="I628" s="25"/>
      <c r="J628" s="25"/>
      <c r="K628" s="25"/>
      <c r="L628" s="25"/>
      <c r="M628" s="262"/>
      <c r="N628" s="146" t="s">
        <v>5</v>
      </c>
      <c r="O628" s="145" t="s">
        <v>1164</v>
      </c>
      <c r="P628" s="172"/>
      <c r="Q628" s="172"/>
      <c r="R628" s="145"/>
      <c r="S628" s="172"/>
      <c r="T628" s="172"/>
      <c r="U628" s="172"/>
      <c r="V628" s="172"/>
      <c r="W628" s="172"/>
      <c r="X628" s="25"/>
      <c r="Y628" s="25"/>
      <c r="Z628" s="25"/>
      <c r="AA628" s="25"/>
      <c r="AB628" s="25"/>
      <c r="AC628" s="28"/>
      <c r="AD628" s="10"/>
    </row>
    <row r="629" spans="1:30" s="9" customFormat="1" ht="14.25" hidden="1" customHeight="1" outlineLevel="1" x14ac:dyDescent="0.35">
      <c r="A629" s="86"/>
      <c r="C629" s="72"/>
      <c r="D629" s="72"/>
      <c r="E629" s="72"/>
      <c r="F629" s="72"/>
      <c r="G629" s="25"/>
      <c r="H629" s="25"/>
      <c r="I629" s="25"/>
      <c r="J629" s="25"/>
      <c r="K629" s="25"/>
      <c r="L629" s="25"/>
      <c r="M629" s="262"/>
      <c r="N629" s="146" t="s">
        <v>30</v>
      </c>
      <c r="O629" s="145" t="s">
        <v>762</v>
      </c>
      <c r="P629" s="172"/>
      <c r="Q629" s="172"/>
      <c r="R629" s="172"/>
      <c r="S629" s="172"/>
      <c r="T629" s="172"/>
      <c r="U629" s="172"/>
      <c r="V629" s="172"/>
      <c r="W629" s="172"/>
      <c r="X629" s="25"/>
      <c r="Y629" s="25"/>
      <c r="Z629" s="25"/>
      <c r="AA629" s="25"/>
      <c r="AB629" s="25"/>
      <c r="AC629" s="28"/>
      <c r="AD629" s="10"/>
    </row>
    <row r="630" spans="1:30" s="9" customFormat="1" ht="14.25" hidden="1" customHeight="1" outlineLevel="1" x14ac:dyDescent="0.35">
      <c r="A630" s="86"/>
      <c r="C630" s="72"/>
      <c r="D630" s="72"/>
      <c r="E630" s="72"/>
      <c r="F630" s="72"/>
      <c r="G630" s="25"/>
      <c r="H630" s="25"/>
      <c r="I630" s="25"/>
      <c r="J630" s="25"/>
      <c r="K630" s="25"/>
      <c r="L630" s="25"/>
      <c r="M630" s="262"/>
      <c r="N630" s="146" t="s">
        <v>36</v>
      </c>
      <c r="O630" s="145" t="s">
        <v>41</v>
      </c>
      <c r="P630" s="172"/>
      <c r="Q630" s="172"/>
      <c r="R630" s="172"/>
      <c r="S630" s="130"/>
      <c r="T630" s="130"/>
      <c r="U630" s="130"/>
      <c r="V630" s="172"/>
      <c r="W630" s="172"/>
      <c r="X630" s="25"/>
      <c r="Y630" s="25"/>
      <c r="Z630" s="25"/>
      <c r="AA630" s="25"/>
      <c r="AB630" s="25"/>
      <c r="AC630" s="28"/>
      <c r="AD630" s="10"/>
    </row>
    <row r="631" spans="1:30" s="9" customFormat="1" ht="14.25" hidden="1" customHeight="1" outlineLevel="1" x14ac:dyDescent="0.35">
      <c r="A631" s="86"/>
      <c r="C631" s="72"/>
      <c r="D631" s="72"/>
      <c r="E631" s="72"/>
      <c r="F631" s="72"/>
      <c r="G631" s="25"/>
      <c r="H631" s="25"/>
      <c r="I631" s="25"/>
      <c r="J631" s="25"/>
      <c r="K631" s="25"/>
      <c r="L631" s="25"/>
      <c r="M631" s="262"/>
      <c r="N631" s="146" t="s">
        <v>31</v>
      </c>
      <c r="O631" s="145" t="s">
        <v>32</v>
      </c>
      <c r="P631" s="172"/>
      <c r="Q631" s="172"/>
      <c r="R631" s="172"/>
      <c r="S631" s="130"/>
      <c r="T631" s="130"/>
      <c r="U631" s="130"/>
      <c r="V631" s="172"/>
      <c r="W631" s="172"/>
      <c r="X631" s="25"/>
      <c r="Y631" s="25"/>
      <c r="Z631" s="25"/>
      <c r="AA631" s="25"/>
      <c r="AB631" s="25"/>
      <c r="AC631" s="28"/>
      <c r="AD631" s="10"/>
    </row>
    <row r="632" spans="1:30" s="9" customFormat="1" ht="14.25" hidden="1" customHeight="1" outlineLevel="1" x14ac:dyDescent="0.35">
      <c r="A632" s="86"/>
      <c r="C632" s="72"/>
      <c r="D632" s="72"/>
      <c r="E632" s="72"/>
      <c r="F632" s="72"/>
      <c r="G632" s="25"/>
      <c r="H632" s="25"/>
      <c r="I632" s="25"/>
      <c r="J632" s="25"/>
      <c r="K632" s="25"/>
      <c r="L632" s="25"/>
      <c r="M632" s="262"/>
      <c r="N632" s="146" t="s">
        <v>56</v>
      </c>
      <c r="O632" s="145" t="s">
        <v>969</v>
      </c>
      <c r="P632" s="172"/>
      <c r="Q632" s="172"/>
      <c r="R632" s="172"/>
      <c r="S632" s="130"/>
      <c r="T632" s="130"/>
      <c r="U632" s="130"/>
      <c r="V632" s="172"/>
      <c r="W632" s="172"/>
      <c r="X632" s="25"/>
      <c r="Y632" s="25"/>
      <c r="Z632" s="25"/>
      <c r="AA632" s="25"/>
      <c r="AB632" s="25"/>
      <c r="AC632" s="28"/>
      <c r="AD632" s="10"/>
    </row>
    <row r="633" spans="1:30" s="9" customFormat="1" ht="14.25" hidden="1" customHeight="1" outlineLevel="1" x14ac:dyDescent="0.35">
      <c r="A633" s="86"/>
      <c r="C633" s="72"/>
      <c r="D633" s="72"/>
      <c r="E633" s="72"/>
      <c r="F633" s="72"/>
      <c r="G633" s="25"/>
      <c r="H633" s="25"/>
      <c r="I633" s="25"/>
      <c r="J633" s="25"/>
      <c r="K633" s="25"/>
      <c r="L633" s="25"/>
      <c r="M633" s="262"/>
      <c r="N633" s="146" t="s">
        <v>67</v>
      </c>
      <c r="O633" s="145" t="s">
        <v>23</v>
      </c>
      <c r="P633" s="172"/>
      <c r="Q633" s="172"/>
      <c r="R633" s="145"/>
      <c r="S633" s="130"/>
      <c r="T633" s="130"/>
      <c r="U633" s="130"/>
      <c r="V633" s="172"/>
      <c r="W633" s="172"/>
      <c r="X633" s="25"/>
      <c r="Y633" s="25"/>
      <c r="Z633" s="25"/>
      <c r="AA633" s="25"/>
      <c r="AB633" s="25"/>
      <c r="AC633" s="28"/>
      <c r="AD633" s="10"/>
    </row>
    <row r="634" spans="1:30" s="9" customFormat="1" ht="14.25" hidden="1" customHeight="1" outlineLevel="1" x14ac:dyDescent="0.35">
      <c r="A634" s="86"/>
      <c r="C634" s="72"/>
      <c r="D634" s="72"/>
      <c r="E634" s="72"/>
      <c r="F634" s="72"/>
      <c r="G634" s="25"/>
      <c r="H634" s="25"/>
      <c r="I634" s="25"/>
      <c r="J634" s="25"/>
      <c r="K634" s="25"/>
      <c r="L634" s="25"/>
      <c r="M634" s="262"/>
      <c r="N634" s="146" t="s">
        <v>4</v>
      </c>
      <c r="O634" s="145" t="s">
        <v>18</v>
      </c>
      <c r="P634" s="172"/>
      <c r="Q634" s="172"/>
      <c r="R634" s="172"/>
      <c r="S634" s="130"/>
      <c r="T634" s="130"/>
      <c r="U634" s="130"/>
      <c r="V634" s="172"/>
      <c r="W634" s="172"/>
      <c r="X634" s="25"/>
      <c r="Y634" s="25"/>
      <c r="Z634" s="25"/>
      <c r="AA634" s="25"/>
      <c r="AB634" s="25"/>
      <c r="AC634" s="28"/>
      <c r="AD634" s="10"/>
    </row>
    <row r="635" spans="1:30" s="9" customFormat="1" ht="14.25" hidden="1" customHeight="1" outlineLevel="1" x14ac:dyDescent="0.35">
      <c r="A635" s="86"/>
      <c r="C635" s="72"/>
      <c r="D635" s="72"/>
      <c r="E635" s="72"/>
      <c r="F635" s="72"/>
      <c r="G635" s="25"/>
      <c r="H635" s="25"/>
      <c r="I635" s="25"/>
      <c r="J635" s="25"/>
      <c r="K635" s="25"/>
      <c r="L635" s="25"/>
      <c r="M635" s="262"/>
      <c r="N635" s="146" t="s">
        <v>26</v>
      </c>
      <c r="O635" s="145" t="s">
        <v>25</v>
      </c>
      <c r="P635" s="172"/>
      <c r="Q635" s="172"/>
      <c r="R635" s="172"/>
      <c r="S635" s="130"/>
      <c r="T635" s="130"/>
      <c r="U635" s="130"/>
      <c r="V635" s="172"/>
      <c r="W635" s="172"/>
      <c r="X635" s="25"/>
      <c r="Y635" s="25"/>
      <c r="Z635" s="25"/>
      <c r="AA635" s="25"/>
      <c r="AB635" s="25"/>
      <c r="AC635" s="28"/>
      <c r="AD635" s="10"/>
    </row>
    <row r="636" spans="1:30" s="9" customFormat="1" ht="14.25" hidden="1" customHeight="1" outlineLevel="1" x14ac:dyDescent="0.35">
      <c r="A636" s="86"/>
      <c r="C636" s="72"/>
      <c r="D636" s="72"/>
      <c r="E636" s="72"/>
      <c r="F636" s="72"/>
      <c r="G636" s="25"/>
      <c r="H636" s="25"/>
      <c r="I636" s="25"/>
      <c r="J636" s="25"/>
      <c r="K636" s="25"/>
      <c r="L636" s="25"/>
      <c r="M636" s="262"/>
      <c r="N636" s="146"/>
      <c r="O636" s="25"/>
      <c r="P636" s="25"/>
      <c r="Q636" s="25"/>
      <c r="R636" s="25"/>
      <c r="S636" s="129"/>
      <c r="T636" s="129"/>
      <c r="U636" s="129"/>
      <c r="V636" s="129"/>
      <c r="W636" s="129"/>
      <c r="X636" s="25"/>
      <c r="Y636" s="25"/>
      <c r="Z636" s="25"/>
      <c r="AA636" s="25"/>
      <c r="AB636" s="129"/>
      <c r="AC636" s="28"/>
      <c r="AD636" s="10"/>
    </row>
    <row r="637" spans="1:30" s="9" customFormat="1" ht="15" hidden="1" customHeight="1" outlineLevel="1" x14ac:dyDescent="0.35">
      <c r="A637" s="86"/>
      <c r="C637" s="74"/>
      <c r="D637" s="74"/>
      <c r="E637" s="74"/>
      <c r="F637" s="72"/>
      <c r="G637" s="25"/>
      <c r="H637" s="25"/>
      <c r="I637" s="25"/>
      <c r="J637" s="25"/>
      <c r="K637" s="25"/>
      <c r="L637" s="25"/>
      <c r="M637" s="262"/>
      <c r="N637" s="330" t="str">
        <f>"Total effort is "&amp;TEXT(TOTAL_EFFORT,"##,##,###")&amp;" PDs. How much up or down it can safely be without being way off?"</f>
        <v>Total effort is 1,186 PDs. How much up or down it can safely be without being way off?</v>
      </c>
      <c r="O637" s="132" t="s">
        <v>128</v>
      </c>
      <c r="P637" s="132" t="s">
        <v>129</v>
      </c>
      <c r="Q637" s="25"/>
      <c r="R637" s="25"/>
      <c r="S637" s="129"/>
      <c r="T637" s="129"/>
      <c r="U637" s="129"/>
      <c r="V637" s="129"/>
      <c r="W637" s="129"/>
      <c r="X637" s="25"/>
      <c r="Y637" s="25"/>
      <c r="Z637" s="25"/>
      <c r="AA637" s="25"/>
      <c r="AB637" s="28"/>
      <c r="AC637" s="28"/>
      <c r="AD637" s="10"/>
    </row>
    <row r="638" spans="1:30" s="9" customFormat="1" ht="15" hidden="1" customHeight="1" outlineLevel="1" x14ac:dyDescent="0.35">
      <c r="A638" s="86"/>
      <c r="C638" s="74"/>
      <c r="D638" s="74"/>
      <c r="E638" s="74"/>
      <c r="F638" s="72"/>
      <c r="G638" s="25"/>
      <c r="H638" s="25"/>
      <c r="I638" s="25"/>
      <c r="J638" s="25"/>
      <c r="K638" s="25"/>
      <c r="L638" s="25"/>
      <c r="M638" s="262"/>
      <c r="N638" s="330"/>
      <c r="O638" s="141">
        <v>-0.2</v>
      </c>
      <c r="P638" s="142">
        <v>0.2</v>
      </c>
      <c r="Q638" s="25"/>
      <c r="R638" s="25"/>
      <c r="S638" s="129"/>
      <c r="T638" s="129"/>
      <c r="U638" s="129"/>
      <c r="V638" s="129"/>
      <c r="W638" s="129"/>
      <c r="X638" s="25"/>
      <c r="Y638" s="25"/>
      <c r="Z638" s="25"/>
      <c r="AA638" s="25"/>
      <c r="AB638" s="28"/>
      <c r="AC638" s="28"/>
      <c r="AD638" s="10"/>
    </row>
    <row r="639" spans="1:30" s="9" customFormat="1" hidden="1" outlineLevel="1" x14ac:dyDescent="0.35">
      <c r="A639" s="86"/>
      <c r="C639" s="74"/>
      <c r="D639" s="74"/>
      <c r="E639" s="74"/>
      <c r="F639" s="72"/>
      <c r="G639" s="25"/>
      <c r="H639" s="25"/>
      <c r="I639" s="25"/>
      <c r="J639" s="25"/>
      <c r="K639" s="25"/>
      <c r="L639" s="25"/>
      <c r="M639" s="262"/>
      <c r="N639" s="330"/>
      <c r="O639" s="28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8"/>
      <c r="AC639" s="28"/>
      <c r="AD639" s="10"/>
    </row>
    <row r="640" spans="1:30" s="9" customFormat="1" hidden="1" outlineLevel="1" x14ac:dyDescent="0.35">
      <c r="A640" s="86"/>
      <c r="C640" s="74"/>
      <c r="D640" s="74"/>
      <c r="E640" s="74"/>
      <c r="F640" s="72"/>
      <c r="G640" s="25"/>
      <c r="H640" s="25"/>
      <c r="I640" s="25"/>
      <c r="J640" s="25"/>
      <c r="K640" s="25"/>
      <c r="L640" s="25"/>
      <c r="M640" s="262"/>
      <c r="N640" s="149" t="s">
        <v>447</v>
      </c>
      <c r="O640" s="129"/>
      <c r="P640" s="150" t="s">
        <v>96</v>
      </c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8"/>
      <c r="AC640" s="28"/>
      <c r="AD640" s="10"/>
    </row>
    <row r="641" spans="1:30" s="9" customFormat="1" hidden="1" outlineLevel="1" x14ac:dyDescent="0.35">
      <c r="A641" s="86"/>
      <c r="C641" s="74"/>
      <c r="D641" s="74"/>
      <c r="E641" s="74"/>
      <c r="F641" s="72"/>
      <c r="G641" s="25"/>
      <c r="H641" s="25"/>
      <c r="I641" s="25"/>
      <c r="J641" s="25"/>
      <c r="K641" s="25"/>
      <c r="L641" s="25"/>
      <c r="M641" s="262"/>
      <c r="N641" s="240" t="s">
        <v>156</v>
      </c>
      <c r="O641" s="25"/>
      <c r="P641" s="148" t="s">
        <v>78</v>
      </c>
      <c r="Q641" s="131" t="s">
        <v>190</v>
      </c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8"/>
      <c r="AD641" s="10"/>
    </row>
    <row r="642" spans="1:30" s="9" customFormat="1" hidden="1" outlineLevel="1" x14ac:dyDescent="0.35">
      <c r="A642" s="86"/>
      <c r="C642" s="74"/>
      <c r="D642" s="74"/>
      <c r="E642" s="74"/>
      <c r="F642" s="72"/>
      <c r="G642" s="25"/>
      <c r="H642" s="25"/>
      <c r="I642" s="25"/>
      <c r="J642" s="25"/>
      <c r="K642" s="25"/>
      <c r="L642" s="25"/>
      <c r="M642" s="262"/>
      <c r="N642" s="240" t="s">
        <v>169</v>
      </c>
      <c r="O642" s="25"/>
      <c r="P642" s="148" t="s">
        <v>97</v>
      </c>
      <c r="Q642" s="131" t="s">
        <v>189</v>
      </c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8"/>
      <c r="AD642" s="10"/>
    </row>
    <row r="643" spans="1:30" s="9" customFormat="1" hidden="1" outlineLevel="1" x14ac:dyDescent="0.35">
      <c r="A643" s="86"/>
      <c r="C643" s="74"/>
      <c r="D643" s="74"/>
      <c r="E643" s="74"/>
      <c r="F643" s="72"/>
      <c r="G643" s="25"/>
      <c r="H643" s="25"/>
      <c r="I643" s="25"/>
      <c r="J643" s="25"/>
      <c r="K643" s="25"/>
      <c r="L643" s="25"/>
      <c r="M643" s="262"/>
      <c r="N643" s="240" t="s">
        <v>170</v>
      </c>
      <c r="O643" s="25"/>
      <c r="P643" s="25"/>
      <c r="Q643" s="25"/>
      <c r="R643" s="25"/>
      <c r="S643" s="25"/>
      <c r="T643" s="25"/>
      <c r="U643" s="148"/>
      <c r="V643" s="25"/>
      <c r="W643" s="25"/>
      <c r="X643" s="25"/>
      <c r="Y643" s="25"/>
      <c r="Z643" s="25"/>
      <c r="AA643" s="25"/>
      <c r="AB643" s="25"/>
      <c r="AC643" s="28"/>
      <c r="AD643" s="10"/>
    </row>
    <row r="644" spans="1:30" s="9" customFormat="1" ht="15" hidden="1" customHeight="1" outlineLevel="1" x14ac:dyDescent="0.35">
      <c r="A644" s="86"/>
      <c r="C644" s="74"/>
      <c r="D644" s="74"/>
      <c r="E644" s="74"/>
      <c r="F644" s="72"/>
      <c r="G644" s="25"/>
      <c r="H644" s="25"/>
      <c r="I644" s="25"/>
      <c r="J644" s="25"/>
      <c r="K644" s="25"/>
      <c r="L644" s="25"/>
      <c r="M644" s="262"/>
      <c r="N644" s="240" t="s">
        <v>171</v>
      </c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8"/>
      <c r="AD644" s="10"/>
    </row>
    <row r="645" spans="1:30" s="9" customFormat="1" hidden="1" outlineLevel="1" x14ac:dyDescent="0.35">
      <c r="A645" s="86"/>
      <c r="C645" s="74"/>
      <c r="D645" s="74"/>
      <c r="E645" s="74"/>
      <c r="F645" s="72"/>
      <c r="G645" s="25"/>
      <c r="H645" s="25"/>
      <c r="I645" s="25"/>
      <c r="J645" s="25"/>
      <c r="K645" s="25"/>
      <c r="L645" s="25"/>
      <c r="M645" s="262"/>
      <c r="N645" s="240" t="s">
        <v>172</v>
      </c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8"/>
      <c r="AD645" s="10"/>
    </row>
    <row r="646" spans="1:30" s="9" customFormat="1" hidden="1" outlineLevel="1" x14ac:dyDescent="0.35">
      <c r="A646" s="86"/>
      <c r="C646" s="74"/>
      <c r="D646" s="74"/>
      <c r="E646" s="74"/>
      <c r="F646" s="72"/>
      <c r="G646" s="25"/>
      <c r="H646" s="25"/>
      <c r="I646" s="25"/>
      <c r="J646" s="25"/>
      <c r="K646" s="25"/>
      <c r="L646" s="25"/>
      <c r="M646" s="262"/>
      <c r="N646" s="240" t="s">
        <v>173</v>
      </c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8"/>
      <c r="AD646" s="10"/>
    </row>
    <row r="647" spans="1:30" s="9" customFormat="1" hidden="1" outlineLevel="1" x14ac:dyDescent="0.35">
      <c r="A647" s="86"/>
      <c r="C647" s="74"/>
      <c r="D647" s="74"/>
      <c r="E647" s="74"/>
      <c r="F647" s="72"/>
      <c r="G647" s="25"/>
      <c r="H647" s="25"/>
      <c r="I647" s="25"/>
      <c r="J647" s="25"/>
      <c r="K647" s="25"/>
      <c r="L647" s="25"/>
      <c r="M647" s="262"/>
      <c r="N647" s="240" t="s">
        <v>174</v>
      </c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8"/>
      <c r="AD647" s="10"/>
    </row>
    <row r="648" spans="1:30" s="9" customFormat="1" hidden="1" outlineLevel="1" x14ac:dyDescent="0.35">
      <c r="A648" s="86"/>
      <c r="C648" s="74"/>
      <c r="D648" s="74"/>
      <c r="E648" s="74"/>
      <c r="F648" s="72"/>
      <c r="G648" s="25"/>
      <c r="H648" s="25"/>
      <c r="I648" s="25"/>
      <c r="J648" s="25"/>
      <c r="K648" s="25"/>
      <c r="L648" s="25"/>
      <c r="M648" s="262"/>
      <c r="N648" s="240" t="s">
        <v>155</v>
      </c>
      <c r="O648" s="28"/>
      <c r="P648" s="131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8"/>
      <c r="AD648" s="10"/>
    </row>
    <row r="649" spans="1:30" s="9" customFormat="1" hidden="1" outlineLevel="1" x14ac:dyDescent="0.35">
      <c r="A649" s="86"/>
      <c r="C649" s="74"/>
      <c r="D649" s="74"/>
      <c r="E649" s="74"/>
      <c r="F649" s="72"/>
      <c r="G649" s="25"/>
      <c r="H649" s="25"/>
      <c r="I649" s="25"/>
      <c r="J649" s="25"/>
      <c r="K649" s="25"/>
      <c r="L649" s="25"/>
      <c r="M649" s="262"/>
      <c r="N649" s="240" t="s">
        <v>158</v>
      </c>
      <c r="O649" s="28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8"/>
      <c r="AD649" s="10"/>
    </row>
    <row r="650" spans="1:30" s="9" customFormat="1" hidden="1" outlineLevel="1" x14ac:dyDescent="0.35">
      <c r="A650" s="86"/>
      <c r="C650" s="74"/>
      <c r="D650" s="74"/>
      <c r="E650" s="74"/>
      <c r="F650" s="72"/>
      <c r="G650" s="25"/>
      <c r="H650" s="25"/>
      <c r="I650" s="25"/>
      <c r="J650" s="25"/>
      <c r="K650" s="25"/>
      <c r="L650" s="25"/>
      <c r="M650" s="262"/>
      <c r="N650" s="240" t="s">
        <v>160</v>
      </c>
      <c r="O650" s="28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8"/>
      <c r="AD650" s="10"/>
    </row>
    <row r="651" spans="1:30" s="9" customFormat="1" hidden="1" outlineLevel="1" x14ac:dyDescent="0.35">
      <c r="A651" s="86"/>
      <c r="C651" s="74"/>
      <c r="D651" s="74"/>
      <c r="E651" s="74"/>
      <c r="F651" s="72"/>
      <c r="G651" s="25"/>
      <c r="H651" s="25"/>
      <c r="I651" s="25"/>
      <c r="J651" s="25"/>
      <c r="K651" s="25"/>
      <c r="L651" s="25"/>
      <c r="M651" s="262"/>
      <c r="N651" s="240" t="s">
        <v>159</v>
      </c>
      <c r="O651" s="28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8"/>
      <c r="AD651" s="10"/>
    </row>
    <row r="652" spans="1:30" s="9" customFormat="1" hidden="1" outlineLevel="1" x14ac:dyDescent="0.35">
      <c r="A652" s="86"/>
      <c r="C652" s="74"/>
      <c r="D652" s="74"/>
      <c r="E652" s="74"/>
      <c r="F652" s="72"/>
      <c r="G652" s="25"/>
      <c r="H652" s="25"/>
      <c r="I652" s="25"/>
      <c r="J652" s="25"/>
      <c r="K652" s="25"/>
      <c r="L652" s="25"/>
      <c r="M652" s="262"/>
      <c r="N652" s="240" t="s">
        <v>161</v>
      </c>
      <c r="O652" s="28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8"/>
      <c r="AD652" s="10"/>
    </row>
    <row r="653" spans="1:30" s="9" customFormat="1" hidden="1" outlineLevel="1" x14ac:dyDescent="0.35">
      <c r="A653" s="86"/>
      <c r="C653" s="74"/>
      <c r="D653" s="74"/>
      <c r="E653" s="74"/>
      <c r="F653" s="72"/>
      <c r="G653" s="25"/>
      <c r="H653" s="25"/>
      <c r="I653" s="25"/>
      <c r="J653" s="25"/>
      <c r="K653" s="25"/>
      <c r="L653" s="25"/>
      <c r="M653" s="262"/>
      <c r="N653" s="240" t="s">
        <v>162</v>
      </c>
      <c r="O653" s="28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8"/>
      <c r="AD653" s="10"/>
    </row>
    <row r="654" spans="1:30" s="9" customFormat="1" hidden="1" outlineLevel="1" x14ac:dyDescent="0.35">
      <c r="A654" s="86"/>
      <c r="C654" s="74"/>
      <c r="D654" s="74"/>
      <c r="E654" s="74"/>
      <c r="F654" s="72"/>
      <c r="G654" s="25"/>
      <c r="H654" s="25"/>
      <c r="I654" s="25"/>
      <c r="J654" s="25"/>
      <c r="K654" s="25"/>
      <c r="L654" s="25"/>
      <c r="M654" s="262"/>
      <c r="N654" s="240" t="s">
        <v>163</v>
      </c>
      <c r="O654" s="28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8"/>
      <c r="AD654" s="10"/>
    </row>
    <row r="655" spans="1:30" s="9" customFormat="1" hidden="1" outlineLevel="1" x14ac:dyDescent="0.35">
      <c r="A655" s="86"/>
      <c r="C655" s="74"/>
      <c r="D655" s="74"/>
      <c r="E655" s="74"/>
      <c r="F655" s="72"/>
      <c r="G655" s="25"/>
      <c r="H655" s="25"/>
      <c r="I655" s="25"/>
      <c r="J655" s="25"/>
      <c r="K655" s="25"/>
      <c r="L655" s="25"/>
      <c r="M655" s="262"/>
      <c r="N655" s="240" t="s">
        <v>157</v>
      </c>
      <c r="O655" s="28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8"/>
      <c r="AD655" s="10"/>
    </row>
    <row r="656" spans="1:30" s="9" customFormat="1" hidden="1" outlineLevel="1" x14ac:dyDescent="0.35">
      <c r="A656" s="86"/>
      <c r="C656" s="74"/>
      <c r="D656" s="74"/>
      <c r="E656" s="74"/>
      <c r="F656" s="72"/>
      <c r="G656" s="25"/>
      <c r="H656" s="25"/>
      <c r="I656" s="25"/>
      <c r="J656" s="25"/>
      <c r="K656" s="25"/>
      <c r="L656" s="25"/>
      <c r="M656" s="262"/>
      <c r="N656" s="240" t="s">
        <v>164</v>
      </c>
      <c r="O656" s="28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8"/>
      <c r="AD656" s="10"/>
    </row>
    <row r="657" spans="1:30" s="9" customFormat="1" hidden="1" outlineLevel="1" x14ac:dyDescent="0.35">
      <c r="A657" s="86"/>
      <c r="C657" s="74"/>
      <c r="D657" s="74"/>
      <c r="E657" s="74"/>
      <c r="F657" s="72"/>
      <c r="G657" s="25"/>
      <c r="H657" s="25"/>
      <c r="I657" s="25"/>
      <c r="J657" s="25"/>
      <c r="K657" s="25"/>
      <c r="L657" s="25"/>
      <c r="M657" s="262"/>
      <c r="N657" s="240" t="s">
        <v>165</v>
      </c>
      <c r="O657" s="28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8"/>
      <c r="AD657" s="10"/>
    </row>
    <row r="658" spans="1:30" s="9" customFormat="1" hidden="1" outlineLevel="1" x14ac:dyDescent="0.35">
      <c r="A658" s="86"/>
      <c r="C658" s="74"/>
      <c r="D658" s="74"/>
      <c r="E658" s="74"/>
      <c r="F658" s="72"/>
      <c r="G658" s="25"/>
      <c r="H658" s="25"/>
      <c r="I658" s="25"/>
      <c r="J658" s="25"/>
      <c r="K658" s="25"/>
      <c r="L658" s="25"/>
      <c r="M658" s="262"/>
      <c r="N658" s="240" t="s">
        <v>166</v>
      </c>
      <c r="O658" s="28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8"/>
      <c r="AD658" s="10"/>
    </row>
    <row r="659" spans="1:30" s="9" customFormat="1" hidden="1" outlineLevel="1" x14ac:dyDescent="0.35">
      <c r="A659" s="86"/>
      <c r="C659" s="74"/>
      <c r="D659" s="74"/>
      <c r="E659" s="74"/>
      <c r="F659" s="72"/>
      <c r="G659" s="25"/>
      <c r="H659" s="25"/>
      <c r="I659" s="25"/>
      <c r="J659" s="25"/>
      <c r="K659" s="25"/>
      <c r="L659" s="25"/>
      <c r="M659" s="262"/>
      <c r="N659" s="240" t="s">
        <v>167</v>
      </c>
      <c r="O659" s="28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8"/>
      <c r="AD659" s="10"/>
    </row>
    <row r="660" spans="1:30" s="9" customFormat="1" hidden="1" outlineLevel="1" x14ac:dyDescent="0.35">
      <c r="A660" s="86"/>
      <c r="C660" s="74"/>
      <c r="D660" s="74"/>
      <c r="E660" s="74"/>
      <c r="F660" s="72"/>
      <c r="G660" s="25"/>
      <c r="H660" s="25"/>
      <c r="I660" s="25"/>
      <c r="J660" s="25"/>
      <c r="K660" s="25"/>
      <c r="L660" s="25"/>
      <c r="M660" s="262"/>
      <c r="N660" s="240" t="s">
        <v>168</v>
      </c>
      <c r="O660" s="28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8"/>
      <c r="AD660" s="10"/>
    </row>
    <row r="661" spans="1:30" s="9" customFormat="1" hidden="1" outlineLevel="1" x14ac:dyDescent="0.35">
      <c r="A661" s="86"/>
      <c r="C661" s="74"/>
      <c r="D661" s="74"/>
      <c r="E661" s="74"/>
      <c r="F661" s="72"/>
      <c r="G661" s="25"/>
      <c r="H661" s="25"/>
      <c r="I661" s="25"/>
      <c r="J661" s="25"/>
      <c r="K661" s="25"/>
      <c r="L661" s="25"/>
      <c r="M661" s="262"/>
      <c r="N661" s="129"/>
      <c r="O661" s="28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8"/>
      <c r="AD661" s="10"/>
    </row>
    <row r="662" spans="1:30" s="9" customFormat="1" ht="15" hidden="1" customHeight="1" outlineLevel="1" x14ac:dyDescent="0.3">
      <c r="A662" s="86"/>
      <c r="C662" s="74"/>
      <c r="D662" s="74"/>
      <c r="E662" s="74"/>
      <c r="F662" s="72"/>
      <c r="G662" s="25"/>
      <c r="H662" s="25"/>
      <c r="I662" s="25"/>
      <c r="J662" s="25"/>
      <c r="K662" s="25"/>
      <c r="L662" s="25"/>
      <c r="M662" s="262"/>
      <c r="N662" s="153" t="s">
        <v>77</v>
      </c>
      <c r="O662" s="153" t="s">
        <v>144</v>
      </c>
      <c r="P662" s="25"/>
      <c r="Q662" s="171"/>
      <c r="R662" s="171"/>
      <c r="S662" s="25"/>
      <c r="T662" s="25"/>
      <c r="U662" s="25"/>
      <c r="V662" s="25"/>
      <c r="W662" s="25"/>
      <c r="X662" s="25"/>
      <c r="Y662" s="25"/>
      <c r="Z662" s="25"/>
      <c r="AA662" s="25"/>
      <c r="AB662" s="28"/>
      <c r="AC662" s="28"/>
      <c r="AD662" s="10"/>
    </row>
    <row r="663" spans="1:30" s="9" customFormat="1" ht="15" hidden="1" customHeight="1" outlineLevel="1" x14ac:dyDescent="0.35">
      <c r="A663" s="86"/>
      <c r="C663" s="74"/>
      <c r="D663" s="74"/>
      <c r="E663" s="74"/>
      <c r="F663" s="72"/>
      <c r="G663" s="25"/>
      <c r="H663" s="25"/>
      <c r="I663" s="25"/>
      <c r="J663" s="25"/>
      <c r="K663" s="25"/>
      <c r="L663" s="25"/>
      <c r="M663" s="262"/>
      <c r="N663" s="147" t="s">
        <v>65</v>
      </c>
      <c r="O663" s="152">
        <v>0.5</v>
      </c>
      <c r="P663" s="331" t="s">
        <v>140</v>
      </c>
      <c r="Q663" s="331"/>
      <c r="R663" s="331"/>
      <c r="S663" s="25"/>
      <c r="T663" s="25"/>
      <c r="U663" s="25"/>
      <c r="V663" s="25"/>
      <c r="W663" s="25"/>
      <c r="X663" s="25"/>
      <c r="Y663" s="25"/>
      <c r="Z663" s="25"/>
      <c r="AA663" s="25"/>
      <c r="AB663" s="28"/>
      <c r="AC663" s="28"/>
      <c r="AD663" s="10"/>
    </row>
    <row r="664" spans="1:30" s="9" customFormat="1" hidden="1" outlineLevel="1" x14ac:dyDescent="0.35">
      <c r="A664" s="86"/>
      <c r="C664" s="74"/>
      <c r="D664" s="74"/>
      <c r="E664" s="74"/>
      <c r="F664" s="72"/>
      <c r="G664" s="25"/>
      <c r="H664" s="25"/>
      <c r="I664" s="25"/>
      <c r="J664" s="25"/>
      <c r="K664" s="25"/>
      <c r="L664" s="25"/>
      <c r="M664" s="262"/>
      <c r="N664" s="147" t="s">
        <v>66</v>
      </c>
      <c r="O664" s="152">
        <v>0.25</v>
      </c>
      <c r="P664" s="331"/>
      <c r="Q664" s="331"/>
      <c r="R664" s="331"/>
      <c r="S664" s="25"/>
      <c r="T664" s="25"/>
      <c r="U664" s="25"/>
      <c r="V664" s="25"/>
      <c r="W664" s="25"/>
      <c r="X664" s="25"/>
      <c r="Y664" s="25"/>
      <c r="Z664" s="25"/>
      <c r="AA664" s="25"/>
      <c r="AB664" s="28"/>
      <c r="AC664" s="28"/>
      <c r="AD664" s="10"/>
    </row>
    <row r="665" spans="1:30" s="9" customFormat="1" hidden="1" outlineLevel="1" x14ac:dyDescent="0.35">
      <c r="A665" s="86"/>
      <c r="C665" s="74"/>
      <c r="D665" s="74"/>
      <c r="E665" s="74"/>
      <c r="F665" s="72"/>
      <c r="G665" s="25"/>
      <c r="H665" s="25"/>
      <c r="I665" s="25"/>
      <c r="J665" s="25"/>
      <c r="K665" s="25"/>
      <c r="L665" s="25"/>
      <c r="M665" s="262"/>
      <c r="N665" s="28"/>
      <c r="O665" s="28"/>
      <c r="P665" s="331"/>
      <c r="Q665" s="331"/>
      <c r="R665" s="331"/>
      <c r="S665" s="25"/>
      <c r="T665" s="25"/>
      <c r="U665" s="25"/>
      <c r="V665" s="25"/>
      <c r="W665" s="25"/>
      <c r="X665" s="25"/>
      <c r="Y665" s="25"/>
      <c r="Z665" s="25"/>
      <c r="AA665" s="25"/>
      <c r="AB665" s="28"/>
      <c r="AC665" s="28"/>
      <c r="AD665" s="10"/>
    </row>
    <row r="666" spans="1:30" s="9" customFormat="1" hidden="1" outlineLevel="1" x14ac:dyDescent="0.35">
      <c r="A666" s="86"/>
      <c r="C666" s="74"/>
      <c r="D666" s="74"/>
      <c r="E666" s="74"/>
      <c r="F666" s="72"/>
      <c r="G666" s="25"/>
      <c r="H666" s="25"/>
      <c r="I666" s="25"/>
      <c r="J666" s="25"/>
      <c r="K666" s="25"/>
      <c r="L666" s="25"/>
      <c r="M666" s="262"/>
      <c r="N666" s="28"/>
      <c r="O666" s="28"/>
      <c r="P666" s="331"/>
      <c r="Q666" s="331"/>
      <c r="R666" s="331"/>
      <c r="S666" s="25"/>
      <c r="T666" s="25"/>
      <c r="U666" s="25"/>
      <c r="V666" s="25"/>
      <c r="W666" s="25"/>
      <c r="X666" s="25"/>
      <c r="Y666" s="25"/>
      <c r="Z666" s="25"/>
      <c r="AA666" s="25"/>
      <c r="AB666" s="28"/>
      <c r="AC666" s="28"/>
      <c r="AD666" s="10"/>
    </row>
    <row r="667" spans="1:30" s="9" customFormat="1" hidden="1" outlineLevel="1" x14ac:dyDescent="0.3">
      <c r="A667" s="86"/>
      <c r="C667" s="74"/>
      <c r="D667" s="74"/>
      <c r="E667" s="74"/>
      <c r="F667" s="72"/>
      <c r="G667" s="25"/>
      <c r="H667" s="25"/>
      <c r="I667" s="25"/>
      <c r="J667" s="25"/>
      <c r="K667" s="25"/>
      <c r="L667" s="25"/>
      <c r="M667" s="262"/>
      <c r="N667" s="149" t="s">
        <v>133</v>
      </c>
      <c r="O667" s="153" t="s">
        <v>144</v>
      </c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8"/>
      <c r="AC667" s="28"/>
      <c r="AD667" s="10"/>
    </row>
    <row r="668" spans="1:30" s="9" customFormat="1" hidden="1" outlineLevel="1" x14ac:dyDescent="0.35">
      <c r="A668" s="86"/>
      <c r="C668" s="74"/>
      <c r="D668" s="74"/>
      <c r="E668" s="74"/>
      <c r="F668" s="72"/>
      <c r="G668" s="25"/>
      <c r="H668" s="25"/>
      <c r="I668" s="25"/>
      <c r="J668" s="25"/>
      <c r="K668" s="25"/>
      <c r="L668" s="25"/>
      <c r="M668" s="262"/>
      <c r="N668" s="248" t="s">
        <v>23</v>
      </c>
      <c r="O668" s="249">
        <v>0</v>
      </c>
      <c r="P668" s="331" t="s">
        <v>141</v>
      </c>
      <c r="Q668" s="331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8"/>
      <c r="AC668" s="28"/>
      <c r="AD668" s="10"/>
    </row>
    <row r="669" spans="1:30" s="9" customFormat="1" ht="15" hidden="1" customHeight="1" outlineLevel="1" x14ac:dyDescent="0.35">
      <c r="A669" s="86"/>
      <c r="C669" s="74"/>
      <c r="D669" s="74"/>
      <c r="E669" s="74"/>
      <c r="F669" s="72"/>
      <c r="G669" s="25"/>
      <c r="H669" s="25"/>
      <c r="I669" s="25"/>
      <c r="J669" s="25"/>
      <c r="K669" s="25"/>
      <c r="L669" s="25"/>
      <c r="M669" s="262"/>
      <c r="N669" s="248" t="s">
        <v>134</v>
      </c>
      <c r="O669" s="249">
        <v>0.25</v>
      </c>
      <c r="P669" s="331"/>
      <c r="Q669" s="331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8"/>
      <c r="AC669" s="28"/>
      <c r="AD669" s="10"/>
    </row>
    <row r="670" spans="1:30" s="9" customFormat="1" hidden="1" outlineLevel="1" x14ac:dyDescent="0.35">
      <c r="A670" s="86"/>
      <c r="C670" s="74"/>
      <c r="D670" s="74"/>
      <c r="E670" s="74"/>
      <c r="F670" s="72"/>
      <c r="G670" s="25"/>
      <c r="H670" s="25"/>
      <c r="I670" s="25"/>
      <c r="J670" s="25"/>
      <c r="K670" s="25"/>
      <c r="L670" s="25"/>
      <c r="M670" s="262"/>
      <c r="N670" s="248" t="s">
        <v>135</v>
      </c>
      <c r="O670" s="250">
        <v>0.1</v>
      </c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8"/>
      <c r="AC670" s="28"/>
      <c r="AD670" s="10"/>
    </row>
    <row r="671" spans="1:30" s="9" customFormat="1" hidden="1" outlineLevel="1" x14ac:dyDescent="0.35">
      <c r="A671" s="86"/>
      <c r="C671" s="74"/>
      <c r="D671" s="74"/>
      <c r="E671" s="74"/>
      <c r="F671" s="72"/>
      <c r="G671" s="25"/>
      <c r="H671" s="25"/>
      <c r="I671" s="25"/>
      <c r="J671" s="25"/>
      <c r="K671" s="25"/>
      <c r="L671" s="25"/>
      <c r="M671" s="262"/>
      <c r="N671" s="248" t="s">
        <v>136</v>
      </c>
      <c r="O671" s="250">
        <v>0</v>
      </c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8"/>
      <c r="AC671" s="28"/>
      <c r="AD671" s="10"/>
    </row>
    <row r="672" spans="1:30" s="9" customFormat="1" hidden="1" outlineLevel="1" x14ac:dyDescent="0.35">
      <c r="A672" s="86"/>
      <c r="C672" s="74"/>
      <c r="D672" s="74"/>
      <c r="E672" s="74"/>
      <c r="F672" s="72"/>
      <c r="G672" s="25"/>
      <c r="H672" s="25"/>
      <c r="I672" s="25"/>
      <c r="J672" s="25"/>
      <c r="K672" s="25"/>
      <c r="L672" s="25"/>
      <c r="M672" s="262"/>
      <c r="N672" s="248" t="s">
        <v>137</v>
      </c>
      <c r="O672" s="250">
        <v>0</v>
      </c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8"/>
      <c r="AC672" s="28"/>
      <c r="AD672" s="10"/>
    </row>
    <row r="673" spans="1:30" s="9" customFormat="1" hidden="1" outlineLevel="1" x14ac:dyDescent="0.35">
      <c r="A673" s="86"/>
      <c r="C673" s="74"/>
      <c r="D673" s="74"/>
      <c r="E673" s="74"/>
      <c r="F673" s="72"/>
      <c r="G673" s="25"/>
      <c r="H673" s="25"/>
      <c r="I673" s="25"/>
      <c r="J673" s="25"/>
      <c r="K673" s="25"/>
      <c r="L673" s="25"/>
      <c r="M673" s="262"/>
      <c r="N673" s="248" t="s">
        <v>138</v>
      </c>
      <c r="O673" s="250">
        <v>0</v>
      </c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8"/>
      <c r="AC673" s="28"/>
      <c r="AD673" s="10"/>
    </row>
    <row r="674" spans="1:30" s="9" customFormat="1" hidden="1" outlineLevel="1" x14ac:dyDescent="0.35">
      <c r="A674" s="86"/>
      <c r="C674" s="74"/>
      <c r="D674" s="74"/>
      <c r="E674" s="74"/>
      <c r="F674" s="72"/>
      <c r="G674" s="25"/>
      <c r="H674" s="25"/>
      <c r="I674" s="25"/>
      <c r="J674" s="25"/>
      <c r="K674" s="25"/>
      <c r="L674" s="25"/>
      <c r="M674" s="262"/>
      <c r="N674" s="28"/>
      <c r="O674" s="28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8"/>
      <c r="AC674" s="28"/>
      <c r="AD674" s="10"/>
    </row>
    <row r="675" spans="1:30" s="9" customFormat="1" hidden="1" outlineLevel="1" x14ac:dyDescent="0.3">
      <c r="A675" s="86"/>
      <c r="C675" s="74"/>
      <c r="D675" s="74"/>
      <c r="E675" s="74"/>
      <c r="F675" s="72"/>
      <c r="G675" s="25"/>
      <c r="H675" s="25"/>
      <c r="I675" s="25"/>
      <c r="J675" s="25"/>
      <c r="K675" s="25"/>
      <c r="L675" s="25"/>
      <c r="M675" s="262"/>
      <c r="N675" s="149" t="s">
        <v>142</v>
      </c>
      <c r="O675" s="153" t="s">
        <v>144</v>
      </c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8"/>
      <c r="AC675" s="28"/>
      <c r="AD675" s="10"/>
    </row>
    <row r="676" spans="1:30" s="9" customFormat="1" ht="15" hidden="1" customHeight="1" outlineLevel="1" x14ac:dyDescent="0.35">
      <c r="A676" s="86"/>
      <c r="C676" s="74"/>
      <c r="D676" s="74"/>
      <c r="E676" s="74"/>
      <c r="F676" s="72"/>
      <c r="G676" s="25"/>
      <c r="H676" s="25"/>
      <c r="I676" s="25"/>
      <c r="J676" s="25"/>
      <c r="K676" s="25"/>
      <c r="L676" s="25"/>
      <c r="M676" s="262"/>
      <c r="N676" s="147" t="str">
        <f>Lists!B46</f>
        <v>Low</v>
      </c>
      <c r="O676" s="152">
        <v>0.1</v>
      </c>
      <c r="P676" s="331" t="s">
        <v>143</v>
      </c>
      <c r="Q676" s="331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8"/>
      <c r="AC676" s="28"/>
      <c r="AD676" s="10"/>
    </row>
    <row r="677" spans="1:30" s="9" customFormat="1" hidden="1" outlineLevel="1" x14ac:dyDescent="0.35">
      <c r="A677" s="86"/>
      <c r="C677" s="74"/>
      <c r="D677" s="74"/>
      <c r="E677" s="74"/>
      <c r="F677" s="72"/>
      <c r="G677" s="25"/>
      <c r="H677" s="25"/>
      <c r="I677" s="25"/>
      <c r="J677" s="25"/>
      <c r="K677" s="25"/>
      <c r="L677" s="25"/>
      <c r="M677" s="262"/>
      <c r="N677" s="147" t="str">
        <f>Lists!B47</f>
        <v>Medium</v>
      </c>
      <c r="O677" s="152">
        <v>0.15</v>
      </c>
      <c r="P677" s="331"/>
      <c r="Q677" s="331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8"/>
      <c r="AC677" s="28"/>
      <c r="AD677" s="10"/>
    </row>
    <row r="678" spans="1:30" s="9" customFormat="1" hidden="1" outlineLevel="1" x14ac:dyDescent="0.35">
      <c r="A678" s="86"/>
      <c r="C678" s="74"/>
      <c r="D678" s="74"/>
      <c r="E678" s="74"/>
      <c r="F678" s="72"/>
      <c r="G678" s="25"/>
      <c r="H678" s="25"/>
      <c r="I678" s="25"/>
      <c r="J678" s="25"/>
      <c r="K678" s="25"/>
      <c r="L678" s="25"/>
      <c r="M678" s="262"/>
      <c r="N678" s="147" t="str">
        <f>Lists!B48</f>
        <v>High</v>
      </c>
      <c r="O678" s="152">
        <v>0.2</v>
      </c>
      <c r="P678" s="331"/>
      <c r="Q678" s="331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8"/>
      <c r="AC678" s="28"/>
      <c r="AD678" s="10"/>
    </row>
    <row r="679" spans="1:30" s="9" customFormat="1" hidden="1" outlineLevel="1" x14ac:dyDescent="0.35">
      <c r="A679" s="86"/>
      <c r="C679" s="74"/>
      <c r="D679" s="74"/>
      <c r="E679" s="74"/>
      <c r="F679" s="72"/>
      <c r="G679" s="25"/>
      <c r="H679" s="25"/>
      <c r="I679" s="25"/>
      <c r="J679" s="25"/>
      <c r="K679" s="25"/>
      <c r="L679" s="25"/>
      <c r="M679" s="262"/>
      <c r="N679" s="28"/>
      <c r="O679" s="28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8"/>
      <c r="AC679" s="28"/>
      <c r="AD679" s="10"/>
    </row>
    <row r="680" spans="1:30" s="9" customFormat="1" ht="20.25" hidden="1" customHeight="1" outlineLevel="1" x14ac:dyDescent="0.35">
      <c r="A680" s="86"/>
      <c r="C680" s="72"/>
      <c r="D680" s="72"/>
      <c r="E680" s="72"/>
      <c r="F680" s="72"/>
      <c r="G680" s="40"/>
      <c r="H680" s="40"/>
      <c r="I680" s="40"/>
      <c r="J680" s="40"/>
      <c r="K680" s="40"/>
      <c r="L680" s="40"/>
      <c r="M680" s="258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10"/>
    </row>
    <row r="681" spans="1:30" x14ac:dyDescent="0.35">
      <c r="F681" s="72"/>
    </row>
    <row r="745" spans="1:30" s="9" customFormat="1" ht="20.25" customHeight="1" x14ac:dyDescent="0.35">
      <c r="A745" s="86"/>
      <c r="C745" s="72"/>
      <c r="D745" s="72"/>
      <c r="E745" s="72"/>
      <c r="F745" s="72"/>
      <c r="G745" s="320" t="s">
        <v>48</v>
      </c>
      <c r="H745" s="320"/>
      <c r="I745" s="165"/>
      <c r="J745" s="40"/>
      <c r="K745" s="40"/>
      <c r="L745" s="36"/>
      <c r="M745" s="265" t="s">
        <v>125</v>
      </c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10"/>
    </row>
    <row r="746" spans="1:30" hidden="1" x14ac:dyDescent="0.35"/>
    <row r="747" spans="1:30" s="14" customFormat="1" ht="18.5" hidden="1" collapsed="1" x14ac:dyDescent="0.35">
      <c r="A747" s="86" t="s">
        <v>98</v>
      </c>
      <c r="B747" s="18"/>
      <c r="C747" s="75"/>
      <c r="D747" s="75"/>
      <c r="E747" s="75"/>
      <c r="F747" s="75"/>
      <c r="G747" s="52"/>
      <c r="H747" s="52"/>
      <c r="I747" s="52"/>
      <c r="J747" s="52"/>
      <c r="K747" s="52"/>
      <c r="L747" s="52" t="s">
        <v>105</v>
      </c>
      <c r="M747" s="261" t="s">
        <v>106</v>
      </c>
      <c r="N747" s="53"/>
      <c r="O747" s="54"/>
      <c r="P747" s="55"/>
      <c r="Q747" s="55"/>
      <c r="R747" s="55"/>
      <c r="S747" s="316">
        <f>CEILING(SUMIFS(T748:T753, J748:J753, "&lt;&gt;Yes", A748:A753,"T1"),1)</f>
        <v>0</v>
      </c>
      <c r="T747" s="316"/>
      <c r="U747" s="55"/>
      <c r="V747" s="55"/>
      <c r="W747" s="55"/>
      <c r="X747" s="55"/>
      <c r="Y747" s="55"/>
      <c r="Z747" s="55"/>
      <c r="AA747" s="55"/>
      <c r="AB747" s="55"/>
      <c r="AC747" s="55"/>
      <c r="AD747" s="23" t="str">
        <f>IF(M747="", "Section name cannot be empty.", "")</f>
        <v/>
      </c>
    </row>
    <row r="748" spans="1:30" s="9" customFormat="1" ht="1.5" hidden="1" customHeight="1" outlineLevel="1" x14ac:dyDescent="0.35">
      <c r="A748" s="86" t="s">
        <v>99</v>
      </c>
      <c r="B748" s="15"/>
      <c r="C748" s="72"/>
      <c r="D748" s="72"/>
      <c r="E748" s="72"/>
      <c r="F748" s="72"/>
      <c r="G748" s="25"/>
      <c r="H748" s="25"/>
      <c r="I748" s="25"/>
      <c r="J748" s="25"/>
      <c r="K748" s="25"/>
      <c r="L748" s="26">
        <v>0</v>
      </c>
      <c r="M748" s="262"/>
      <c r="N748" s="25"/>
      <c r="O748" s="25"/>
      <c r="P748" s="25"/>
      <c r="Q748" s="25"/>
      <c r="R748" s="25"/>
      <c r="S748" s="25"/>
      <c r="T748" s="27"/>
      <c r="U748" s="25"/>
      <c r="V748" s="25"/>
      <c r="W748" s="25"/>
      <c r="X748" s="27"/>
      <c r="Y748" s="25"/>
      <c r="Z748" s="25"/>
      <c r="AA748" s="25"/>
      <c r="AB748" s="28"/>
      <c r="AC748" s="28"/>
      <c r="AD748" s="10"/>
    </row>
    <row r="749" spans="1:30" s="14" customFormat="1" ht="15.5" hidden="1" outlineLevel="1" x14ac:dyDescent="0.35">
      <c r="A749" s="86" t="s">
        <v>100</v>
      </c>
      <c r="B749" s="18"/>
      <c r="C749" s="77"/>
      <c r="D749" s="77"/>
      <c r="E749" s="77"/>
      <c r="F749" s="76"/>
      <c r="G749" s="29"/>
      <c r="H749" s="29"/>
      <c r="I749" s="29"/>
      <c r="J749" s="29"/>
      <c r="K749" s="29"/>
      <c r="L749" s="17">
        <f ca="1">LOOKUP(1000,INDIRECT("L1:"&amp;CELL("address",INDIRECT("R[-1]C",FALSE))))+1</f>
        <v>1</v>
      </c>
      <c r="M749" s="296" t="s">
        <v>108</v>
      </c>
      <c r="N749" s="296"/>
      <c r="O749" s="5"/>
      <c r="P749" s="30"/>
      <c r="Q749" s="30"/>
      <c r="R749" s="30"/>
      <c r="S749" s="30"/>
      <c r="T749" s="155">
        <f>IF($S$6="Exclude", SUMIFS(S750:S752, J750:J752, "&lt;&gt;Yes", G750:G752, "&lt;&gt;Yes"), SUMIFS(S750:S752, J750:J752, "&lt;&gt;Yes"))</f>
        <v>0</v>
      </c>
      <c r="U749" s="30"/>
      <c r="V749" s="30"/>
      <c r="W749" s="30"/>
      <c r="X749" s="31"/>
      <c r="Y749" s="32"/>
      <c r="Z749" s="32"/>
      <c r="AA749" s="32"/>
      <c r="AB749" s="219" t="s">
        <v>439</v>
      </c>
      <c r="AC749" s="33"/>
      <c r="AD749" s="23" t="str">
        <f>IF(M749="", "Error: Task name cannot be empty.", "")</f>
        <v/>
      </c>
    </row>
    <row r="750" spans="1:30" s="12" customFormat="1" ht="1.5" hidden="1" customHeight="1" outlineLevel="2" x14ac:dyDescent="0.35">
      <c r="A750" s="86" t="s">
        <v>101</v>
      </c>
      <c r="B750" s="18"/>
      <c r="C750" s="77"/>
      <c r="D750" s="77"/>
      <c r="E750" s="77"/>
      <c r="F750" s="76"/>
      <c r="G750" s="29"/>
      <c r="H750" s="29"/>
      <c r="I750" s="29"/>
      <c r="J750" s="29"/>
      <c r="K750" s="29"/>
      <c r="L750" s="163">
        <f ca="1">L749</f>
        <v>1</v>
      </c>
      <c r="M750" s="164" t="s">
        <v>105</v>
      </c>
      <c r="N750" s="161"/>
      <c r="O750" s="162"/>
      <c r="P750" s="30"/>
      <c r="Q750" s="30"/>
      <c r="R750" s="30"/>
      <c r="S750" s="30"/>
      <c r="T750" s="155"/>
      <c r="U750" s="30"/>
      <c r="V750" s="30"/>
      <c r="W750" s="30"/>
      <c r="X750" s="31"/>
      <c r="Y750" s="32"/>
      <c r="Z750" s="32"/>
      <c r="AA750" s="32"/>
      <c r="AB750" s="33"/>
      <c r="AC750" s="33"/>
      <c r="AD750" s="23"/>
    </row>
    <row r="751" spans="1:30" ht="58" hidden="1" outlineLevel="2" x14ac:dyDescent="0.35">
      <c r="A751" s="86" t="s">
        <v>0</v>
      </c>
      <c r="B751" s="18"/>
      <c r="C751" s="78"/>
      <c r="D751" s="78"/>
      <c r="E751" s="78"/>
      <c r="F751" s="79"/>
      <c r="G751" s="19" t="s">
        <v>23</v>
      </c>
      <c r="H751" s="19" t="s">
        <v>23</v>
      </c>
      <c r="I751" s="20" t="s">
        <v>23</v>
      </c>
      <c r="J751" s="19" t="s">
        <v>23</v>
      </c>
      <c r="K751" s="35"/>
      <c r="L751" s="19"/>
      <c r="M751" s="263" t="str">
        <f ca="1">IFERROR(OFFSET(M751,-1,,1,1)+0.1,OFFSET(M751,-1,-1,1,1)&amp;".1")</f>
        <v>1.1</v>
      </c>
      <c r="N751" s="20" t="s">
        <v>438</v>
      </c>
      <c r="O751" s="20"/>
      <c r="P751" s="20"/>
      <c r="Q751" s="134"/>
      <c r="R751" s="127"/>
      <c r="S751" s="157">
        <f>CEILING((IF(J751="Yes", 0, IF(H751="-",AA751,AA751+AA751*VLOOKUP(H751,BUFFERS_BY_TYPE,2,FALSE)))) +
   (IF(J751="Yes", 0, IF(H751="-",AA751,AA751+AA751*VLOOKUP(H751,BUFFERS_BY_TYPE,2,FALSE))))*VLOOKUP($S$5, SALES_CALL_SCALE_ARRAY, 2,FALSE),0.25)</f>
        <v>0</v>
      </c>
      <c r="T751" s="158"/>
      <c r="U751" s="21">
        <v>0</v>
      </c>
      <c r="V751" s="21">
        <v>1</v>
      </c>
      <c r="W751" s="21">
        <v>0</v>
      </c>
      <c r="X751" s="156"/>
      <c r="Y751" s="157">
        <f>CEILING((IF(P751=AS_DEV_EFFORT, DEV_EFFORT*Q751%,
                           IF(P751=AS_DURATION_EFFORT, (MANUAL_DURATION*5)*Q751%,
                                    (IF(Q751&lt;=1,X751,
                                          IF(SUM(U751:W751)=0,(Q751*X751),
                                               (((Q751*U751)*(X751+(X751*EXTRA_FOR_H)))+
                                               ((Q751*V751)*X751)+
                                               ((Q751*W751)*(X751-(X751*LESS_FOR_L)))
                                    )*IF(R751=0,1,R751))))))+Z751), 0.25)</f>
        <v>0</v>
      </c>
      <c r="Z751" s="22"/>
      <c r="AA751" s="157">
        <f>Y751+Y751*VLOOKUP(I751,EXTRAS_ARRAY,2,FALSE)</f>
        <v>0</v>
      </c>
      <c r="AB751" s="20" t="s">
        <v>440</v>
      </c>
      <c r="AC751" s="34"/>
      <c r="AD751" s="23" t="str">
        <f>IF(J751&lt;&gt;"Yes",
IF(S751&lt;=0,"Error: Effort value is not defined or is invalid.",
IF(AND(SUM(U751:W751)&gt;0,SUM(U751:W751)&lt;&gt;1),"Error: Complexity % distribution should sum to 100%.",
IF(AND(P751=AS_DEV_EFFORT,X751&lt;&gt;0),"Error: PDs should not be defined when defining as dev effort %.",
IF(AND(P751=AS_DURATION_EFFORT,X751&lt;&gt;0),"Error: PDs should not be defined when defining as duration effort %.","")))))</f>
        <v>Error: Effort value is not defined or is invalid.</v>
      </c>
    </row>
    <row r="752" spans="1:30" s="9" customFormat="1" ht="7.5" hidden="1" customHeight="1" outlineLevel="2" x14ac:dyDescent="0.35">
      <c r="A752" s="86" t="s">
        <v>132</v>
      </c>
      <c r="B752" s="15"/>
      <c r="C752" s="72"/>
      <c r="D752" s="72"/>
      <c r="E752" s="72"/>
      <c r="F752" s="72"/>
      <c r="M752" s="252"/>
      <c r="T752" s="15"/>
      <c r="X752" s="15"/>
      <c r="AB752" s="10"/>
      <c r="AC752" s="10"/>
      <c r="AD752" s="10"/>
    </row>
    <row r="753" spans="1:30" s="9" customFormat="1" ht="1.5" hidden="1" customHeight="1" outlineLevel="1" x14ac:dyDescent="0.35">
      <c r="A753" s="86" t="s">
        <v>102</v>
      </c>
      <c r="C753" s="72"/>
      <c r="D753" s="72"/>
      <c r="E753" s="72"/>
      <c r="F753" s="72"/>
      <c r="G753" s="25"/>
      <c r="H753" s="25"/>
      <c r="I753" s="25"/>
      <c r="J753" s="25"/>
      <c r="K753" s="25"/>
      <c r="L753" s="56"/>
      <c r="M753" s="264"/>
      <c r="N753" s="57"/>
      <c r="O753" s="57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7"/>
      <c r="AC753" s="57"/>
      <c r="AD753" s="10"/>
    </row>
    <row r="754" spans="1:30" hidden="1" collapsed="1" x14ac:dyDescent="0.35"/>
    <row r="755" spans="1:30" s="14" customFormat="1" ht="15.5" hidden="1" outlineLevel="1" x14ac:dyDescent="0.35">
      <c r="A755" s="86" t="s">
        <v>107</v>
      </c>
      <c r="B755" s="18"/>
      <c r="C755" s="77"/>
      <c r="D755" s="77"/>
      <c r="E755" s="77"/>
      <c r="F755" s="76"/>
      <c r="G755" s="170"/>
      <c r="H755" s="170"/>
      <c r="I755" s="170"/>
      <c r="J755" s="170"/>
      <c r="K755" s="170"/>
      <c r="L755" s="85" t="s">
        <v>109</v>
      </c>
      <c r="M755" s="297" t="s">
        <v>124</v>
      </c>
      <c r="N755" s="297"/>
      <c r="O755" s="80"/>
      <c r="P755" s="81"/>
      <c r="Q755" s="81"/>
      <c r="R755" s="81"/>
      <c r="S755" s="293">
        <f>SUMGROUP(ROW(), "T")</f>
        <v>0</v>
      </c>
      <c r="T755" s="293"/>
      <c r="U755" s="294"/>
      <c r="V755" s="294"/>
      <c r="W755" s="294"/>
      <c r="X755" s="82"/>
      <c r="Y755" s="83"/>
      <c r="Z755" s="83"/>
      <c r="AA755" s="83"/>
      <c r="AB755" s="221"/>
      <c r="AC755" s="84"/>
      <c r="AD755" s="23" t="str">
        <f>IF(M755="", "Error: Module name cannot be empty.", "")</f>
        <v/>
      </c>
    </row>
    <row r="756" spans="1:30" hidden="1" x14ac:dyDescent="0.35"/>
    <row r="757" spans="1:30" s="9" customFormat="1" ht="20.25" customHeight="1" x14ac:dyDescent="0.35">
      <c r="A757" s="86"/>
      <c r="C757" s="72"/>
      <c r="D757" s="72"/>
      <c r="E757" s="72"/>
      <c r="F757" s="72"/>
      <c r="G757" s="40"/>
      <c r="H757" s="40"/>
      <c r="I757" s="40"/>
      <c r="J757" s="40"/>
      <c r="K757" s="40"/>
      <c r="L757" s="40"/>
      <c r="M757" s="258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10"/>
    </row>
  </sheetData>
  <sheetProtection algorithmName="SHA-512" hashValue="0qu9TiGV36GTC+CIKDl5N8aSgjeLgh2jU97ui6hHhbL3RZx541ZkOuJ0wzar4Gw6VtlZSJT+hfaq9LYNj1pfKA==" saltValue="k+MvI5v57f0BZTz8Mpg0BA==" spinCount="100000" sheet="1" objects="1" scenarios="1"/>
  <dataConsolidate/>
  <mergeCells count="138">
    <mergeCell ref="S469:T469"/>
    <mergeCell ref="U469:W469"/>
    <mergeCell ref="G597:H597"/>
    <mergeCell ref="U755:W755"/>
    <mergeCell ref="Q610:V610"/>
    <mergeCell ref="P600:P601"/>
    <mergeCell ref="G625:H625"/>
    <mergeCell ref="G745:H745"/>
    <mergeCell ref="Q599:V599"/>
    <mergeCell ref="O600:O601"/>
    <mergeCell ref="N637:N639"/>
    <mergeCell ref="P663:R666"/>
    <mergeCell ref="P668:Q669"/>
    <mergeCell ref="P676:Q678"/>
    <mergeCell ref="M755:N755"/>
    <mergeCell ref="M749:N749"/>
    <mergeCell ref="S747:T747"/>
    <mergeCell ref="S755:T755"/>
    <mergeCell ref="T619:U619"/>
    <mergeCell ref="T618:U618"/>
    <mergeCell ref="C2:F9"/>
    <mergeCell ref="C10:F10"/>
    <mergeCell ref="G9:J9"/>
    <mergeCell ref="G537:H537"/>
    <mergeCell ref="C11:F11"/>
    <mergeCell ref="C12:E12"/>
    <mergeCell ref="G3:J3"/>
    <mergeCell ref="J5:K5"/>
    <mergeCell ref="AB5:AB6"/>
    <mergeCell ref="P10:R10"/>
    <mergeCell ref="S12:T12"/>
    <mergeCell ref="S95:T95"/>
    <mergeCell ref="S461:T461"/>
    <mergeCell ref="S500:T500"/>
    <mergeCell ref="S370:T370"/>
    <mergeCell ref="S226:T226"/>
    <mergeCell ref="S323:T323"/>
    <mergeCell ref="M530:N530"/>
    <mergeCell ref="S528:T528"/>
    <mergeCell ref="S535:T535"/>
    <mergeCell ref="M391:N391"/>
    <mergeCell ref="M408:N408"/>
    <mergeCell ref="M422:N422"/>
    <mergeCell ref="M435:N435"/>
    <mergeCell ref="Y612:AA616"/>
    <mergeCell ref="U10:W10"/>
    <mergeCell ref="M539:T540"/>
    <mergeCell ref="W600:X601"/>
    <mergeCell ref="W602:X602"/>
    <mergeCell ref="W603:X603"/>
    <mergeCell ref="W604:X604"/>
    <mergeCell ref="W605:X605"/>
    <mergeCell ref="W606:X606"/>
    <mergeCell ref="W607:X607"/>
    <mergeCell ref="W608:X608"/>
    <mergeCell ref="Q608:V608"/>
    <mergeCell ref="M14:N14"/>
    <mergeCell ref="M66:N66"/>
    <mergeCell ref="W610:X611"/>
    <mergeCell ref="S11:T11"/>
    <mergeCell ref="M443:N443"/>
    <mergeCell ref="M360:N360"/>
    <mergeCell ref="M365:N365"/>
    <mergeCell ref="M20:N20"/>
    <mergeCell ref="M71:N71"/>
    <mergeCell ref="M75:N75"/>
    <mergeCell ref="M83:N83"/>
    <mergeCell ref="S64:T64"/>
    <mergeCell ref="M26:N26"/>
    <mergeCell ref="M33:N33"/>
    <mergeCell ref="M41:N41"/>
    <mergeCell ref="M47:N47"/>
    <mergeCell ref="M56:N56"/>
    <mergeCell ref="M507:N507"/>
    <mergeCell ref="M513:N513"/>
    <mergeCell ref="M520:N520"/>
    <mergeCell ref="M482:N482"/>
    <mergeCell ref="M489:N489"/>
    <mergeCell ref="M502:N502"/>
    <mergeCell ref="M477:N477"/>
    <mergeCell ref="M470:N470"/>
    <mergeCell ref="M454:N454"/>
    <mergeCell ref="M453:N453"/>
    <mergeCell ref="M145:N145"/>
    <mergeCell ref="M174:N174"/>
    <mergeCell ref="M201:N201"/>
    <mergeCell ref="M209:N209"/>
    <mergeCell ref="M227:N227"/>
    <mergeCell ref="M226:N226"/>
    <mergeCell ref="M348:N348"/>
    <mergeCell ref="M354:N354"/>
    <mergeCell ref="M469:N469"/>
    <mergeCell ref="S453:T453"/>
    <mergeCell ref="M464:N464"/>
    <mergeCell ref="M463:N463"/>
    <mergeCell ref="S463:T463"/>
    <mergeCell ref="M381:N381"/>
    <mergeCell ref="U463:W463"/>
    <mergeCell ref="U453:W453"/>
    <mergeCell ref="U370:W370"/>
    <mergeCell ref="M97:N97"/>
    <mergeCell ref="M370:N370"/>
    <mergeCell ref="M371:N371"/>
    <mergeCell ref="M175:N175"/>
    <mergeCell ref="S174:T174"/>
    <mergeCell ref="U174:W174"/>
    <mergeCell ref="M183:N183"/>
    <mergeCell ref="M104:N104"/>
    <mergeCell ref="M103:N103"/>
    <mergeCell ref="S103:T103"/>
    <mergeCell ref="U103:W103"/>
    <mergeCell ref="M114:N114"/>
    <mergeCell ref="M128:N128"/>
    <mergeCell ref="M248:N248"/>
    <mergeCell ref="M275:N275"/>
    <mergeCell ref="M274:N274"/>
    <mergeCell ref="S274:T274"/>
    <mergeCell ref="U274:W274"/>
    <mergeCell ref="U226:W226"/>
    <mergeCell ref="M238:N238"/>
    <mergeCell ref="M137:N137"/>
    <mergeCell ref="M192:N192"/>
    <mergeCell ref="U323:W323"/>
    <mergeCell ref="M332:N332"/>
    <mergeCell ref="M340:N340"/>
    <mergeCell ref="M339:N339"/>
    <mergeCell ref="S339:T339"/>
    <mergeCell ref="U339:W339"/>
    <mergeCell ref="M286:N286"/>
    <mergeCell ref="M296:N296"/>
    <mergeCell ref="M311:N311"/>
    <mergeCell ref="M324:N324"/>
    <mergeCell ref="M323:N323"/>
    <mergeCell ref="M155:N155"/>
    <mergeCell ref="M266:N266"/>
    <mergeCell ref="M257:N257"/>
    <mergeCell ref="M217:N217"/>
    <mergeCell ref="M164:N164"/>
  </mergeCells>
  <conditionalFormatting sqref="B602">
    <cfRule type="cellIs" dxfId="3548" priority="13404" operator="equal">
      <formula>"."</formula>
    </cfRule>
  </conditionalFormatting>
  <conditionalFormatting sqref="C599:E599 C618:E621">
    <cfRule type="expression" dxfId="3547" priority="13284">
      <formula>$H599&lt;&gt;""</formula>
    </cfRule>
  </conditionalFormatting>
  <conditionalFormatting sqref="C600:E608">
    <cfRule type="expression" dxfId="3546" priority="13282">
      <formula>$H600&lt;&gt;""</formula>
    </cfRule>
  </conditionalFormatting>
  <conditionalFormatting sqref="B600">
    <cfRule type="cellIs" dxfId="3545" priority="13278" operator="equal">
      <formula>"."</formula>
    </cfRule>
  </conditionalFormatting>
  <conditionalFormatting sqref="B751">
    <cfRule type="expression" dxfId="3544" priority="13173">
      <formula>AD751&lt;&gt;""</formula>
    </cfRule>
  </conditionalFormatting>
  <conditionalFormatting sqref="Z751">
    <cfRule type="cellIs" dxfId="3543" priority="13171" operator="greaterThan">
      <formula>0</formula>
    </cfRule>
    <cfRule type="cellIs" dxfId="3542" priority="13172" operator="lessThan">
      <formula>0</formula>
    </cfRule>
  </conditionalFormatting>
  <conditionalFormatting sqref="S751">
    <cfRule type="cellIs" dxfId="3541" priority="13170" operator="lessThan">
      <formula>0</formula>
    </cfRule>
  </conditionalFormatting>
  <conditionalFormatting sqref="T749:T750">
    <cfRule type="expression" dxfId="3540" priority="13174">
      <formula>#REF!="Yes"</formula>
    </cfRule>
  </conditionalFormatting>
  <conditionalFormatting sqref="P751">
    <cfRule type="cellIs" dxfId="3539" priority="13167" operator="equal">
      <formula>AS_DURATION_EFFORT</formula>
    </cfRule>
    <cfRule type="cellIs" dxfId="3538" priority="13168" operator="equal">
      <formula>AS_DEV_EFFORT</formula>
    </cfRule>
  </conditionalFormatting>
  <conditionalFormatting sqref="S755">
    <cfRule type="expression" dxfId="3537" priority="12983">
      <formula>#REF!="Yes"</formula>
    </cfRule>
  </conditionalFormatting>
  <conditionalFormatting sqref="B747">
    <cfRule type="expression" dxfId="3536" priority="12975">
      <formula>AD747&lt;&gt;""</formula>
    </cfRule>
  </conditionalFormatting>
  <conditionalFormatting sqref="B749:B750">
    <cfRule type="expression" dxfId="3535" priority="12974">
      <formula>AD749&lt;&gt;""</formula>
    </cfRule>
  </conditionalFormatting>
  <conditionalFormatting sqref="B755">
    <cfRule type="expression" dxfId="3534" priority="12973">
      <formula>AD755&lt;&gt;""</formula>
    </cfRule>
  </conditionalFormatting>
  <conditionalFormatting sqref="L16:AC17 L23:AC24 L28:M28 L35:M35 L43:M43 L49:M49 L58:M58 O28:AC28 O35:AC35 P43:AC43 O49:AC49 P58:AC58 L73:AC73 L68:AC69 L85:AC92 L60:M61 P60:AC61 N58:O61 L99:AC101 L177:AC181 L211:AC215 L326:AC330 L350:AC352 L342:AC346 L362:AC363 L367:AC368 L373:AC379 L383:AC389 L356:AC358 L334:AC337 L313:AC321 L277:AC284 L437:AC441 L445:AC451 L456:AC458 L466:AC467 L472:AC475 L479:AC480 L484:AC487 L522:AC525 L532:AC532 L504:AC505 L509:AC511 L751:AC751 L491:AC497 L515:AC518 L424:AC433 L410:AC420 L393:AC406 L298:AC309 L288:AC294 L250:AC255 L240:AC246 L229:AC236 L203:AC207 L194:AC199 L185:AC190 L77:AC81">
    <cfRule type="expression" dxfId="3533" priority="15262">
      <formula>AND($G16="Yes", $S$6="Exclude")</formula>
    </cfRule>
    <cfRule type="expression" dxfId="3532" priority="15263">
      <formula>$J16="Yes"</formula>
    </cfRule>
  </conditionalFormatting>
  <conditionalFormatting sqref="T5">
    <cfRule type="expression" dxfId="3531" priority="12556">
      <formula>OR($S$5="Reduce by:", $S$5="Increase by:")</formula>
    </cfRule>
  </conditionalFormatting>
  <conditionalFormatting sqref="F751">
    <cfRule type="expression" dxfId="3530" priority="9806">
      <formula>$K751&lt;&gt;""</formula>
    </cfRule>
  </conditionalFormatting>
  <conditionalFormatting sqref="C751">
    <cfRule type="expression" dxfId="3529" priority="9762">
      <formula>$G751&lt;&gt;"-"</formula>
    </cfRule>
  </conditionalFormatting>
  <conditionalFormatting sqref="D751">
    <cfRule type="expression" dxfId="3528" priority="9760">
      <formula>$H751&lt;&gt;"-"</formula>
    </cfRule>
  </conditionalFormatting>
  <conditionalFormatting sqref="E751">
    <cfRule type="expression" dxfId="3527" priority="9759">
      <formula>$I751&lt;&gt;"-"</formula>
    </cfRule>
  </conditionalFormatting>
  <conditionalFormatting sqref="B603">
    <cfRule type="cellIs" dxfId="3526" priority="6203" operator="equal">
      <formula>"."</formula>
    </cfRule>
  </conditionalFormatting>
  <conditionalFormatting sqref="B604">
    <cfRule type="cellIs" dxfId="3525" priority="6202" operator="equal">
      <formula>"."</formula>
    </cfRule>
  </conditionalFormatting>
  <conditionalFormatting sqref="B605">
    <cfRule type="cellIs" dxfId="3524" priority="6201" operator="equal">
      <formula>"."</formula>
    </cfRule>
  </conditionalFormatting>
  <conditionalFormatting sqref="B606">
    <cfRule type="cellIs" dxfId="3523" priority="6200" operator="equal">
      <formula>"."</formula>
    </cfRule>
  </conditionalFormatting>
  <conditionalFormatting sqref="B607">
    <cfRule type="cellIs" dxfId="3522" priority="6199" operator="equal">
      <formula>"."</formula>
    </cfRule>
  </conditionalFormatting>
  <conditionalFormatting sqref="B16">
    <cfRule type="expression" dxfId="3521" priority="6195">
      <formula>AD16&lt;&gt;""</formula>
    </cfRule>
  </conditionalFormatting>
  <conditionalFormatting sqref="Z16">
    <cfRule type="cellIs" dxfId="3520" priority="6193" operator="greaterThan">
      <formula>0</formula>
    </cfRule>
    <cfRule type="cellIs" dxfId="3519" priority="6194" operator="lessThan">
      <formula>0</formula>
    </cfRule>
  </conditionalFormatting>
  <conditionalFormatting sqref="S16">
    <cfRule type="cellIs" dxfId="3518" priority="6192" operator="lessThan">
      <formula>0</formula>
    </cfRule>
  </conditionalFormatting>
  <conditionalFormatting sqref="T14:T15">
    <cfRule type="expression" dxfId="3517" priority="6196">
      <formula>#REF!="Yes"</formula>
    </cfRule>
  </conditionalFormatting>
  <conditionalFormatting sqref="P16">
    <cfRule type="cellIs" dxfId="3516" priority="6190" operator="equal">
      <formula>AS_DURATION_EFFORT</formula>
    </cfRule>
    <cfRule type="cellIs" dxfId="3515" priority="6191" operator="equal">
      <formula>AS_DEV_EFFORT</formula>
    </cfRule>
  </conditionalFormatting>
  <conditionalFormatting sqref="B14:B15">
    <cfRule type="expression" dxfId="3514" priority="6189">
      <formula>AD14&lt;&gt;""</formula>
    </cfRule>
  </conditionalFormatting>
  <conditionalFormatting sqref="F16">
    <cfRule type="expression" dxfId="3513" priority="6188">
      <formula>$K16&lt;&gt;""</formula>
    </cfRule>
  </conditionalFormatting>
  <conditionalFormatting sqref="C16">
    <cfRule type="expression" dxfId="3512" priority="6187">
      <formula>$G16&lt;&gt;"-"</formula>
    </cfRule>
  </conditionalFormatting>
  <conditionalFormatting sqref="D16">
    <cfRule type="expression" dxfId="3511" priority="6186">
      <formula>$H16&lt;&gt;"-"</formula>
    </cfRule>
  </conditionalFormatting>
  <conditionalFormatting sqref="E16">
    <cfRule type="expression" dxfId="3510" priority="6185">
      <formula>$I16&lt;&gt;"-"</formula>
    </cfRule>
  </conditionalFormatting>
  <conditionalFormatting sqref="B17">
    <cfRule type="expression" dxfId="3509" priority="6182">
      <formula>AD17&lt;&gt;""</formula>
    </cfRule>
  </conditionalFormatting>
  <conditionalFormatting sqref="Z17">
    <cfRule type="cellIs" dxfId="3508" priority="6180" operator="greaterThan">
      <formula>0</formula>
    </cfRule>
    <cfRule type="cellIs" dxfId="3507" priority="6181" operator="lessThan">
      <formula>0</formula>
    </cfRule>
  </conditionalFormatting>
  <conditionalFormatting sqref="S17">
    <cfRule type="cellIs" dxfId="3506" priority="6179" operator="lessThan">
      <formula>0</formula>
    </cfRule>
  </conditionalFormatting>
  <conditionalFormatting sqref="P17">
    <cfRule type="cellIs" dxfId="3505" priority="6177" operator="equal">
      <formula>AS_DURATION_EFFORT</formula>
    </cfRule>
    <cfRule type="cellIs" dxfId="3504" priority="6178" operator="equal">
      <formula>AS_DEV_EFFORT</formula>
    </cfRule>
  </conditionalFormatting>
  <conditionalFormatting sqref="F17">
    <cfRule type="expression" dxfId="3503" priority="6176">
      <formula>$K17&lt;&gt;""</formula>
    </cfRule>
  </conditionalFormatting>
  <conditionalFormatting sqref="C17">
    <cfRule type="expression" dxfId="3502" priority="6175">
      <formula>$G17&lt;&gt;"-"</formula>
    </cfRule>
  </conditionalFormatting>
  <conditionalFormatting sqref="D17">
    <cfRule type="expression" dxfId="3501" priority="6174">
      <formula>$H17&lt;&gt;"-"</formula>
    </cfRule>
  </conditionalFormatting>
  <conditionalFormatting sqref="E17">
    <cfRule type="expression" dxfId="3500" priority="6173">
      <formula>$I17&lt;&gt;"-"</formula>
    </cfRule>
  </conditionalFormatting>
  <conditionalFormatting sqref="B68">
    <cfRule type="expression" dxfId="3499" priority="6169">
      <formula>AD68&lt;&gt;""</formula>
    </cfRule>
  </conditionalFormatting>
  <conditionalFormatting sqref="Z68">
    <cfRule type="cellIs" dxfId="3498" priority="6167" operator="greaterThan">
      <formula>0</formula>
    </cfRule>
    <cfRule type="cellIs" dxfId="3497" priority="6168" operator="lessThan">
      <formula>0</formula>
    </cfRule>
  </conditionalFormatting>
  <conditionalFormatting sqref="S68">
    <cfRule type="cellIs" dxfId="3496" priority="6166" operator="lessThan">
      <formula>0</formula>
    </cfRule>
  </conditionalFormatting>
  <conditionalFormatting sqref="T66:T67">
    <cfRule type="expression" dxfId="3495" priority="6170">
      <formula>#REF!="Yes"</formula>
    </cfRule>
  </conditionalFormatting>
  <conditionalFormatting sqref="P68">
    <cfRule type="cellIs" dxfId="3494" priority="6164" operator="equal">
      <formula>AS_DURATION_EFFORT</formula>
    </cfRule>
    <cfRule type="cellIs" dxfId="3493" priority="6165" operator="equal">
      <formula>AS_DEV_EFFORT</formula>
    </cfRule>
  </conditionalFormatting>
  <conditionalFormatting sqref="B66:B67">
    <cfRule type="expression" dxfId="3492" priority="6163">
      <formula>AD66&lt;&gt;""</formula>
    </cfRule>
  </conditionalFormatting>
  <conditionalFormatting sqref="F68">
    <cfRule type="expression" dxfId="3491" priority="6162">
      <formula>$K68&lt;&gt;""</formula>
    </cfRule>
  </conditionalFormatting>
  <conditionalFormatting sqref="C68">
    <cfRule type="expression" dxfId="3490" priority="6161">
      <formula>$G68&lt;&gt;"-"</formula>
    </cfRule>
  </conditionalFormatting>
  <conditionalFormatting sqref="D68">
    <cfRule type="expression" dxfId="3489" priority="6160">
      <formula>$H68&lt;&gt;"-"</formula>
    </cfRule>
  </conditionalFormatting>
  <conditionalFormatting sqref="E68">
    <cfRule type="expression" dxfId="3488" priority="6159">
      <formula>$I68&lt;&gt;"-"</formula>
    </cfRule>
  </conditionalFormatting>
  <conditionalFormatting sqref="B99">
    <cfRule type="expression" dxfId="3487" priority="6099">
      <formula>AD99&lt;&gt;""</formula>
    </cfRule>
  </conditionalFormatting>
  <conditionalFormatting sqref="Z99">
    <cfRule type="cellIs" dxfId="3486" priority="6097" operator="greaterThan">
      <formula>0</formula>
    </cfRule>
    <cfRule type="cellIs" dxfId="3485" priority="6098" operator="lessThan">
      <formula>0</formula>
    </cfRule>
  </conditionalFormatting>
  <conditionalFormatting sqref="S99">
    <cfRule type="cellIs" dxfId="3484" priority="6096" operator="lessThan">
      <formula>0</formula>
    </cfRule>
  </conditionalFormatting>
  <conditionalFormatting sqref="T97:T98">
    <cfRule type="expression" dxfId="3483" priority="6100">
      <formula>#REF!="Yes"</formula>
    </cfRule>
  </conditionalFormatting>
  <conditionalFormatting sqref="P99">
    <cfRule type="cellIs" dxfId="3482" priority="6094" operator="equal">
      <formula>AS_DURATION_EFFORT</formula>
    </cfRule>
    <cfRule type="cellIs" dxfId="3481" priority="6095" operator="equal">
      <formula>AS_DEV_EFFORT</formula>
    </cfRule>
  </conditionalFormatting>
  <conditionalFormatting sqref="B97:B98">
    <cfRule type="expression" dxfId="3480" priority="6093">
      <formula>AD97&lt;&gt;""</formula>
    </cfRule>
  </conditionalFormatting>
  <conditionalFormatting sqref="F99">
    <cfRule type="expression" dxfId="3479" priority="6092">
      <formula>$K99&lt;&gt;""</formula>
    </cfRule>
  </conditionalFormatting>
  <conditionalFormatting sqref="C99">
    <cfRule type="expression" dxfId="3478" priority="6091">
      <formula>$G99&lt;&gt;"-"</formula>
    </cfRule>
  </conditionalFormatting>
  <conditionalFormatting sqref="D99">
    <cfRule type="expression" dxfId="3477" priority="6090">
      <formula>$H99&lt;&gt;"-"</formula>
    </cfRule>
  </conditionalFormatting>
  <conditionalFormatting sqref="E99">
    <cfRule type="expression" dxfId="3476" priority="6089">
      <formula>$I99&lt;&gt;"-"</formula>
    </cfRule>
  </conditionalFormatting>
  <conditionalFormatting sqref="B23">
    <cfRule type="expression" dxfId="3475" priority="6037">
      <formula>AD23&lt;&gt;""</formula>
    </cfRule>
  </conditionalFormatting>
  <conditionalFormatting sqref="Z23">
    <cfRule type="cellIs" dxfId="3474" priority="6035" operator="greaterThan">
      <formula>0</formula>
    </cfRule>
    <cfRule type="cellIs" dxfId="3473" priority="6036" operator="lessThan">
      <formula>0</formula>
    </cfRule>
  </conditionalFormatting>
  <conditionalFormatting sqref="S23">
    <cfRule type="cellIs" dxfId="3472" priority="6034" operator="lessThan">
      <formula>0</formula>
    </cfRule>
  </conditionalFormatting>
  <conditionalFormatting sqref="T20:T21">
    <cfRule type="expression" dxfId="3471" priority="6038">
      <formula>#REF!="Yes"</formula>
    </cfRule>
  </conditionalFormatting>
  <conditionalFormatting sqref="P23">
    <cfRule type="cellIs" dxfId="3470" priority="6032" operator="equal">
      <formula>AS_DURATION_EFFORT</formula>
    </cfRule>
    <cfRule type="cellIs" dxfId="3469" priority="6033" operator="equal">
      <formula>AS_DEV_EFFORT</formula>
    </cfRule>
  </conditionalFormatting>
  <conditionalFormatting sqref="B20:B21">
    <cfRule type="expression" dxfId="3468" priority="6031">
      <formula>AD20&lt;&gt;""</formula>
    </cfRule>
  </conditionalFormatting>
  <conditionalFormatting sqref="F23">
    <cfRule type="expression" dxfId="3467" priority="6030">
      <formula>$K23&lt;&gt;""</formula>
    </cfRule>
  </conditionalFormatting>
  <conditionalFormatting sqref="C23">
    <cfRule type="expression" dxfId="3466" priority="6029">
      <formula>$G23&lt;&gt;"-"</formula>
    </cfRule>
  </conditionalFormatting>
  <conditionalFormatting sqref="D23">
    <cfRule type="expression" dxfId="3465" priority="6028">
      <formula>$H23&lt;&gt;"-"</formula>
    </cfRule>
  </conditionalFormatting>
  <conditionalFormatting sqref="E23">
    <cfRule type="expression" dxfId="3464" priority="6027">
      <formula>$I23&lt;&gt;"-"</formula>
    </cfRule>
  </conditionalFormatting>
  <conditionalFormatting sqref="B24">
    <cfRule type="expression" dxfId="3463" priority="6024">
      <formula>AD24&lt;&gt;""</formula>
    </cfRule>
  </conditionalFormatting>
  <conditionalFormatting sqref="Z24">
    <cfRule type="cellIs" dxfId="3462" priority="6022" operator="greaterThan">
      <formula>0</formula>
    </cfRule>
    <cfRule type="cellIs" dxfId="3461" priority="6023" operator="lessThan">
      <formula>0</formula>
    </cfRule>
  </conditionalFormatting>
  <conditionalFormatting sqref="S24">
    <cfRule type="cellIs" dxfId="3460" priority="6021" operator="lessThan">
      <formula>0</formula>
    </cfRule>
  </conditionalFormatting>
  <conditionalFormatting sqref="P24">
    <cfRule type="cellIs" dxfId="3459" priority="6019" operator="equal">
      <formula>AS_DURATION_EFFORT</formula>
    </cfRule>
    <cfRule type="cellIs" dxfId="3458" priority="6020" operator="equal">
      <formula>AS_DEV_EFFORT</formula>
    </cfRule>
  </conditionalFormatting>
  <conditionalFormatting sqref="F24">
    <cfRule type="expression" dxfId="3457" priority="6018">
      <formula>$K24&lt;&gt;""</formula>
    </cfRule>
  </conditionalFormatting>
  <conditionalFormatting sqref="C24">
    <cfRule type="expression" dxfId="3456" priority="6017">
      <formula>$G24&lt;&gt;"-"</formula>
    </cfRule>
  </conditionalFormatting>
  <conditionalFormatting sqref="D24">
    <cfRule type="expression" dxfId="3455" priority="6016">
      <formula>$H24&lt;&gt;"-"</formula>
    </cfRule>
  </conditionalFormatting>
  <conditionalFormatting sqref="E24">
    <cfRule type="expression" dxfId="3454" priority="6015">
      <formula>$I24&lt;&gt;"-"</formula>
    </cfRule>
  </conditionalFormatting>
  <conditionalFormatting sqref="B73">
    <cfRule type="expression" dxfId="3453" priority="5961">
      <formula>AD73&lt;&gt;""</formula>
    </cfRule>
  </conditionalFormatting>
  <conditionalFormatting sqref="Z73">
    <cfRule type="cellIs" dxfId="3452" priority="5959" operator="greaterThan">
      <formula>0</formula>
    </cfRule>
    <cfRule type="cellIs" dxfId="3451" priority="5960" operator="lessThan">
      <formula>0</formula>
    </cfRule>
  </conditionalFormatting>
  <conditionalFormatting sqref="S73">
    <cfRule type="cellIs" dxfId="3450" priority="5958" operator="lessThan">
      <formula>0</formula>
    </cfRule>
  </conditionalFormatting>
  <conditionalFormatting sqref="T71:T72">
    <cfRule type="expression" dxfId="3449" priority="5962">
      <formula>#REF!="Yes"</formula>
    </cfRule>
  </conditionalFormatting>
  <conditionalFormatting sqref="P73">
    <cfRule type="cellIs" dxfId="3448" priority="5956" operator="equal">
      <formula>AS_DURATION_EFFORT</formula>
    </cfRule>
    <cfRule type="cellIs" dxfId="3447" priority="5957" operator="equal">
      <formula>AS_DEV_EFFORT</formula>
    </cfRule>
  </conditionalFormatting>
  <conditionalFormatting sqref="B71:B72">
    <cfRule type="expression" dxfId="3446" priority="5955">
      <formula>AD71&lt;&gt;""</formula>
    </cfRule>
  </conditionalFormatting>
  <conditionalFormatting sqref="F73">
    <cfRule type="expression" dxfId="3445" priority="5954">
      <formula>$K73&lt;&gt;""</formula>
    </cfRule>
  </conditionalFormatting>
  <conditionalFormatting sqref="C73">
    <cfRule type="expression" dxfId="3444" priority="5953">
      <formula>$G73&lt;&gt;"-"</formula>
    </cfRule>
  </conditionalFormatting>
  <conditionalFormatting sqref="D73">
    <cfRule type="expression" dxfId="3443" priority="5952">
      <formula>$H73&lt;&gt;"-"</formula>
    </cfRule>
  </conditionalFormatting>
  <conditionalFormatting sqref="E73">
    <cfRule type="expression" dxfId="3442" priority="5951">
      <formula>$I73&lt;&gt;"-"</formula>
    </cfRule>
  </conditionalFormatting>
  <conditionalFormatting sqref="B77">
    <cfRule type="expression" dxfId="3441" priority="5947">
      <formula>AD77&lt;&gt;""</formula>
    </cfRule>
  </conditionalFormatting>
  <conditionalFormatting sqref="Z77">
    <cfRule type="cellIs" dxfId="3440" priority="5945" operator="greaterThan">
      <formula>0</formula>
    </cfRule>
    <cfRule type="cellIs" dxfId="3439" priority="5946" operator="lessThan">
      <formula>0</formula>
    </cfRule>
  </conditionalFormatting>
  <conditionalFormatting sqref="S77">
    <cfRule type="cellIs" dxfId="3438" priority="5944" operator="lessThan">
      <formula>0</formula>
    </cfRule>
  </conditionalFormatting>
  <conditionalFormatting sqref="T75:T76">
    <cfRule type="expression" dxfId="3437" priority="5948">
      <formula>#REF!="Yes"</formula>
    </cfRule>
  </conditionalFormatting>
  <conditionalFormatting sqref="P77">
    <cfRule type="cellIs" dxfId="3436" priority="5942" operator="equal">
      <formula>AS_DURATION_EFFORT</formula>
    </cfRule>
    <cfRule type="cellIs" dxfId="3435" priority="5943" operator="equal">
      <formula>AS_DEV_EFFORT</formula>
    </cfRule>
  </conditionalFormatting>
  <conditionalFormatting sqref="B75:B76">
    <cfRule type="expression" dxfId="3434" priority="5941">
      <formula>AD75&lt;&gt;""</formula>
    </cfRule>
  </conditionalFormatting>
  <conditionalFormatting sqref="F77">
    <cfRule type="expression" dxfId="3433" priority="5940">
      <formula>$K77&lt;&gt;""</formula>
    </cfRule>
  </conditionalFormatting>
  <conditionalFormatting sqref="C77">
    <cfRule type="expression" dxfId="3432" priority="5939">
      <formula>$G77&lt;&gt;"-"</formula>
    </cfRule>
  </conditionalFormatting>
  <conditionalFormatting sqref="D77">
    <cfRule type="expression" dxfId="3431" priority="5938">
      <formula>$H77&lt;&gt;"-"</formula>
    </cfRule>
  </conditionalFormatting>
  <conditionalFormatting sqref="E77">
    <cfRule type="expression" dxfId="3430" priority="5937">
      <formula>$I77&lt;&gt;"-"</formula>
    </cfRule>
  </conditionalFormatting>
  <conditionalFormatting sqref="B85">
    <cfRule type="expression" dxfId="3429" priority="5933">
      <formula>AD85&lt;&gt;""</formula>
    </cfRule>
  </conditionalFormatting>
  <conditionalFormatting sqref="Z85">
    <cfRule type="cellIs" dxfId="3428" priority="5931" operator="greaterThan">
      <formula>0</formula>
    </cfRule>
    <cfRule type="cellIs" dxfId="3427" priority="5932" operator="lessThan">
      <formula>0</formula>
    </cfRule>
  </conditionalFormatting>
  <conditionalFormatting sqref="S85">
    <cfRule type="cellIs" dxfId="3426" priority="5930" operator="lessThan">
      <formula>0</formula>
    </cfRule>
  </conditionalFormatting>
  <conditionalFormatting sqref="T83:T84">
    <cfRule type="expression" dxfId="3425" priority="5934">
      <formula>#REF!="Yes"</formula>
    </cfRule>
  </conditionalFormatting>
  <conditionalFormatting sqref="P85">
    <cfRule type="cellIs" dxfId="3424" priority="5928" operator="equal">
      <formula>AS_DURATION_EFFORT</formula>
    </cfRule>
    <cfRule type="cellIs" dxfId="3423" priority="5929" operator="equal">
      <formula>AS_DEV_EFFORT</formula>
    </cfRule>
  </conditionalFormatting>
  <conditionalFormatting sqref="B83:B84">
    <cfRule type="expression" dxfId="3422" priority="5927">
      <formula>AD83&lt;&gt;""</formula>
    </cfRule>
  </conditionalFormatting>
  <conditionalFormatting sqref="F85">
    <cfRule type="expression" dxfId="3421" priority="5926">
      <formula>$K85&lt;&gt;""</formula>
    </cfRule>
  </conditionalFormatting>
  <conditionalFormatting sqref="C85">
    <cfRule type="expression" dxfId="3420" priority="5925">
      <formula>$G85&lt;&gt;"-"</formula>
    </cfRule>
  </conditionalFormatting>
  <conditionalFormatting sqref="D85">
    <cfRule type="expression" dxfId="3419" priority="5924">
      <formula>$H85&lt;&gt;"-"</formula>
    </cfRule>
  </conditionalFormatting>
  <conditionalFormatting sqref="E85">
    <cfRule type="expression" dxfId="3418" priority="5923">
      <formula>$I85&lt;&gt;"-"</formula>
    </cfRule>
  </conditionalFormatting>
  <conditionalFormatting sqref="B69">
    <cfRule type="expression" dxfId="3417" priority="5892">
      <formula>AD69&lt;&gt;""</formula>
    </cfRule>
  </conditionalFormatting>
  <conditionalFormatting sqref="Z69">
    <cfRule type="cellIs" dxfId="3416" priority="5890" operator="greaterThan">
      <formula>0</formula>
    </cfRule>
    <cfRule type="cellIs" dxfId="3415" priority="5891" operator="lessThan">
      <formula>0</formula>
    </cfRule>
  </conditionalFormatting>
  <conditionalFormatting sqref="S69">
    <cfRule type="cellIs" dxfId="3414" priority="5889" operator="lessThan">
      <formula>0</formula>
    </cfRule>
  </conditionalFormatting>
  <conditionalFormatting sqref="P69">
    <cfRule type="cellIs" dxfId="3413" priority="5887" operator="equal">
      <formula>AS_DURATION_EFFORT</formula>
    </cfRule>
    <cfRule type="cellIs" dxfId="3412" priority="5888" operator="equal">
      <formula>AS_DEV_EFFORT</formula>
    </cfRule>
  </conditionalFormatting>
  <conditionalFormatting sqref="F69">
    <cfRule type="expression" dxfId="3411" priority="5886">
      <formula>$K69&lt;&gt;""</formula>
    </cfRule>
  </conditionalFormatting>
  <conditionalFormatting sqref="C69">
    <cfRule type="expression" dxfId="3410" priority="5885">
      <formula>$G69&lt;&gt;"-"</formula>
    </cfRule>
  </conditionalFormatting>
  <conditionalFormatting sqref="D69">
    <cfRule type="expression" dxfId="3409" priority="5884">
      <formula>$H69&lt;&gt;"-"</formula>
    </cfRule>
  </conditionalFormatting>
  <conditionalFormatting sqref="E69">
    <cfRule type="expression" dxfId="3408" priority="5883">
      <formula>$I69&lt;&gt;"-"</formula>
    </cfRule>
  </conditionalFormatting>
  <conditionalFormatting sqref="B78">
    <cfRule type="expression" dxfId="3407" priority="5880">
      <formula>AD78&lt;&gt;""</formula>
    </cfRule>
  </conditionalFormatting>
  <conditionalFormatting sqref="Z78">
    <cfRule type="cellIs" dxfId="3406" priority="5878" operator="greaterThan">
      <formula>0</formula>
    </cfRule>
    <cfRule type="cellIs" dxfId="3405" priority="5879" operator="lessThan">
      <formula>0</formula>
    </cfRule>
  </conditionalFormatting>
  <conditionalFormatting sqref="S78">
    <cfRule type="cellIs" dxfId="3404" priority="5877" operator="lessThan">
      <formula>0</formula>
    </cfRule>
  </conditionalFormatting>
  <conditionalFormatting sqref="P78">
    <cfRule type="cellIs" dxfId="3403" priority="5875" operator="equal">
      <formula>AS_DURATION_EFFORT</formula>
    </cfRule>
    <cfRule type="cellIs" dxfId="3402" priority="5876" operator="equal">
      <formula>AS_DEV_EFFORT</formula>
    </cfRule>
  </conditionalFormatting>
  <conditionalFormatting sqref="F78">
    <cfRule type="expression" dxfId="3401" priority="5874">
      <formula>$K78&lt;&gt;""</formula>
    </cfRule>
  </conditionalFormatting>
  <conditionalFormatting sqref="C78">
    <cfRule type="expression" dxfId="3400" priority="5873">
      <formula>$G78&lt;&gt;"-"</formula>
    </cfRule>
  </conditionalFormatting>
  <conditionalFormatting sqref="D78">
    <cfRule type="expression" dxfId="3399" priority="5872">
      <formula>$H78&lt;&gt;"-"</formula>
    </cfRule>
  </conditionalFormatting>
  <conditionalFormatting sqref="E78">
    <cfRule type="expression" dxfId="3398" priority="5871">
      <formula>$I78&lt;&gt;"-"</formula>
    </cfRule>
  </conditionalFormatting>
  <conditionalFormatting sqref="B79">
    <cfRule type="expression" dxfId="3397" priority="5868">
      <formula>AD79&lt;&gt;""</formula>
    </cfRule>
  </conditionalFormatting>
  <conditionalFormatting sqref="Z79">
    <cfRule type="cellIs" dxfId="3396" priority="5866" operator="greaterThan">
      <formula>0</formula>
    </cfRule>
    <cfRule type="cellIs" dxfId="3395" priority="5867" operator="lessThan">
      <formula>0</formula>
    </cfRule>
  </conditionalFormatting>
  <conditionalFormatting sqref="S79">
    <cfRule type="cellIs" dxfId="3394" priority="5865" operator="lessThan">
      <formula>0</formula>
    </cfRule>
  </conditionalFormatting>
  <conditionalFormatting sqref="P79">
    <cfRule type="cellIs" dxfId="3393" priority="5863" operator="equal">
      <formula>AS_DURATION_EFFORT</formula>
    </cfRule>
    <cfRule type="cellIs" dxfId="3392" priority="5864" operator="equal">
      <formula>AS_DEV_EFFORT</formula>
    </cfRule>
  </conditionalFormatting>
  <conditionalFormatting sqref="F79">
    <cfRule type="expression" dxfId="3391" priority="5862">
      <formula>$K79&lt;&gt;""</formula>
    </cfRule>
  </conditionalFormatting>
  <conditionalFormatting sqref="C79">
    <cfRule type="expression" dxfId="3390" priority="5861">
      <formula>$G79&lt;&gt;"-"</formula>
    </cfRule>
  </conditionalFormatting>
  <conditionalFormatting sqref="D79">
    <cfRule type="expression" dxfId="3389" priority="5860">
      <formula>$H79&lt;&gt;"-"</formula>
    </cfRule>
  </conditionalFormatting>
  <conditionalFormatting sqref="E79">
    <cfRule type="expression" dxfId="3388" priority="5859">
      <formula>$I79&lt;&gt;"-"</formula>
    </cfRule>
  </conditionalFormatting>
  <conditionalFormatting sqref="B81">
    <cfRule type="expression" dxfId="3387" priority="5856">
      <formula>AD81&lt;&gt;""</formula>
    </cfRule>
  </conditionalFormatting>
  <conditionalFormatting sqref="Z81">
    <cfRule type="cellIs" dxfId="3386" priority="5854" operator="greaterThan">
      <formula>0</formula>
    </cfRule>
    <cfRule type="cellIs" dxfId="3385" priority="5855" operator="lessThan">
      <formula>0</formula>
    </cfRule>
  </conditionalFormatting>
  <conditionalFormatting sqref="S81">
    <cfRule type="cellIs" dxfId="3384" priority="5853" operator="lessThan">
      <formula>0</formula>
    </cfRule>
  </conditionalFormatting>
  <conditionalFormatting sqref="P81">
    <cfRule type="cellIs" dxfId="3383" priority="5851" operator="equal">
      <formula>AS_DURATION_EFFORT</formula>
    </cfRule>
    <cfRule type="cellIs" dxfId="3382" priority="5852" operator="equal">
      <formula>AS_DEV_EFFORT</formula>
    </cfRule>
  </conditionalFormatting>
  <conditionalFormatting sqref="F81">
    <cfRule type="expression" dxfId="3381" priority="5850">
      <formula>$K81&lt;&gt;""</formula>
    </cfRule>
  </conditionalFormatting>
  <conditionalFormatting sqref="C81">
    <cfRule type="expression" dxfId="3380" priority="5849">
      <formula>$G81&lt;&gt;"-"</formula>
    </cfRule>
  </conditionalFormatting>
  <conditionalFormatting sqref="D81">
    <cfRule type="expression" dxfId="3379" priority="5848">
      <formula>$H81&lt;&gt;"-"</formula>
    </cfRule>
  </conditionalFormatting>
  <conditionalFormatting sqref="E81">
    <cfRule type="expression" dxfId="3378" priority="5847">
      <formula>$I81&lt;&gt;"-"</formula>
    </cfRule>
  </conditionalFormatting>
  <conditionalFormatting sqref="B92">
    <cfRule type="expression" dxfId="3377" priority="5808">
      <formula>AD92&lt;&gt;""</formula>
    </cfRule>
  </conditionalFormatting>
  <conditionalFormatting sqref="Z92">
    <cfRule type="cellIs" dxfId="3376" priority="5806" operator="greaterThan">
      <formula>0</formula>
    </cfRule>
    <cfRule type="cellIs" dxfId="3375" priority="5807" operator="lessThan">
      <formula>0</formula>
    </cfRule>
  </conditionalFormatting>
  <conditionalFormatting sqref="S92">
    <cfRule type="cellIs" dxfId="3374" priority="5805" operator="lessThan">
      <formula>0</formula>
    </cfRule>
  </conditionalFormatting>
  <conditionalFormatting sqref="P92">
    <cfRule type="cellIs" dxfId="3373" priority="5803" operator="equal">
      <formula>AS_DURATION_EFFORT</formula>
    </cfRule>
    <cfRule type="cellIs" dxfId="3372" priority="5804" operator="equal">
      <formula>AS_DEV_EFFORT</formula>
    </cfRule>
  </conditionalFormatting>
  <conditionalFormatting sqref="F92">
    <cfRule type="expression" dxfId="3371" priority="5802">
      <formula>$K92&lt;&gt;""</formula>
    </cfRule>
  </conditionalFormatting>
  <conditionalFormatting sqref="C92">
    <cfRule type="expression" dxfId="3370" priority="5801">
      <formula>$G92&lt;&gt;"-"</formula>
    </cfRule>
  </conditionalFormatting>
  <conditionalFormatting sqref="D92">
    <cfRule type="expression" dxfId="3369" priority="5800">
      <formula>$H92&lt;&gt;"-"</formula>
    </cfRule>
  </conditionalFormatting>
  <conditionalFormatting sqref="E92">
    <cfRule type="expression" dxfId="3368" priority="5799">
      <formula>$I92&lt;&gt;"-"</formula>
    </cfRule>
  </conditionalFormatting>
  <conditionalFormatting sqref="B91">
    <cfRule type="expression" dxfId="3367" priority="5796">
      <formula>AD91&lt;&gt;""</formula>
    </cfRule>
  </conditionalFormatting>
  <conditionalFormatting sqref="Z91">
    <cfRule type="cellIs" dxfId="3366" priority="5794" operator="greaterThan">
      <formula>0</formula>
    </cfRule>
    <cfRule type="cellIs" dxfId="3365" priority="5795" operator="lessThan">
      <formula>0</formula>
    </cfRule>
  </conditionalFormatting>
  <conditionalFormatting sqref="S91">
    <cfRule type="cellIs" dxfId="3364" priority="5793" operator="lessThan">
      <formula>0</formula>
    </cfRule>
  </conditionalFormatting>
  <conditionalFormatting sqref="P91">
    <cfRule type="cellIs" dxfId="3363" priority="5791" operator="equal">
      <formula>AS_DURATION_EFFORT</formula>
    </cfRule>
    <cfRule type="cellIs" dxfId="3362" priority="5792" operator="equal">
      <formula>AS_DEV_EFFORT</formula>
    </cfRule>
  </conditionalFormatting>
  <conditionalFormatting sqref="F91">
    <cfRule type="expression" dxfId="3361" priority="5790">
      <formula>$K91&lt;&gt;""</formula>
    </cfRule>
  </conditionalFormatting>
  <conditionalFormatting sqref="C91">
    <cfRule type="expression" dxfId="3360" priority="5789">
      <formula>$G91&lt;&gt;"-"</formula>
    </cfRule>
  </conditionalFormatting>
  <conditionalFormatting sqref="D91">
    <cfRule type="expression" dxfId="3359" priority="5788">
      <formula>$H91&lt;&gt;"-"</formula>
    </cfRule>
  </conditionalFormatting>
  <conditionalFormatting sqref="E91">
    <cfRule type="expression" dxfId="3358" priority="5787">
      <formula>$I91&lt;&gt;"-"</formula>
    </cfRule>
  </conditionalFormatting>
  <conditionalFormatting sqref="B90">
    <cfRule type="expression" dxfId="3357" priority="5784">
      <formula>AD90&lt;&gt;""</formula>
    </cfRule>
  </conditionalFormatting>
  <conditionalFormatting sqref="Z90">
    <cfRule type="cellIs" dxfId="3356" priority="5782" operator="greaterThan">
      <formula>0</formula>
    </cfRule>
    <cfRule type="cellIs" dxfId="3355" priority="5783" operator="lessThan">
      <formula>0</formula>
    </cfRule>
  </conditionalFormatting>
  <conditionalFormatting sqref="S90">
    <cfRule type="cellIs" dxfId="3354" priority="5781" operator="lessThan">
      <formula>0</formula>
    </cfRule>
  </conditionalFormatting>
  <conditionalFormatting sqref="P90">
    <cfRule type="cellIs" dxfId="3353" priority="5779" operator="equal">
      <formula>AS_DURATION_EFFORT</formula>
    </cfRule>
    <cfRule type="cellIs" dxfId="3352" priority="5780" operator="equal">
      <formula>AS_DEV_EFFORT</formula>
    </cfRule>
  </conditionalFormatting>
  <conditionalFormatting sqref="F90">
    <cfRule type="expression" dxfId="3351" priority="5778">
      <formula>$K90&lt;&gt;""</formula>
    </cfRule>
  </conditionalFormatting>
  <conditionalFormatting sqref="C90">
    <cfRule type="expression" dxfId="3350" priority="5777">
      <formula>$G90&lt;&gt;"-"</formula>
    </cfRule>
  </conditionalFormatting>
  <conditionalFormatting sqref="D90">
    <cfRule type="expression" dxfId="3349" priority="5776">
      <formula>$H90&lt;&gt;"-"</formula>
    </cfRule>
  </conditionalFormatting>
  <conditionalFormatting sqref="E90">
    <cfRule type="expression" dxfId="3348" priority="5775">
      <formula>$I90&lt;&gt;"-"</formula>
    </cfRule>
  </conditionalFormatting>
  <conditionalFormatting sqref="B89">
    <cfRule type="expression" dxfId="3347" priority="5772">
      <formula>AD89&lt;&gt;""</formula>
    </cfRule>
  </conditionalFormatting>
  <conditionalFormatting sqref="Z89">
    <cfRule type="cellIs" dxfId="3346" priority="5770" operator="greaterThan">
      <formula>0</formula>
    </cfRule>
    <cfRule type="cellIs" dxfId="3345" priority="5771" operator="lessThan">
      <formula>0</formula>
    </cfRule>
  </conditionalFormatting>
  <conditionalFormatting sqref="S89">
    <cfRule type="cellIs" dxfId="3344" priority="5769" operator="lessThan">
      <formula>0</formula>
    </cfRule>
  </conditionalFormatting>
  <conditionalFormatting sqref="P89">
    <cfRule type="cellIs" dxfId="3343" priority="5767" operator="equal">
      <formula>AS_DURATION_EFFORT</formula>
    </cfRule>
    <cfRule type="cellIs" dxfId="3342" priority="5768" operator="equal">
      <formula>AS_DEV_EFFORT</formula>
    </cfRule>
  </conditionalFormatting>
  <conditionalFormatting sqref="F89">
    <cfRule type="expression" dxfId="3341" priority="5766">
      <formula>$K89&lt;&gt;""</formula>
    </cfRule>
  </conditionalFormatting>
  <conditionalFormatting sqref="C89">
    <cfRule type="expression" dxfId="3340" priority="5765">
      <formula>$G89&lt;&gt;"-"</formula>
    </cfRule>
  </conditionalFormatting>
  <conditionalFormatting sqref="D89">
    <cfRule type="expression" dxfId="3339" priority="5764">
      <formula>$H89&lt;&gt;"-"</formula>
    </cfRule>
  </conditionalFormatting>
  <conditionalFormatting sqref="E89">
    <cfRule type="expression" dxfId="3338" priority="5763">
      <formula>$I89&lt;&gt;"-"</formula>
    </cfRule>
  </conditionalFormatting>
  <conditionalFormatting sqref="B88">
    <cfRule type="expression" dxfId="3337" priority="5760">
      <formula>AD88&lt;&gt;""</formula>
    </cfRule>
  </conditionalFormatting>
  <conditionalFormatting sqref="Z88">
    <cfRule type="cellIs" dxfId="3336" priority="5758" operator="greaterThan">
      <formula>0</formula>
    </cfRule>
    <cfRule type="cellIs" dxfId="3335" priority="5759" operator="lessThan">
      <formula>0</formula>
    </cfRule>
  </conditionalFormatting>
  <conditionalFormatting sqref="S88">
    <cfRule type="cellIs" dxfId="3334" priority="5757" operator="lessThan">
      <formula>0</formula>
    </cfRule>
  </conditionalFormatting>
  <conditionalFormatting sqref="P88">
    <cfRule type="cellIs" dxfId="3333" priority="5755" operator="equal">
      <formula>AS_DURATION_EFFORT</formula>
    </cfRule>
    <cfRule type="cellIs" dxfId="3332" priority="5756" operator="equal">
      <formula>AS_DEV_EFFORT</formula>
    </cfRule>
  </conditionalFormatting>
  <conditionalFormatting sqref="F88">
    <cfRule type="expression" dxfId="3331" priority="5754">
      <formula>$K88&lt;&gt;""</formula>
    </cfRule>
  </conditionalFormatting>
  <conditionalFormatting sqref="C88">
    <cfRule type="expression" dxfId="3330" priority="5753">
      <formula>$G88&lt;&gt;"-"</formula>
    </cfRule>
  </conditionalFormatting>
  <conditionalFormatting sqref="D88">
    <cfRule type="expression" dxfId="3329" priority="5752">
      <formula>$H88&lt;&gt;"-"</formula>
    </cfRule>
  </conditionalFormatting>
  <conditionalFormatting sqref="E88">
    <cfRule type="expression" dxfId="3328" priority="5751">
      <formula>$I88&lt;&gt;"-"</formula>
    </cfRule>
  </conditionalFormatting>
  <conditionalFormatting sqref="B87">
    <cfRule type="expression" dxfId="3327" priority="5748">
      <formula>AD87&lt;&gt;""</formula>
    </cfRule>
  </conditionalFormatting>
  <conditionalFormatting sqref="Z87">
    <cfRule type="cellIs" dxfId="3326" priority="5746" operator="greaterThan">
      <formula>0</formula>
    </cfRule>
    <cfRule type="cellIs" dxfId="3325" priority="5747" operator="lessThan">
      <formula>0</formula>
    </cfRule>
  </conditionalFormatting>
  <conditionalFormatting sqref="S87">
    <cfRule type="cellIs" dxfId="3324" priority="5745" operator="lessThan">
      <formula>0</formula>
    </cfRule>
  </conditionalFormatting>
  <conditionalFormatting sqref="P87">
    <cfRule type="cellIs" dxfId="3323" priority="5743" operator="equal">
      <formula>AS_DURATION_EFFORT</formula>
    </cfRule>
    <cfRule type="cellIs" dxfId="3322" priority="5744" operator="equal">
      <formula>AS_DEV_EFFORT</formula>
    </cfRule>
  </conditionalFormatting>
  <conditionalFormatting sqref="F87">
    <cfRule type="expression" dxfId="3321" priority="5742">
      <formula>$K87&lt;&gt;""</formula>
    </cfRule>
  </conditionalFormatting>
  <conditionalFormatting sqref="C87">
    <cfRule type="expression" dxfId="3320" priority="5741">
      <formula>$G87&lt;&gt;"-"</formula>
    </cfRule>
  </conditionalFormatting>
  <conditionalFormatting sqref="D87">
    <cfRule type="expression" dxfId="3319" priority="5740">
      <formula>$H87&lt;&gt;"-"</formula>
    </cfRule>
  </conditionalFormatting>
  <conditionalFormatting sqref="E87">
    <cfRule type="expression" dxfId="3318" priority="5739">
      <formula>$I87&lt;&gt;"-"</formula>
    </cfRule>
  </conditionalFormatting>
  <conditionalFormatting sqref="B86">
    <cfRule type="expression" dxfId="3317" priority="5736">
      <formula>AD86&lt;&gt;""</formula>
    </cfRule>
  </conditionalFormatting>
  <conditionalFormatting sqref="Z86">
    <cfRule type="cellIs" dxfId="3316" priority="5734" operator="greaterThan">
      <formula>0</formula>
    </cfRule>
    <cfRule type="cellIs" dxfId="3315" priority="5735" operator="lessThan">
      <formula>0</formula>
    </cfRule>
  </conditionalFormatting>
  <conditionalFormatting sqref="S86">
    <cfRule type="cellIs" dxfId="3314" priority="5733" operator="lessThan">
      <formula>0</formula>
    </cfRule>
  </conditionalFormatting>
  <conditionalFormatting sqref="P86">
    <cfRule type="cellIs" dxfId="3313" priority="5731" operator="equal">
      <formula>AS_DURATION_EFFORT</formula>
    </cfRule>
    <cfRule type="cellIs" dxfId="3312" priority="5732" operator="equal">
      <formula>AS_DEV_EFFORT</formula>
    </cfRule>
  </conditionalFormatting>
  <conditionalFormatting sqref="F86">
    <cfRule type="expression" dxfId="3311" priority="5730">
      <formula>$K86&lt;&gt;""</formula>
    </cfRule>
  </conditionalFormatting>
  <conditionalFormatting sqref="C86">
    <cfRule type="expression" dxfId="3310" priority="5729">
      <formula>$G86&lt;&gt;"-"</formula>
    </cfRule>
  </conditionalFormatting>
  <conditionalFormatting sqref="D86">
    <cfRule type="expression" dxfId="3309" priority="5728">
      <formula>$H86&lt;&gt;"-"</formula>
    </cfRule>
  </conditionalFormatting>
  <conditionalFormatting sqref="E86">
    <cfRule type="expression" dxfId="3308" priority="5727">
      <formula>$I86&lt;&gt;"-"</formula>
    </cfRule>
  </conditionalFormatting>
  <conditionalFormatting sqref="B101">
    <cfRule type="expression" dxfId="3307" priority="5676">
      <formula>AD101&lt;&gt;""</formula>
    </cfRule>
  </conditionalFormatting>
  <conditionalFormatting sqref="Z101">
    <cfRule type="cellIs" dxfId="3306" priority="5674" operator="greaterThan">
      <formula>0</formula>
    </cfRule>
    <cfRule type="cellIs" dxfId="3305" priority="5675" operator="lessThan">
      <formula>0</formula>
    </cfRule>
  </conditionalFormatting>
  <conditionalFormatting sqref="S101">
    <cfRule type="cellIs" dxfId="3304" priority="5673" operator="lessThan">
      <formula>0</formula>
    </cfRule>
  </conditionalFormatting>
  <conditionalFormatting sqref="P101">
    <cfRule type="cellIs" dxfId="3303" priority="5671" operator="equal">
      <formula>AS_DURATION_EFFORT</formula>
    </cfRule>
    <cfRule type="cellIs" dxfId="3302" priority="5672" operator="equal">
      <formula>AS_DEV_EFFORT</formula>
    </cfRule>
  </conditionalFormatting>
  <conditionalFormatting sqref="F101">
    <cfRule type="expression" dxfId="3301" priority="5670">
      <formula>$K101&lt;&gt;""</formula>
    </cfRule>
  </conditionalFormatting>
  <conditionalFormatting sqref="C101">
    <cfRule type="expression" dxfId="3300" priority="5669">
      <formula>$G101&lt;&gt;"-"</formula>
    </cfRule>
  </conditionalFormatting>
  <conditionalFormatting sqref="D101">
    <cfRule type="expression" dxfId="3299" priority="5668">
      <formula>$H101&lt;&gt;"-"</formula>
    </cfRule>
  </conditionalFormatting>
  <conditionalFormatting sqref="E101">
    <cfRule type="expression" dxfId="3298" priority="5667">
      <formula>$I101&lt;&gt;"-"</formula>
    </cfRule>
  </conditionalFormatting>
  <conditionalFormatting sqref="B100">
    <cfRule type="expression" dxfId="3297" priority="5664">
      <formula>AD100&lt;&gt;""</formula>
    </cfRule>
  </conditionalFormatting>
  <conditionalFormatting sqref="Z100">
    <cfRule type="cellIs" dxfId="3296" priority="5662" operator="greaterThan">
      <formula>0</formula>
    </cfRule>
    <cfRule type="cellIs" dxfId="3295" priority="5663" operator="lessThan">
      <formula>0</formula>
    </cfRule>
  </conditionalFormatting>
  <conditionalFormatting sqref="S100">
    <cfRule type="cellIs" dxfId="3294" priority="5661" operator="lessThan">
      <formula>0</formula>
    </cfRule>
  </conditionalFormatting>
  <conditionalFormatting sqref="P100">
    <cfRule type="cellIs" dxfId="3293" priority="5659" operator="equal">
      <formula>AS_DURATION_EFFORT</formula>
    </cfRule>
    <cfRule type="cellIs" dxfId="3292" priority="5660" operator="equal">
      <formula>AS_DEV_EFFORT</formula>
    </cfRule>
  </conditionalFormatting>
  <conditionalFormatting sqref="F100">
    <cfRule type="expression" dxfId="3291" priority="5658">
      <formula>$K100&lt;&gt;""</formula>
    </cfRule>
  </conditionalFormatting>
  <conditionalFormatting sqref="C100">
    <cfRule type="expression" dxfId="3290" priority="5657">
      <formula>$G100&lt;&gt;"-"</formula>
    </cfRule>
  </conditionalFormatting>
  <conditionalFormatting sqref="D100">
    <cfRule type="expression" dxfId="3289" priority="5656">
      <formula>$H100&lt;&gt;"-"</formula>
    </cfRule>
  </conditionalFormatting>
  <conditionalFormatting sqref="E100">
    <cfRule type="expression" dxfId="3288" priority="5655">
      <formula>$I100&lt;&gt;"-"</formula>
    </cfRule>
  </conditionalFormatting>
  <conditionalFormatting sqref="B479">
    <cfRule type="expression" dxfId="3287" priority="5559">
      <formula>AD479&lt;&gt;""</formula>
    </cfRule>
  </conditionalFormatting>
  <conditionalFormatting sqref="Z479">
    <cfRule type="cellIs" dxfId="3286" priority="5557" operator="greaterThan">
      <formula>0</formula>
    </cfRule>
    <cfRule type="cellIs" dxfId="3285" priority="5558" operator="lessThan">
      <formula>0</formula>
    </cfRule>
  </conditionalFormatting>
  <conditionalFormatting sqref="S479">
    <cfRule type="cellIs" dxfId="3284" priority="5556" operator="lessThan">
      <formula>0</formula>
    </cfRule>
  </conditionalFormatting>
  <conditionalFormatting sqref="T477:T478">
    <cfRule type="expression" dxfId="3283" priority="5560">
      <formula>#REF!="Yes"</formula>
    </cfRule>
  </conditionalFormatting>
  <conditionalFormatting sqref="P479">
    <cfRule type="cellIs" dxfId="3282" priority="5554" operator="equal">
      <formula>AS_DURATION_EFFORT</formula>
    </cfRule>
    <cfRule type="cellIs" dxfId="3281" priority="5555" operator="equal">
      <formula>AS_DEV_EFFORT</formula>
    </cfRule>
  </conditionalFormatting>
  <conditionalFormatting sqref="B477:B478">
    <cfRule type="expression" dxfId="3280" priority="5553">
      <formula>AD477&lt;&gt;""</formula>
    </cfRule>
  </conditionalFormatting>
  <conditionalFormatting sqref="F479">
    <cfRule type="expression" dxfId="3279" priority="5552">
      <formula>$K479&lt;&gt;""</formula>
    </cfRule>
  </conditionalFormatting>
  <conditionalFormatting sqref="C479">
    <cfRule type="expression" dxfId="3278" priority="5551">
      <formula>$G479&lt;&gt;"-"</formula>
    </cfRule>
  </conditionalFormatting>
  <conditionalFormatting sqref="D479">
    <cfRule type="expression" dxfId="3277" priority="5550">
      <formula>$H479&lt;&gt;"-"</formula>
    </cfRule>
  </conditionalFormatting>
  <conditionalFormatting sqref="E479">
    <cfRule type="expression" dxfId="3276" priority="5549">
      <formula>$I479&lt;&gt;"-"</formula>
    </cfRule>
  </conditionalFormatting>
  <conditionalFormatting sqref="B480">
    <cfRule type="expression" dxfId="3275" priority="5546">
      <formula>AD480&lt;&gt;""</formula>
    </cfRule>
  </conditionalFormatting>
  <conditionalFormatting sqref="Z480">
    <cfRule type="cellIs" dxfId="3274" priority="5544" operator="greaterThan">
      <formula>0</formula>
    </cfRule>
    <cfRule type="cellIs" dxfId="3273" priority="5545" operator="lessThan">
      <formula>0</formula>
    </cfRule>
  </conditionalFormatting>
  <conditionalFormatting sqref="S480">
    <cfRule type="cellIs" dxfId="3272" priority="5543" operator="lessThan">
      <formula>0</formula>
    </cfRule>
  </conditionalFormatting>
  <conditionalFormatting sqref="F480">
    <cfRule type="expression" dxfId="3271" priority="5540">
      <formula>$K480&lt;&gt;""</formula>
    </cfRule>
  </conditionalFormatting>
  <conditionalFormatting sqref="C480">
    <cfRule type="expression" dxfId="3270" priority="5539">
      <formula>$G480&lt;&gt;"-"</formula>
    </cfRule>
  </conditionalFormatting>
  <conditionalFormatting sqref="D480">
    <cfRule type="expression" dxfId="3269" priority="5538">
      <formula>$H480&lt;&gt;"-"</formula>
    </cfRule>
  </conditionalFormatting>
  <conditionalFormatting sqref="E480">
    <cfRule type="expression" dxfId="3268" priority="5537">
      <formula>$I480&lt;&gt;"-"</formula>
    </cfRule>
  </conditionalFormatting>
  <conditionalFormatting sqref="B484">
    <cfRule type="expression" dxfId="3267" priority="5533">
      <formula>AD484&lt;&gt;""</formula>
    </cfRule>
  </conditionalFormatting>
  <conditionalFormatting sqref="Z484">
    <cfRule type="cellIs" dxfId="3266" priority="5531" operator="greaterThan">
      <formula>0</formula>
    </cfRule>
    <cfRule type="cellIs" dxfId="3265" priority="5532" operator="lessThan">
      <formula>0</formula>
    </cfRule>
  </conditionalFormatting>
  <conditionalFormatting sqref="S484">
    <cfRule type="cellIs" dxfId="3264" priority="5530" operator="lessThan">
      <formula>0</formula>
    </cfRule>
  </conditionalFormatting>
  <conditionalFormatting sqref="T482:T483">
    <cfRule type="expression" dxfId="3263" priority="5534">
      <formula>#REF!="Yes"</formula>
    </cfRule>
  </conditionalFormatting>
  <conditionalFormatting sqref="B482:B483">
    <cfRule type="expression" dxfId="3262" priority="5527">
      <formula>AD482&lt;&gt;""</formula>
    </cfRule>
  </conditionalFormatting>
  <conditionalFormatting sqref="F484">
    <cfRule type="expression" dxfId="3261" priority="5526">
      <formula>$K484&lt;&gt;""</formula>
    </cfRule>
  </conditionalFormatting>
  <conditionalFormatting sqref="C484">
    <cfRule type="expression" dxfId="3260" priority="5525">
      <formula>$G484&lt;&gt;"-"</formula>
    </cfRule>
  </conditionalFormatting>
  <conditionalFormatting sqref="D484">
    <cfRule type="expression" dxfId="3259" priority="5524">
      <formula>$H484&lt;&gt;"-"</formula>
    </cfRule>
  </conditionalFormatting>
  <conditionalFormatting sqref="E484">
    <cfRule type="expression" dxfId="3258" priority="5523">
      <formula>$I484&lt;&gt;"-"</formula>
    </cfRule>
  </conditionalFormatting>
  <conditionalFormatting sqref="B485">
    <cfRule type="expression" dxfId="3257" priority="5520">
      <formula>AD485&lt;&gt;""</formula>
    </cfRule>
  </conditionalFormatting>
  <conditionalFormatting sqref="Z485">
    <cfRule type="cellIs" dxfId="3256" priority="5518" operator="greaterThan">
      <formula>0</formula>
    </cfRule>
    <cfRule type="cellIs" dxfId="3255" priority="5519" operator="lessThan">
      <formula>0</formula>
    </cfRule>
  </conditionalFormatting>
  <conditionalFormatting sqref="S485">
    <cfRule type="cellIs" dxfId="3254" priority="5517" operator="lessThan">
      <formula>0</formula>
    </cfRule>
  </conditionalFormatting>
  <conditionalFormatting sqref="P486">
    <cfRule type="cellIs" dxfId="3253" priority="5481" operator="equal">
      <formula>AS_DURATION_EFFORT</formula>
    </cfRule>
    <cfRule type="cellIs" dxfId="3252" priority="5482" operator="equal">
      <formula>AS_DEV_EFFORT</formula>
    </cfRule>
  </conditionalFormatting>
  <conditionalFormatting sqref="F485">
    <cfRule type="expression" dxfId="3251" priority="5514">
      <formula>$K485&lt;&gt;""</formula>
    </cfRule>
  </conditionalFormatting>
  <conditionalFormatting sqref="C485">
    <cfRule type="expression" dxfId="3250" priority="5513">
      <formula>$G485&lt;&gt;"-"</formula>
    </cfRule>
  </conditionalFormatting>
  <conditionalFormatting sqref="D485">
    <cfRule type="expression" dxfId="3249" priority="5512">
      <formula>$H485&lt;&gt;"-"</formula>
    </cfRule>
  </conditionalFormatting>
  <conditionalFormatting sqref="E485">
    <cfRule type="expression" dxfId="3248" priority="5511">
      <formula>$I485&lt;&gt;"-"</formula>
    </cfRule>
  </conditionalFormatting>
  <conditionalFormatting sqref="B487">
    <cfRule type="expression" dxfId="3247" priority="5508">
      <formula>AD487&lt;&gt;""</formula>
    </cfRule>
  </conditionalFormatting>
  <conditionalFormatting sqref="Z487">
    <cfRule type="cellIs" dxfId="3246" priority="5506" operator="greaterThan">
      <formula>0</formula>
    </cfRule>
    <cfRule type="cellIs" dxfId="3245" priority="5507" operator="lessThan">
      <formula>0</formula>
    </cfRule>
  </conditionalFormatting>
  <conditionalFormatting sqref="S487">
    <cfRule type="cellIs" dxfId="3244" priority="5505" operator="lessThan">
      <formula>0</formula>
    </cfRule>
  </conditionalFormatting>
  <conditionalFormatting sqref="P487">
    <cfRule type="cellIs" dxfId="3243" priority="5503" operator="equal">
      <formula>AS_DURATION_EFFORT</formula>
    </cfRule>
    <cfRule type="cellIs" dxfId="3242" priority="5504" operator="equal">
      <formula>AS_DEV_EFFORT</formula>
    </cfRule>
  </conditionalFormatting>
  <conditionalFormatting sqref="F487">
    <cfRule type="expression" dxfId="3241" priority="5502">
      <formula>$K487&lt;&gt;""</formula>
    </cfRule>
  </conditionalFormatting>
  <conditionalFormatting sqref="C487">
    <cfRule type="expression" dxfId="3240" priority="5501">
      <formula>$G487&lt;&gt;"-"</formula>
    </cfRule>
  </conditionalFormatting>
  <conditionalFormatting sqref="D487">
    <cfRule type="expression" dxfId="3239" priority="5500">
      <formula>$H487&lt;&gt;"-"</formula>
    </cfRule>
  </conditionalFormatting>
  <conditionalFormatting sqref="E487">
    <cfRule type="expression" dxfId="3238" priority="5499">
      <formula>$I487&lt;&gt;"-"</formula>
    </cfRule>
  </conditionalFormatting>
  <conditionalFormatting sqref="B486">
    <cfRule type="expression" dxfId="3237" priority="5496">
      <formula>AD486&lt;&gt;""</formula>
    </cfRule>
  </conditionalFormatting>
  <conditionalFormatting sqref="Z486">
    <cfRule type="cellIs" dxfId="3236" priority="5494" operator="greaterThan">
      <formula>0</formula>
    </cfRule>
    <cfRule type="cellIs" dxfId="3235" priority="5495" operator="lessThan">
      <formula>0</formula>
    </cfRule>
  </conditionalFormatting>
  <conditionalFormatting sqref="S486">
    <cfRule type="cellIs" dxfId="3234" priority="5493" operator="lessThan">
      <formula>0</formula>
    </cfRule>
  </conditionalFormatting>
  <conditionalFormatting sqref="P484">
    <cfRule type="cellIs" dxfId="3233" priority="5483" operator="equal">
      <formula>AS_DURATION_EFFORT</formula>
    </cfRule>
    <cfRule type="cellIs" dxfId="3232" priority="5484" operator="equal">
      <formula>AS_DEV_EFFORT</formula>
    </cfRule>
  </conditionalFormatting>
  <conditionalFormatting sqref="F486">
    <cfRule type="expression" dxfId="3231" priority="5490">
      <formula>$K486&lt;&gt;""</formula>
    </cfRule>
  </conditionalFormatting>
  <conditionalFormatting sqref="C486">
    <cfRule type="expression" dxfId="3230" priority="5489">
      <formula>$G486&lt;&gt;"-"</formula>
    </cfRule>
  </conditionalFormatting>
  <conditionalFormatting sqref="D486">
    <cfRule type="expression" dxfId="3229" priority="5488">
      <formula>$H486&lt;&gt;"-"</formula>
    </cfRule>
  </conditionalFormatting>
  <conditionalFormatting sqref="E486">
    <cfRule type="expression" dxfId="3228" priority="5487">
      <formula>$I486&lt;&gt;"-"</formula>
    </cfRule>
  </conditionalFormatting>
  <conditionalFormatting sqref="P492">
    <cfRule type="cellIs" dxfId="3227" priority="5457" operator="equal">
      <formula>AS_DURATION_EFFORT</formula>
    </cfRule>
    <cfRule type="cellIs" dxfId="3226" priority="5458" operator="equal">
      <formula>AS_DEV_EFFORT</formula>
    </cfRule>
  </conditionalFormatting>
  <conditionalFormatting sqref="P485:P486">
    <cfRule type="cellIs" dxfId="3225" priority="5479" operator="equal">
      <formula>AS_DURATION_EFFORT</formula>
    </cfRule>
    <cfRule type="cellIs" dxfId="3224" priority="5480" operator="equal">
      <formula>AS_DEV_EFFORT</formula>
    </cfRule>
  </conditionalFormatting>
  <conditionalFormatting sqref="T489:T490">
    <cfRule type="expression" dxfId="3223" priority="5476">
      <formula>#REF!="Yes"</formula>
    </cfRule>
  </conditionalFormatting>
  <conditionalFormatting sqref="B489:B490">
    <cfRule type="expression" dxfId="3222" priority="5469">
      <formula>AD489&lt;&gt;""</formula>
    </cfRule>
  </conditionalFormatting>
  <conditionalFormatting sqref="B492">
    <cfRule type="expression" dxfId="3221" priority="5462">
      <formula>AD492&lt;&gt;""</formula>
    </cfRule>
  </conditionalFormatting>
  <conditionalFormatting sqref="Z492">
    <cfRule type="cellIs" dxfId="3220" priority="5460" operator="greaterThan">
      <formula>0</formula>
    </cfRule>
    <cfRule type="cellIs" dxfId="3219" priority="5461" operator="lessThan">
      <formula>0</formula>
    </cfRule>
  </conditionalFormatting>
  <conditionalFormatting sqref="S492">
    <cfRule type="cellIs" dxfId="3218" priority="5459" operator="lessThan">
      <formula>0</formula>
    </cfRule>
  </conditionalFormatting>
  <conditionalFormatting sqref="P491">
    <cfRule type="cellIs" dxfId="3217" priority="5445" operator="equal">
      <formula>AS_DURATION_EFFORT</formula>
    </cfRule>
    <cfRule type="cellIs" dxfId="3216" priority="5446" operator="equal">
      <formula>AS_DEV_EFFORT</formula>
    </cfRule>
  </conditionalFormatting>
  <conditionalFormatting sqref="F492">
    <cfRule type="expression" dxfId="3215" priority="5456">
      <formula>$K492&lt;&gt;""</formula>
    </cfRule>
  </conditionalFormatting>
  <conditionalFormatting sqref="C492">
    <cfRule type="expression" dxfId="3214" priority="5455">
      <formula>$G492&lt;&gt;"-"</formula>
    </cfRule>
  </conditionalFormatting>
  <conditionalFormatting sqref="D492">
    <cfRule type="expression" dxfId="3213" priority="5454">
      <formula>$H492&lt;&gt;"-"</formula>
    </cfRule>
  </conditionalFormatting>
  <conditionalFormatting sqref="E492">
    <cfRule type="expression" dxfId="3212" priority="5453">
      <formula>$I492&lt;&gt;"-"</formula>
    </cfRule>
  </conditionalFormatting>
  <conditionalFormatting sqref="B491">
    <cfRule type="expression" dxfId="3211" priority="5450">
      <formula>AD491&lt;&gt;""</formula>
    </cfRule>
  </conditionalFormatting>
  <conditionalFormatting sqref="Z491">
    <cfRule type="cellIs" dxfId="3210" priority="5448" operator="greaterThan">
      <formula>0</formula>
    </cfRule>
    <cfRule type="cellIs" dxfId="3209" priority="5449" operator="lessThan">
      <formula>0</formula>
    </cfRule>
  </conditionalFormatting>
  <conditionalFormatting sqref="S491">
    <cfRule type="cellIs" dxfId="3208" priority="5447" operator="lessThan">
      <formula>0</formula>
    </cfRule>
  </conditionalFormatting>
  <conditionalFormatting sqref="F491">
    <cfRule type="expression" dxfId="3207" priority="5444">
      <formula>$K491&lt;&gt;""</formula>
    </cfRule>
  </conditionalFormatting>
  <conditionalFormatting sqref="C491">
    <cfRule type="expression" dxfId="3206" priority="5443">
      <formula>$G491&lt;&gt;"-"</formula>
    </cfRule>
  </conditionalFormatting>
  <conditionalFormatting sqref="D491">
    <cfRule type="expression" dxfId="3205" priority="5442">
      <formula>$H491&lt;&gt;"-"</formula>
    </cfRule>
  </conditionalFormatting>
  <conditionalFormatting sqref="E491">
    <cfRule type="expression" dxfId="3204" priority="5441">
      <formula>$I491&lt;&gt;"-"</formula>
    </cfRule>
  </conditionalFormatting>
  <conditionalFormatting sqref="B504">
    <cfRule type="expression" dxfId="3203" priority="5397">
      <formula>AD504&lt;&gt;""</formula>
    </cfRule>
  </conditionalFormatting>
  <conditionalFormatting sqref="Z504">
    <cfRule type="cellIs" dxfId="3202" priority="5395" operator="greaterThan">
      <formula>0</formula>
    </cfRule>
    <cfRule type="cellIs" dxfId="3201" priority="5396" operator="lessThan">
      <formula>0</formula>
    </cfRule>
  </conditionalFormatting>
  <conditionalFormatting sqref="S504">
    <cfRule type="cellIs" dxfId="3200" priority="5394" operator="lessThan">
      <formula>0</formula>
    </cfRule>
  </conditionalFormatting>
  <conditionalFormatting sqref="T502:T503">
    <cfRule type="expression" dxfId="3199" priority="5398">
      <formula>#REF!="Yes"</formula>
    </cfRule>
  </conditionalFormatting>
  <conditionalFormatting sqref="P504">
    <cfRule type="cellIs" dxfId="3198" priority="5392" operator="equal">
      <formula>AS_DURATION_EFFORT</formula>
    </cfRule>
    <cfRule type="cellIs" dxfId="3197" priority="5393" operator="equal">
      <formula>AS_DEV_EFFORT</formula>
    </cfRule>
  </conditionalFormatting>
  <conditionalFormatting sqref="B502:B503">
    <cfRule type="expression" dxfId="3196" priority="5391">
      <formula>AD502&lt;&gt;""</formula>
    </cfRule>
  </conditionalFormatting>
  <conditionalFormatting sqref="F504">
    <cfRule type="expression" dxfId="3195" priority="5390">
      <formula>$K504&lt;&gt;""</formula>
    </cfRule>
  </conditionalFormatting>
  <conditionalFormatting sqref="C504">
    <cfRule type="expression" dxfId="3194" priority="5389">
      <formula>$G504&lt;&gt;"-"</formula>
    </cfRule>
  </conditionalFormatting>
  <conditionalFormatting sqref="D504">
    <cfRule type="expression" dxfId="3193" priority="5388">
      <formula>$H504&lt;&gt;"-"</formula>
    </cfRule>
  </conditionalFormatting>
  <conditionalFormatting sqref="E504">
    <cfRule type="expression" dxfId="3192" priority="5387">
      <formula>$I504&lt;&gt;"-"</formula>
    </cfRule>
  </conditionalFormatting>
  <conditionalFormatting sqref="B505">
    <cfRule type="expression" dxfId="3191" priority="5384">
      <formula>AD505&lt;&gt;""</formula>
    </cfRule>
  </conditionalFormatting>
  <conditionalFormatting sqref="Z505">
    <cfRule type="cellIs" dxfId="3190" priority="5382" operator="greaterThan">
      <formula>0</formula>
    </cfRule>
    <cfRule type="cellIs" dxfId="3189" priority="5383" operator="lessThan">
      <formula>0</formula>
    </cfRule>
  </conditionalFormatting>
  <conditionalFormatting sqref="S505">
    <cfRule type="cellIs" dxfId="3188" priority="5381" operator="lessThan">
      <formula>0</formula>
    </cfRule>
  </conditionalFormatting>
  <conditionalFormatting sqref="P505">
    <cfRule type="cellIs" dxfId="3187" priority="5379" operator="equal">
      <formula>AS_DURATION_EFFORT</formula>
    </cfRule>
    <cfRule type="cellIs" dxfId="3186" priority="5380" operator="equal">
      <formula>AS_DEV_EFFORT</formula>
    </cfRule>
  </conditionalFormatting>
  <conditionalFormatting sqref="F505">
    <cfRule type="expression" dxfId="3185" priority="5378">
      <formula>$K505&lt;&gt;""</formula>
    </cfRule>
  </conditionalFormatting>
  <conditionalFormatting sqref="C505">
    <cfRule type="expression" dxfId="3184" priority="5377">
      <formula>$G505&lt;&gt;"-"</formula>
    </cfRule>
  </conditionalFormatting>
  <conditionalFormatting sqref="D505">
    <cfRule type="expression" dxfId="3183" priority="5376">
      <formula>$H505&lt;&gt;"-"</formula>
    </cfRule>
  </conditionalFormatting>
  <conditionalFormatting sqref="E505">
    <cfRule type="expression" dxfId="3182" priority="5375">
      <formula>$I505&lt;&gt;"-"</formula>
    </cfRule>
  </conditionalFormatting>
  <conditionalFormatting sqref="B509">
    <cfRule type="expression" dxfId="3181" priority="5371">
      <formula>AD509&lt;&gt;""</formula>
    </cfRule>
  </conditionalFormatting>
  <conditionalFormatting sqref="Z509">
    <cfRule type="cellIs" dxfId="3180" priority="5369" operator="greaterThan">
      <formula>0</formula>
    </cfRule>
    <cfRule type="cellIs" dxfId="3179" priority="5370" operator="lessThan">
      <formula>0</formula>
    </cfRule>
  </conditionalFormatting>
  <conditionalFormatting sqref="S509">
    <cfRule type="cellIs" dxfId="3178" priority="5368" operator="lessThan">
      <formula>0</formula>
    </cfRule>
  </conditionalFormatting>
  <conditionalFormatting sqref="T507:T508">
    <cfRule type="expression" dxfId="3177" priority="5372">
      <formula>#REF!="Yes"</formula>
    </cfRule>
  </conditionalFormatting>
  <conditionalFormatting sqref="P509">
    <cfRule type="cellIs" dxfId="3176" priority="5366" operator="equal">
      <formula>AS_DURATION_EFFORT</formula>
    </cfRule>
    <cfRule type="cellIs" dxfId="3175" priority="5367" operator="equal">
      <formula>AS_DEV_EFFORT</formula>
    </cfRule>
  </conditionalFormatting>
  <conditionalFormatting sqref="B507:B508">
    <cfRule type="expression" dxfId="3174" priority="5365">
      <formula>AD507&lt;&gt;""</formula>
    </cfRule>
  </conditionalFormatting>
  <conditionalFormatting sqref="F509">
    <cfRule type="expression" dxfId="3173" priority="5364">
      <formula>$K509&lt;&gt;""</formula>
    </cfRule>
  </conditionalFormatting>
  <conditionalFormatting sqref="C509">
    <cfRule type="expression" dxfId="3172" priority="5363">
      <formula>$G509&lt;&gt;"-"</formula>
    </cfRule>
  </conditionalFormatting>
  <conditionalFormatting sqref="D509">
    <cfRule type="expression" dxfId="3171" priority="5362">
      <formula>$H509&lt;&gt;"-"</formula>
    </cfRule>
  </conditionalFormatting>
  <conditionalFormatting sqref="E509">
    <cfRule type="expression" dxfId="3170" priority="5361">
      <formula>$I509&lt;&gt;"-"</formula>
    </cfRule>
  </conditionalFormatting>
  <conditionalFormatting sqref="B517">
    <cfRule type="expression" dxfId="3169" priority="5333">
      <formula>AD517&lt;&gt;""</formula>
    </cfRule>
  </conditionalFormatting>
  <conditionalFormatting sqref="Z517">
    <cfRule type="cellIs" dxfId="3168" priority="5331" operator="greaterThan">
      <formula>0</formula>
    </cfRule>
    <cfRule type="cellIs" dxfId="3167" priority="5332" operator="lessThan">
      <formula>0</formula>
    </cfRule>
  </conditionalFormatting>
  <conditionalFormatting sqref="S517">
    <cfRule type="cellIs" dxfId="3166" priority="5330" operator="lessThan">
      <formula>0</formula>
    </cfRule>
  </conditionalFormatting>
  <conditionalFormatting sqref="T513:T514">
    <cfRule type="expression" dxfId="3165" priority="5334">
      <formula>#REF!="Yes"</formula>
    </cfRule>
  </conditionalFormatting>
  <conditionalFormatting sqref="P517">
    <cfRule type="cellIs" dxfId="3164" priority="5328" operator="equal">
      <formula>AS_DURATION_EFFORT</formula>
    </cfRule>
    <cfRule type="cellIs" dxfId="3163" priority="5329" operator="equal">
      <formula>AS_DEV_EFFORT</formula>
    </cfRule>
  </conditionalFormatting>
  <conditionalFormatting sqref="B513:B514">
    <cfRule type="expression" dxfId="3162" priority="5327">
      <formula>AD513&lt;&gt;""</formula>
    </cfRule>
  </conditionalFormatting>
  <conditionalFormatting sqref="F517">
    <cfRule type="expression" dxfId="3161" priority="5326">
      <formula>$K517&lt;&gt;""</formula>
    </cfRule>
  </conditionalFormatting>
  <conditionalFormatting sqref="C517">
    <cfRule type="expression" dxfId="3160" priority="5325">
      <formula>$G517&lt;&gt;"-"</formula>
    </cfRule>
  </conditionalFormatting>
  <conditionalFormatting sqref="D517">
    <cfRule type="expression" dxfId="3159" priority="5324">
      <formula>$H517&lt;&gt;"-"</formula>
    </cfRule>
  </conditionalFormatting>
  <conditionalFormatting sqref="E517">
    <cfRule type="expression" dxfId="3158" priority="5323">
      <formula>$I517&lt;&gt;"-"</formula>
    </cfRule>
  </conditionalFormatting>
  <conditionalFormatting sqref="B522">
    <cfRule type="expression" dxfId="3157" priority="5307">
      <formula>AD522&lt;&gt;""</formula>
    </cfRule>
  </conditionalFormatting>
  <conditionalFormatting sqref="Z522">
    <cfRule type="cellIs" dxfId="3156" priority="5305" operator="greaterThan">
      <formula>0</formula>
    </cfRule>
    <cfRule type="cellIs" dxfId="3155" priority="5306" operator="lessThan">
      <formula>0</formula>
    </cfRule>
  </conditionalFormatting>
  <conditionalFormatting sqref="S522">
    <cfRule type="cellIs" dxfId="3154" priority="5304" operator="lessThan">
      <formula>0</formula>
    </cfRule>
  </conditionalFormatting>
  <conditionalFormatting sqref="T520:T521">
    <cfRule type="expression" dxfId="3153" priority="5308">
      <formula>#REF!="Yes"</formula>
    </cfRule>
  </conditionalFormatting>
  <conditionalFormatting sqref="P522">
    <cfRule type="cellIs" dxfId="3152" priority="5302" operator="equal">
      <formula>AS_DURATION_EFFORT</formula>
    </cfRule>
    <cfRule type="cellIs" dxfId="3151" priority="5303" operator="equal">
      <formula>AS_DEV_EFFORT</formula>
    </cfRule>
  </conditionalFormatting>
  <conditionalFormatting sqref="B520:B521">
    <cfRule type="expression" dxfId="3150" priority="5301">
      <formula>AD520&lt;&gt;""</formula>
    </cfRule>
  </conditionalFormatting>
  <conditionalFormatting sqref="F522">
    <cfRule type="expression" dxfId="3149" priority="5300">
      <formula>$K522&lt;&gt;""</formula>
    </cfRule>
  </conditionalFormatting>
  <conditionalFormatting sqref="C522">
    <cfRule type="expression" dxfId="3148" priority="5299">
      <formula>$G522&lt;&gt;"-"</formula>
    </cfRule>
  </conditionalFormatting>
  <conditionalFormatting sqref="D522">
    <cfRule type="expression" dxfId="3147" priority="5298">
      <formula>$H522&lt;&gt;"-"</formula>
    </cfRule>
  </conditionalFormatting>
  <conditionalFormatting sqref="E522">
    <cfRule type="expression" dxfId="3146" priority="5297">
      <formula>$I522&lt;&gt;"-"</formula>
    </cfRule>
  </conditionalFormatting>
  <conditionalFormatting sqref="B525">
    <cfRule type="expression" dxfId="3145" priority="5294">
      <formula>AD525&lt;&gt;""</formula>
    </cfRule>
  </conditionalFormatting>
  <conditionalFormatting sqref="Z525">
    <cfRule type="cellIs" dxfId="3144" priority="5292" operator="greaterThan">
      <formula>0</formula>
    </cfRule>
    <cfRule type="cellIs" dxfId="3143" priority="5293" operator="lessThan">
      <formula>0</formula>
    </cfRule>
  </conditionalFormatting>
  <conditionalFormatting sqref="S525">
    <cfRule type="cellIs" dxfId="3142" priority="5291" operator="lessThan">
      <formula>0</formula>
    </cfRule>
  </conditionalFormatting>
  <conditionalFormatting sqref="P525">
    <cfRule type="cellIs" dxfId="3141" priority="5289" operator="equal">
      <formula>AS_DURATION_EFFORT</formula>
    </cfRule>
    <cfRule type="cellIs" dxfId="3140" priority="5290" operator="equal">
      <formula>AS_DEV_EFFORT</formula>
    </cfRule>
  </conditionalFormatting>
  <conditionalFormatting sqref="F525">
    <cfRule type="expression" dxfId="3139" priority="5288">
      <formula>$K525&lt;&gt;""</formula>
    </cfRule>
  </conditionalFormatting>
  <conditionalFormatting sqref="C525">
    <cfRule type="expression" dxfId="3138" priority="5287">
      <formula>$G525&lt;&gt;"-"</formula>
    </cfRule>
  </conditionalFormatting>
  <conditionalFormatting sqref="D525">
    <cfRule type="expression" dxfId="3137" priority="5286">
      <formula>$H525&lt;&gt;"-"</formula>
    </cfRule>
  </conditionalFormatting>
  <conditionalFormatting sqref="E525">
    <cfRule type="expression" dxfId="3136" priority="5285">
      <formula>$I525&lt;&gt;"-"</formula>
    </cfRule>
  </conditionalFormatting>
  <conditionalFormatting sqref="B524">
    <cfRule type="expression" dxfId="3135" priority="5282">
      <formula>AD524&lt;&gt;""</formula>
    </cfRule>
  </conditionalFormatting>
  <conditionalFormatting sqref="Z524">
    <cfRule type="cellIs" dxfId="3134" priority="5280" operator="greaterThan">
      <formula>0</formula>
    </cfRule>
    <cfRule type="cellIs" dxfId="3133" priority="5281" operator="lessThan">
      <formula>0</formula>
    </cfRule>
  </conditionalFormatting>
  <conditionalFormatting sqref="S524">
    <cfRule type="cellIs" dxfId="3132" priority="5279" operator="lessThan">
      <formula>0</formula>
    </cfRule>
  </conditionalFormatting>
  <conditionalFormatting sqref="P524">
    <cfRule type="cellIs" dxfId="3131" priority="5277" operator="equal">
      <formula>AS_DURATION_EFFORT</formula>
    </cfRule>
    <cfRule type="cellIs" dxfId="3130" priority="5278" operator="equal">
      <formula>AS_DEV_EFFORT</formula>
    </cfRule>
  </conditionalFormatting>
  <conditionalFormatting sqref="F524">
    <cfRule type="expression" dxfId="3129" priority="5276">
      <formula>$K524&lt;&gt;""</formula>
    </cfRule>
  </conditionalFormatting>
  <conditionalFormatting sqref="C524">
    <cfRule type="expression" dxfId="3128" priority="5275">
      <formula>$G524&lt;&gt;"-"</formula>
    </cfRule>
  </conditionalFormatting>
  <conditionalFormatting sqref="D524">
    <cfRule type="expression" dxfId="3127" priority="5274">
      <formula>$H524&lt;&gt;"-"</formula>
    </cfRule>
  </conditionalFormatting>
  <conditionalFormatting sqref="E524">
    <cfRule type="expression" dxfId="3126" priority="5273">
      <formula>$I524&lt;&gt;"-"</formula>
    </cfRule>
  </conditionalFormatting>
  <conditionalFormatting sqref="B523">
    <cfRule type="expression" dxfId="3125" priority="5270">
      <formula>AD523&lt;&gt;""</formula>
    </cfRule>
  </conditionalFormatting>
  <conditionalFormatting sqref="Z523">
    <cfRule type="cellIs" dxfId="3124" priority="5268" operator="greaterThan">
      <formula>0</formula>
    </cfRule>
    <cfRule type="cellIs" dxfId="3123" priority="5269" operator="lessThan">
      <formula>0</formula>
    </cfRule>
  </conditionalFormatting>
  <conditionalFormatting sqref="S523">
    <cfRule type="cellIs" dxfId="3122" priority="5267" operator="lessThan">
      <formula>0</formula>
    </cfRule>
  </conditionalFormatting>
  <conditionalFormatting sqref="P523">
    <cfRule type="cellIs" dxfId="3121" priority="5265" operator="equal">
      <formula>AS_DURATION_EFFORT</formula>
    </cfRule>
    <cfRule type="cellIs" dxfId="3120" priority="5266" operator="equal">
      <formula>AS_DEV_EFFORT</formula>
    </cfRule>
  </conditionalFormatting>
  <conditionalFormatting sqref="F523">
    <cfRule type="expression" dxfId="3119" priority="5264">
      <formula>$K523&lt;&gt;""</formula>
    </cfRule>
  </conditionalFormatting>
  <conditionalFormatting sqref="C523">
    <cfRule type="expression" dxfId="3118" priority="5263">
      <formula>$G523&lt;&gt;"-"</formula>
    </cfRule>
  </conditionalFormatting>
  <conditionalFormatting sqref="D523">
    <cfRule type="expression" dxfId="3117" priority="5262">
      <formula>$H523&lt;&gt;"-"</formula>
    </cfRule>
  </conditionalFormatting>
  <conditionalFormatting sqref="E523">
    <cfRule type="expression" dxfId="3116" priority="5261">
      <formula>$I523&lt;&gt;"-"</formula>
    </cfRule>
  </conditionalFormatting>
  <conditionalFormatting sqref="B532">
    <cfRule type="expression" dxfId="3115" priority="5251">
      <formula>AD532&lt;&gt;""</formula>
    </cfRule>
  </conditionalFormatting>
  <conditionalFormatting sqref="Z532">
    <cfRule type="cellIs" dxfId="3114" priority="5249" operator="greaterThan">
      <formula>0</formula>
    </cfRule>
    <cfRule type="cellIs" dxfId="3113" priority="5250" operator="lessThan">
      <formula>0</formula>
    </cfRule>
  </conditionalFormatting>
  <conditionalFormatting sqref="S532">
    <cfRule type="cellIs" dxfId="3112" priority="5248" operator="lessThan">
      <formula>0</formula>
    </cfRule>
  </conditionalFormatting>
  <conditionalFormatting sqref="T530:T531">
    <cfRule type="expression" dxfId="3111" priority="5252">
      <formula>#REF!="Yes"</formula>
    </cfRule>
  </conditionalFormatting>
  <conditionalFormatting sqref="P532">
    <cfRule type="cellIs" dxfId="3110" priority="5246" operator="equal">
      <formula>AS_DURATION_EFFORT</formula>
    </cfRule>
    <cfRule type="cellIs" dxfId="3109" priority="5247" operator="equal">
      <formula>AS_DEV_EFFORT</formula>
    </cfRule>
  </conditionalFormatting>
  <conditionalFormatting sqref="B530:B531">
    <cfRule type="expression" dxfId="3108" priority="5245">
      <formula>AD530&lt;&gt;""</formula>
    </cfRule>
  </conditionalFormatting>
  <conditionalFormatting sqref="F532">
    <cfRule type="expression" dxfId="3107" priority="5244">
      <formula>$K532&lt;&gt;""</formula>
    </cfRule>
  </conditionalFormatting>
  <conditionalFormatting sqref="C532">
    <cfRule type="expression" dxfId="3106" priority="5243">
      <formula>$G532&lt;&gt;"-"</formula>
    </cfRule>
  </conditionalFormatting>
  <conditionalFormatting sqref="D532">
    <cfRule type="expression" dxfId="3105" priority="5242">
      <formula>$H532&lt;&gt;"-"</formula>
    </cfRule>
  </conditionalFormatting>
  <conditionalFormatting sqref="E532">
    <cfRule type="expression" dxfId="3104" priority="5241">
      <formula>$I532&lt;&gt;"-"</formula>
    </cfRule>
  </conditionalFormatting>
  <conditionalFormatting sqref="B18">
    <cfRule type="expression" dxfId="3103" priority="4298">
      <formula>AD18&lt;&gt;""</formula>
    </cfRule>
  </conditionalFormatting>
  <conditionalFormatting sqref="Z18">
    <cfRule type="cellIs" dxfId="3102" priority="4296" operator="greaterThan">
      <formula>0</formula>
    </cfRule>
    <cfRule type="cellIs" dxfId="3101" priority="4297" operator="lessThan">
      <formula>0</formula>
    </cfRule>
  </conditionalFormatting>
  <conditionalFormatting sqref="S18">
    <cfRule type="cellIs" dxfId="3100" priority="4295" operator="lessThan">
      <formula>0</formula>
    </cfRule>
  </conditionalFormatting>
  <conditionalFormatting sqref="L18:M18 O18 R18:AC18">
    <cfRule type="expression" dxfId="3099" priority="4299">
      <formula>AND($G18="Yes", $S$6="Exclude")</formula>
    </cfRule>
    <cfRule type="expression" dxfId="3098" priority="4300">
      <formula>$J18="Yes"</formula>
    </cfRule>
  </conditionalFormatting>
  <conditionalFormatting sqref="F18">
    <cfRule type="expression" dxfId="3097" priority="4292">
      <formula>$K18&lt;&gt;""</formula>
    </cfRule>
  </conditionalFormatting>
  <conditionalFormatting sqref="C18">
    <cfRule type="expression" dxfId="3096" priority="4291">
      <formula>$G18&lt;&gt;"-"</formula>
    </cfRule>
  </conditionalFormatting>
  <conditionalFormatting sqref="D18">
    <cfRule type="expression" dxfId="3095" priority="4290">
      <formula>$H18&lt;&gt;"-"</formula>
    </cfRule>
  </conditionalFormatting>
  <conditionalFormatting sqref="E18">
    <cfRule type="expression" dxfId="3094" priority="4289">
      <formula>$I18&lt;&gt;"-"</formula>
    </cfRule>
  </conditionalFormatting>
  <conditionalFormatting sqref="B28">
    <cfRule type="expression" dxfId="3093" priority="4285">
      <formula>AD28&lt;&gt;""</formula>
    </cfRule>
  </conditionalFormatting>
  <conditionalFormatting sqref="Z28">
    <cfRule type="cellIs" dxfId="3092" priority="4283" operator="greaterThan">
      <formula>0</formula>
    </cfRule>
    <cfRule type="cellIs" dxfId="3091" priority="4284" operator="lessThan">
      <formula>0</formula>
    </cfRule>
  </conditionalFormatting>
  <conditionalFormatting sqref="S28">
    <cfRule type="cellIs" dxfId="3090" priority="4282" operator="lessThan">
      <formula>0</formula>
    </cfRule>
  </conditionalFormatting>
  <conditionalFormatting sqref="T26:T27">
    <cfRule type="expression" dxfId="3089" priority="4286">
      <formula>#REF!="Yes"</formula>
    </cfRule>
  </conditionalFormatting>
  <conditionalFormatting sqref="P28">
    <cfRule type="cellIs" dxfId="3088" priority="4280" operator="equal">
      <formula>AS_DURATION_EFFORT</formula>
    </cfRule>
    <cfRule type="cellIs" dxfId="3087" priority="4281" operator="equal">
      <formula>AS_DEV_EFFORT</formula>
    </cfRule>
  </conditionalFormatting>
  <conditionalFormatting sqref="B26:B27">
    <cfRule type="expression" dxfId="3086" priority="4279">
      <formula>AD26&lt;&gt;""</formula>
    </cfRule>
  </conditionalFormatting>
  <conditionalFormatting sqref="F28">
    <cfRule type="expression" dxfId="3085" priority="4278">
      <formula>$K28&lt;&gt;""</formula>
    </cfRule>
  </conditionalFormatting>
  <conditionalFormatting sqref="C28">
    <cfRule type="expression" dxfId="3084" priority="4277">
      <formula>$G28&lt;&gt;"-"</formula>
    </cfRule>
  </conditionalFormatting>
  <conditionalFormatting sqref="D28">
    <cfRule type="expression" dxfId="3083" priority="4276">
      <formula>$H28&lt;&gt;"-"</formula>
    </cfRule>
  </conditionalFormatting>
  <conditionalFormatting sqref="E28">
    <cfRule type="expression" dxfId="3082" priority="4275">
      <formula>$I28&lt;&gt;"-"</formula>
    </cfRule>
  </conditionalFormatting>
  <conditionalFormatting sqref="B35">
    <cfRule type="expression" dxfId="3081" priority="4271">
      <formula>AD35&lt;&gt;""</formula>
    </cfRule>
  </conditionalFormatting>
  <conditionalFormatting sqref="Z35">
    <cfRule type="cellIs" dxfId="3080" priority="4269" operator="greaterThan">
      <formula>0</formula>
    </cfRule>
    <cfRule type="cellIs" dxfId="3079" priority="4270" operator="lessThan">
      <formula>0</formula>
    </cfRule>
  </conditionalFormatting>
  <conditionalFormatting sqref="S35">
    <cfRule type="cellIs" dxfId="3078" priority="4268" operator="lessThan">
      <formula>0</formula>
    </cfRule>
  </conditionalFormatting>
  <conditionalFormatting sqref="T33:T34">
    <cfRule type="expression" dxfId="3077" priority="4272">
      <formula>#REF!="Yes"</formula>
    </cfRule>
  </conditionalFormatting>
  <conditionalFormatting sqref="P35">
    <cfRule type="cellIs" dxfId="3076" priority="4266" operator="equal">
      <formula>AS_DURATION_EFFORT</formula>
    </cfRule>
    <cfRule type="cellIs" dxfId="3075" priority="4267" operator="equal">
      <formula>AS_DEV_EFFORT</formula>
    </cfRule>
  </conditionalFormatting>
  <conditionalFormatting sqref="B33:B34">
    <cfRule type="expression" dxfId="3074" priority="4265">
      <formula>AD33&lt;&gt;""</formula>
    </cfRule>
  </conditionalFormatting>
  <conditionalFormatting sqref="F35">
    <cfRule type="expression" dxfId="3073" priority="4264">
      <formula>$K35&lt;&gt;""</formula>
    </cfRule>
  </conditionalFormatting>
  <conditionalFormatting sqref="C35">
    <cfRule type="expression" dxfId="3072" priority="4263">
      <formula>$G35&lt;&gt;"-"</formula>
    </cfRule>
  </conditionalFormatting>
  <conditionalFormatting sqref="D35">
    <cfRule type="expression" dxfId="3071" priority="4262">
      <formula>$H35&lt;&gt;"-"</formula>
    </cfRule>
  </conditionalFormatting>
  <conditionalFormatting sqref="E35">
    <cfRule type="expression" dxfId="3070" priority="4261">
      <formula>$I35&lt;&gt;"-"</formula>
    </cfRule>
  </conditionalFormatting>
  <conditionalFormatting sqref="B43">
    <cfRule type="expression" dxfId="3069" priority="4257">
      <formula>AD43&lt;&gt;""</formula>
    </cfRule>
  </conditionalFormatting>
  <conditionalFormatting sqref="Z43">
    <cfRule type="cellIs" dxfId="3068" priority="4255" operator="greaterThan">
      <formula>0</formula>
    </cfRule>
    <cfRule type="cellIs" dxfId="3067" priority="4256" operator="lessThan">
      <formula>0</formula>
    </cfRule>
  </conditionalFormatting>
  <conditionalFormatting sqref="S43">
    <cfRule type="cellIs" dxfId="3066" priority="4254" operator="lessThan">
      <formula>0</formula>
    </cfRule>
  </conditionalFormatting>
  <conditionalFormatting sqref="T41:T42">
    <cfRule type="expression" dxfId="3065" priority="4258">
      <formula>#REF!="Yes"</formula>
    </cfRule>
  </conditionalFormatting>
  <conditionalFormatting sqref="P43">
    <cfRule type="cellIs" dxfId="3064" priority="4252" operator="equal">
      <formula>AS_DURATION_EFFORT</formula>
    </cfRule>
    <cfRule type="cellIs" dxfId="3063" priority="4253" operator="equal">
      <formula>AS_DEV_EFFORT</formula>
    </cfRule>
  </conditionalFormatting>
  <conditionalFormatting sqref="B41:B42">
    <cfRule type="expression" dxfId="3062" priority="4251">
      <formula>AD41&lt;&gt;""</formula>
    </cfRule>
  </conditionalFormatting>
  <conditionalFormatting sqref="F43">
    <cfRule type="expression" dxfId="3061" priority="4250">
      <formula>$K43&lt;&gt;""</formula>
    </cfRule>
  </conditionalFormatting>
  <conditionalFormatting sqref="C43">
    <cfRule type="expression" dxfId="3060" priority="4249">
      <formula>$G43&lt;&gt;"-"</formula>
    </cfRule>
  </conditionalFormatting>
  <conditionalFormatting sqref="D43">
    <cfRule type="expression" dxfId="3059" priority="4248">
      <formula>$H43&lt;&gt;"-"</formula>
    </cfRule>
  </conditionalFormatting>
  <conditionalFormatting sqref="E43">
    <cfRule type="expression" dxfId="3058" priority="4247">
      <formula>$I43&lt;&gt;"-"</formula>
    </cfRule>
  </conditionalFormatting>
  <conditionalFormatting sqref="B49">
    <cfRule type="expression" dxfId="3057" priority="4243">
      <formula>AD49&lt;&gt;""</formula>
    </cfRule>
  </conditionalFormatting>
  <conditionalFormatting sqref="Z49">
    <cfRule type="cellIs" dxfId="3056" priority="4241" operator="greaterThan">
      <formula>0</formula>
    </cfRule>
    <cfRule type="cellIs" dxfId="3055" priority="4242" operator="lessThan">
      <formula>0</formula>
    </cfRule>
  </conditionalFormatting>
  <conditionalFormatting sqref="S49">
    <cfRule type="cellIs" dxfId="3054" priority="4240" operator="lessThan">
      <formula>0</formula>
    </cfRule>
  </conditionalFormatting>
  <conditionalFormatting sqref="T47:T48">
    <cfRule type="expression" dxfId="3053" priority="4244">
      <formula>#REF!="Yes"</formula>
    </cfRule>
  </conditionalFormatting>
  <conditionalFormatting sqref="P49">
    <cfRule type="cellIs" dxfId="3052" priority="4238" operator="equal">
      <formula>AS_DURATION_EFFORT</formula>
    </cfRule>
    <cfRule type="cellIs" dxfId="3051" priority="4239" operator="equal">
      <formula>AS_DEV_EFFORT</formula>
    </cfRule>
  </conditionalFormatting>
  <conditionalFormatting sqref="B47:B48">
    <cfRule type="expression" dxfId="3050" priority="4237">
      <formula>AD47&lt;&gt;""</formula>
    </cfRule>
  </conditionalFormatting>
  <conditionalFormatting sqref="F49">
    <cfRule type="expression" dxfId="3049" priority="4236">
      <formula>$K49&lt;&gt;""</formula>
    </cfRule>
  </conditionalFormatting>
  <conditionalFormatting sqref="C49">
    <cfRule type="expression" dxfId="3048" priority="4235">
      <formula>$G49&lt;&gt;"-"</formula>
    </cfRule>
  </conditionalFormatting>
  <conditionalFormatting sqref="D49">
    <cfRule type="expression" dxfId="3047" priority="4234">
      <formula>$H49&lt;&gt;"-"</formula>
    </cfRule>
  </conditionalFormatting>
  <conditionalFormatting sqref="E49">
    <cfRule type="expression" dxfId="3046" priority="4233">
      <formula>$I49&lt;&gt;"-"</formula>
    </cfRule>
  </conditionalFormatting>
  <conditionalFormatting sqref="B58">
    <cfRule type="expression" dxfId="3045" priority="4229">
      <formula>AD58&lt;&gt;""</formula>
    </cfRule>
  </conditionalFormatting>
  <conditionalFormatting sqref="Z58">
    <cfRule type="cellIs" dxfId="3044" priority="4227" operator="greaterThan">
      <formula>0</formula>
    </cfRule>
    <cfRule type="cellIs" dxfId="3043" priority="4228" operator="lessThan">
      <formula>0</formula>
    </cfRule>
  </conditionalFormatting>
  <conditionalFormatting sqref="S58">
    <cfRule type="cellIs" dxfId="3042" priority="4226" operator="lessThan">
      <formula>0</formula>
    </cfRule>
  </conditionalFormatting>
  <conditionalFormatting sqref="T56:T57">
    <cfRule type="expression" dxfId="3041" priority="4230">
      <formula>#REF!="Yes"</formula>
    </cfRule>
  </conditionalFormatting>
  <conditionalFormatting sqref="P58">
    <cfRule type="cellIs" dxfId="3040" priority="4224" operator="equal">
      <formula>AS_DURATION_EFFORT</formula>
    </cfRule>
    <cfRule type="cellIs" dxfId="3039" priority="4225" operator="equal">
      <formula>AS_DEV_EFFORT</formula>
    </cfRule>
  </conditionalFormatting>
  <conditionalFormatting sqref="B56:B57">
    <cfRule type="expression" dxfId="3038" priority="4223">
      <formula>AD56&lt;&gt;""</formula>
    </cfRule>
  </conditionalFormatting>
  <conditionalFormatting sqref="F58">
    <cfRule type="expression" dxfId="3037" priority="4222">
      <formula>$K58&lt;&gt;""</formula>
    </cfRule>
  </conditionalFormatting>
  <conditionalFormatting sqref="C58">
    <cfRule type="expression" dxfId="3036" priority="4221">
      <formula>$G58&lt;&gt;"-"</formula>
    </cfRule>
  </conditionalFormatting>
  <conditionalFormatting sqref="D58">
    <cfRule type="expression" dxfId="3035" priority="4220">
      <formula>$H58&lt;&gt;"-"</formula>
    </cfRule>
  </conditionalFormatting>
  <conditionalFormatting sqref="E58">
    <cfRule type="expression" dxfId="3034" priority="4219">
      <formula>$I58&lt;&gt;"-"</formula>
    </cfRule>
  </conditionalFormatting>
  <conditionalFormatting sqref="N18">
    <cfRule type="expression" dxfId="3033" priority="4217">
      <formula>AND($G18="Yes", $S$6="Exclude")</formula>
    </cfRule>
    <cfRule type="expression" dxfId="3032" priority="4218">
      <formula>$J18="Yes"</formula>
    </cfRule>
  </conditionalFormatting>
  <conditionalFormatting sqref="P18">
    <cfRule type="cellIs" dxfId="3031" priority="4213" operator="equal">
      <formula>AS_DURATION_EFFORT</formula>
    </cfRule>
    <cfRule type="cellIs" dxfId="3030" priority="4214" operator="equal">
      <formula>AS_DEV_EFFORT</formula>
    </cfRule>
  </conditionalFormatting>
  <conditionalFormatting sqref="P18:Q18">
    <cfRule type="expression" dxfId="3029" priority="4215">
      <formula>AND($G18="Yes", $S$6="Exclude")</formula>
    </cfRule>
    <cfRule type="expression" dxfId="3028" priority="4216">
      <formula>$J18="Yes"</formula>
    </cfRule>
  </conditionalFormatting>
  <conditionalFormatting sqref="B22">
    <cfRule type="expression" dxfId="3027" priority="4210">
      <formula>AD22&lt;&gt;""</formula>
    </cfRule>
  </conditionalFormatting>
  <conditionalFormatting sqref="Z22">
    <cfRule type="cellIs" dxfId="3026" priority="4208" operator="greaterThan">
      <formula>0</formula>
    </cfRule>
    <cfRule type="cellIs" dxfId="3025" priority="4209" operator="lessThan">
      <formula>0</formula>
    </cfRule>
  </conditionalFormatting>
  <conditionalFormatting sqref="S22">
    <cfRule type="cellIs" dxfId="3024" priority="4207" operator="lessThan">
      <formula>0</formula>
    </cfRule>
  </conditionalFormatting>
  <conditionalFormatting sqref="P22">
    <cfRule type="cellIs" dxfId="3023" priority="4205" operator="equal">
      <formula>AS_DURATION_EFFORT</formula>
    </cfRule>
    <cfRule type="cellIs" dxfId="3022" priority="4206" operator="equal">
      <formula>AS_DEV_EFFORT</formula>
    </cfRule>
  </conditionalFormatting>
  <conditionalFormatting sqref="L22:M22 O22:AC22">
    <cfRule type="expression" dxfId="3021" priority="4211">
      <formula>AND($G22="Yes", $S$6="Exclude")</formula>
    </cfRule>
    <cfRule type="expression" dxfId="3020" priority="4212">
      <formula>$J22="Yes"</formula>
    </cfRule>
  </conditionalFormatting>
  <conditionalFormatting sqref="F22">
    <cfRule type="expression" dxfId="3019" priority="4204">
      <formula>$K22&lt;&gt;""</formula>
    </cfRule>
  </conditionalFormatting>
  <conditionalFormatting sqref="C22">
    <cfRule type="expression" dxfId="3018" priority="4203">
      <formula>$G22&lt;&gt;"-"</formula>
    </cfRule>
  </conditionalFormatting>
  <conditionalFormatting sqref="D22">
    <cfRule type="expression" dxfId="3017" priority="4202">
      <formula>$H22&lt;&gt;"-"</formula>
    </cfRule>
  </conditionalFormatting>
  <conditionalFormatting sqref="E22">
    <cfRule type="expression" dxfId="3016" priority="4201">
      <formula>$I22&lt;&gt;"-"</formula>
    </cfRule>
  </conditionalFormatting>
  <conditionalFormatting sqref="N22">
    <cfRule type="expression" dxfId="3015" priority="4199">
      <formula>AND($G22="Yes", $S$6="Exclude")</formula>
    </cfRule>
    <cfRule type="expression" dxfId="3014" priority="4200">
      <formula>$J22="Yes"</formula>
    </cfRule>
  </conditionalFormatting>
  <conditionalFormatting sqref="B31">
    <cfRule type="expression" dxfId="3013" priority="4196">
      <formula>AD31&lt;&gt;""</formula>
    </cfRule>
  </conditionalFormatting>
  <conditionalFormatting sqref="Z31">
    <cfRule type="cellIs" dxfId="3012" priority="4194" operator="greaterThan">
      <formula>0</formula>
    </cfRule>
    <cfRule type="cellIs" dxfId="3011" priority="4195" operator="lessThan">
      <formula>0</formula>
    </cfRule>
  </conditionalFormatting>
  <conditionalFormatting sqref="S31">
    <cfRule type="cellIs" dxfId="3010" priority="4193" operator="lessThan">
      <formula>0</formula>
    </cfRule>
  </conditionalFormatting>
  <conditionalFormatting sqref="P31">
    <cfRule type="cellIs" dxfId="3009" priority="4191" operator="equal">
      <formula>AS_DURATION_EFFORT</formula>
    </cfRule>
    <cfRule type="cellIs" dxfId="3008" priority="4192" operator="equal">
      <formula>AS_DEV_EFFORT</formula>
    </cfRule>
  </conditionalFormatting>
  <conditionalFormatting sqref="L31:M31 O31:AC31">
    <cfRule type="expression" dxfId="3007" priority="4197">
      <formula>AND($G31="Yes", $S$6="Exclude")</formula>
    </cfRule>
    <cfRule type="expression" dxfId="3006" priority="4198">
      <formula>$J31="Yes"</formula>
    </cfRule>
  </conditionalFormatting>
  <conditionalFormatting sqref="F31">
    <cfRule type="expression" dxfId="3005" priority="4190">
      <formula>$K31&lt;&gt;""</formula>
    </cfRule>
  </conditionalFormatting>
  <conditionalFormatting sqref="C31">
    <cfRule type="expression" dxfId="3004" priority="4189">
      <formula>$G31&lt;&gt;"-"</formula>
    </cfRule>
  </conditionalFormatting>
  <conditionalFormatting sqref="D31">
    <cfRule type="expression" dxfId="3003" priority="4188">
      <formula>$H31&lt;&gt;"-"</formula>
    </cfRule>
  </conditionalFormatting>
  <conditionalFormatting sqref="E31">
    <cfRule type="expression" dxfId="3002" priority="4187">
      <formula>$I31&lt;&gt;"-"</formula>
    </cfRule>
  </conditionalFormatting>
  <conditionalFormatting sqref="B30">
    <cfRule type="expression" dxfId="3001" priority="4184">
      <formula>AD30&lt;&gt;""</formula>
    </cfRule>
  </conditionalFormatting>
  <conditionalFormatting sqref="Z30">
    <cfRule type="cellIs" dxfId="3000" priority="4182" operator="greaterThan">
      <formula>0</formula>
    </cfRule>
    <cfRule type="cellIs" dxfId="2999" priority="4183" operator="lessThan">
      <formula>0</formula>
    </cfRule>
  </conditionalFormatting>
  <conditionalFormatting sqref="S30">
    <cfRule type="cellIs" dxfId="2998" priority="4181" operator="lessThan">
      <formula>0</formula>
    </cfRule>
  </conditionalFormatting>
  <conditionalFormatting sqref="P30">
    <cfRule type="cellIs" dxfId="2997" priority="4179" operator="equal">
      <formula>AS_DURATION_EFFORT</formula>
    </cfRule>
    <cfRule type="cellIs" dxfId="2996" priority="4180" operator="equal">
      <formula>AS_DEV_EFFORT</formula>
    </cfRule>
  </conditionalFormatting>
  <conditionalFormatting sqref="L30:M30 P30:AC30">
    <cfRule type="expression" dxfId="2995" priority="4185">
      <formula>AND($G30="Yes", $S$6="Exclude")</formula>
    </cfRule>
    <cfRule type="expression" dxfId="2994" priority="4186">
      <formula>$J30="Yes"</formula>
    </cfRule>
  </conditionalFormatting>
  <conditionalFormatting sqref="F30">
    <cfRule type="expression" dxfId="2993" priority="4178">
      <formula>$K30&lt;&gt;""</formula>
    </cfRule>
  </conditionalFormatting>
  <conditionalFormatting sqref="C30">
    <cfRule type="expression" dxfId="2992" priority="4177">
      <formula>$G30&lt;&gt;"-"</formula>
    </cfRule>
  </conditionalFormatting>
  <conditionalFormatting sqref="D30">
    <cfRule type="expression" dxfId="2991" priority="4176">
      <formula>$H30&lt;&gt;"-"</formula>
    </cfRule>
  </conditionalFormatting>
  <conditionalFormatting sqref="E30">
    <cfRule type="expression" dxfId="2990" priority="4175">
      <formula>$I30&lt;&gt;"-"</formula>
    </cfRule>
  </conditionalFormatting>
  <conditionalFormatting sqref="B29">
    <cfRule type="expression" dxfId="2989" priority="4172">
      <formula>AD29&lt;&gt;""</formula>
    </cfRule>
  </conditionalFormatting>
  <conditionalFormatting sqref="Z29">
    <cfRule type="cellIs" dxfId="2988" priority="4170" operator="greaterThan">
      <formula>0</formula>
    </cfRule>
    <cfRule type="cellIs" dxfId="2987" priority="4171" operator="lessThan">
      <formula>0</formula>
    </cfRule>
  </conditionalFormatting>
  <conditionalFormatting sqref="S29">
    <cfRule type="cellIs" dxfId="2986" priority="4169" operator="lessThan">
      <formula>0</formula>
    </cfRule>
  </conditionalFormatting>
  <conditionalFormatting sqref="P29">
    <cfRule type="cellIs" dxfId="2985" priority="4167" operator="equal">
      <formula>AS_DURATION_EFFORT</formula>
    </cfRule>
    <cfRule type="cellIs" dxfId="2984" priority="4168" operator="equal">
      <formula>AS_DEV_EFFORT</formula>
    </cfRule>
  </conditionalFormatting>
  <conditionalFormatting sqref="L29:M29 P29:AC29">
    <cfRule type="expression" dxfId="2983" priority="4173">
      <formula>AND($G29="Yes", $S$6="Exclude")</formula>
    </cfRule>
    <cfRule type="expression" dxfId="2982" priority="4174">
      <formula>$J29="Yes"</formula>
    </cfRule>
  </conditionalFormatting>
  <conditionalFormatting sqref="F29">
    <cfRule type="expression" dxfId="2981" priority="4166">
      <formula>$K29&lt;&gt;""</formula>
    </cfRule>
  </conditionalFormatting>
  <conditionalFormatting sqref="C29">
    <cfRule type="expression" dxfId="2980" priority="4165">
      <formula>$G29&lt;&gt;"-"</formula>
    </cfRule>
  </conditionalFormatting>
  <conditionalFormatting sqref="D29">
    <cfRule type="expression" dxfId="2979" priority="4164">
      <formula>$H29&lt;&gt;"-"</formula>
    </cfRule>
  </conditionalFormatting>
  <conditionalFormatting sqref="E29">
    <cfRule type="expression" dxfId="2978" priority="4163">
      <formula>$I29&lt;&gt;"-"</formula>
    </cfRule>
  </conditionalFormatting>
  <conditionalFormatting sqref="N30:N31">
    <cfRule type="expression" dxfId="2977" priority="4161">
      <formula>AND($G30="Yes", $S$6="Exclude")</formula>
    </cfRule>
    <cfRule type="expression" dxfId="2976" priority="4162">
      <formula>$J30="Yes"</formula>
    </cfRule>
  </conditionalFormatting>
  <conditionalFormatting sqref="N28">
    <cfRule type="expression" dxfId="2975" priority="4159">
      <formula>AND($G28="Yes", $S$6="Exclude")</formula>
    </cfRule>
    <cfRule type="expression" dxfId="2974" priority="4160">
      <formula>$J28="Yes"</formula>
    </cfRule>
  </conditionalFormatting>
  <conditionalFormatting sqref="N29">
    <cfRule type="expression" dxfId="2973" priority="4157">
      <formula>AND($G29="Yes", $S$6="Exclude")</formula>
    </cfRule>
    <cfRule type="expression" dxfId="2972" priority="4158">
      <formula>$J29="Yes"</formula>
    </cfRule>
  </conditionalFormatting>
  <conditionalFormatting sqref="O30">
    <cfRule type="expression" dxfId="2971" priority="4155">
      <formula>AND($G30="Yes", $S$6="Exclude")</formula>
    </cfRule>
    <cfRule type="expression" dxfId="2970" priority="4156">
      <formula>$J30="Yes"</formula>
    </cfRule>
  </conditionalFormatting>
  <conditionalFormatting sqref="O29">
    <cfRule type="expression" dxfId="2969" priority="4153">
      <formula>AND($G29="Yes", $S$6="Exclude")</formula>
    </cfRule>
    <cfRule type="expression" dxfId="2968" priority="4154">
      <formula>$J29="Yes"</formula>
    </cfRule>
  </conditionalFormatting>
  <conditionalFormatting sqref="B39">
    <cfRule type="expression" dxfId="2967" priority="4150">
      <formula>AD39&lt;&gt;""</formula>
    </cfRule>
  </conditionalFormatting>
  <conditionalFormatting sqref="Z39">
    <cfRule type="cellIs" dxfId="2966" priority="4148" operator="greaterThan">
      <formula>0</formula>
    </cfRule>
    <cfRule type="cellIs" dxfId="2965" priority="4149" operator="lessThan">
      <formula>0</formula>
    </cfRule>
  </conditionalFormatting>
  <conditionalFormatting sqref="S39">
    <cfRule type="cellIs" dxfId="2964" priority="4147" operator="lessThan">
      <formula>0</formula>
    </cfRule>
  </conditionalFormatting>
  <conditionalFormatting sqref="P39">
    <cfRule type="cellIs" dxfId="2963" priority="4145" operator="equal">
      <formula>AS_DURATION_EFFORT</formula>
    </cfRule>
    <cfRule type="cellIs" dxfId="2962" priority="4146" operator="equal">
      <formula>AS_DEV_EFFORT</formula>
    </cfRule>
  </conditionalFormatting>
  <conditionalFormatting sqref="L39:M39 O39:AC39">
    <cfRule type="expression" dxfId="2961" priority="4151">
      <formula>AND($G39="Yes", $S$6="Exclude")</formula>
    </cfRule>
    <cfRule type="expression" dxfId="2960" priority="4152">
      <formula>$J39="Yes"</formula>
    </cfRule>
  </conditionalFormatting>
  <conditionalFormatting sqref="F39">
    <cfRule type="expression" dxfId="2959" priority="4144">
      <formula>$K39&lt;&gt;""</formula>
    </cfRule>
  </conditionalFormatting>
  <conditionalFormatting sqref="C39">
    <cfRule type="expression" dxfId="2958" priority="4143">
      <formula>$G39&lt;&gt;"-"</formula>
    </cfRule>
  </conditionalFormatting>
  <conditionalFormatting sqref="D39">
    <cfRule type="expression" dxfId="2957" priority="4142">
      <formula>$H39&lt;&gt;"-"</formula>
    </cfRule>
  </conditionalFormatting>
  <conditionalFormatting sqref="E39">
    <cfRule type="expression" dxfId="2956" priority="4141">
      <formula>$I39&lt;&gt;"-"</formula>
    </cfRule>
  </conditionalFormatting>
  <conditionalFormatting sqref="B38">
    <cfRule type="expression" dxfId="2955" priority="4138">
      <formula>AD38&lt;&gt;""</formula>
    </cfRule>
  </conditionalFormatting>
  <conditionalFormatting sqref="Z38">
    <cfRule type="cellIs" dxfId="2954" priority="4136" operator="greaterThan">
      <formula>0</formula>
    </cfRule>
    <cfRule type="cellIs" dxfId="2953" priority="4137" operator="lessThan">
      <formula>0</formula>
    </cfRule>
  </conditionalFormatting>
  <conditionalFormatting sqref="S38">
    <cfRule type="cellIs" dxfId="2952" priority="4135" operator="lessThan">
      <formula>0</formula>
    </cfRule>
  </conditionalFormatting>
  <conditionalFormatting sqref="P38">
    <cfRule type="cellIs" dxfId="2951" priority="4133" operator="equal">
      <formula>AS_DURATION_EFFORT</formula>
    </cfRule>
    <cfRule type="cellIs" dxfId="2950" priority="4134" operator="equal">
      <formula>AS_DEV_EFFORT</formula>
    </cfRule>
  </conditionalFormatting>
  <conditionalFormatting sqref="L38:M38 P38:AC38">
    <cfRule type="expression" dxfId="2949" priority="4139">
      <formula>AND($G38="Yes", $S$6="Exclude")</formula>
    </cfRule>
    <cfRule type="expression" dxfId="2948" priority="4140">
      <formula>$J38="Yes"</formula>
    </cfRule>
  </conditionalFormatting>
  <conditionalFormatting sqref="F38">
    <cfRule type="expression" dxfId="2947" priority="4132">
      <formula>$K38&lt;&gt;""</formula>
    </cfRule>
  </conditionalFormatting>
  <conditionalFormatting sqref="C38">
    <cfRule type="expression" dxfId="2946" priority="4131">
      <formula>$G38&lt;&gt;"-"</formula>
    </cfRule>
  </conditionalFormatting>
  <conditionalFormatting sqref="D38">
    <cfRule type="expression" dxfId="2945" priority="4130">
      <formula>$H38&lt;&gt;"-"</formula>
    </cfRule>
  </conditionalFormatting>
  <conditionalFormatting sqref="E38">
    <cfRule type="expression" dxfId="2944" priority="4129">
      <formula>$I38&lt;&gt;"-"</formula>
    </cfRule>
  </conditionalFormatting>
  <conditionalFormatting sqref="B37">
    <cfRule type="expression" dxfId="2943" priority="4126">
      <formula>AD37&lt;&gt;""</formula>
    </cfRule>
  </conditionalFormatting>
  <conditionalFormatting sqref="Z37">
    <cfRule type="cellIs" dxfId="2942" priority="4124" operator="greaterThan">
      <formula>0</formula>
    </cfRule>
    <cfRule type="cellIs" dxfId="2941" priority="4125" operator="lessThan">
      <formula>0</formula>
    </cfRule>
  </conditionalFormatting>
  <conditionalFormatting sqref="S37">
    <cfRule type="cellIs" dxfId="2940" priority="4123" operator="lessThan">
      <formula>0</formula>
    </cfRule>
  </conditionalFormatting>
  <conditionalFormatting sqref="P37">
    <cfRule type="cellIs" dxfId="2939" priority="4121" operator="equal">
      <formula>AS_DURATION_EFFORT</formula>
    </cfRule>
    <cfRule type="cellIs" dxfId="2938" priority="4122" operator="equal">
      <formula>AS_DEV_EFFORT</formula>
    </cfRule>
  </conditionalFormatting>
  <conditionalFormatting sqref="L37:M37 P37:AC37">
    <cfRule type="expression" dxfId="2937" priority="4127">
      <formula>AND($G37="Yes", $S$6="Exclude")</formula>
    </cfRule>
    <cfRule type="expression" dxfId="2936" priority="4128">
      <formula>$J37="Yes"</formula>
    </cfRule>
  </conditionalFormatting>
  <conditionalFormatting sqref="F37">
    <cfRule type="expression" dxfId="2935" priority="4120">
      <formula>$K37&lt;&gt;""</formula>
    </cfRule>
  </conditionalFormatting>
  <conditionalFormatting sqref="C37">
    <cfRule type="expression" dxfId="2934" priority="4119">
      <formula>$G37&lt;&gt;"-"</formula>
    </cfRule>
  </conditionalFormatting>
  <conditionalFormatting sqref="D37">
    <cfRule type="expression" dxfId="2933" priority="4118">
      <formula>$H37&lt;&gt;"-"</formula>
    </cfRule>
  </conditionalFormatting>
  <conditionalFormatting sqref="E37">
    <cfRule type="expression" dxfId="2932" priority="4117">
      <formula>$I37&lt;&gt;"-"</formula>
    </cfRule>
  </conditionalFormatting>
  <conditionalFormatting sqref="B36">
    <cfRule type="expression" dxfId="2931" priority="4114">
      <formula>AD36&lt;&gt;""</formula>
    </cfRule>
  </conditionalFormatting>
  <conditionalFormatting sqref="Z36">
    <cfRule type="cellIs" dxfId="2930" priority="4112" operator="greaterThan">
      <formula>0</formula>
    </cfRule>
    <cfRule type="cellIs" dxfId="2929" priority="4113" operator="lessThan">
      <formula>0</formula>
    </cfRule>
  </conditionalFormatting>
  <conditionalFormatting sqref="S36">
    <cfRule type="cellIs" dxfId="2928" priority="4111" operator="lessThan">
      <formula>0</formula>
    </cfRule>
  </conditionalFormatting>
  <conditionalFormatting sqref="P36">
    <cfRule type="cellIs" dxfId="2927" priority="4109" operator="equal">
      <formula>AS_DURATION_EFFORT</formula>
    </cfRule>
    <cfRule type="cellIs" dxfId="2926" priority="4110" operator="equal">
      <formula>AS_DEV_EFFORT</formula>
    </cfRule>
  </conditionalFormatting>
  <conditionalFormatting sqref="L36:M36 P36:AC36">
    <cfRule type="expression" dxfId="2925" priority="4115">
      <formula>AND($G36="Yes", $S$6="Exclude")</formula>
    </cfRule>
    <cfRule type="expression" dxfId="2924" priority="4116">
      <formula>$J36="Yes"</formula>
    </cfRule>
  </conditionalFormatting>
  <conditionalFormatting sqref="F36">
    <cfRule type="expression" dxfId="2923" priority="4108">
      <formula>$K36&lt;&gt;""</formula>
    </cfRule>
  </conditionalFormatting>
  <conditionalFormatting sqref="C36">
    <cfRule type="expression" dxfId="2922" priority="4107">
      <formula>$G36&lt;&gt;"-"</formula>
    </cfRule>
  </conditionalFormatting>
  <conditionalFormatting sqref="D36">
    <cfRule type="expression" dxfId="2921" priority="4106">
      <formula>$H36&lt;&gt;"-"</formula>
    </cfRule>
  </conditionalFormatting>
  <conditionalFormatting sqref="E36">
    <cfRule type="expression" dxfId="2920" priority="4105">
      <formula>$I36&lt;&gt;"-"</formula>
    </cfRule>
  </conditionalFormatting>
  <conditionalFormatting sqref="N35">
    <cfRule type="expression" dxfId="2919" priority="4103">
      <formula>AND($G35="Yes", $S$6="Exclude")</formula>
    </cfRule>
    <cfRule type="expression" dxfId="2918" priority="4104">
      <formula>$J35="Yes"</formula>
    </cfRule>
  </conditionalFormatting>
  <conditionalFormatting sqref="N38">
    <cfRule type="expression" dxfId="2917" priority="4101">
      <formula>AND($G38="Yes", $S$6="Exclude")</formula>
    </cfRule>
    <cfRule type="expression" dxfId="2916" priority="4102">
      <formula>$J38="Yes"</formula>
    </cfRule>
  </conditionalFormatting>
  <conditionalFormatting sqref="N37">
    <cfRule type="expression" dxfId="2915" priority="4099">
      <formula>AND($G37="Yes", $S$6="Exclude")</formula>
    </cfRule>
    <cfRule type="expression" dxfId="2914" priority="4100">
      <formula>$J37="Yes"</formula>
    </cfRule>
  </conditionalFormatting>
  <conditionalFormatting sqref="N36">
    <cfRule type="expression" dxfId="2913" priority="4097">
      <formula>AND($G36="Yes", $S$6="Exclude")</formula>
    </cfRule>
    <cfRule type="expression" dxfId="2912" priority="4098">
      <formula>$J36="Yes"</formula>
    </cfRule>
  </conditionalFormatting>
  <conditionalFormatting sqref="N39">
    <cfRule type="expression" dxfId="2911" priority="4095">
      <formula>AND($G39="Yes", $S$6="Exclude")</formula>
    </cfRule>
    <cfRule type="expression" dxfId="2910" priority="4096">
      <formula>$J39="Yes"</formula>
    </cfRule>
  </conditionalFormatting>
  <conditionalFormatting sqref="O36">
    <cfRule type="expression" dxfId="2909" priority="4093">
      <formula>AND($G36="Yes", $S$6="Exclude")</formula>
    </cfRule>
    <cfRule type="expression" dxfId="2908" priority="4094">
      <formula>$J36="Yes"</formula>
    </cfRule>
  </conditionalFormatting>
  <conditionalFormatting sqref="O37">
    <cfRule type="expression" dxfId="2907" priority="4091">
      <formula>AND($G37="Yes", $S$6="Exclude")</formula>
    </cfRule>
    <cfRule type="expression" dxfId="2906" priority="4092">
      <formula>$J37="Yes"</formula>
    </cfRule>
  </conditionalFormatting>
  <conditionalFormatting sqref="O38">
    <cfRule type="expression" dxfId="2905" priority="4089">
      <formula>AND($G38="Yes", $S$6="Exclude")</formula>
    </cfRule>
    <cfRule type="expression" dxfId="2904" priority="4090">
      <formula>$J38="Yes"</formula>
    </cfRule>
  </conditionalFormatting>
  <conditionalFormatting sqref="B45">
    <cfRule type="expression" dxfId="2903" priority="4086">
      <formula>AD45&lt;&gt;""</formula>
    </cfRule>
  </conditionalFormatting>
  <conditionalFormatting sqref="Z45">
    <cfRule type="cellIs" dxfId="2902" priority="4084" operator="greaterThan">
      <formula>0</formula>
    </cfRule>
    <cfRule type="cellIs" dxfId="2901" priority="4085" operator="lessThan">
      <formula>0</formula>
    </cfRule>
  </conditionalFormatting>
  <conditionalFormatting sqref="S45">
    <cfRule type="cellIs" dxfId="2900" priority="4083" operator="lessThan">
      <formula>0</formula>
    </cfRule>
  </conditionalFormatting>
  <conditionalFormatting sqref="P45">
    <cfRule type="cellIs" dxfId="2899" priority="4081" operator="equal">
      <formula>AS_DURATION_EFFORT</formula>
    </cfRule>
    <cfRule type="cellIs" dxfId="2898" priority="4082" operator="equal">
      <formula>AS_DEV_EFFORT</formula>
    </cfRule>
  </conditionalFormatting>
  <conditionalFormatting sqref="L45:M45 P45:AC45">
    <cfRule type="expression" dxfId="2897" priority="4087">
      <formula>AND($G45="Yes", $S$6="Exclude")</formula>
    </cfRule>
    <cfRule type="expression" dxfId="2896" priority="4088">
      <formula>$J45="Yes"</formula>
    </cfRule>
  </conditionalFormatting>
  <conditionalFormatting sqref="F45">
    <cfRule type="expression" dxfId="2895" priority="4080">
      <formula>$K45&lt;&gt;""</formula>
    </cfRule>
  </conditionalFormatting>
  <conditionalFormatting sqref="C45">
    <cfRule type="expression" dxfId="2894" priority="4079">
      <formula>$G45&lt;&gt;"-"</formula>
    </cfRule>
  </conditionalFormatting>
  <conditionalFormatting sqref="D45">
    <cfRule type="expression" dxfId="2893" priority="4078">
      <formula>$H45&lt;&gt;"-"</formula>
    </cfRule>
  </conditionalFormatting>
  <conditionalFormatting sqref="E45">
    <cfRule type="expression" dxfId="2892" priority="4077">
      <formula>$I45&lt;&gt;"-"</formula>
    </cfRule>
  </conditionalFormatting>
  <conditionalFormatting sqref="B44">
    <cfRule type="expression" dxfId="2891" priority="4074">
      <formula>AD44&lt;&gt;""</formula>
    </cfRule>
  </conditionalFormatting>
  <conditionalFormatting sqref="Z44">
    <cfRule type="cellIs" dxfId="2890" priority="4072" operator="greaterThan">
      <formula>0</formula>
    </cfRule>
    <cfRule type="cellIs" dxfId="2889" priority="4073" operator="lessThan">
      <formula>0</formula>
    </cfRule>
  </conditionalFormatting>
  <conditionalFormatting sqref="S44">
    <cfRule type="cellIs" dxfId="2888" priority="4071" operator="lessThan">
      <formula>0</formula>
    </cfRule>
  </conditionalFormatting>
  <conditionalFormatting sqref="P44">
    <cfRule type="cellIs" dxfId="2887" priority="4069" operator="equal">
      <formula>AS_DURATION_EFFORT</formula>
    </cfRule>
    <cfRule type="cellIs" dxfId="2886" priority="4070" operator="equal">
      <formula>AS_DEV_EFFORT</formula>
    </cfRule>
  </conditionalFormatting>
  <conditionalFormatting sqref="L44:M44 P44:AC44">
    <cfRule type="expression" dxfId="2885" priority="4075">
      <formula>AND($G44="Yes", $S$6="Exclude")</formula>
    </cfRule>
    <cfRule type="expression" dxfId="2884" priority="4076">
      <formula>$J44="Yes"</formula>
    </cfRule>
  </conditionalFormatting>
  <conditionalFormatting sqref="F44">
    <cfRule type="expression" dxfId="2883" priority="4068">
      <formula>$K44&lt;&gt;""</formula>
    </cfRule>
  </conditionalFormatting>
  <conditionalFormatting sqref="C44">
    <cfRule type="expression" dxfId="2882" priority="4067">
      <formula>$G44&lt;&gt;"-"</formula>
    </cfRule>
  </conditionalFormatting>
  <conditionalFormatting sqref="D44">
    <cfRule type="expression" dxfId="2881" priority="4066">
      <formula>$H44&lt;&gt;"-"</formula>
    </cfRule>
  </conditionalFormatting>
  <conditionalFormatting sqref="E44">
    <cfRule type="expression" dxfId="2880" priority="4065">
      <formula>$I44&lt;&gt;"-"</formula>
    </cfRule>
  </conditionalFormatting>
  <conditionalFormatting sqref="N43:O45">
    <cfRule type="expression" dxfId="2879" priority="4063">
      <formula>AND($G43="Yes", $S$6="Exclude")</formula>
    </cfRule>
    <cfRule type="expression" dxfId="2878" priority="4064">
      <formula>$J43="Yes"</formula>
    </cfRule>
  </conditionalFormatting>
  <conditionalFormatting sqref="P43">
    <cfRule type="cellIs" dxfId="2877" priority="4061" operator="equal">
      <formula>AS_DURATION_EFFORT</formula>
    </cfRule>
    <cfRule type="cellIs" dxfId="2876" priority="4062" operator="equal">
      <formula>AS_DEV_EFFORT</formula>
    </cfRule>
  </conditionalFormatting>
  <conditionalFormatting sqref="B54">
    <cfRule type="expression" dxfId="2875" priority="4058">
      <formula>AD54&lt;&gt;""</formula>
    </cfRule>
  </conditionalFormatting>
  <conditionalFormatting sqref="Z54">
    <cfRule type="cellIs" dxfId="2874" priority="4056" operator="greaterThan">
      <formula>0</formula>
    </cfRule>
    <cfRule type="cellIs" dxfId="2873" priority="4057" operator="lessThan">
      <formula>0</formula>
    </cfRule>
  </conditionalFormatting>
  <conditionalFormatting sqref="S54">
    <cfRule type="cellIs" dxfId="2872" priority="4055" operator="lessThan">
      <formula>0</formula>
    </cfRule>
  </conditionalFormatting>
  <conditionalFormatting sqref="P54">
    <cfRule type="cellIs" dxfId="2871" priority="4053" operator="equal">
      <formula>AS_DURATION_EFFORT</formula>
    </cfRule>
    <cfRule type="cellIs" dxfId="2870" priority="4054" operator="equal">
      <formula>AS_DEV_EFFORT</formula>
    </cfRule>
  </conditionalFormatting>
  <conditionalFormatting sqref="L54:M54 O54:AC54">
    <cfRule type="expression" dxfId="2869" priority="4059">
      <formula>AND($G54="Yes", $S$6="Exclude")</formula>
    </cfRule>
    <cfRule type="expression" dxfId="2868" priority="4060">
      <formula>$J54="Yes"</formula>
    </cfRule>
  </conditionalFormatting>
  <conditionalFormatting sqref="F54">
    <cfRule type="expression" dxfId="2867" priority="4052">
      <formula>$K54&lt;&gt;""</formula>
    </cfRule>
  </conditionalFormatting>
  <conditionalFormatting sqref="C54">
    <cfRule type="expression" dxfId="2866" priority="4051">
      <formula>$G54&lt;&gt;"-"</formula>
    </cfRule>
  </conditionalFormatting>
  <conditionalFormatting sqref="D54">
    <cfRule type="expression" dxfId="2865" priority="4050">
      <formula>$H54&lt;&gt;"-"</formula>
    </cfRule>
  </conditionalFormatting>
  <conditionalFormatting sqref="E54">
    <cfRule type="expression" dxfId="2864" priority="4049">
      <formula>$I54&lt;&gt;"-"</formula>
    </cfRule>
  </conditionalFormatting>
  <conditionalFormatting sqref="B53">
    <cfRule type="expression" dxfId="2863" priority="4046">
      <formula>AD53&lt;&gt;""</formula>
    </cfRule>
  </conditionalFormatting>
  <conditionalFormatting sqref="Z53">
    <cfRule type="cellIs" dxfId="2862" priority="4044" operator="greaterThan">
      <formula>0</formula>
    </cfRule>
    <cfRule type="cellIs" dxfId="2861" priority="4045" operator="lessThan">
      <formula>0</formula>
    </cfRule>
  </conditionalFormatting>
  <conditionalFormatting sqref="S53">
    <cfRule type="cellIs" dxfId="2860" priority="4043" operator="lessThan">
      <formula>0</formula>
    </cfRule>
  </conditionalFormatting>
  <conditionalFormatting sqref="P53">
    <cfRule type="cellIs" dxfId="2859" priority="4041" operator="equal">
      <formula>AS_DURATION_EFFORT</formula>
    </cfRule>
    <cfRule type="cellIs" dxfId="2858" priority="4042" operator="equal">
      <formula>AS_DEV_EFFORT</formula>
    </cfRule>
  </conditionalFormatting>
  <conditionalFormatting sqref="L53:M53 O53:AC53">
    <cfRule type="expression" dxfId="2857" priority="4047">
      <formula>AND($G53="Yes", $S$6="Exclude")</formula>
    </cfRule>
    <cfRule type="expression" dxfId="2856" priority="4048">
      <formula>$J53="Yes"</formula>
    </cfRule>
  </conditionalFormatting>
  <conditionalFormatting sqref="F53">
    <cfRule type="expression" dxfId="2855" priority="4040">
      <formula>$K53&lt;&gt;""</formula>
    </cfRule>
  </conditionalFormatting>
  <conditionalFormatting sqref="C53">
    <cfRule type="expression" dxfId="2854" priority="4039">
      <formula>$G53&lt;&gt;"-"</formula>
    </cfRule>
  </conditionalFormatting>
  <conditionalFormatting sqref="D53">
    <cfRule type="expression" dxfId="2853" priority="4038">
      <formula>$H53&lt;&gt;"-"</formula>
    </cfRule>
  </conditionalFormatting>
  <conditionalFormatting sqref="E53">
    <cfRule type="expression" dxfId="2852" priority="4037">
      <formula>$I53&lt;&gt;"-"</formula>
    </cfRule>
  </conditionalFormatting>
  <conditionalFormatting sqref="B52">
    <cfRule type="expression" dxfId="2851" priority="4034">
      <formula>AD52&lt;&gt;""</formula>
    </cfRule>
  </conditionalFormatting>
  <conditionalFormatting sqref="Z52">
    <cfRule type="cellIs" dxfId="2850" priority="4032" operator="greaterThan">
      <formula>0</formula>
    </cfRule>
    <cfRule type="cellIs" dxfId="2849" priority="4033" operator="lessThan">
      <formula>0</formula>
    </cfRule>
  </conditionalFormatting>
  <conditionalFormatting sqref="S52">
    <cfRule type="cellIs" dxfId="2848" priority="4031" operator="lessThan">
      <formula>0</formula>
    </cfRule>
  </conditionalFormatting>
  <conditionalFormatting sqref="P52">
    <cfRule type="cellIs" dxfId="2847" priority="4029" operator="equal">
      <formula>AS_DURATION_EFFORT</formula>
    </cfRule>
    <cfRule type="cellIs" dxfId="2846" priority="4030" operator="equal">
      <formula>AS_DEV_EFFORT</formula>
    </cfRule>
  </conditionalFormatting>
  <conditionalFormatting sqref="L52:M52 O52:AC52">
    <cfRule type="expression" dxfId="2845" priority="4035">
      <formula>AND($G52="Yes", $S$6="Exclude")</formula>
    </cfRule>
    <cfRule type="expression" dxfId="2844" priority="4036">
      <formula>$J52="Yes"</formula>
    </cfRule>
  </conditionalFormatting>
  <conditionalFormatting sqref="F52">
    <cfRule type="expression" dxfId="2843" priority="4028">
      <formula>$K52&lt;&gt;""</formula>
    </cfRule>
  </conditionalFormatting>
  <conditionalFormatting sqref="C52">
    <cfRule type="expression" dxfId="2842" priority="4027">
      <formula>$G52&lt;&gt;"-"</formula>
    </cfRule>
  </conditionalFormatting>
  <conditionalFormatting sqref="D52">
    <cfRule type="expression" dxfId="2841" priority="4026">
      <formula>$H52&lt;&gt;"-"</formula>
    </cfRule>
  </conditionalFormatting>
  <conditionalFormatting sqref="E52">
    <cfRule type="expression" dxfId="2840" priority="4025">
      <formula>$I52&lt;&gt;"-"</formula>
    </cfRule>
  </conditionalFormatting>
  <conditionalFormatting sqref="B51">
    <cfRule type="expression" dxfId="2839" priority="4022">
      <formula>AD51&lt;&gt;""</formula>
    </cfRule>
  </conditionalFormatting>
  <conditionalFormatting sqref="Z51">
    <cfRule type="cellIs" dxfId="2838" priority="4020" operator="greaterThan">
      <formula>0</formula>
    </cfRule>
    <cfRule type="cellIs" dxfId="2837" priority="4021" operator="lessThan">
      <formula>0</formula>
    </cfRule>
  </conditionalFormatting>
  <conditionalFormatting sqref="S51">
    <cfRule type="cellIs" dxfId="2836" priority="4019" operator="lessThan">
      <formula>0</formula>
    </cfRule>
  </conditionalFormatting>
  <conditionalFormatting sqref="P51">
    <cfRule type="cellIs" dxfId="2835" priority="4017" operator="equal">
      <formula>AS_DURATION_EFFORT</formula>
    </cfRule>
    <cfRule type="cellIs" dxfId="2834" priority="4018" operator="equal">
      <formula>AS_DEV_EFFORT</formula>
    </cfRule>
  </conditionalFormatting>
  <conditionalFormatting sqref="L51:M51 O51:AC51">
    <cfRule type="expression" dxfId="2833" priority="4023">
      <formula>AND($G51="Yes", $S$6="Exclude")</formula>
    </cfRule>
    <cfRule type="expression" dxfId="2832" priority="4024">
      <formula>$J51="Yes"</formula>
    </cfRule>
  </conditionalFormatting>
  <conditionalFormatting sqref="F51">
    <cfRule type="expression" dxfId="2831" priority="4016">
      <formula>$K51&lt;&gt;""</formula>
    </cfRule>
  </conditionalFormatting>
  <conditionalFormatting sqref="C51">
    <cfRule type="expression" dxfId="2830" priority="4015">
      <formula>$G51&lt;&gt;"-"</formula>
    </cfRule>
  </conditionalFormatting>
  <conditionalFormatting sqref="D51">
    <cfRule type="expression" dxfId="2829" priority="4014">
      <formula>$H51&lt;&gt;"-"</formula>
    </cfRule>
  </conditionalFormatting>
  <conditionalFormatting sqref="E51">
    <cfRule type="expression" dxfId="2828" priority="4013">
      <formula>$I51&lt;&gt;"-"</formula>
    </cfRule>
  </conditionalFormatting>
  <conditionalFormatting sqref="B50">
    <cfRule type="expression" dxfId="2827" priority="4010">
      <formula>AD50&lt;&gt;""</formula>
    </cfRule>
  </conditionalFormatting>
  <conditionalFormatting sqref="Z50">
    <cfRule type="cellIs" dxfId="2826" priority="4008" operator="greaterThan">
      <formula>0</formula>
    </cfRule>
    <cfRule type="cellIs" dxfId="2825" priority="4009" operator="lessThan">
      <formula>0</formula>
    </cfRule>
  </conditionalFormatting>
  <conditionalFormatting sqref="S50">
    <cfRule type="cellIs" dxfId="2824" priority="4007" operator="lessThan">
      <formula>0</formula>
    </cfRule>
  </conditionalFormatting>
  <conditionalFormatting sqref="P50">
    <cfRule type="cellIs" dxfId="2823" priority="4005" operator="equal">
      <formula>AS_DURATION_EFFORT</formula>
    </cfRule>
    <cfRule type="cellIs" dxfId="2822" priority="4006" operator="equal">
      <formula>AS_DEV_EFFORT</formula>
    </cfRule>
  </conditionalFormatting>
  <conditionalFormatting sqref="L50:M50 O50:AC50">
    <cfRule type="expression" dxfId="2821" priority="4011">
      <formula>AND($G50="Yes", $S$6="Exclude")</formula>
    </cfRule>
    <cfRule type="expression" dxfId="2820" priority="4012">
      <formula>$J50="Yes"</formula>
    </cfRule>
  </conditionalFormatting>
  <conditionalFormatting sqref="F50">
    <cfRule type="expression" dxfId="2819" priority="4004">
      <formula>$K50&lt;&gt;""</formula>
    </cfRule>
  </conditionalFormatting>
  <conditionalFormatting sqref="C50">
    <cfRule type="expression" dxfId="2818" priority="4003">
      <formula>$G50&lt;&gt;"-"</formula>
    </cfRule>
  </conditionalFormatting>
  <conditionalFormatting sqref="D50">
    <cfRule type="expression" dxfId="2817" priority="4002">
      <formula>$H50&lt;&gt;"-"</formula>
    </cfRule>
  </conditionalFormatting>
  <conditionalFormatting sqref="E50">
    <cfRule type="expression" dxfId="2816" priority="4001">
      <formula>$I50&lt;&gt;"-"</formula>
    </cfRule>
  </conditionalFormatting>
  <conditionalFormatting sqref="N49:N54">
    <cfRule type="expression" dxfId="2815" priority="3999">
      <formula>AND($G49="Yes", $S$6="Exclude")</formula>
    </cfRule>
    <cfRule type="expression" dxfId="2814" priority="4000">
      <formula>$J49="Yes"</formula>
    </cfRule>
  </conditionalFormatting>
  <conditionalFormatting sqref="B61">
    <cfRule type="expression" dxfId="2813" priority="3996">
      <formula>AD61&lt;&gt;""</formula>
    </cfRule>
  </conditionalFormatting>
  <conditionalFormatting sqref="Z61">
    <cfRule type="cellIs" dxfId="2812" priority="3994" operator="greaterThan">
      <formula>0</formula>
    </cfRule>
    <cfRule type="cellIs" dxfId="2811" priority="3995" operator="lessThan">
      <formula>0</formula>
    </cfRule>
  </conditionalFormatting>
  <conditionalFormatting sqref="S61">
    <cfRule type="cellIs" dxfId="2810" priority="3993" operator="lessThan">
      <formula>0</formula>
    </cfRule>
  </conditionalFormatting>
  <conditionalFormatting sqref="P61">
    <cfRule type="cellIs" dxfId="2809" priority="3991" operator="equal">
      <formula>AS_DURATION_EFFORT</formula>
    </cfRule>
    <cfRule type="cellIs" dxfId="2808" priority="3992" operator="equal">
      <formula>AS_DEV_EFFORT</formula>
    </cfRule>
  </conditionalFormatting>
  <conditionalFormatting sqref="F61">
    <cfRule type="expression" dxfId="2807" priority="3990">
      <formula>$K61&lt;&gt;""</formula>
    </cfRule>
  </conditionalFormatting>
  <conditionalFormatting sqref="C61">
    <cfRule type="expression" dxfId="2806" priority="3989">
      <formula>$G61&lt;&gt;"-"</formula>
    </cfRule>
  </conditionalFormatting>
  <conditionalFormatting sqref="D61">
    <cfRule type="expression" dxfId="2805" priority="3988">
      <formula>$H61&lt;&gt;"-"</formula>
    </cfRule>
  </conditionalFormatting>
  <conditionalFormatting sqref="E61">
    <cfRule type="expression" dxfId="2804" priority="3987">
      <formula>$I61&lt;&gt;"-"</formula>
    </cfRule>
  </conditionalFormatting>
  <conditionalFormatting sqref="B60">
    <cfRule type="expression" dxfId="2803" priority="3984">
      <formula>AD60&lt;&gt;""</formula>
    </cfRule>
  </conditionalFormatting>
  <conditionalFormatting sqref="Z60">
    <cfRule type="cellIs" dxfId="2802" priority="3982" operator="greaterThan">
      <formula>0</formula>
    </cfRule>
    <cfRule type="cellIs" dxfId="2801" priority="3983" operator="lessThan">
      <formula>0</formula>
    </cfRule>
  </conditionalFormatting>
  <conditionalFormatting sqref="S60">
    <cfRule type="cellIs" dxfId="2800" priority="3981" operator="lessThan">
      <formula>0</formula>
    </cfRule>
  </conditionalFormatting>
  <conditionalFormatting sqref="P60">
    <cfRule type="cellIs" dxfId="2799" priority="3979" operator="equal">
      <formula>AS_DURATION_EFFORT</formula>
    </cfRule>
    <cfRule type="cellIs" dxfId="2798" priority="3980" operator="equal">
      <formula>AS_DEV_EFFORT</formula>
    </cfRule>
  </conditionalFormatting>
  <conditionalFormatting sqref="F60">
    <cfRule type="expression" dxfId="2797" priority="3978">
      <formula>$K60&lt;&gt;""</formula>
    </cfRule>
  </conditionalFormatting>
  <conditionalFormatting sqref="C60">
    <cfRule type="expression" dxfId="2796" priority="3977">
      <formula>$G60&lt;&gt;"-"</formula>
    </cfRule>
  </conditionalFormatting>
  <conditionalFormatting sqref="D60">
    <cfRule type="expression" dxfId="2795" priority="3976">
      <formula>$H60&lt;&gt;"-"</formula>
    </cfRule>
  </conditionalFormatting>
  <conditionalFormatting sqref="E60">
    <cfRule type="expression" dxfId="2794" priority="3975">
      <formula>$I60&lt;&gt;"-"</formula>
    </cfRule>
  </conditionalFormatting>
  <conditionalFormatting sqref="B59">
    <cfRule type="expression" dxfId="2793" priority="3960">
      <formula>AD59&lt;&gt;""</formula>
    </cfRule>
  </conditionalFormatting>
  <conditionalFormatting sqref="Z59">
    <cfRule type="cellIs" dxfId="2792" priority="3958" operator="greaterThan">
      <formula>0</formula>
    </cfRule>
    <cfRule type="cellIs" dxfId="2791" priority="3959" operator="lessThan">
      <formula>0</formula>
    </cfRule>
  </conditionalFormatting>
  <conditionalFormatting sqref="S59">
    <cfRule type="cellIs" dxfId="2790" priority="3957" operator="lessThan">
      <formula>0</formula>
    </cfRule>
  </conditionalFormatting>
  <conditionalFormatting sqref="P59">
    <cfRule type="cellIs" dxfId="2789" priority="3955" operator="equal">
      <formula>AS_DURATION_EFFORT</formula>
    </cfRule>
    <cfRule type="cellIs" dxfId="2788" priority="3956" operator="equal">
      <formula>AS_DEV_EFFORT</formula>
    </cfRule>
  </conditionalFormatting>
  <conditionalFormatting sqref="L59:M59 P59:AC59">
    <cfRule type="expression" dxfId="2787" priority="3961">
      <formula>AND($G59="Yes", $S$6="Exclude")</formula>
    </cfRule>
    <cfRule type="expression" dxfId="2786" priority="3962">
      <formula>$J59="Yes"</formula>
    </cfRule>
  </conditionalFormatting>
  <conditionalFormatting sqref="F59">
    <cfRule type="expression" dxfId="2785" priority="3954">
      <formula>$K59&lt;&gt;""</formula>
    </cfRule>
  </conditionalFormatting>
  <conditionalFormatting sqref="C59">
    <cfRule type="expression" dxfId="2784" priority="3953">
      <formula>$G59&lt;&gt;"-"</formula>
    </cfRule>
  </conditionalFormatting>
  <conditionalFormatting sqref="D59">
    <cfRule type="expression" dxfId="2783" priority="3952">
      <formula>$H59&lt;&gt;"-"</formula>
    </cfRule>
  </conditionalFormatting>
  <conditionalFormatting sqref="E59">
    <cfRule type="expression" dxfId="2782" priority="3951">
      <formula>$I59&lt;&gt;"-"</formula>
    </cfRule>
  </conditionalFormatting>
  <conditionalFormatting sqref="B456">
    <cfRule type="expression" dxfId="2781" priority="3943">
      <formula>AD456&lt;&gt;""</formula>
    </cfRule>
  </conditionalFormatting>
  <conditionalFormatting sqref="Z456">
    <cfRule type="cellIs" dxfId="2780" priority="3941" operator="greaterThan">
      <formula>0</formula>
    </cfRule>
    <cfRule type="cellIs" dxfId="2779" priority="3942" operator="lessThan">
      <formula>0</formula>
    </cfRule>
  </conditionalFormatting>
  <conditionalFormatting sqref="S456">
    <cfRule type="cellIs" dxfId="2778" priority="3940" operator="lessThan">
      <formula>0</formula>
    </cfRule>
  </conditionalFormatting>
  <conditionalFormatting sqref="T454:T455">
    <cfRule type="expression" dxfId="2777" priority="3944">
      <formula>#REF!="Yes"</formula>
    </cfRule>
  </conditionalFormatting>
  <conditionalFormatting sqref="P456">
    <cfRule type="cellIs" dxfId="2776" priority="3938" operator="equal">
      <formula>AS_DURATION_EFFORT</formula>
    </cfRule>
    <cfRule type="cellIs" dxfId="2775" priority="3939" operator="equal">
      <formula>AS_DEV_EFFORT</formula>
    </cfRule>
  </conditionalFormatting>
  <conditionalFormatting sqref="B454:B455">
    <cfRule type="expression" dxfId="2774" priority="3937">
      <formula>AD454&lt;&gt;""</formula>
    </cfRule>
  </conditionalFormatting>
  <conditionalFormatting sqref="F456">
    <cfRule type="expression" dxfId="2773" priority="3936">
      <formula>$K456&lt;&gt;""</formula>
    </cfRule>
  </conditionalFormatting>
  <conditionalFormatting sqref="C456">
    <cfRule type="expression" dxfId="2772" priority="3935">
      <formula>$G456&lt;&gt;"-"</formula>
    </cfRule>
  </conditionalFormatting>
  <conditionalFormatting sqref="D456">
    <cfRule type="expression" dxfId="2771" priority="3934">
      <formula>$H456&lt;&gt;"-"</formula>
    </cfRule>
  </conditionalFormatting>
  <conditionalFormatting sqref="E456">
    <cfRule type="expression" dxfId="2770" priority="3933">
      <formula>$I456&lt;&gt;"-"</formula>
    </cfRule>
  </conditionalFormatting>
  <conditionalFormatting sqref="B457">
    <cfRule type="expression" dxfId="2769" priority="3928">
      <formula>AD457&lt;&gt;""</formula>
    </cfRule>
  </conditionalFormatting>
  <conditionalFormatting sqref="Z457">
    <cfRule type="cellIs" dxfId="2768" priority="3926" operator="greaterThan">
      <formula>0</formula>
    </cfRule>
    <cfRule type="cellIs" dxfId="2767" priority="3927" operator="lessThan">
      <formula>0</formula>
    </cfRule>
  </conditionalFormatting>
  <conditionalFormatting sqref="S457">
    <cfRule type="cellIs" dxfId="2766" priority="3925" operator="lessThan">
      <formula>0</formula>
    </cfRule>
  </conditionalFormatting>
  <conditionalFormatting sqref="P457">
    <cfRule type="cellIs" dxfId="2765" priority="3923" operator="equal">
      <formula>AS_DURATION_EFFORT</formula>
    </cfRule>
    <cfRule type="cellIs" dxfId="2764" priority="3924" operator="equal">
      <formula>AS_DEV_EFFORT</formula>
    </cfRule>
  </conditionalFormatting>
  <conditionalFormatting sqref="F457">
    <cfRule type="expression" dxfId="2763" priority="3922">
      <formula>$K457&lt;&gt;""</formula>
    </cfRule>
  </conditionalFormatting>
  <conditionalFormatting sqref="C457">
    <cfRule type="expression" dxfId="2762" priority="3921">
      <formula>$G457&lt;&gt;"-"</formula>
    </cfRule>
  </conditionalFormatting>
  <conditionalFormatting sqref="D457">
    <cfRule type="expression" dxfId="2761" priority="3920">
      <formula>$H457&lt;&gt;"-"</formula>
    </cfRule>
  </conditionalFormatting>
  <conditionalFormatting sqref="E457">
    <cfRule type="expression" dxfId="2760" priority="3919">
      <formula>$I457&lt;&gt;"-"</formula>
    </cfRule>
  </conditionalFormatting>
  <conditionalFormatting sqref="B472">
    <cfRule type="expression" dxfId="2759" priority="3517">
      <formula>AD472&lt;&gt;""</formula>
    </cfRule>
  </conditionalFormatting>
  <conditionalFormatting sqref="Z472">
    <cfRule type="cellIs" dxfId="2758" priority="3515" operator="greaterThan">
      <formula>0</formula>
    </cfRule>
    <cfRule type="cellIs" dxfId="2757" priority="3516" operator="lessThan">
      <formula>0</formula>
    </cfRule>
  </conditionalFormatting>
  <conditionalFormatting sqref="S472">
    <cfRule type="cellIs" dxfId="2756" priority="3514" operator="lessThan">
      <formula>0</formula>
    </cfRule>
  </conditionalFormatting>
  <conditionalFormatting sqref="T470:T471">
    <cfRule type="expression" dxfId="2755" priority="3518">
      <formula>#REF!="Yes"</formula>
    </cfRule>
  </conditionalFormatting>
  <conditionalFormatting sqref="P472">
    <cfRule type="cellIs" dxfId="2754" priority="3512" operator="equal">
      <formula>AS_DURATION_EFFORT</formula>
    </cfRule>
    <cfRule type="cellIs" dxfId="2753" priority="3513" operator="equal">
      <formula>AS_DEV_EFFORT</formula>
    </cfRule>
  </conditionalFormatting>
  <conditionalFormatting sqref="B470:B471">
    <cfRule type="expression" dxfId="2752" priority="3511">
      <formula>AD470&lt;&gt;""</formula>
    </cfRule>
  </conditionalFormatting>
  <conditionalFormatting sqref="F472">
    <cfRule type="expression" dxfId="2751" priority="3510">
      <formula>$K472&lt;&gt;""</formula>
    </cfRule>
  </conditionalFormatting>
  <conditionalFormatting sqref="C472">
    <cfRule type="expression" dxfId="2750" priority="3509">
      <formula>$G472&lt;&gt;"-"</formula>
    </cfRule>
  </conditionalFormatting>
  <conditionalFormatting sqref="D472">
    <cfRule type="expression" dxfId="2749" priority="3508">
      <formula>$H472&lt;&gt;"-"</formula>
    </cfRule>
  </conditionalFormatting>
  <conditionalFormatting sqref="E472">
    <cfRule type="expression" dxfId="2748" priority="3507">
      <formula>$I472&lt;&gt;"-"</formula>
    </cfRule>
  </conditionalFormatting>
  <conditionalFormatting sqref="B473">
    <cfRule type="expression" dxfId="2747" priority="3506">
      <formula>AD473&lt;&gt;""</formula>
    </cfRule>
  </conditionalFormatting>
  <conditionalFormatting sqref="Z473">
    <cfRule type="cellIs" dxfId="2746" priority="3504" operator="greaterThan">
      <formula>0</formula>
    </cfRule>
    <cfRule type="cellIs" dxfId="2745" priority="3505" operator="lessThan">
      <formula>0</formula>
    </cfRule>
  </conditionalFormatting>
  <conditionalFormatting sqref="S473">
    <cfRule type="cellIs" dxfId="2744" priority="3503" operator="lessThan">
      <formula>0</formula>
    </cfRule>
  </conditionalFormatting>
  <conditionalFormatting sqref="P473">
    <cfRule type="cellIs" dxfId="2743" priority="3501" operator="equal">
      <formula>AS_DURATION_EFFORT</formula>
    </cfRule>
    <cfRule type="cellIs" dxfId="2742" priority="3502" operator="equal">
      <formula>AS_DEV_EFFORT</formula>
    </cfRule>
  </conditionalFormatting>
  <conditionalFormatting sqref="F473">
    <cfRule type="expression" dxfId="2741" priority="3500">
      <formula>$K473&lt;&gt;""</formula>
    </cfRule>
  </conditionalFormatting>
  <conditionalFormatting sqref="C473">
    <cfRule type="expression" dxfId="2740" priority="3499">
      <formula>$G473&lt;&gt;"-"</formula>
    </cfRule>
  </conditionalFormatting>
  <conditionalFormatting sqref="D473">
    <cfRule type="expression" dxfId="2739" priority="3498">
      <formula>$H473&lt;&gt;"-"</formula>
    </cfRule>
  </conditionalFormatting>
  <conditionalFormatting sqref="E473">
    <cfRule type="expression" dxfId="2738" priority="3497">
      <formula>$I473&lt;&gt;"-"</formula>
    </cfRule>
  </conditionalFormatting>
  <conditionalFormatting sqref="B474">
    <cfRule type="expression" dxfId="2737" priority="3496">
      <formula>AD474&lt;&gt;""</formula>
    </cfRule>
  </conditionalFormatting>
  <conditionalFormatting sqref="Z474">
    <cfRule type="cellIs" dxfId="2736" priority="3494" operator="greaterThan">
      <formula>0</formula>
    </cfRule>
    <cfRule type="cellIs" dxfId="2735" priority="3495" operator="lessThan">
      <formula>0</formula>
    </cfRule>
  </conditionalFormatting>
  <conditionalFormatting sqref="S474">
    <cfRule type="cellIs" dxfId="2734" priority="3493" operator="lessThan">
      <formula>0</formula>
    </cfRule>
  </conditionalFormatting>
  <conditionalFormatting sqref="P474">
    <cfRule type="cellIs" dxfId="2733" priority="3491" operator="equal">
      <formula>AS_DURATION_EFFORT</formula>
    </cfRule>
    <cfRule type="cellIs" dxfId="2732" priority="3492" operator="equal">
      <formula>AS_DEV_EFFORT</formula>
    </cfRule>
  </conditionalFormatting>
  <conditionalFormatting sqref="F474">
    <cfRule type="expression" dxfId="2731" priority="3490">
      <formula>$K474&lt;&gt;""</formula>
    </cfRule>
  </conditionalFormatting>
  <conditionalFormatting sqref="C474">
    <cfRule type="expression" dxfId="2730" priority="3489">
      <formula>$G474&lt;&gt;"-"</formula>
    </cfRule>
  </conditionalFormatting>
  <conditionalFormatting sqref="D474">
    <cfRule type="expression" dxfId="2729" priority="3488">
      <formula>$H474&lt;&gt;"-"</formula>
    </cfRule>
  </conditionalFormatting>
  <conditionalFormatting sqref="E474">
    <cfRule type="expression" dxfId="2728" priority="3487">
      <formula>$I474&lt;&gt;"-"</formula>
    </cfRule>
  </conditionalFormatting>
  <conditionalFormatting sqref="B475">
    <cfRule type="expression" dxfId="2727" priority="3486">
      <formula>AD475&lt;&gt;""</formula>
    </cfRule>
  </conditionalFormatting>
  <conditionalFormatting sqref="Z475">
    <cfRule type="cellIs" dxfId="2726" priority="3484" operator="greaterThan">
      <formula>0</formula>
    </cfRule>
    <cfRule type="cellIs" dxfId="2725" priority="3485" operator="lessThan">
      <formula>0</formula>
    </cfRule>
  </conditionalFormatting>
  <conditionalFormatting sqref="S475">
    <cfRule type="cellIs" dxfId="2724" priority="3483" operator="lessThan">
      <formula>0</formula>
    </cfRule>
  </conditionalFormatting>
  <conditionalFormatting sqref="P475">
    <cfRule type="cellIs" dxfId="2723" priority="3481" operator="equal">
      <formula>AS_DURATION_EFFORT</formula>
    </cfRule>
    <cfRule type="cellIs" dxfId="2722" priority="3482" operator="equal">
      <formula>AS_DEV_EFFORT</formula>
    </cfRule>
  </conditionalFormatting>
  <conditionalFormatting sqref="F475">
    <cfRule type="expression" dxfId="2721" priority="3480">
      <formula>$K475&lt;&gt;""</formula>
    </cfRule>
  </conditionalFormatting>
  <conditionalFormatting sqref="C475">
    <cfRule type="expression" dxfId="2720" priority="3479">
      <formula>$G475&lt;&gt;"-"</formula>
    </cfRule>
  </conditionalFormatting>
  <conditionalFormatting sqref="D475">
    <cfRule type="expression" dxfId="2719" priority="3478">
      <formula>$H475&lt;&gt;"-"</formula>
    </cfRule>
  </conditionalFormatting>
  <conditionalFormatting sqref="E475">
    <cfRule type="expression" dxfId="2718" priority="3477">
      <formula>$I475&lt;&gt;"-"</formula>
    </cfRule>
  </conditionalFormatting>
  <conditionalFormatting sqref="B466">
    <cfRule type="expression" dxfId="2717" priority="3473">
      <formula>AD466&lt;&gt;""</formula>
    </cfRule>
  </conditionalFormatting>
  <conditionalFormatting sqref="Z466">
    <cfRule type="cellIs" dxfId="2716" priority="3471" operator="greaterThan">
      <formula>0</formula>
    </cfRule>
    <cfRule type="cellIs" dxfId="2715" priority="3472" operator="lessThan">
      <formula>0</formula>
    </cfRule>
  </conditionalFormatting>
  <conditionalFormatting sqref="S466">
    <cfRule type="cellIs" dxfId="2714" priority="3470" operator="lessThan">
      <formula>0</formula>
    </cfRule>
  </conditionalFormatting>
  <conditionalFormatting sqref="T464:T465">
    <cfRule type="expression" dxfId="2713" priority="3474">
      <formula>#REF!="Yes"</formula>
    </cfRule>
  </conditionalFormatting>
  <conditionalFormatting sqref="P466">
    <cfRule type="cellIs" dxfId="2712" priority="3468" operator="equal">
      <formula>AS_DURATION_EFFORT</formula>
    </cfRule>
    <cfRule type="cellIs" dxfId="2711" priority="3469" operator="equal">
      <formula>AS_DEV_EFFORT</formula>
    </cfRule>
  </conditionalFormatting>
  <conditionalFormatting sqref="B464:B465">
    <cfRule type="expression" dxfId="2710" priority="3467">
      <formula>AD464&lt;&gt;""</formula>
    </cfRule>
  </conditionalFormatting>
  <conditionalFormatting sqref="F466">
    <cfRule type="expression" dxfId="2709" priority="3466">
      <formula>$K466&lt;&gt;""</formula>
    </cfRule>
  </conditionalFormatting>
  <conditionalFormatting sqref="C466">
    <cfRule type="expression" dxfId="2708" priority="3465">
      <formula>$G466&lt;&gt;"-"</formula>
    </cfRule>
  </conditionalFormatting>
  <conditionalFormatting sqref="D466">
    <cfRule type="expression" dxfId="2707" priority="3464">
      <formula>$H466&lt;&gt;"-"</formula>
    </cfRule>
  </conditionalFormatting>
  <conditionalFormatting sqref="E466">
    <cfRule type="expression" dxfId="2706" priority="3463">
      <formula>$I466&lt;&gt;"-"</formula>
    </cfRule>
  </conditionalFormatting>
  <conditionalFormatting sqref="B467">
    <cfRule type="expression" dxfId="2705" priority="3458">
      <formula>AD467&lt;&gt;""</formula>
    </cfRule>
  </conditionalFormatting>
  <conditionalFormatting sqref="Z467">
    <cfRule type="cellIs" dxfId="2704" priority="3456" operator="greaterThan">
      <formula>0</formula>
    </cfRule>
    <cfRule type="cellIs" dxfId="2703" priority="3457" operator="lessThan">
      <formula>0</formula>
    </cfRule>
  </conditionalFormatting>
  <conditionalFormatting sqref="S467">
    <cfRule type="cellIs" dxfId="2702" priority="3455" operator="lessThan">
      <formula>0</formula>
    </cfRule>
  </conditionalFormatting>
  <conditionalFormatting sqref="F467">
    <cfRule type="expression" dxfId="2701" priority="3452">
      <formula>$K467&lt;&gt;""</formula>
    </cfRule>
  </conditionalFormatting>
  <conditionalFormatting sqref="C467">
    <cfRule type="expression" dxfId="2700" priority="3451">
      <formula>$G467&lt;&gt;"-"</formula>
    </cfRule>
  </conditionalFormatting>
  <conditionalFormatting sqref="D467">
    <cfRule type="expression" dxfId="2699" priority="3450">
      <formula>$H467&lt;&gt;"-"</formula>
    </cfRule>
  </conditionalFormatting>
  <conditionalFormatting sqref="E467">
    <cfRule type="expression" dxfId="2698" priority="3449">
      <formula>$I467&lt;&gt;"-"</formula>
    </cfRule>
  </conditionalFormatting>
  <conditionalFormatting sqref="P467">
    <cfRule type="cellIs" dxfId="2697" priority="3443" operator="equal">
      <formula>AS_DURATION_EFFORT</formula>
    </cfRule>
    <cfRule type="cellIs" dxfId="2696" priority="3444" operator="equal">
      <formula>AS_DEV_EFFORT</formula>
    </cfRule>
  </conditionalFormatting>
  <conditionalFormatting sqref="P480">
    <cfRule type="cellIs" dxfId="2695" priority="3437" operator="equal">
      <formula>AS_DURATION_EFFORT</formula>
    </cfRule>
    <cfRule type="cellIs" dxfId="2694" priority="3438" operator="equal">
      <formula>AS_DEV_EFFORT</formula>
    </cfRule>
  </conditionalFormatting>
  <conditionalFormatting sqref="B493">
    <cfRule type="expression" dxfId="2693" priority="3432">
      <formula>AD493&lt;&gt;""</formula>
    </cfRule>
  </conditionalFormatting>
  <conditionalFormatting sqref="Z493">
    <cfRule type="cellIs" dxfId="2692" priority="3430" operator="greaterThan">
      <formula>0</formula>
    </cfRule>
    <cfRule type="cellIs" dxfId="2691" priority="3431" operator="lessThan">
      <formula>0</formula>
    </cfRule>
  </conditionalFormatting>
  <conditionalFormatting sqref="S493">
    <cfRule type="cellIs" dxfId="2690" priority="3429" operator="lessThan">
      <formula>0</formula>
    </cfRule>
  </conditionalFormatting>
  <conditionalFormatting sqref="P493">
    <cfRule type="cellIs" dxfId="2689" priority="3427" operator="equal">
      <formula>AS_DURATION_EFFORT</formula>
    </cfRule>
    <cfRule type="cellIs" dxfId="2688" priority="3428" operator="equal">
      <formula>AS_DEV_EFFORT</formula>
    </cfRule>
  </conditionalFormatting>
  <conditionalFormatting sqref="F493">
    <cfRule type="expression" dxfId="2687" priority="3426">
      <formula>$K493&lt;&gt;""</formula>
    </cfRule>
  </conditionalFormatting>
  <conditionalFormatting sqref="C493">
    <cfRule type="expression" dxfId="2686" priority="3425">
      <formula>$G493&lt;&gt;"-"</formula>
    </cfRule>
  </conditionalFormatting>
  <conditionalFormatting sqref="D493">
    <cfRule type="expression" dxfId="2685" priority="3424">
      <formula>$H493&lt;&gt;"-"</formula>
    </cfRule>
  </conditionalFormatting>
  <conditionalFormatting sqref="E493">
    <cfRule type="expression" dxfId="2684" priority="3423">
      <formula>$I493&lt;&gt;"-"</formula>
    </cfRule>
  </conditionalFormatting>
  <conditionalFormatting sqref="B494">
    <cfRule type="expression" dxfId="2683" priority="3420">
      <formula>AD494&lt;&gt;""</formula>
    </cfRule>
  </conditionalFormatting>
  <conditionalFormatting sqref="Z494">
    <cfRule type="cellIs" dxfId="2682" priority="3418" operator="greaterThan">
      <formula>0</formula>
    </cfRule>
    <cfRule type="cellIs" dxfId="2681" priority="3419" operator="lessThan">
      <formula>0</formula>
    </cfRule>
  </conditionalFormatting>
  <conditionalFormatting sqref="S494">
    <cfRule type="cellIs" dxfId="2680" priority="3417" operator="lessThan">
      <formula>0</formula>
    </cfRule>
  </conditionalFormatting>
  <conditionalFormatting sqref="P494">
    <cfRule type="cellIs" dxfId="2679" priority="3415" operator="equal">
      <formula>AS_DURATION_EFFORT</formula>
    </cfRule>
    <cfRule type="cellIs" dxfId="2678" priority="3416" operator="equal">
      <formula>AS_DEV_EFFORT</formula>
    </cfRule>
  </conditionalFormatting>
  <conditionalFormatting sqref="F494">
    <cfRule type="expression" dxfId="2677" priority="3414">
      <formula>$K494&lt;&gt;""</formula>
    </cfRule>
  </conditionalFormatting>
  <conditionalFormatting sqref="C494">
    <cfRule type="expression" dxfId="2676" priority="3413">
      <formula>$G494&lt;&gt;"-"</formula>
    </cfRule>
  </conditionalFormatting>
  <conditionalFormatting sqref="D494">
    <cfRule type="expression" dxfId="2675" priority="3412">
      <formula>$H494&lt;&gt;"-"</formula>
    </cfRule>
  </conditionalFormatting>
  <conditionalFormatting sqref="E494">
    <cfRule type="expression" dxfId="2674" priority="3411">
      <formula>$I494&lt;&gt;"-"</formula>
    </cfRule>
  </conditionalFormatting>
  <conditionalFormatting sqref="B375">
    <cfRule type="expression" dxfId="2673" priority="3387">
      <formula>AD375&lt;&gt;""</formula>
    </cfRule>
  </conditionalFormatting>
  <conditionalFormatting sqref="Z375">
    <cfRule type="cellIs" dxfId="2672" priority="3385" operator="greaterThan">
      <formula>0</formula>
    </cfRule>
    <cfRule type="cellIs" dxfId="2671" priority="3386" operator="lessThan">
      <formula>0</formula>
    </cfRule>
  </conditionalFormatting>
  <conditionalFormatting sqref="S375">
    <cfRule type="cellIs" dxfId="2670" priority="3384" operator="lessThan">
      <formula>0</formula>
    </cfRule>
  </conditionalFormatting>
  <conditionalFormatting sqref="T371:T372">
    <cfRule type="expression" dxfId="2669" priority="3388">
      <formula>#REF!="Yes"</formula>
    </cfRule>
  </conditionalFormatting>
  <conditionalFormatting sqref="P375">
    <cfRule type="cellIs" dxfId="2668" priority="3382" operator="equal">
      <formula>AS_DURATION_EFFORT</formula>
    </cfRule>
    <cfRule type="cellIs" dxfId="2667" priority="3383" operator="equal">
      <formula>AS_DEV_EFFORT</formula>
    </cfRule>
  </conditionalFormatting>
  <conditionalFormatting sqref="B371:B372">
    <cfRule type="expression" dxfId="2666" priority="3381">
      <formula>AD371&lt;&gt;""</formula>
    </cfRule>
  </conditionalFormatting>
  <conditionalFormatting sqref="F375">
    <cfRule type="expression" dxfId="2665" priority="3380">
      <formula>$K375&lt;&gt;""</formula>
    </cfRule>
  </conditionalFormatting>
  <conditionalFormatting sqref="C375">
    <cfRule type="expression" dxfId="2664" priority="3379">
      <formula>$G375&lt;&gt;"-"</formula>
    </cfRule>
  </conditionalFormatting>
  <conditionalFormatting sqref="D375">
    <cfRule type="expression" dxfId="2663" priority="3378">
      <formula>$H375&lt;&gt;"-"</formula>
    </cfRule>
  </conditionalFormatting>
  <conditionalFormatting sqref="E375">
    <cfRule type="expression" dxfId="2662" priority="3377">
      <formula>$I375&lt;&gt;"-"</formula>
    </cfRule>
  </conditionalFormatting>
  <conditionalFormatting sqref="B376">
    <cfRule type="expression" dxfId="2661" priority="3342">
      <formula>AD376&lt;&gt;""</formula>
    </cfRule>
  </conditionalFormatting>
  <conditionalFormatting sqref="Z376">
    <cfRule type="cellIs" dxfId="2660" priority="3340" operator="greaterThan">
      <formula>0</formula>
    </cfRule>
    <cfRule type="cellIs" dxfId="2659" priority="3341" operator="lessThan">
      <formula>0</formula>
    </cfRule>
  </conditionalFormatting>
  <conditionalFormatting sqref="S376">
    <cfRule type="cellIs" dxfId="2658" priority="3339" operator="lessThan">
      <formula>0</formula>
    </cfRule>
  </conditionalFormatting>
  <conditionalFormatting sqref="P376">
    <cfRule type="cellIs" dxfId="2657" priority="3337" operator="equal">
      <formula>AS_DURATION_EFFORT</formula>
    </cfRule>
    <cfRule type="cellIs" dxfId="2656" priority="3338" operator="equal">
      <formula>AS_DEV_EFFORT</formula>
    </cfRule>
  </conditionalFormatting>
  <conditionalFormatting sqref="F376">
    <cfRule type="expression" dxfId="2655" priority="3336">
      <formula>$K376&lt;&gt;""</formula>
    </cfRule>
  </conditionalFormatting>
  <conditionalFormatting sqref="C376">
    <cfRule type="expression" dxfId="2654" priority="3335">
      <formula>$G376&lt;&gt;"-"</formula>
    </cfRule>
  </conditionalFormatting>
  <conditionalFormatting sqref="D376">
    <cfRule type="expression" dxfId="2653" priority="3334">
      <formula>$H376&lt;&gt;"-"</formula>
    </cfRule>
  </conditionalFormatting>
  <conditionalFormatting sqref="E376">
    <cfRule type="expression" dxfId="2652" priority="3333">
      <formula>$I376&lt;&gt;"-"</formula>
    </cfRule>
  </conditionalFormatting>
  <conditionalFormatting sqref="B383">
    <cfRule type="expression" dxfId="2651" priority="3319">
      <formula>AD383&lt;&gt;""</formula>
    </cfRule>
  </conditionalFormatting>
  <conditionalFormatting sqref="Z383">
    <cfRule type="cellIs" dxfId="2650" priority="3317" operator="greaterThan">
      <formula>0</formula>
    </cfRule>
    <cfRule type="cellIs" dxfId="2649" priority="3318" operator="lessThan">
      <formula>0</formula>
    </cfRule>
  </conditionalFormatting>
  <conditionalFormatting sqref="S383">
    <cfRule type="cellIs" dxfId="2648" priority="3316" operator="lessThan">
      <formula>0</formula>
    </cfRule>
  </conditionalFormatting>
  <conditionalFormatting sqref="T381:T382">
    <cfRule type="expression" dxfId="2647" priority="3320">
      <formula>#REF!="Yes"</formula>
    </cfRule>
  </conditionalFormatting>
  <conditionalFormatting sqref="P383">
    <cfRule type="cellIs" dxfId="2646" priority="3314" operator="equal">
      <formula>AS_DURATION_EFFORT</formula>
    </cfRule>
    <cfRule type="cellIs" dxfId="2645" priority="3315" operator="equal">
      <formula>AS_DEV_EFFORT</formula>
    </cfRule>
  </conditionalFormatting>
  <conditionalFormatting sqref="B381:B382">
    <cfRule type="expression" dxfId="2644" priority="3313">
      <formula>AD381&lt;&gt;""</formula>
    </cfRule>
  </conditionalFormatting>
  <conditionalFormatting sqref="F383">
    <cfRule type="expression" dxfId="2643" priority="3312">
      <formula>$K383&lt;&gt;""</formula>
    </cfRule>
  </conditionalFormatting>
  <conditionalFormatting sqref="C383">
    <cfRule type="expression" dxfId="2642" priority="3311">
      <formula>$G383&lt;&gt;"-"</formula>
    </cfRule>
  </conditionalFormatting>
  <conditionalFormatting sqref="D383">
    <cfRule type="expression" dxfId="2641" priority="3310">
      <formula>$H383&lt;&gt;"-"</formula>
    </cfRule>
  </conditionalFormatting>
  <conditionalFormatting sqref="E383">
    <cfRule type="expression" dxfId="2640" priority="3309">
      <formula>$I383&lt;&gt;"-"</formula>
    </cfRule>
  </conditionalFormatting>
  <conditionalFormatting sqref="B384">
    <cfRule type="expression" dxfId="2639" priority="3306">
      <formula>AD384&lt;&gt;""</formula>
    </cfRule>
  </conditionalFormatting>
  <conditionalFormatting sqref="Z384">
    <cfRule type="cellIs" dxfId="2638" priority="3304" operator="greaterThan">
      <formula>0</formula>
    </cfRule>
    <cfRule type="cellIs" dxfId="2637" priority="3305" operator="lessThan">
      <formula>0</formula>
    </cfRule>
  </conditionalFormatting>
  <conditionalFormatting sqref="S384">
    <cfRule type="cellIs" dxfId="2636" priority="3303" operator="lessThan">
      <formula>0</formula>
    </cfRule>
  </conditionalFormatting>
  <conditionalFormatting sqref="P384">
    <cfRule type="cellIs" dxfId="2635" priority="3301" operator="equal">
      <formula>AS_DURATION_EFFORT</formula>
    </cfRule>
    <cfRule type="cellIs" dxfId="2634" priority="3302" operator="equal">
      <formula>AS_DEV_EFFORT</formula>
    </cfRule>
  </conditionalFormatting>
  <conditionalFormatting sqref="F384">
    <cfRule type="expression" dxfId="2633" priority="3300">
      <formula>$K384&lt;&gt;""</formula>
    </cfRule>
  </conditionalFormatting>
  <conditionalFormatting sqref="C384">
    <cfRule type="expression" dxfId="2632" priority="3299">
      <formula>$G384&lt;&gt;"-"</formula>
    </cfRule>
  </conditionalFormatting>
  <conditionalFormatting sqref="D384">
    <cfRule type="expression" dxfId="2631" priority="3298">
      <formula>$H384&lt;&gt;"-"</formula>
    </cfRule>
  </conditionalFormatting>
  <conditionalFormatting sqref="E384">
    <cfRule type="expression" dxfId="2630" priority="3297">
      <formula>$I384&lt;&gt;"-"</formula>
    </cfRule>
  </conditionalFormatting>
  <conditionalFormatting sqref="B373">
    <cfRule type="expression" dxfId="2629" priority="3176">
      <formula>AD373&lt;&gt;""</formula>
    </cfRule>
  </conditionalFormatting>
  <conditionalFormatting sqref="Z373">
    <cfRule type="cellIs" dxfId="2628" priority="3174" operator="greaterThan">
      <formula>0</formula>
    </cfRule>
    <cfRule type="cellIs" dxfId="2627" priority="3175" operator="lessThan">
      <formula>0</formula>
    </cfRule>
  </conditionalFormatting>
  <conditionalFormatting sqref="S373">
    <cfRule type="cellIs" dxfId="2626" priority="3173" operator="lessThan">
      <formula>0</formula>
    </cfRule>
  </conditionalFormatting>
  <conditionalFormatting sqref="P373">
    <cfRule type="cellIs" dxfId="2625" priority="3171" operator="equal">
      <formula>AS_DURATION_EFFORT</formula>
    </cfRule>
    <cfRule type="cellIs" dxfId="2624" priority="3172" operator="equal">
      <formula>AS_DEV_EFFORT</formula>
    </cfRule>
  </conditionalFormatting>
  <conditionalFormatting sqref="F373">
    <cfRule type="expression" dxfId="2623" priority="3170">
      <formula>$K373&lt;&gt;""</formula>
    </cfRule>
  </conditionalFormatting>
  <conditionalFormatting sqref="C373">
    <cfRule type="expression" dxfId="2622" priority="3169">
      <formula>$G373&lt;&gt;"-"</formula>
    </cfRule>
  </conditionalFormatting>
  <conditionalFormatting sqref="D373">
    <cfRule type="expression" dxfId="2621" priority="3168">
      <formula>$H373&lt;&gt;"-"</formula>
    </cfRule>
  </conditionalFormatting>
  <conditionalFormatting sqref="E373">
    <cfRule type="expression" dxfId="2620" priority="3167">
      <formula>$I373&lt;&gt;"-"</formula>
    </cfRule>
  </conditionalFormatting>
  <conditionalFormatting sqref="B374">
    <cfRule type="expression" dxfId="2619" priority="3164">
      <formula>AD374&lt;&gt;""</formula>
    </cfRule>
  </conditionalFormatting>
  <conditionalFormatting sqref="Z374">
    <cfRule type="cellIs" dxfId="2618" priority="3162" operator="greaterThan">
      <formula>0</formula>
    </cfRule>
    <cfRule type="cellIs" dxfId="2617" priority="3163" operator="lessThan">
      <formula>0</formula>
    </cfRule>
  </conditionalFormatting>
  <conditionalFormatting sqref="S374">
    <cfRule type="cellIs" dxfId="2616" priority="3161" operator="lessThan">
      <formula>0</formula>
    </cfRule>
  </conditionalFormatting>
  <conditionalFormatting sqref="P374">
    <cfRule type="cellIs" dxfId="2615" priority="3159" operator="equal">
      <formula>AS_DURATION_EFFORT</formula>
    </cfRule>
    <cfRule type="cellIs" dxfId="2614" priority="3160" operator="equal">
      <formula>AS_DEV_EFFORT</formula>
    </cfRule>
  </conditionalFormatting>
  <conditionalFormatting sqref="F374">
    <cfRule type="expression" dxfId="2613" priority="3158">
      <formula>$K374&lt;&gt;""</formula>
    </cfRule>
  </conditionalFormatting>
  <conditionalFormatting sqref="C374">
    <cfRule type="expression" dxfId="2612" priority="3157">
      <formula>$G374&lt;&gt;"-"</formula>
    </cfRule>
  </conditionalFormatting>
  <conditionalFormatting sqref="D374">
    <cfRule type="expression" dxfId="2611" priority="3156">
      <formula>$H374&lt;&gt;"-"</formula>
    </cfRule>
  </conditionalFormatting>
  <conditionalFormatting sqref="E374">
    <cfRule type="expression" dxfId="2610" priority="3155">
      <formula>$I374&lt;&gt;"-"</formula>
    </cfRule>
  </conditionalFormatting>
  <conditionalFormatting sqref="B385">
    <cfRule type="expression" dxfId="2609" priority="3154">
      <formula>AD385&lt;&gt;""</formula>
    </cfRule>
  </conditionalFormatting>
  <conditionalFormatting sqref="Z385">
    <cfRule type="cellIs" dxfId="2608" priority="3152" operator="greaterThan">
      <formula>0</formula>
    </cfRule>
    <cfRule type="cellIs" dxfId="2607" priority="3153" operator="lessThan">
      <formula>0</formula>
    </cfRule>
  </conditionalFormatting>
  <conditionalFormatting sqref="S385">
    <cfRule type="cellIs" dxfId="2606" priority="3151" operator="lessThan">
      <formula>0</formula>
    </cfRule>
  </conditionalFormatting>
  <conditionalFormatting sqref="P385">
    <cfRule type="cellIs" dxfId="2605" priority="3149" operator="equal">
      <formula>AS_DURATION_EFFORT</formula>
    </cfRule>
    <cfRule type="cellIs" dxfId="2604" priority="3150" operator="equal">
      <formula>AS_DEV_EFFORT</formula>
    </cfRule>
  </conditionalFormatting>
  <conditionalFormatting sqref="F385">
    <cfRule type="expression" dxfId="2603" priority="3148">
      <formula>$K385&lt;&gt;""</formula>
    </cfRule>
  </conditionalFormatting>
  <conditionalFormatting sqref="C385">
    <cfRule type="expression" dxfId="2602" priority="3147">
      <formula>$G385&lt;&gt;"-"</formula>
    </cfRule>
  </conditionalFormatting>
  <conditionalFormatting sqref="D385">
    <cfRule type="expression" dxfId="2601" priority="3146">
      <formula>$H385&lt;&gt;"-"</formula>
    </cfRule>
  </conditionalFormatting>
  <conditionalFormatting sqref="E385">
    <cfRule type="expression" dxfId="2600" priority="3145">
      <formula>$I385&lt;&gt;"-"</formula>
    </cfRule>
  </conditionalFormatting>
  <conditionalFormatting sqref="B386">
    <cfRule type="expression" dxfId="2599" priority="3144">
      <formula>AD386&lt;&gt;""</formula>
    </cfRule>
  </conditionalFormatting>
  <conditionalFormatting sqref="Z386">
    <cfRule type="cellIs" dxfId="2598" priority="3142" operator="greaterThan">
      <formula>0</formula>
    </cfRule>
    <cfRule type="cellIs" dxfId="2597" priority="3143" operator="lessThan">
      <formula>0</formula>
    </cfRule>
  </conditionalFormatting>
  <conditionalFormatting sqref="S386">
    <cfRule type="cellIs" dxfId="2596" priority="3141" operator="lessThan">
      <formula>0</formula>
    </cfRule>
  </conditionalFormatting>
  <conditionalFormatting sqref="P386">
    <cfRule type="cellIs" dxfId="2595" priority="3139" operator="equal">
      <formula>AS_DURATION_EFFORT</formula>
    </cfRule>
    <cfRule type="cellIs" dxfId="2594" priority="3140" operator="equal">
      <formula>AS_DEV_EFFORT</formula>
    </cfRule>
  </conditionalFormatting>
  <conditionalFormatting sqref="F386">
    <cfRule type="expression" dxfId="2593" priority="3138">
      <formula>$K386&lt;&gt;""</formula>
    </cfRule>
  </conditionalFormatting>
  <conditionalFormatting sqref="C386">
    <cfRule type="expression" dxfId="2592" priority="3137">
      <formula>$G386&lt;&gt;"-"</formula>
    </cfRule>
  </conditionalFormatting>
  <conditionalFormatting sqref="D386">
    <cfRule type="expression" dxfId="2591" priority="3136">
      <formula>$H386&lt;&gt;"-"</formula>
    </cfRule>
  </conditionalFormatting>
  <conditionalFormatting sqref="E386">
    <cfRule type="expression" dxfId="2590" priority="3135">
      <formula>$I386&lt;&gt;"-"</formula>
    </cfRule>
  </conditionalFormatting>
  <conditionalFormatting sqref="B177">
    <cfRule type="expression" dxfId="2589" priority="3049">
      <formula>AD177&lt;&gt;""</formula>
    </cfRule>
  </conditionalFormatting>
  <conditionalFormatting sqref="Z177">
    <cfRule type="cellIs" dxfId="2588" priority="3047" operator="greaterThan">
      <formula>0</formula>
    </cfRule>
    <cfRule type="cellIs" dxfId="2587" priority="3048" operator="lessThan">
      <formula>0</formula>
    </cfRule>
  </conditionalFormatting>
  <conditionalFormatting sqref="S177">
    <cfRule type="cellIs" dxfId="2586" priority="3046" operator="lessThan">
      <formula>0</formula>
    </cfRule>
  </conditionalFormatting>
  <conditionalFormatting sqref="T175:T176">
    <cfRule type="expression" dxfId="2585" priority="3050">
      <formula>#REF!="Yes"</formula>
    </cfRule>
  </conditionalFormatting>
  <conditionalFormatting sqref="P177">
    <cfRule type="cellIs" dxfId="2584" priority="3044" operator="equal">
      <formula>AS_DURATION_EFFORT</formula>
    </cfRule>
    <cfRule type="cellIs" dxfId="2583" priority="3045" operator="equal">
      <formula>AS_DEV_EFFORT</formula>
    </cfRule>
  </conditionalFormatting>
  <conditionalFormatting sqref="B175:B176">
    <cfRule type="expression" dxfId="2582" priority="3043">
      <formula>AD175&lt;&gt;""</formula>
    </cfRule>
  </conditionalFormatting>
  <conditionalFormatting sqref="F177">
    <cfRule type="expression" dxfId="2581" priority="3042">
      <formula>$K177&lt;&gt;""</formula>
    </cfRule>
  </conditionalFormatting>
  <conditionalFormatting sqref="C177">
    <cfRule type="expression" dxfId="2580" priority="3041">
      <formula>$G177&lt;&gt;"-"</formula>
    </cfRule>
  </conditionalFormatting>
  <conditionalFormatting sqref="D177">
    <cfRule type="expression" dxfId="2579" priority="3040">
      <formula>$H177&lt;&gt;"-"</formula>
    </cfRule>
  </conditionalFormatting>
  <conditionalFormatting sqref="E177">
    <cfRule type="expression" dxfId="2578" priority="3039">
      <formula>$I177&lt;&gt;"-"</formula>
    </cfRule>
  </conditionalFormatting>
  <conditionalFormatting sqref="B178">
    <cfRule type="expression" dxfId="2577" priority="3034">
      <formula>AD178&lt;&gt;""</formula>
    </cfRule>
  </conditionalFormatting>
  <conditionalFormatting sqref="Z178">
    <cfRule type="cellIs" dxfId="2576" priority="3032" operator="greaterThan">
      <formula>0</formula>
    </cfRule>
    <cfRule type="cellIs" dxfId="2575" priority="3033" operator="lessThan">
      <formula>0</formula>
    </cfRule>
  </conditionalFormatting>
  <conditionalFormatting sqref="S178">
    <cfRule type="cellIs" dxfId="2574" priority="3031" operator="lessThan">
      <formula>0</formula>
    </cfRule>
  </conditionalFormatting>
  <conditionalFormatting sqref="P178">
    <cfRule type="cellIs" dxfId="2573" priority="3029" operator="equal">
      <formula>AS_DURATION_EFFORT</formula>
    </cfRule>
    <cfRule type="cellIs" dxfId="2572" priority="3030" operator="equal">
      <formula>AS_DEV_EFFORT</formula>
    </cfRule>
  </conditionalFormatting>
  <conditionalFormatting sqref="F178">
    <cfRule type="expression" dxfId="2571" priority="3028">
      <formula>$K178&lt;&gt;""</formula>
    </cfRule>
  </conditionalFormatting>
  <conditionalFormatting sqref="C178">
    <cfRule type="expression" dxfId="2570" priority="3027">
      <formula>$G178&lt;&gt;"-"</formula>
    </cfRule>
  </conditionalFormatting>
  <conditionalFormatting sqref="D178">
    <cfRule type="expression" dxfId="2569" priority="3026">
      <formula>$H178&lt;&gt;"-"</formula>
    </cfRule>
  </conditionalFormatting>
  <conditionalFormatting sqref="E178">
    <cfRule type="expression" dxfId="2568" priority="3025">
      <formula>$I178&lt;&gt;"-"</formula>
    </cfRule>
  </conditionalFormatting>
  <conditionalFormatting sqref="B179">
    <cfRule type="expression" dxfId="2567" priority="3022">
      <formula>AD179&lt;&gt;""</formula>
    </cfRule>
  </conditionalFormatting>
  <conditionalFormatting sqref="Z179">
    <cfRule type="cellIs" dxfId="2566" priority="3020" operator="greaterThan">
      <formula>0</formula>
    </cfRule>
    <cfRule type="cellIs" dxfId="2565" priority="3021" operator="lessThan">
      <formula>0</formula>
    </cfRule>
  </conditionalFormatting>
  <conditionalFormatting sqref="S179">
    <cfRule type="cellIs" dxfId="2564" priority="3019" operator="lessThan">
      <formula>0</formula>
    </cfRule>
  </conditionalFormatting>
  <conditionalFormatting sqref="P179">
    <cfRule type="cellIs" dxfId="2563" priority="3017" operator="equal">
      <formula>AS_DURATION_EFFORT</formula>
    </cfRule>
    <cfRule type="cellIs" dxfId="2562" priority="3018" operator="equal">
      <formula>AS_DEV_EFFORT</formula>
    </cfRule>
  </conditionalFormatting>
  <conditionalFormatting sqref="F179">
    <cfRule type="expression" dxfId="2561" priority="3016">
      <formula>$K179&lt;&gt;""</formula>
    </cfRule>
  </conditionalFormatting>
  <conditionalFormatting sqref="C179">
    <cfRule type="expression" dxfId="2560" priority="3015">
      <formula>$G179&lt;&gt;"-"</formula>
    </cfRule>
  </conditionalFormatting>
  <conditionalFormatting sqref="D179">
    <cfRule type="expression" dxfId="2559" priority="3014">
      <formula>$H179&lt;&gt;"-"</formula>
    </cfRule>
  </conditionalFormatting>
  <conditionalFormatting sqref="E179">
    <cfRule type="expression" dxfId="2558" priority="3013">
      <formula>$I179&lt;&gt;"-"</formula>
    </cfRule>
  </conditionalFormatting>
  <conditionalFormatting sqref="B180">
    <cfRule type="expression" dxfId="2557" priority="3010">
      <formula>AD180&lt;&gt;""</formula>
    </cfRule>
  </conditionalFormatting>
  <conditionalFormatting sqref="Z180">
    <cfRule type="cellIs" dxfId="2556" priority="3008" operator="greaterThan">
      <formula>0</formula>
    </cfRule>
    <cfRule type="cellIs" dxfId="2555" priority="3009" operator="lessThan">
      <formula>0</formula>
    </cfRule>
  </conditionalFormatting>
  <conditionalFormatting sqref="S180">
    <cfRule type="cellIs" dxfId="2554" priority="3007" operator="lessThan">
      <formula>0</formula>
    </cfRule>
  </conditionalFormatting>
  <conditionalFormatting sqref="P180">
    <cfRule type="cellIs" dxfId="2553" priority="3005" operator="equal">
      <formula>AS_DURATION_EFFORT</formula>
    </cfRule>
    <cfRule type="cellIs" dxfId="2552" priority="3006" operator="equal">
      <formula>AS_DEV_EFFORT</formula>
    </cfRule>
  </conditionalFormatting>
  <conditionalFormatting sqref="F180">
    <cfRule type="expression" dxfId="2551" priority="3004">
      <formula>$K180&lt;&gt;""</formula>
    </cfRule>
  </conditionalFormatting>
  <conditionalFormatting sqref="C180">
    <cfRule type="expression" dxfId="2550" priority="3003">
      <formula>$G180&lt;&gt;"-"</formula>
    </cfRule>
  </conditionalFormatting>
  <conditionalFormatting sqref="D180">
    <cfRule type="expression" dxfId="2549" priority="3002">
      <formula>$H180&lt;&gt;"-"</formula>
    </cfRule>
  </conditionalFormatting>
  <conditionalFormatting sqref="E180">
    <cfRule type="expression" dxfId="2548" priority="3001">
      <formula>$I180&lt;&gt;"-"</formula>
    </cfRule>
  </conditionalFormatting>
  <conditionalFormatting sqref="B185">
    <cfRule type="expression" dxfId="2547" priority="2997">
      <formula>AD185&lt;&gt;""</formula>
    </cfRule>
  </conditionalFormatting>
  <conditionalFormatting sqref="Z185">
    <cfRule type="cellIs" dxfId="2546" priority="2995" operator="greaterThan">
      <formula>0</formula>
    </cfRule>
    <cfRule type="cellIs" dxfId="2545" priority="2996" operator="lessThan">
      <formula>0</formula>
    </cfRule>
  </conditionalFormatting>
  <conditionalFormatting sqref="S185">
    <cfRule type="cellIs" dxfId="2544" priority="2994" operator="lessThan">
      <formula>0</formula>
    </cfRule>
  </conditionalFormatting>
  <conditionalFormatting sqref="T183:T184">
    <cfRule type="expression" dxfId="2543" priority="2998">
      <formula>#REF!="Yes"</formula>
    </cfRule>
  </conditionalFormatting>
  <conditionalFormatting sqref="P185">
    <cfRule type="cellIs" dxfId="2542" priority="2992" operator="equal">
      <formula>AS_DURATION_EFFORT</formula>
    </cfRule>
    <cfRule type="cellIs" dxfId="2541" priority="2993" operator="equal">
      <formula>AS_DEV_EFFORT</formula>
    </cfRule>
  </conditionalFormatting>
  <conditionalFormatting sqref="B183:B184">
    <cfRule type="expression" dxfId="2540" priority="2991">
      <formula>AD183&lt;&gt;""</formula>
    </cfRule>
  </conditionalFormatting>
  <conditionalFormatting sqref="F185">
    <cfRule type="expression" dxfId="2539" priority="2990">
      <formula>$K185&lt;&gt;""</formula>
    </cfRule>
  </conditionalFormatting>
  <conditionalFormatting sqref="C185">
    <cfRule type="expression" dxfId="2538" priority="2989">
      <formula>$G185&lt;&gt;"-"</formula>
    </cfRule>
  </conditionalFormatting>
  <conditionalFormatting sqref="D185">
    <cfRule type="expression" dxfId="2537" priority="2988">
      <formula>$H185&lt;&gt;"-"</formula>
    </cfRule>
  </conditionalFormatting>
  <conditionalFormatting sqref="E185">
    <cfRule type="expression" dxfId="2536" priority="2987">
      <formula>$I185&lt;&gt;"-"</formula>
    </cfRule>
  </conditionalFormatting>
  <conditionalFormatting sqref="B186">
    <cfRule type="expression" dxfId="2535" priority="2984">
      <formula>AD186&lt;&gt;""</formula>
    </cfRule>
  </conditionalFormatting>
  <conditionalFormatting sqref="Z186">
    <cfRule type="cellIs" dxfId="2534" priority="2982" operator="greaterThan">
      <formula>0</formula>
    </cfRule>
    <cfRule type="cellIs" dxfId="2533" priority="2983" operator="lessThan">
      <formula>0</formula>
    </cfRule>
  </conditionalFormatting>
  <conditionalFormatting sqref="S186">
    <cfRule type="cellIs" dxfId="2532" priority="2981" operator="lessThan">
      <formula>0</formula>
    </cfRule>
  </conditionalFormatting>
  <conditionalFormatting sqref="P186">
    <cfRule type="cellIs" dxfId="2531" priority="2979" operator="equal">
      <formula>AS_DURATION_EFFORT</formula>
    </cfRule>
    <cfRule type="cellIs" dxfId="2530" priority="2980" operator="equal">
      <formula>AS_DEV_EFFORT</formula>
    </cfRule>
  </conditionalFormatting>
  <conditionalFormatting sqref="F186">
    <cfRule type="expression" dxfId="2529" priority="2978">
      <formula>$K186&lt;&gt;""</formula>
    </cfRule>
  </conditionalFormatting>
  <conditionalFormatting sqref="C186">
    <cfRule type="expression" dxfId="2528" priority="2977">
      <formula>$G186&lt;&gt;"-"</formula>
    </cfRule>
  </conditionalFormatting>
  <conditionalFormatting sqref="D186">
    <cfRule type="expression" dxfId="2527" priority="2976">
      <formula>$H186&lt;&gt;"-"</formula>
    </cfRule>
  </conditionalFormatting>
  <conditionalFormatting sqref="E186">
    <cfRule type="expression" dxfId="2526" priority="2975">
      <formula>$I186&lt;&gt;"-"</formula>
    </cfRule>
  </conditionalFormatting>
  <conditionalFormatting sqref="B187">
    <cfRule type="expression" dxfId="2525" priority="2972">
      <formula>AD187&lt;&gt;""</formula>
    </cfRule>
  </conditionalFormatting>
  <conditionalFormatting sqref="Z187">
    <cfRule type="cellIs" dxfId="2524" priority="2970" operator="greaterThan">
      <formula>0</formula>
    </cfRule>
    <cfRule type="cellIs" dxfId="2523" priority="2971" operator="lessThan">
      <formula>0</formula>
    </cfRule>
  </conditionalFormatting>
  <conditionalFormatting sqref="S187">
    <cfRule type="cellIs" dxfId="2522" priority="2969" operator="lessThan">
      <formula>0</formula>
    </cfRule>
  </conditionalFormatting>
  <conditionalFormatting sqref="P187">
    <cfRule type="cellIs" dxfId="2521" priority="2967" operator="equal">
      <formula>AS_DURATION_EFFORT</formula>
    </cfRule>
    <cfRule type="cellIs" dxfId="2520" priority="2968" operator="equal">
      <formula>AS_DEV_EFFORT</formula>
    </cfRule>
  </conditionalFormatting>
  <conditionalFormatting sqref="F187">
    <cfRule type="expression" dxfId="2519" priority="2966">
      <formula>$K187&lt;&gt;""</formula>
    </cfRule>
  </conditionalFormatting>
  <conditionalFormatting sqref="C187">
    <cfRule type="expression" dxfId="2518" priority="2965">
      <formula>$G187&lt;&gt;"-"</formula>
    </cfRule>
  </conditionalFormatting>
  <conditionalFormatting sqref="D187">
    <cfRule type="expression" dxfId="2517" priority="2964">
      <formula>$H187&lt;&gt;"-"</formula>
    </cfRule>
  </conditionalFormatting>
  <conditionalFormatting sqref="E187">
    <cfRule type="expression" dxfId="2516" priority="2963">
      <formula>$I187&lt;&gt;"-"</formula>
    </cfRule>
  </conditionalFormatting>
  <conditionalFormatting sqref="B189">
    <cfRule type="expression" dxfId="2515" priority="2960">
      <formula>AD189&lt;&gt;""</formula>
    </cfRule>
  </conditionalFormatting>
  <conditionalFormatting sqref="Z189">
    <cfRule type="cellIs" dxfId="2514" priority="2958" operator="greaterThan">
      <formula>0</formula>
    </cfRule>
    <cfRule type="cellIs" dxfId="2513" priority="2959" operator="lessThan">
      <formula>0</formula>
    </cfRule>
  </conditionalFormatting>
  <conditionalFormatting sqref="S189">
    <cfRule type="cellIs" dxfId="2512" priority="2957" operator="lessThan">
      <formula>0</formula>
    </cfRule>
  </conditionalFormatting>
  <conditionalFormatting sqref="P189">
    <cfRule type="cellIs" dxfId="2511" priority="2955" operator="equal">
      <formula>AS_DURATION_EFFORT</formula>
    </cfRule>
    <cfRule type="cellIs" dxfId="2510" priority="2956" operator="equal">
      <formula>AS_DEV_EFFORT</formula>
    </cfRule>
  </conditionalFormatting>
  <conditionalFormatting sqref="F189">
    <cfRule type="expression" dxfId="2509" priority="2954">
      <formula>$K189&lt;&gt;""</formula>
    </cfRule>
  </conditionalFormatting>
  <conditionalFormatting sqref="C189">
    <cfRule type="expression" dxfId="2508" priority="2953">
      <formula>$G189&lt;&gt;"-"</formula>
    </cfRule>
  </conditionalFormatting>
  <conditionalFormatting sqref="D189">
    <cfRule type="expression" dxfId="2507" priority="2952">
      <formula>$H189&lt;&gt;"-"</formula>
    </cfRule>
  </conditionalFormatting>
  <conditionalFormatting sqref="E189">
    <cfRule type="expression" dxfId="2506" priority="2951">
      <formula>$I189&lt;&gt;"-"</formula>
    </cfRule>
  </conditionalFormatting>
  <conditionalFormatting sqref="B106">
    <cfRule type="expression" dxfId="2505" priority="2947">
      <formula>AD106&lt;&gt;""</formula>
    </cfRule>
  </conditionalFormatting>
  <conditionalFormatting sqref="Z106">
    <cfRule type="cellIs" dxfId="2504" priority="2945" operator="greaterThan">
      <formula>0</formula>
    </cfRule>
    <cfRule type="cellIs" dxfId="2503" priority="2946" operator="lessThan">
      <formula>0</formula>
    </cfRule>
  </conditionalFormatting>
  <conditionalFormatting sqref="S106">
    <cfRule type="cellIs" dxfId="2502" priority="2944" operator="lessThan">
      <formula>0</formula>
    </cfRule>
  </conditionalFormatting>
  <conditionalFormatting sqref="T104:T105">
    <cfRule type="expression" dxfId="2501" priority="2948">
      <formula>#REF!="Yes"</formula>
    </cfRule>
  </conditionalFormatting>
  <conditionalFormatting sqref="P106">
    <cfRule type="cellIs" dxfId="2500" priority="2942" operator="equal">
      <formula>AS_DURATION_EFFORT</formula>
    </cfRule>
    <cfRule type="cellIs" dxfId="2499" priority="2943" operator="equal">
      <formula>AS_DEV_EFFORT</formula>
    </cfRule>
  </conditionalFormatting>
  <conditionalFormatting sqref="B104:B105">
    <cfRule type="expression" dxfId="2498" priority="2941">
      <formula>AD104&lt;&gt;""</formula>
    </cfRule>
  </conditionalFormatting>
  <conditionalFormatting sqref="L106:AC106">
    <cfRule type="expression" dxfId="2497" priority="2949">
      <formula>AND($G106="Yes", $S$6="Exclude")</formula>
    </cfRule>
    <cfRule type="expression" dxfId="2496" priority="2950">
      <formula>$J106="Yes"</formula>
    </cfRule>
  </conditionalFormatting>
  <conditionalFormatting sqref="F106">
    <cfRule type="expression" dxfId="2495" priority="2940">
      <formula>$K106&lt;&gt;""</formula>
    </cfRule>
  </conditionalFormatting>
  <conditionalFormatting sqref="C106">
    <cfRule type="expression" dxfId="2494" priority="2939">
      <formula>$G106&lt;&gt;"-"</formula>
    </cfRule>
  </conditionalFormatting>
  <conditionalFormatting sqref="D106">
    <cfRule type="expression" dxfId="2493" priority="2938">
      <formula>$H106&lt;&gt;"-"</formula>
    </cfRule>
  </conditionalFormatting>
  <conditionalFormatting sqref="E106">
    <cfRule type="expression" dxfId="2492" priority="2937">
      <formula>$I106&lt;&gt;"-"</formula>
    </cfRule>
  </conditionalFormatting>
  <conditionalFormatting sqref="S103">
    <cfRule type="expression" dxfId="2491" priority="2936">
      <formula>#REF!="Yes"</formula>
    </cfRule>
  </conditionalFormatting>
  <conditionalFormatting sqref="B103">
    <cfRule type="expression" dxfId="2490" priority="2935">
      <formula>AD103&lt;&gt;""</formula>
    </cfRule>
  </conditionalFormatting>
  <conditionalFormatting sqref="B107">
    <cfRule type="expression" dxfId="2489" priority="2932">
      <formula>AD107&lt;&gt;""</formula>
    </cfRule>
  </conditionalFormatting>
  <conditionalFormatting sqref="Z107">
    <cfRule type="cellIs" dxfId="2488" priority="2930" operator="greaterThan">
      <formula>0</formula>
    </cfRule>
    <cfRule type="cellIs" dxfId="2487" priority="2931" operator="lessThan">
      <formula>0</formula>
    </cfRule>
  </conditionalFormatting>
  <conditionalFormatting sqref="S107">
    <cfRule type="cellIs" dxfId="2486" priority="2929" operator="lessThan">
      <formula>0</formula>
    </cfRule>
  </conditionalFormatting>
  <conditionalFormatting sqref="P107">
    <cfRule type="cellIs" dxfId="2485" priority="2927" operator="equal">
      <formula>AS_DURATION_EFFORT</formula>
    </cfRule>
    <cfRule type="cellIs" dxfId="2484" priority="2928" operator="equal">
      <formula>AS_DEV_EFFORT</formula>
    </cfRule>
  </conditionalFormatting>
  <conditionalFormatting sqref="L107:AC107">
    <cfRule type="expression" dxfId="2483" priority="2933">
      <formula>AND($G107="Yes", $S$6="Exclude")</formula>
    </cfRule>
    <cfRule type="expression" dxfId="2482" priority="2934">
      <formula>$J107="Yes"</formula>
    </cfRule>
  </conditionalFormatting>
  <conditionalFormatting sqref="F107">
    <cfRule type="expression" dxfId="2481" priority="2926">
      <formula>$K107&lt;&gt;""</formula>
    </cfRule>
  </conditionalFormatting>
  <conditionalFormatting sqref="C107">
    <cfRule type="expression" dxfId="2480" priority="2925">
      <formula>$G107&lt;&gt;"-"</formula>
    </cfRule>
  </conditionalFormatting>
  <conditionalFormatting sqref="D107">
    <cfRule type="expression" dxfId="2479" priority="2924">
      <formula>$H107&lt;&gt;"-"</formula>
    </cfRule>
  </conditionalFormatting>
  <conditionalFormatting sqref="E107">
    <cfRule type="expression" dxfId="2478" priority="2923">
      <formula>$I107&lt;&gt;"-"</formula>
    </cfRule>
  </conditionalFormatting>
  <conditionalFormatting sqref="B108">
    <cfRule type="expression" dxfId="2477" priority="2920">
      <formula>AD108&lt;&gt;""</formula>
    </cfRule>
  </conditionalFormatting>
  <conditionalFormatting sqref="Z108">
    <cfRule type="cellIs" dxfId="2476" priority="2918" operator="greaterThan">
      <formula>0</formula>
    </cfRule>
    <cfRule type="cellIs" dxfId="2475" priority="2919" operator="lessThan">
      <formula>0</formula>
    </cfRule>
  </conditionalFormatting>
  <conditionalFormatting sqref="S108">
    <cfRule type="cellIs" dxfId="2474" priority="2917" operator="lessThan">
      <formula>0</formula>
    </cfRule>
  </conditionalFormatting>
  <conditionalFormatting sqref="P108">
    <cfRule type="cellIs" dxfId="2473" priority="2915" operator="equal">
      <formula>AS_DURATION_EFFORT</formula>
    </cfRule>
    <cfRule type="cellIs" dxfId="2472" priority="2916" operator="equal">
      <formula>AS_DEV_EFFORT</formula>
    </cfRule>
  </conditionalFormatting>
  <conditionalFormatting sqref="L108:AC108">
    <cfRule type="expression" dxfId="2471" priority="2921">
      <formula>AND($G108="Yes", $S$6="Exclude")</formula>
    </cfRule>
    <cfRule type="expression" dxfId="2470" priority="2922">
      <formula>$J108="Yes"</formula>
    </cfRule>
  </conditionalFormatting>
  <conditionalFormatting sqref="F108">
    <cfRule type="expression" dxfId="2469" priority="2914">
      <formula>$K108&lt;&gt;""</formula>
    </cfRule>
  </conditionalFormatting>
  <conditionalFormatting sqref="C108">
    <cfRule type="expression" dxfId="2468" priority="2913">
      <formula>$G108&lt;&gt;"-"</formula>
    </cfRule>
  </conditionalFormatting>
  <conditionalFormatting sqref="D108">
    <cfRule type="expression" dxfId="2467" priority="2912">
      <formula>$H108&lt;&gt;"-"</formula>
    </cfRule>
  </conditionalFormatting>
  <conditionalFormatting sqref="E108">
    <cfRule type="expression" dxfId="2466" priority="2911">
      <formula>$I108&lt;&gt;"-"</formula>
    </cfRule>
  </conditionalFormatting>
  <conditionalFormatting sqref="B109">
    <cfRule type="expression" dxfId="2465" priority="2908">
      <formula>AD109&lt;&gt;""</formula>
    </cfRule>
  </conditionalFormatting>
  <conditionalFormatting sqref="Z109">
    <cfRule type="cellIs" dxfId="2464" priority="2906" operator="greaterThan">
      <formula>0</formula>
    </cfRule>
    <cfRule type="cellIs" dxfId="2463" priority="2907" operator="lessThan">
      <formula>0</formula>
    </cfRule>
  </conditionalFormatting>
  <conditionalFormatting sqref="S109">
    <cfRule type="cellIs" dxfId="2462" priority="2905" operator="lessThan">
      <formula>0</formula>
    </cfRule>
  </conditionalFormatting>
  <conditionalFormatting sqref="P109">
    <cfRule type="cellIs" dxfId="2461" priority="2903" operator="equal">
      <formula>AS_DURATION_EFFORT</formula>
    </cfRule>
    <cfRule type="cellIs" dxfId="2460" priority="2904" operator="equal">
      <formula>AS_DEV_EFFORT</formula>
    </cfRule>
  </conditionalFormatting>
  <conditionalFormatting sqref="L109:AC109">
    <cfRule type="expression" dxfId="2459" priority="2909">
      <formula>AND($G109="Yes", $S$6="Exclude")</formula>
    </cfRule>
    <cfRule type="expression" dxfId="2458" priority="2910">
      <formula>$J109="Yes"</formula>
    </cfRule>
  </conditionalFormatting>
  <conditionalFormatting sqref="F109">
    <cfRule type="expression" dxfId="2457" priority="2902">
      <formula>$K109&lt;&gt;""</formula>
    </cfRule>
  </conditionalFormatting>
  <conditionalFormatting sqref="C109">
    <cfRule type="expression" dxfId="2456" priority="2901">
      <formula>$G109&lt;&gt;"-"</formula>
    </cfRule>
  </conditionalFormatting>
  <conditionalFormatting sqref="D109">
    <cfRule type="expression" dxfId="2455" priority="2900">
      <formula>$H109&lt;&gt;"-"</formula>
    </cfRule>
  </conditionalFormatting>
  <conditionalFormatting sqref="E109">
    <cfRule type="expression" dxfId="2454" priority="2899">
      <formula>$I109&lt;&gt;"-"</formula>
    </cfRule>
  </conditionalFormatting>
  <conditionalFormatting sqref="B110">
    <cfRule type="expression" dxfId="2453" priority="2896">
      <formula>AD110&lt;&gt;""</formula>
    </cfRule>
  </conditionalFormatting>
  <conditionalFormatting sqref="Z110">
    <cfRule type="cellIs" dxfId="2452" priority="2894" operator="greaterThan">
      <formula>0</formula>
    </cfRule>
    <cfRule type="cellIs" dxfId="2451" priority="2895" operator="lessThan">
      <formula>0</formula>
    </cfRule>
  </conditionalFormatting>
  <conditionalFormatting sqref="S110">
    <cfRule type="cellIs" dxfId="2450" priority="2893" operator="lessThan">
      <formula>0</formula>
    </cfRule>
  </conditionalFormatting>
  <conditionalFormatting sqref="P110">
    <cfRule type="cellIs" dxfId="2449" priority="2891" operator="equal">
      <formula>AS_DURATION_EFFORT</formula>
    </cfRule>
    <cfRule type="cellIs" dxfId="2448" priority="2892" operator="equal">
      <formula>AS_DEV_EFFORT</formula>
    </cfRule>
  </conditionalFormatting>
  <conditionalFormatting sqref="L110:AC110">
    <cfRule type="expression" dxfId="2447" priority="2897">
      <formula>AND($G110="Yes", $S$6="Exclude")</formula>
    </cfRule>
    <cfRule type="expression" dxfId="2446" priority="2898">
      <formula>$J110="Yes"</formula>
    </cfRule>
  </conditionalFormatting>
  <conditionalFormatting sqref="F110">
    <cfRule type="expression" dxfId="2445" priority="2890">
      <formula>$K110&lt;&gt;""</formula>
    </cfRule>
  </conditionalFormatting>
  <conditionalFormatting sqref="C110">
    <cfRule type="expression" dxfId="2444" priority="2889">
      <formula>$G110&lt;&gt;"-"</formula>
    </cfRule>
  </conditionalFormatting>
  <conditionalFormatting sqref="D110">
    <cfRule type="expression" dxfId="2443" priority="2888">
      <formula>$H110&lt;&gt;"-"</formula>
    </cfRule>
  </conditionalFormatting>
  <conditionalFormatting sqref="E110">
    <cfRule type="expression" dxfId="2442" priority="2887">
      <formula>$I110&lt;&gt;"-"</formula>
    </cfRule>
  </conditionalFormatting>
  <conditionalFormatting sqref="B111">
    <cfRule type="expression" dxfId="2441" priority="2884">
      <formula>AD111&lt;&gt;""</formula>
    </cfRule>
  </conditionalFormatting>
  <conditionalFormatting sqref="Z111">
    <cfRule type="cellIs" dxfId="2440" priority="2882" operator="greaterThan">
      <formula>0</formula>
    </cfRule>
    <cfRule type="cellIs" dxfId="2439" priority="2883" operator="lessThan">
      <formula>0</formula>
    </cfRule>
  </conditionalFormatting>
  <conditionalFormatting sqref="S111">
    <cfRule type="cellIs" dxfId="2438" priority="2881" operator="lessThan">
      <formula>0</formula>
    </cfRule>
  </conditionalFormatting>
  <conditionalFormatting sqref="P111">
    <cfRule type="cellIs" dxfId="2437" priority="2879" operator="equal">
      <formula>AS_DURATION_EFFORT</formula>
    </cfRule>
    <cfRule type="cellIs" dxfId="2436" priority="2880" operator="equal">
      <formula>AS_DEV_EFFORT</formula>
    </cfRule>
  </conditionalFormatting>
  <conditionalFormatting sqref="L111:AC111">
    <cfRule type="expression" dxfId="2435" priority="2885">
      <formula>AND($G111="Yes", $S$6="Exclude")</formula>
    </cfRule>
    <cfRule type="expression" dxfId="2434" priority="2886">
      <formula>$J111="Yes"</formula>
    </cfRule>
  </conditionalFormatting>
  <conditionalFormatting sqref="F111">
    <cfRule type="expression" dxfId="2433" priority="2878">
      <formula>$K111&lt;&gt;""</formula>
    </cfRule>
  </conditionalFormatting>
  <conditionalFormatting sqref="C111">
    <cfRule type="expression" dxfId="2432" priority="2877">
      <formula>$G111&lt;&gt;"-"</formula>
    </cfRule>
  </conditionalFormatting>
  <conditionalFormatting sqref="D111">
    <cfRule type="expression" dxfId="2431" priority="2876">
      <formula>$H111&lt;&gt;"-"</formula>
    </cfRule>
  </conditionalFormatting>
  <conditionalFormatting sqref="E111">
    <cfRule type="expression" dxfId="2430" priority="2875">
      <formula>$I111&lt;&gt;"-"</formula>
    </cfRule>
  </conditionalFormatting>
  <conditionalFormatting sqref="B116">
    <cfRule type="expression" dxfId="2429" priority="2871">
      <formula>AD116&lt;&gt;""</formula>
    </cfRule>
  </conditionalFormatting>
  <conditionalFormatting sqref="Z116">
    <cfRule type="cellIs" dxfId="2428" priority="2869" operator="greaterThan">
      <formula>0</formula>
    </cfRule>
    <cfRule type="cellIs" dxfId="2427" priority="2870" operator="lessThan">
      <formula>0</formula>
    </cfRule>
  </conditionalFormatting>
  <conditionalFormatting sqref="S116">
    <cfRule type="cellIs" dxfId="2426" priority="2868" operator="lessThan">
      <formula>0</formula>
    </cfRule>
  </conditionalFormatting>
  <conditionalFormatting sqref="T114:T115">
    <cfRule type="expression" dxfId="2425" priority="2872">
      <formula>#REF!="Yes"</formula>
    </cfRule>
  </conditionalFormatting>
  <conditionalFormatting sqref="P116">
    <cfRule type="cellIs" dxfId="2424" priority="2866" operator="equal">
      <formula>AS_DURATION_EFFORT</formula>
    </cfRule>
    <cfRule type="cellIs" dxfId="2423" priority="2867" operator="equal">
      <formula>AS_DEV_EFFORT</formula>
    </cfRule>
  </conditionalFormatting>
  <conditionalFormatting sqref="B114:B115">
    <cfRule type="expression" dxfId="2422" priority="2865">
      <formula>AD114&lt;&gt;""</formula>
    </cfRule>
  </conditionalFormatting>
  <conditionalFormatting sqref="L116:AC116">
    <cfRule type="expression" dxfId="2421" priority="2873">
      <formula>AND($G116="Yes", $S$6="Exclude")</formula>
    </cfRule>
    <cfRule type="expression" dxfId="2420" priority="2874">
      <formula>$J116="Yes"</formula>
    </cfRule>
  </conditionalFormatting>
  <conditionalFormatting sqref="F116">
    <cfRule type="expression" dxfId="2419" priority="2864">
      <formula>$K116&lt;&gt;""</formula>
    </cfRule>
  </conditionalFormatting>
  <conditionalFormatting sqref="C116">
    <cfRule type="expression" dxfId="2418" priority="2863">
      <formula>$G116&lt;&gt;"-"</formula>
    </cfRule>
  </conditionalFormatting>
  <conditionalFormatting sqref="D116">
    <cfRule type="expression" dxfId="2417" priority="2862">
      <formula>$H116&lt;&gt;"-"</formula>
    </cfRule>
  </conditionalFormatting>
  <conditionalFormatting sqref="E116">
    <cfRule type="expression" dxfId="2416" priority="2861">
      <formula>$I116&lt;&gt;"-"</formula>
    </cfRule>
  </conditionalFormatting>
  <conditionalFormatting sqref="B117">
    <cfRule type="expression" dxfId="2415" priority="2858">
      <formula>AD117&lt;&gt;""</formula>
    </cfRule>
  </conditionalFormatting>
  <conditionalFormatting sqref="Z117">
    <cfRule type="cellIs" dxfId="2414" priority="2856" operator="greaterThan">
      <formula>0</formula>
    </cfRule>
    <cfRule type="cellIs" dxfId="2413" priority="2857" operator="lessThan">
      <formula>0</formula>
    </cfRule>
  </conditionalFormatting>
  <conditionalFormatting sqref="S117">
    <cfRule type="cellIs" dxfId="2412" priority="2855" operator="lessThan">
      <formula>0</formula>
    </cfRule>
  </conditionalFormatting>
  <conditionalFormatting sqref="P117">
    <cfRule type="cellIs" dxfId="2411" priority="2853" operator="equal">
      <formula>AS_DURATION_EFFORT</formula>
    </cfRule>
    <cfRule type="cellIs" dxfId="2410" priority="2854" operator="equal">
      <formula>AS_DEV_EFFORT</formula>
    </cfRule>
  </conditionalFormatting>
  <conditionalFormatting sqref="L117:AC117">
    <cfRule type="expression" dxfId="2409" priority="2859">
      <formula>AND($G117="Yes", $S$6="Exclude")</formula>
    </cfRule>
    <cfRule type="expression" dxfId="2408" priority="2860">
      <formula>$J117="Yes"</formula>
    </cfRule>
  </conditionalFormatting>
  <conditionalFormatting sqref="F117">
    <cfRule type="expression" dxfId="2407" priority="2852">
      <formula>$K117&lt;&gt;""</formula>
    </cfRule>
  </conditionalFormatting>
  <conditionalFormatting sqref="C117">
    <cfRule type="expression" dxfId="2406" priority="2851">
      <formula>$G117&lt;&gt;"-"</formula>
    </cfRule>
  </conditionalFormatting>
  <conditionalFormatting sqref="D117">
    <cfRule type="expression" dxfId="2405" priority="2850">
      <formula>$H117&lt;&gt;"-"</formula>
    </cfRule>
  </conditionalFormatting>
  <conditionalFormatting sqref="E117">
    <cfRule type="expression" dxfId="2404" priority="2849">
      <formula>$I117&lt;&gt;"-"</formula>
    </cfRule>
  </conditionalFormatting>
  <conditionalFormatting sqref="B118">
    <cfRule type="expression" dxfId="2403" priority="2846">
      <formula>AD118&lt;&gt;""</formula>
    </cfRule>
  </conditionalFormatting>
  <conditionalFormatting sqref="Z118">
    <cfRule type="cellIs" dxfId="2402" priority="2844" operator="greaterThan">
      <formula>0</formula>
    </cfRule>
    <cfRule type="cellIs" dxfId="2401" priority="2845" operator="lessThan">
      <formula>0</formula>
    </cfRule>
  </conditionalFormatting>
  <conditionalFormatting sqref="S118">
    <cfRule type="cellIs" dxfId="2400" priority="2843" operator="lessThan">
      <formula>0</formula>
    </cfRule>
  </conditionalFormatting>
  <conditionalFormatting sqref="P118">
    <cfRule type="cellIs" dxfId="2399" priority="2841" operator="equal">
      <formula>AS_DURATION_EFFORT</formula>
    </cfRule>
    <cfRule type="cellIs" dxfId="2398" priority="2842" operator="equal">
      <formula>AS_DEV_EFFORT</formula>
    </cfRule>
  </conditionalFormatting>
  <conditionalFormatting sqref="L118:AC118">
    <cfRule type="expression" dxfId="2397" priority="2847">
      <formula>AND($G118="Yes", $S$6="Exclude")</formula>
    </cfRule>
    <cfRule type="expression" dxfId="2396" priority="2848">
      <formula>$J118="Yes"</formula>
    </cfRule>
  </conditionalFormatting>
  <conditionalFormatting sqref="F118">
    <cfRule type="expression" dxfId="2395" priority="2840">
      <formula>$K118&lt;&gt;""</formula>
    </cfRule>
  </conditionalFormatting>
  <conditionalFormatting sqref="C118">
    <cfRule type="expression" dxfId="2394" priority="2839">
      <formula>$G118&lt;&gt;"-"</formula>
    </cfRule>
  </conditionalFormatting>
  <conditionalFormatting sqref="D118">
    <cfRule type="expression" dxfId="2393" priority="2838">
      <formula>$H118&lt;&gt;"-"</formula>
    </cfRule>
  </conditionalFormatting>
  <conditionalFormatting sqref="E118">
    <cfRule type="expression" dxfId="2392" priority="2837">
      <formula>$I118&lt;&gt;"-"</formula>
    </cfRule>
  </conditionalFormatting>
  <conditionalFormatting sqref="B119">
    <cfRule type="expression" dxfId="2391" priority="2834">
      <formula>AD119&lt;&gt;""</formula>
    </cfRule>
  </conditionalFormatting>
  <conditionalFormatting sqref="Z119">
    <cfRule type="cellIs" dxfId="2390" priority="2832" operator="greaterThan">
      <formula>0</formula>
    </cfRule>
    <cfRule type="cellIs" dxfId="2389" priority="2833" operator="lessThan">
      <formula>0</formula>
    </cfRule>
  </conditionalFormatting>
  <conditionalFormatting sqref="S119">
    <cfRule type="cellIs" dxfId="2388" priority="2831" operator="lessThan">
      <formula>0</formula>
    </cfRule>
  </conditionalFormatting>
  <conditionalFormatting sqref="P119">
    <cfRule type="cellIs" dxfId="2387" priority="2829" operator="equal">
      <formula>AS_DURATION_EFFORT</formula>
    </cfRule>
    <cfRule type="cellIs" dxfId="2386" priority="2830" operator="equal">
      <formula>AS_DEV_EFFORT</formula>
    </cfRule>
  </conditionalFormatting>
  <conditionalFormatting sqref="L119:AC119">
    <cfRule type="expression" dxfId="2385" priority="2835">
      <formula>AND($G119="Yes", $S$6="Exclude")</formula>
    </cfRule>
    <cfRule type="expression" dxfId="2384" priority="2836">
      <formula>$J119="Yes"</formula>
    </cfRule>
  </conditionalFormatting>
  <conditionalFormatting sqref="F119">
    <cfRule type="expression" dxfId="2383" priority="2828">
      <formula>$K119&lt;&gt;""</formula>
    </cfRule>
  </conditionalFormatting>
  <conditionalFormatting sqref="C119">
    <cfRule type="expression" dxfId="2382" priority="2827">
      <formula>$G119&lt;&gt;"-"</formula>
    </cfRule>
  </conditionalFormatting>
  <conditionalFormatting sqref="D119">
    <cfRule type="expression" dxfId="2381" priority="2826">
      <formula>$H119&lt;&gt;"-"</formula>
    </cfRule>
  </conditionalFormatting>
  <conditionalFormatting sqref="E119">
    <cfRule type="expression" dxfId="2380" priority="2825">
      <formula>$I119&lt;&gt;"-"</formula>
    </cfRule>
  </conditionalFormatting>
  <conditionalFormatting sqref="B120">
    <cfRule type="expression" dxfId="2379" priority="2822">
      <formula>AD120&lt;&gt;""</formula>
    </cfRule>
  </conditionalFormatting>
  <conditionalFormatting sqref="Z120">
    <cfRule type="cellIs" dxfId="2378" priority="2820" operator="greaterThan">
      <formula>0</formula>
    </cfRule>
    <cfRule type="cellIs" dxfId="2377" priority="2821" operator="lessThan">
      <formula>0</formula>
    </cfRule>
  </conditionalFormatting>
  <conditionalFormatting sqref="S120">
    <cfRule type="cellIs" dxfId="2376" priority="2819" operator="lessThan">
      <formula>0</formula>
    </cfRule>
  </conditionalFormatting>
  <conditionalFormatting sqref="P120">
    <cfRule type="cellIs" dxfId="2375" priority="2817" operator="equal">
      <formula>AS_DURATION_EFFORT</formula>
    </cfRule>
    <cfRule type="cellIs" dxfId="2374" priority="2818" operator="equal">
      <formula>AS_DEV_EFFORT</formula>
    </cfRule>
  </conditionalFormatting>
  <conditionalFormatting sqref="L120:AC120">
    <cfRule type="expression" dxfId="2373" priority="2823">
      <formula>AND($G120="Yes", $S$6="Exclude")</formula>
    </cfRule>
    <cfRule type="expression" dxfId="2372" priority="2824">
      <formula>$J120="Yes"</formula>
    </cfRule>
  </conditionalFormatting>
  <conditionalFormatting sqref="F120">
    <cfRule type="expression" dxfId="2371" priority="2816">
      <formula>$K120&lt;&gt;""</formula>
    </cfRule>
  </conditionalFormatting>
  <conditionalFormatting sqref="C120">
    <cfRule type="expression" dxfId="2370" priority="2815">
      <formula>$G120&lt;&gt;"-"</formula>
    </cfRule>
  </conditionalFormatting>
  <conditionalFormatting sqref="D120">
    <cfRule type="expression" dxfId="2369" priority="2814">
      <formula>$H120&lt;&gt;"-"</formula>
    </cfRule>
  </conditionalFormatting>
  <conditionalFormatting sqref="E120">
    <cfRule type="expression" dxfId="2368" priority="2813">
      <formula>$I120&lt;&gt;"-"</formula>
    </cfRule>
  </conditionalFormatting>
  <conditionalFormatting sqref="B130">
    <cfRule type="expression" dxfId="2367" priority="2797">
      <formula>AD130&lt;&gt;""</formula>
    </cfRule>
  </conditionalFormatting>
  <conditionalFormatting sqref="Z130">
    <cfRule type="cellIs" dxfId="2366" priority="2795" operator="greaterThan">
      <formula>0</formula>
    </cfRule>
    <cfRule type="cellIs" dxfId="2365" priority="2796" operator="lessThan">
      <formula>0</formula>
    </cfRule>
  </conditionalFormatting>
  <conditionalFormatting sqref="S130">
    <cfRule type="cellIs" dxfId="2364" priority="2794" operator="lessThan">
      <formula>0</formula>
    </cfRule>
  </conditionalFormatting>
  <conditionalFormatting sqref="T128:T129">
    <cfRule type="expression" dxfId="2363" priority="2798">
      <formula>#REF!="Yes"</formula>
    </cfRule>
  </conditionalFormatting>
  <conditionalFormatting sqref="P130">
    <cfRule type="cellIs" dxfId="2362" priority="2792" operator="equal">
      <formula>AS_DURATION_EFFORT</formula>
    </cfRule>
    <cfRule type="cellIs" dxfId="2361" priority="2793" operator="equal">
      <formula>AS_DEV_EFFORT</formula>
    </cfRule>
  </conditionalFormatting>
  <conditionalFormatting sqref="B128:B129">
    <cfRule type="expression" dxfId="2360" priority="2791">
      <formula>AD128&lt;&gt;""</formula>
    </cfRule>
  </conditionalFormatting>
  <conditionalFormatting sqref="L130:AC130">
    <cfRule type="expression" dxfId="2359" priority="2799">
      <formula>AND($G130="Yes", $S$6="Exclude")</formula>
    </cfRule>
    <cfRule type="expression" dxfId="2358" priority="2800">
      <formula>$J130="Yes"</formula>
    </cfRule>
  </conditionalFormatting>
  <conditionalFormatting sqref="F130">
    <cfRule type="expression" dxfId="2357" priority="2790">
      <formula>$K130&lt;&gt;""</formula>
    </cfRule>
  </conditionalFormatting>
  <conditionalFormatting sqref="C130">
    <cfRule type="expression" dxfId="2356" priority="2789">
      <formula>$G130&lt;&gt;"-"</formula>
    </cfRule>
  </conditionalFormatting>
  <conditionalFormatting sqref="D130">
    <cfRule type="expression" dxfId="2355" priority="2788">
      <formula>$H130&lt;&gt;"-"</formula>
    </cfRule>
  </conditionalFormatting>
  <conditionalFormatting sqref="E130">
    <cfRule type="expression" dxfId="2354" priority="2787">
      <formula>$I130&lt;&gt;"-"</formula>
    </cfRule>
  </conditionalFormatting>
  <conditionalFormatting sqref="B131">
    <cfRule type="expression" dxfId="2353" priority="2784">
      <formula>AD131&lt;&gt;""</formula>
    </cfRule>
  </conditionalFormatting>
  <conditionalFormatting sqref="Z131">
    <cfRule type="cellIs" dxfId="2352" priority="2782" operator="greaterThan">
      <formula>0</formula>
    </cfRule>
    <cfRule type="cellIs" dxfId="2351" priority="2783" operator="lessThan">
      <formula>0</formula>
    </cfRule>
  </conditionalFormatting>
  <conditionalFormatting sqref="S131">
    <cfRule type="cellIs" dxfId="2350" priority="2781" operator="lessThan">
      <formula>0</formula>
    </cfRule>
  </conditionalFormatting>
  <conditionalFormatting sqref="P131">
    <cfRule type="cellIs" dxfId="2349" priority="2779" operator="equal">
      <formula>AS_DURATION_EFFORT</formula>
    </cfRule>
    <cfRule type="cellIs" dxfId="2348" priority="2780" operator="equal">
      <formula>AS_DEV_EFFORT</formula>
    </cfRule>
  </conditionalFormatting>
  <conditionalFormatting sqref="L131:AC131">
    <cfRule type="expression" dxfId="2347" priority="2785">
      <formula>AND($G131="Yes", $S$6="Exclude")</formula>
    </cfRule>
    <cfRule type="expression" dxfId="2346" priority="2786">
      <formula>$J131="Yes"</formula>
    </cfRule>
  </conditionalFormatting>
  <conditionalFormatting sqref="F131">
    <cfRule type="expression" dxfId="2345" priority="2778">
      <formula>$K131&lt;&gt;""</formula>
    </cfRule>
  </conditionalFormatting>
  <conditionalFormatting sqref="C131">
    <cfRule type="expression" dxfId="2344" priority="2777">
      <formula>$G131&lt;&gt;"-"</formula>
    </cfRule>
  </conditionalFormatting>
  <conditionalFormatting sqref="D131">
    <cfRule type="expression" dxfId="2343" priority="2776">
      <formula>$H131&lt;&gt;"-"</formula>
    </cfRule>
  </conditionalFormatting>
  <conditionalFormatting sqref="E131">
    <cfRule type="expression" dxfId="2342" priority="2775">
      <formula>$I131&lt;&gt;"-"</formula>
    </cfRule>
  </conditionalFormatting>
  <conditionalFormatting sqref="B132">
    <cfRule type="expression" dxfId="2341" priority="2772">
      <formula>AD132&lt;&gt;""</formula>
    </cfRule>
  </conditionalFormatting>
  <conditionalFormatting sqref="Z132">
    <cfRule type="cellIs" dxfId="2340" priority="2770" operator="greaterThan">
      <formula>0</formula>
    </cfRule>
    <cfRule type="cellIs" dxfId="2339" priority="2771" operator="lessThan">
      <formula>0</formula>
    </cfRule>
  </conditionalFormatting>
  <conditionalFormatting sqref="S132">
    <cfRule type="cellIs" dxfId="2338" priority="2769" operator="lessThan">
      <formula>0</formula>
    </cfRule>
  </conditionalFormatting>
  <conditionalFormatting sqref="P132">
    <cfRule type="cellIs" dxfId="2337" priority="2767" operator="equal">
      <formula>AS_DURATION_EFFORT</formula>
    </cfRule>
    <cfRule type="cellIs" dxfId="2336" priority="2768" operator="equal">
      <formula>AS_DEV_EFFORT</formula>
    </cfRule>
  </conditionalFormatting>
  <conditionalFormatting sqref="L132:AC132">
    <cfRule type="expression" dxfId="2335" priority="2773">
      <formula>AND($G132="Yes", $S$6="Exclude")</formula>
    </cfRule>
    <cfRule type="expression" dxfId="2334" priority="2774">
      <formula>$J132="Yes"</formula>
    </cfRule>
  </conditionalFormatting>
  <conditionalFormatting sqref="F132">
    <cfRule type="expression" dxfId="2333" priority="2766">
      <formula>$K132&lt;&gt;""</formula>
    </cfRule>
  </conditionalFormatting>
  <conditionalFormatting sqref="C132">
    <cfRule type="expression" dxfId="2332" priority="2765">
      <formula>$G132&lt;&gt;"-"</formula>
    </cfRule>
  </conditionalFormatting>
  <conditionalFormatting sqref="D132">
    <cfRule type="expression" dxfId="2331" priority="2764">
      <formula>$H132&lt;&gt;"-"</formula>
    </cfRule>
  </conditionalFormatting>
  <conditionalFormatting sqref="E132">
    <cfRule type="expression" dxfId="2330" priority="2763">
      <formula>$I132&lt;&gt;"-"</formula>
    </cfRule>
  </conditionalFormatting>
  <conditionalFormatting sqref="B133">
    <cfRule type="expression" dxfId="2329" priority="2760">
      <formula>AD133&lt;&gt;""</formula>
    </cfRule>
  </conditionalFormatting>
  <conditionalFormatting sqref="Z133">
    <cfRule type="cellIs" dxfId="2328" priority="2758" operator="greaterThan">
      <formula>0</formula>
    </cfRule>
    <cfRule type="cellIs" dxfId="2327" priority="2759" operator="lessThan">
      <formula>0</formula>
    </cfRule>
  </conditionalFormatting>
  <conditionalFormatting sqref="S133">
    <cfRule type="cellIs" dxfId="2326" priority="2757" operator="lessThan">
      <formula>0</formula>
    </cfRule>
  </conditionalFormatting>
  <conditionalFormatting sqref="P133">
    <cfRule type="cellIs" dxfId="2325" priority="2755" operator="equal">
      <formula>AS_DURATION_EFFORT</formula>
    </cfRule>
    <cfRule type="cellIs" dxfId="2324" priority="2756" operator="equal">
      <formula>AS_DEV_EFFORT</formula>
    </cfRule>
  </conditionalFormatting>
  <conditionalFormatting sqref="L133:AC133">
    <cfRule type="expression" dxfId="2323" priority="2761">
      <formula>AND($G133="Yes", $S$6="Exclude")</formula>
    </cfRule>
    <cfRule type="expression" dxfId="2322" priority="2762">
      <formula>$J133="Yes"</formula>
    </cfRule>
  </conditionalFormatting>
  <conditionalFormatting sqref="F133">
    <cfRule type="expression" dxfId="2321" priority="2754">
      <formula>$K133&lt;&gt;""</formula>
    </cfRule>
  </conditionalFormatting>
  <conditionalFormatting sqref="C133">
    <cfRule type="expression" dxfId="2320" priority="2753">
      <formula>$G133&lt;&gt;"-"</formula>
    </cfRule>
  </conditionalFormatting>
  <conditionalFormatting sqref="D133">
    <cfRule type="expression" dxfId="2319" priority="2752">
      <formula>$H133&lt;&gt;"-"</formula>
    </cfRule>
  </conditionalFormatting>
  <conditionalFormatting sqref="E133">
    <cfRule type="expression" dxfId="2318" priority="2751">
      <formula>$I133&lt;&gt;"-"</formula>
    </cfRule>
  </conditionalFormatting>
  <conditionalFormatting sqref="B147">
    <cfRule type="expression" dxfId="2317" priority="2747">
      <formula>AD147&lt;&gt;""</formula>
    </cfRule>
  </conditionalFormatting>
  <conditionalFormatting sqref="Z147">
    <cfRule type="cellIs" dxfId="2316" priority="2745" operator="greaterThan">
      <formula>0</formula>
    </cfRule>
    <cfRule type="cellIs" dxfId="2315" priority="2746" operator="lessThan">
      <formula>0</formula>
    </cfRule>
  </conditionalFormatting>
  <conditionalFormatting sqref="S147">
    <cfRule type="cellIs" dxfId="2314" priority="2744" operator="lessThan">
      <formula>0</formula>
    </cfRule>
  </conditionalFormatting>
  <conditionalFormatting sqref="T145:T146">
    <cfRule type="expression" dxfId="2313" priority="2748">
      <formula>#REF!="Yes"</formula>
    </cfRule>
  </conditionalFormatting>
  <conditionalFormatting sqref="P147">
    <cfRule type="cellIs" dxfId="2312" priority="2742" operator="equal">
      <formula>AS_DURATION_EFFORT</formula>
    </cfRule>
    <cfRule type="cellIs" dxfId="2311" priority="2743" operator="equal">
      <formula>AS_DEV_EFFORT</formula>
    </cfRule>
  </conditionalFormatting>
  <conditionalFormatting sqref="B145:B146">
    <cfRule type="expression" dxfId="2310" priority="2741">
      <formula>AD145&lt;&gt;""</formula>
    </cfRule>
  </conditionalFormatting>
  <conditionalFormatting sqref="L147:AC147">
    <cfRule type="expression" dxfId="2309" priority="2749">
      <formula>AND($G147="Yes", $S$6="Exclude")</formula>
    </cfRule>
    <cfRule type="expression" dxfId="2308" priority="2750">
      <formula>$J147="Yes"</formula>
    </cfRule>
  </conditionalFormatting>
  <conditionalFormatting sqref="F147">
    <cfRule type="expression" dxfId="2307" priority="2740">
      <formula>$K147&lt;&gt;""</formula>
    </cfRule>
  </conditionalFormatting>
  <conditionalFormatting sqref="C147">
    <cfRule type="expression" dxfId="2306" priority="2739">
      <formula>$G147&lt;&gt;"-"</formula>
    </cfRule>
  </conditionalFormatting>
  <conditionalFormatting sqref="D147">
    <cfRule type="expression" dxfId="2305" priority="2738">
      <formula>$H147&lt;&gt;"-"</formula>
    </cfRule>
  </conditionalFormatting>
  <conditionalFormatting sqref="E147">
    <cfRule type="expression" dxfId="2304" priority="2737">
      <formula>$I147&lt;&gt;"-"</formula>
    </cfRule>
  </conditionalFormatting>
  <conditionalFormatting sqref="B148">
    <cfRule type="expression" dxfId="2303" priority="2734">
      <formula>AD148&lt;&gt;""</formula>
    </cfRule>
  </conditionalFormatting>
  <conditionalFormatting sqref="Z148">
    <cfRule type="cellIs" dxfId="2302" priority="2732" operator="greaterThan">
      <formula>0</formula>
    </cfRule>
    <cfRule type="cellIs" dxfId="2301" priority="2733" operator="lessThan">
      <formula>0</formula>
    </cfRule>
  </conditionalFormatting>
  <conditionalFormatting sqref="S148">
    <cfRule type="cellIs" dxfId="2300" priority="2731" operator="lessThan">
      <formula>0</formula>
    </cfRule>
  </conditionalFormatting>
  <conditionalFormatting sqref="P148">
    <cfRule type="cellIs" dxfId="2299" priority="2729" operator="equal">
      <formula>AS_DURATION_EFFORT</formula>
    </cfRule>
    <cfRule type="cellIs" dxfId="2298" priority="2730" operator="equal">
      <formula>AS_DEV_EFFORT</formula>
    </cfRule>
  </conditionalFormatting>
  <conditionalFormatting sqref="L148:AC148">
    <cfRule type="expression" dxfId="2297" priority="2735">
      <formula>AND($G148="Yes", $S$6="Exclude")</formula>
    </cfRule>
    <cfRule type="expression" dxfId="2296" priority="2736">
      <formula>$J148="Yes"</formula>
    </cfRule>
  </conditionalFormatting>
  <conditionalFormatting sqref="F148">
    <cfRule type="expression" dxfId="2295" priority="2728">
      <formula>$K148&lt;&gt;""</formula>
    </cfRule>
  </conditionalFormatting>
  <conditionalFormatting sqref="C148">
    <cfRule type="expression" dxfId="2294" priority="2727">
      <formula>$G148&lt;&gt;"-"</formula>
    </cfRule>
  </conditionalFormatting>
  <conditionalFormatting sqref="D148">
    <cfRule type="expression" dxfId="2293" priority="2726">
      <formula>$H148&lt;&gt;"-"</formula>
    </cfRule>
  </conditionalFormatting>
  <conditionalFormatting sqref="E148">
    <cfRule type="expression" dxfId="2292" priority="2725">
      <formula>$I148&lt;&gt;"-"</formula>
    </cfRule>
  </conditionalFormatting>
  <conditionalFormatting sqref="B149">
    <cfRule type="expression" dxfId="2291" priority="2722">
      <formula>AD149&lt;&gt;""</formula>
    </cfRule>
  </conditionalFormatting>
  <conditionalFormatting sqref="Z149">
    <cfRule type="cellIs" dxfId="2290" priority="2720" operator="greaterThan">
      <formula>0</formula>
    </cfRule>
    <cfRule type="cellIs" dxfId="2289" priority="2721" operator="lessThan">
      <formula>0</formula>
    </cfRule>
  </conditionalFormatting>
  <conditionalFormatting sqref="S149">
    <cfRule type="cellIs" dxfId="2288" priority="2719" operator="lessThan">
      <formula>0</formula>
    </cfRule>
  </conditionalFormatting>
  <conditionalFormatting sqref="P149">
    <cfRule type="cellIs" dxfId="2287" priority="2717" operator="equal">
      <formula>AS_DURATION_EFFORT</formula>
    </cfRule>
    <cfRule type="cellIs" dxfId="2286" priority="2718" operator="equal">
      <formula>AS_DEV_EFFORT</formula>
    </cfRule>
  </conditionalFormatting>
  <conditionalFormatting sqref="L149:AC149">
    <cfRule type="expression" dxfId="2285" priority="2723">
      <formula>AND($G149="Yes", $S$6="Exclude")</formula>
    </cfRule>
    <cfRule type="expression" dxfId="2284" priority="2724">
      <formula>$J149="Yes"</formula>
    </cfRule>
  </conditionalFormatting>
  <conditionalFormatting sqref="F149">
    <cfRule type="expression" dxfId="2283" priority="2716">
      <formula>$K149&lt;&gt;""</formula>
    </cfRule>
  </conditionalFormatting>
  <conditionalFormatting sqref="C149">
    <cfRule type="expression" dxfId="2282" priority="2715">
      <formula>$G149&lt;&gt;"-"</formula>
    </cfRule>
  </conditionalFormatting>
  <conditionalFormatting sqref="D149">
    <cfRule type="expression" dxfId="2281" priority="2714">
      <formula>$H149&lt;&gt;"-"</formula>
    </cfRule>
  </conditionalFormatting>
  <conditionalFormatting sqref="E149">
    <cfRule type="expression" dxfId="2280" priority="2713">
      <formula>$I149&lt;&gt;"-"</formula>
    </cfRule>
  </conditionalFormatting>
  <conditionalFormatting sqref="B150">
    <cfRule type="expression" dxfId="2279" priority="2710">
      <formula>AD150&lt;&gt;""</formula>
    </cfRule>
  </conditionalFormatting>
  <conditionalFormatting sqref="Z150">
    <cfRule type="cellIs" dxfId="2278" priority="2708" operator="greaterThan">
      <formula>0</formula>
    </cfRule>
    <cfRule type="cellIs" dxfId="2277" priority="2709" operator="lessThan">
      <formula>0</formula>
    </cfRule>
  </conditionalFormatting>
  <conditionalFormatting sqref="S150">
    <cfRule type="cellIs" dxfId="2276" priority="2707" operator="lessThan">
      <formula>0</formula>
    </cfRule>
  </conditionalFormatting>
  <conditionalFormatting sqref="P150">
    <cfRule type="cellIs" dxfId="2275" priority="2705" operator="equal">
      <formula>AS_DURATION_EFFORT</formula>
    </cfRule>
    <cfRule type="cellIs" dxfId="2274" priority="2706" operator="equal">
      <formula>AS_DEV_EFFORT</formula>
    </cfRule>
  </conditionalFormatting>
  <conditionalFormatting sqref="L150:AC150">
    <cfRule type="expression" dxfId="2273" priority="2711">
      <formula>AND($G150="Yes", $S$6="Exclude")</formula>
    </cfRule>
    <cfRule type="expression" dxfId="2272" priority="2712">
      <formula>$J150="Yes"</formula>
    </cfRule>
  </conditionalFormatting>
  <conditionalFormatting sqref="F150">
    <cfRule type="expression" dxfId="2271" priority="2704">
      <formula>$K150&lt;&gt;""</formula>
    </cfRule>
  </conditionalFormatting>
  <conditionalFormatting sqref="C150">
    <cfRule type="expression" dxfId="2270" priority="2703">
      <formula>$G150&lt;&gt;"-"</formula>
    </cfRule>
  </conditionalFormatting>
  <conditionalFormatting sqref="D150">
    <cfRule type="expression" dxfId="2269" priority="2702">
      <formula>$H150&lt;&gt;"-"</formula>
    </cfRule>
  </conditionalFormatting>
  <conditionalFormatting sqref="E150">
    <cfRule type="expression" dxfId="2268" priority="2701">
      <formula>$I150&lt;&gt;"-"</formula>
    </cfRule>
  </conditionalFormatting>
  <conditionalFormatting sqref="B181">
    <cfRule type="expression" dxfId="2267" priority="2650">
      <formula>AD181&lt;&gt;""</formula>
    </cfRule>
  </conditionalFormatting>
  <conditionalFormatting sqref="Z181">
    <cfRule type="cellIs" dxfId="2266" priority="2648" operator="greaterThan">
      <formula>0</formula>
    </cfRule>
    <cfRule type="cellIs" dxfId="2265" priority="2649" operator="lessThan">
      <formula>0</formula>
    </cfRule>
  </conditionalFormatting>
  <conditionalFormatting sqref="S181">
    <cfRule type="cellIs" dxfId="2264" priority="2647" operator="lessThan">
      <formula>0</formula>
    </cfRule>
  </conditionalFormatting>
  <conditionalFormatting sqref="P181">
    <cfRule type="cellIs" dxfId="2263" priority="2645" operator="equal">
      <formula>AS_DURATION_EFFORT</formula>
    </cfRule>
    <cfRule type="cellIs" dxfId="2262" priority="2646" operator="equal">
      <formula>AS_DEV_EFFORT</formula>
    </cfRule>
  </conditionalFormatting>
  <conditionalFormatting sqref="F181">
    <cfRule type="expression" dxfId="2261" priority="2644">
      <formula>$K181&lt;&gt;""</formula>
    </cfRule>
  </conditionalFormatting>
  <conditionalFormatting sqref="C181">
    <cfRule type="expression" dxfId="2260" priority="2643">
      <formula>$G181&lt;&gt;"-"</formula>
    </cfRule>
  </conditionalFormatting>
  <conditionalFormatting sqref="D181">
    <cfRule type="expression" dxfId="2259" priority="2642">
      <formula>$H181&lt;&gt;"-"</formula>
    </cfRule>
  </conditionalFormatting>
  <conditionalFormatting sqref="E181">
    <cfRule type="expression" dxfId="2258" priority="2641">
      <formula>$I181&lt;&gt;"-"</formula>
    </cfRule>
  </conditionalFormatting>
  <conditionalFormatting sqref="B203">
    <cfRule type="expression" dxfId="2257" priority="2637">
      <formula>AD203&lt;&gt;""</formula>
    </cfRule>
  </conditionalFormatting>
  <conditionalFormatting sqref="Z203">
    <cfRule type="cellIs" dxfId="2256" priority="2635" operator="greaterThan">
      <formula>0</formula>
    </cfRule>
    <cfRule type="cellIs" dxfId="2255" priority="2636" operator="lessThan">
      <formula>0</formula>
    </cfRule>
  </conditionalFormatting>
  <conditionalFormatting sqref="S203">
    <cfRule type="cellIs" dxfId="2254" priority="2634" operator="lessThan">
      <formula>0</formula>
    </cfRule>
  </conditionalFormatting>
  <conditionalFormatting sqref="T201:T202">
    <cfRule type="expression" dxfId="2253" priority="2638">
      <formula>#REF!="Yes"</formula>
    </cfRule>
  </conditionalFormatting>
  <conditionalFormatting sqref="P203">
    <cfRule type="cellIs" dxfId="2252" priority="2632" operator="equal">
      <formula>AS_DURATION_EFFORT</formula>
    </cfRule>
    <cfRule type="cellIs" dxfId="2251" priority="2633" operator="equal">
      <formula>AS_DEV_EFFORT</formula>
    </cfRule>
  </conditionalFormatting>
  <conditionalFormatting sqref="B201:B202">
    <cfRule type="expression" dxfId="2250" priority="2631">
      <formula>AD201&lt;&gt;""</formula>
    </cfRule>
  </conditionalFormatting>
  <conditionalFormatting sqref="F203">
    <cfRule type="expression" dxfId="2249" priority="2630">
      <formula>$K203&lt;&gt;""</formula>
    </cfRule>
  </conditionalFormatting>
  <conditionalFormatting sqref="C203">
    <cfRule type="expression" dxfId="2248" priority="2629">
      <formula>$G203&lt;&gt;"-"</formula>
    </cfRule>
  </conditionalFormatting>
  <conditionalFormatting sqref="D203">
    <cfRule type="expression" dxfId="2247" priority="2628">
      <formula>$H203&lt;&gt;"-"</formula>
    </cfRule>
  </conditionalFormatting>
  <conditionalFormatting sqref="E203">
    <cfRule type="expression" dxfId="2246" priority="2627">
      <formula>$I203&lt;&gt;"-"</formula>
    </cfRule>
  </conditionalFormatting>
  <conditionalFormatting sqref="B204">
    <cfRule type="expression" dxfId="2245" priority="2624">
      <formula>AD204&lt;&gt;""</formula>
    </cfRule>
  </conditionalFormatting>
  <conditionalFormatting sqref="Z204">
    <cfRule type="cellIs" dxfId="2244" priority="2622" operator="greaterThan">
      <formula>0</formula>
    </cfRule>
    <cfRule type="cellIs" dxfId="2243" priority="2623" operator="lessThan">
      <formula>0</formula>
    </cfRule>
  </conditionalFormatting>
  <conditionalFormatting sqref="S204">
    <cfRule type="cellIs" dxfId="2242" priority="2621" operator="lessThan">
      <formula>0</formula>
    </cfRule>
  </conditionalFormatting>
  <conditionalFormatting sqref="P204">
    <cfRule type="cellIs" dxfId="2241" priority="2619" operator="equal">
      <formula>AS_DURATION_EFFORT</formula>
    </cfRule>
    <cfRule type="cellIs" dxfId="2240" priority="2620" operator="equal">
      <formula>AS_DEV_EFFORT</formula>
    </cfRule>
  </conditionalFormatting>
  <conditionalFormatting sqref="F204">
    <cfRule type="expression" dxfId="2239" priority="2618">
      <formula>$K204&lt;&gt;""</formula>
    </cfRule>
  </conditionalFormatting>
  <conditionalFormatting sqref="C204">
    <cfRule type="expression" dxfId="2238" priority="2617">
      <formula>$G204&lt;&gt;"-"</formula>
    </cfRule>
  </conditionalFormatting>
  <conditionalFormatting sqref="D204">
    <cfRule type="expression" dxfId="2237" priority="2616">
      <formula>$H204&lt;&gt;"-"</formula>
    </cfRule>
  </conditionalFormatting>
  <conditionalFormatting sqref="E204">
    <cfRule type="expression" dxfId="2236" priority="2615">
      <formula>$I204&lt;&gt;"-"</formula>
    </cfRule>
  </conditionalFormatting>
  <conditionalFormatting sqref="B205">
    <cfRule type="expression" dxfId="2235" priority="2612">
      <formula>AD205&lt;&gt;""</formula>
    </cfRule>
  </conditionalFormatting>
  <conditionalFormatting sqref="Z205">
    <cfRule type="cellIs" dxfId="2234" priority="2610" operator="greaterThan">
      <formula>0</formula>
    </cfRule>
    <cfRule type="cellIs" dxfId="2233" priority="2611" operator="lessThan">
      <formula>0</formula>
    </cfRule>
  </conditionalFormatting>
  <conditionalFormatting sqref="S205">
    <cfRule type="cellIs" dxfId="2232" priority="2609" operator="lessThan">
      <formula>0</formula>
    </cfRule>
  </conditionalFormatting>
  <conditionalFormatting sqref="P205">
    <cfRule type="cellIs" dxfId="2231" priority="2607" operator="equal">
      <formula>AS_DURATION_EFFORT</formula>
    </cfRule>
    <cfRule type="cellIs" dxfId="2230" priority="2608" operator="equal">
      <formula>AS_DEV_EFFORT</formula>
    </cfRule>
  </conditionalFormatting>
  <conditionalFormatting sqref="F205">
    <cfRule type="expression" dxfId="2229" priority="2606">
      <formula>$K205&lt;&gt;""</formula>
    </cfRule>
  </conditionalFormatting>
  <conditionalFormatting sqref="C205">
    <cfRule type="expression" dxfId="2228" priority="2605">
      <formula>$G205&lt;&gt;"-"</formula>
    </cfRule>
  </conditionalFormatting>
  <conditionalFormatting sqref="D205">
    <cfRule type="expression" dxfId="2227" priority="2604">
      <formula>$H205&lt;&gt;"-"</formula>
    </cfRule>
  </conditionalFormatting>
  <conditionalFormatting sqref="E205">
    <cfRule type="expression" dxfId="2226" priority="2603">
      <formula>$I205&lt;&gt;"-"</formula>
    </cfRule>
  </conditionalFormatting>
  <conditionalFormatting sqref="B206">
    <cfRule type="expression" dxfId="2225" priority="2600">
      <formula>AD206&lt;&gt;""</formula>
    </cfRule>
  </conditionalFormatting>
  <conditionalFormatting sqref="Z206">
    <cfRule type="cellIs" dxfId="2224" priority="2598" operator="greaterThan">
      <formula>0</formula>
    </cfRule>
    <cfRule type="cellIs" dxfId="2223" priority="2599" operator="lessThan">
      <formula>0</formula>
    </cfRule>
  </conditionalFormatting>
  <conditionalFormatting sqref="S206">
    <cfRule type="cellIs" dxfId="2222" priority="2597" operator="lessThan">
      <formula>0</formula>
    </cfRule>
  </conditionalFormatting>
  <conditionalFormatting sqref="P206">
    <cfRule type="cellIs" dxfId="2221" priority="2595" operator="equal">
      <formula>AS_DURATION_EFFORT</formula>
    </cfRule>
    <cfRule type="cellIs" dxfId="2220" priority="2596" operator="equal">
      <formula>AS_DEV_EFFORT</formula>
    </cfRule>
  </conditionalFormatting>
  <conditionalFormatting sqref="F206">
    <cfRule type="expression" dxfId="2219" priority="2594">
      <formula>$K206&lt;&gt;""</formula>
    </cfRule>
  </conditionalFormatting>
  <conditionalFormatting sqref="C206">
    <cfRule type="expression" dxfId="2218" priority="2593">
      <formula>$G206&lt;&gt;"-"</formula>
    </cfRule>
  </conditionalFormatting>
  <conditionalFormatting sqref="D206">
    <cfRule type="expression" dxfId="2217" priority="2592">
      <formula>$H206&lt;&gt;"-"</formula>
    </cfRule>
  </conditionalFormatting>
  <conditionalFormatting sqref="E206">
    <cfRule type="expression" dxfId="2216" priority="2591">
      <formula>$I206&lt;&gt;"-"</formula>
    </cfRule>
  </conditionalFormatting>
  <conditionalFormatting sqref="B211">
    <cfRule type="expression" dxfId="2215" priority="2587">
      <formula>AD211&lt;&gt;""</formula>
    </cfRule>
  </conditionalFormatting>
  <conditionalFormatting sqref="Z211">
    <cfRule type="cellIs" dxfId="2214" priority="2585" operator="greaterThan">
      <formula>0</formula>
    </cfRule>
    <cfRule type="cellIs" dxfId="2213" priority="2586" operator="lessThan">
      <formula>0</formula>
    </cfRule>
  </conditionalFormatting>
  <conditionalFormatting sqref="S211">
    <cfRule type="cellIs" dxfId="2212" priority="2584" operator="lessThan">
      <formula>0</formula>
    </cfRule>
  </conditionalFormatting>
  <conditionalFormatting sqref="T209:T210">
    <cfRule type="expression" dxfId="2211" priority="2588">
      <formula>#REF!="Yes"</formula>
    </cfRule>
  </conditionalFormatting>
  <conditionalFormatting sqref="P211">
    <cfRule type="cellIs" dxfId="2210" priority="2582" operator="equal">
      <formula>AS_DURATION_EFFORT</formula>
    </cfRule>
    <cfRule type="cellIs" dxfId="2209" priority="2583" operator="equal">
      <formula>AS_DEV_EFFORT</formula>
    </cfRule>
  </conditionalFormatting>
  <conditionalFormatting sqref="B209:B210">
    <cfRule type="expression" dxfId="2208" priority="2581">
      <formula>AD209&lt;&gt;""</formula>
    </cfRule>
  </conditionalFormatting>
  <conditionalFormatting sqref="F211">
    <cfRule type="expression" dxfId="2207" priority="2580">
      <formula>$K211&lt;&gt;""</formula>
    </cfRule>
  </conditionalFormatting>
  <conditionalFormatting sqref="C211">
    <cfRule type="expression" dxfId="2206" priority="2579">
      <formula>$G211&lt;&gt;"-"</formula>
    </cfRule>
  </conditionalFormatting>
  <conditionalFormatting sqref="D211">
    <cfRule type="expression" dxfId="2205" priority="2578">
      <formula>$H211&lt;&gt;"-"</formula>
    </cfRule>
  </conditionalFormatting>
  <conditionalFormatting sqref="E211">
    <cfRule type="expression" dxfId="2204" priority="2577">
      <formula>$I211&lt;&gt;"-"</formula>
    </cfRule>
  </conditionalFormatting>
  <conditionalFormatting sqref="B212">
    <cfRule type="expression" dxfId="2203" priority="2574">
      <formula>AD212&lt;&gt;""</formula>
    </cfRule>
  </conditionalFormatting>
  <conditionalFormatting sqref="Z212">
    <cfRule type="cellIs" dxfId="2202" priority="2572" operator="greaterThan">
      <formula>0</formula>
    </cfRule>
    <cfRule type="cellIs" dxfId="2201" priority="2573" operator="lessThan">
      <formula>0</formula>
    </cfRule>
  </conditionalFormatting>
  <conditionalFormatting sqref="S212">
    <cfRule type="cellIs" dxfId="2200" priority="2571" operator="lessThan">
      <formula>0</formula>
    </cfRule>
  </conditionalFormatting>
  <conditionalFormatting sqref="P212">
    <cfRule type="cellIs" dxfId="2199" priority="2569" operator="equal">
      <formula>AS_DURATION_EFFORT</formula>
    </cfRule>
    <cfRule type="cellIs" dxfId="2198" priority="2570" operator="equal">
      <formula>AS_DEV_EFFORT</formula>
    </cfRule>
  </conditionalFormatting>
  <conditionalFormatting sqref="F212">
    <cfRule type="expression" dxfId="2197" priority="2568">
      <formula>$K212&lt;&gt;""</formula>
    </cfRule>
  </conditionalFormatting>
  <conditionalFormatting sqref="C212">
    <cfRule type="expression" dxfId="2196" priority="2567">
      <formula>$G212&lt;&gt;"-"</formula>
    </cfRule>
  </conditionalFormatting>
  <conditionalFormatting sqref="D212">
    <cfRule type="expression" dxfId="2195" priority="2566">
      <formula>$H212&lt;&gt;"-"</formula>
    </cfRule>
  </conditionalFormatting>
  <conditionalFormatting sqref="E212">
    <cfRule type="expression" dxfId="2194" priority="2565">
      <formula>$I212&lt;&gt;"-"</formula>
    </cfRule>
  </conditionalFormatting>
  <conditionalFormatting sqref="B213">
    <cfRule type="expression" dxfId="2193" priority="2562">
      <formula>AD213&lt;&gt;""</formula>
    </cfRule>
  </conditionalFormatting>
  <conditionalFormatting sqref="Z213">
    <cfRule type="cellIs" dxfId="2192" priority="2560" operator="greaterThan">
      <formula>0</formula>
    </cfRule>
    <cfRule type="cellIs" dxfId="2191" priority="2561" operator="lessThan">
      <formula>0</formula>
    </cfRule>
  </conditionalFormatting>
  <conditionalFormatting sqref="S213">
    <cfRule type="cellIs" dxfId="2190" priority="2559" operator="lessThan">
      <formula>0</formula>
    </cfRule>
  </conditionalFormatting>
  <conditionalFormatting sqref="P213">
    <cfRule type="cellIs" dxfId="2189" priority="2557" operator="equal">
      <formula>AS_DURATION_EFFORT</formula>
    </cfRule>
    <cfRule type="cellIs" dxfId="2188" priority="2558" operator="equal">
      <formula>AS_DEV_EFFORT</formula>
    </cfRule>
  </conditionalFormatting>
  <conditionalFormatting sqref="F213">
    <cfRule type="expression" dxfId="2187" priority="2556">
      <formula>$K213&lt;&gt;""</formula>
    </cfRule>
  </conditionalFormatting>
  <conditionalFormatting sqref="C213">
    <cfRule type="expression" dxfId="2186" priority="2555">
      <formula>$G213&lt;&gt;"-"</formula>
    </cfRule>
  </conditionalFormatting>
  <conditionalFormatting sqref="D213">
    <cfRule type="expression" dxfId="2185" priority="2554">
      <formula>$H213&lt;&gt;"-"</formula>
    </cfRule>
  </conditionalFormatting>
  <conditionalFormatting sqref="E213">
    <cfRule type="expression" dxfId="2184" priority="2553">
      <formula>$I213&lt;&gt;"-"</formula>
    </cfRule>
  </conditionalFormatting>
  <conditionalFormatting sqref="B229">
    <cfRule type="expression" dxfId="2183" priority="2549">
      <formula>AD229&lt;&gt;""</formula>
    </cfRule>
  </conditionalFormatting>
  <conditionalFormatting sqref="Z229">
    <cfRule type="cellIs" dxfId="2182" priority="2547" operator="greaterThan">
      <formula>0</formula>
    </cfRule>
    <cfRule type="cellIs" dxfId="2181" priority="2548" operator="lessThan">
      <formula>0</formula>
    </cfRule>
  </conditionalFormatting>
  <conditionalFormatting sqref="S229">
    <cfRule type="cellIs" dxfId="2180" priority="2546" operator="lessThan">
      <formula>0</formula>
    </cfRule>
  </conditionalFormatting>
  <conditionalFormatting sqref="T227:T228">
    <cfRule type="expression" dxfId="2179" priority="2550">
      <formula>#REF!="Yes"</formula>
    </cfRule>
  </conditionalFormatting>
  <conditionalFormatting sqref="P229">
    <cfRule type="cellIs" dxfId="2178" priority="2544" operator="equal">
      <formula>AS_DURATION_EFFORT</formula>
    </cfRule>
    <cfRule type="cellIs" dxfId="2177" priority="2545" operator="equal">
      <formula>AS_DEV_EFFORT</formula>
    </cfRule>
  </conditionalFormatting>
  <conditionalFormatting sqref="B227:B228">
    <cfRule type="expression" dxfId="2176" priority="2543">
      <formula>AD227&lt;&gt;""</formula>
    </cfRule>
  </conditionalFormatting>
  <conditionalFormatting sqref="F229">
    <cfRule type="expression" dxfId="2175" priority="2542">
      <formula>$K229&lt;&gt;""</formula>
    </cfRule>
  </conditionalFormatting>
  <conditionalFormatting sqref="C229">
    <cfRule type="expression" dxfId="2174" priority="2541">
      <formula>$G229&lt;&gt;"-"</formula>
    </cfRule>
  </conditionalFormatting>
  <conditionalFormatting sqref="D229">
    <cfRule type="expression" dxfId="2173" priority="2540">
      <formula>$H229&lt;&gt;"-"</formula>
    </cfRule>
  </conditionalFormatting>
  <conditionalFormatting sqref="E229">
    <cfRule type="expression" dxfId="2172" priority="2539">
      <formula>$I229&lt;&gt;"-"</formula>
    </cfRule>
  </conditionalFormatting>
  <conditionalFormatting sqref="B240">
    <cfRule type="expression" dxfId="2171" priority="2533">
      <formula>AD240&lt;&gt;""</formula>
    </cfRule>
  </conditionalFormatting>
  <conditionalFormatting sqref="Z240">
    <cfRule type="cellIs" dxfId="2170" priority="2531" operator="greaterThan">
      <formula>0</formula>
    </cfRule>
    <cfRule type="cellIs" dxfId="2169" priority="2532" operator="lessThan">
      <formula>0</formula>
    </cfRule>
  </conditionalFormatting>
  <conditionalFormatting sqref="S240">
    <cfRule type="cellIs" dxfId="2168" priority="2530" operator="lessThan">
      <formula>0</formula>
    </cfRule>
  </conditionalFormatting>
  <conditionalFormatting sqref="T238:T239">
    <cfRule type="expression" dxfId="2167" priority="2534">
      <formula>#REF!="Yes"</formula>
    </cfRule>
  </conditionalFormatting>
  <conditionalFormatting sqref="P240">
    <cfRule type="cellIs" dxfId="2166" priority="2528" operator="equal">
      <formula>AS_DURATION_EFFORT</formula>
    </cfRule>
    <cfRule type="cellIs" dxfId="2165" priority="2529" operator="equal">
      <formula>AS_DEV_EFFORT</formula>
    </cfRule>
  </conditionalFormatting>
  <conditionalFormatting sqref="B238:B239">
    <cfRule type="expression" dxfId="2164" priority="2527">
      <formula>AD238&lt;&gt;""</formula>
    </cfRule>
  </conditionalFormatting>
  <conditionalFormatting sqref="F240">
    <cfRule type="expression" dxfId="2163" priority="2526">
      <formula>$K240&lt;&gt;""</formula>
    </cfRule>
  </conditionalFormatting>
  <conditionalFormatting sqref="C240">
    <cfRule type="expression" dxfId="2162" priority="2525">
      <formula>$G240&lt;&gt;"-"</formula>
    </cfRule>
  </conditionalFormatting>
  <conditionalFormatting sqref="D240">
    <cfRule type="expression" dxfId="2161" priority="2524">
      <formula>$H240&lt;&gt;"-"</formula>
    </cfRule>
  </conditionalFormatting>
  <conditionalFormatting sqref="E240">
    <cfRule type="expression" dxfId="2160" priority="2523">
      <formula>$I240&lt;&gt;"-"</formula>
    </cfRule>
  </conditionalFormatting>
  <conditionalFormatting sqref="B112">
    <cfRule type="expression" dxfId="2159" priority="2520">
      <formula>AD112&lt;&gt;""</formula>
    </cfRule>
  </conditionalFormatting>
  <conditionalFormatting sqref="Z112">
    <cfRule type="cellIs" dxfId="2158" priority="2518" operator="greaterThan">
      <formula>0</formula>
    </cfRule>
    <cfRule type="cellIs" dxfId="2157" priority="2519" operator="lessThan">
      <formula>0</formula>
    </cfRule>
  </conditionalFormatting>
  <conditionalFormatting sqref="S112">
    <cfRule type="cellIs" dxfId="2156" priority="2517" operator="lessThan">
      <formula>0</formula>
    </cfRule>
  </conditionalFormatting>
  <conditionalFormatting sqref="P112">
    <cfRule type="cellIs" dxfId="2155" priority="2515" operator="equal">
      <formula>AS_DURATION_EFFORT</formula>
    </cfRule>
    <cfRule type="cellIs" dxfId="2154" priority="2516" operator="equal">
      <formula>AS_DEV_EFFORT</formula>
    </cfRule>
  </conditionalFormatting>
  <conditionalFormatting sqref="L112:AC112">
    <cfRule type="expression" dxfId="2153" priority="2521">
      <formula>AND($G112="Yes", $S$6="Exclude")</formula>
    </cfRule>
    <cfRule type="expression" dxfId="2152" priority="2522">
      <formula>$J112="Yes"</formula>
    </cfRule>
  </conditionalFormatting>
  <conditionalFormatting sqref="F112">
    <cfRule type="expression" dxfId="2151" priority="2514">
      <formula>$K112&lt;&gt;""</formula>
    </cfRule>
  </conditionalFormatting>
  <conditionalFormatting sqref="C112">
    <cfRule type="expression" dxfId="2150" priority="2513">
      <formula>$G112&lt;&gt;"-"</formula>
    </cfRule>
  </conditionalFormatting>
  <conditionalFormatting sqref="D112">
    <cfRule type="expression" dxfId="2149" priority="2512">
      <formula>$H112&lt;&gt;"-"</formula>
    </cfRule>
  </conditionalFormatting>
  <conditionalFormatting sqref="E112">
    <cfRule type="expression" dxfId="2148" priority="2511">
      <formula>$I112&lt;&gt;"-"</formula>
    </cfRule>
  </conditionalFormatting>
  <conditionalFormatting sqref="B121">
    <cfRule type="expression" dxfId="2147" priority="2508">
      <formula>AD121&lt;&gt;""</formula>
    </cfRule>
  </conditionalFormatting>
  <conditionalFormatting sqref="Z121">
    <cfRule type="cellIs" dxfId="2146" priority="2506" operator="greaterThan">
      <formula>0</formula>
    </cfRule>
    <cfRule type="cellIs" dxfId="2145" priority="2507" operator="lessThan">
      <formula>0</formula>
    </cfRule>
  </conditionalFormatting>
  <conditionalFormatting sqref="S121">
    <cfRule type="cellIs" dxfId="2144" priority="2505" operator="lessThan">
      <formula>0</formula>
    </cfRule>
  </conditionalFormatting>
  <conditionalFormatting sqref="P121">
    <cfRule type="cellIs" dxfId="2143" priority="2503" operator="equal">
      <formula>AS_DURATION_EFFORT</formula>
    </cfRule>
    <cfRule type="cellIs" dxfId="2142" priority="2504" operator="equal">
      <formula>AS_DEV_EFFORT</formula>
    </cfRule>
  </conditionalFormatting>
  <conditionalFormatting sqref="L121:AC121">
    <cfRule type="expression" dxfId="2141" priority="2509">
      <formula>AND($G121="Yes", $S$6="Exclude")</formula>
    </cfRule>
    <cfRule type="expression" dxfId="2140" priority="2510">
      <formula>$J121="Yes"</formula>
    </cfRule>
  </conditionalFormatting>
  <conditionalFormatting sqref="F121">
    <cfRule type="expression" dxfId="2139" priority="2502">
      <formula>$K121&lt;&gt;""</formula>
    </cfRule>
  </conditionalFormatting>
  <conditionalFormatting sqref="C121">
    <cfRule type="expression" dxfId="2138" priority="2501">
      <formula>$G121&lt;&gt;"-"</formula>
    </cfRule>
  </conditionalFormatting>
  <conditionalFormatting sqref="D121">
    <cfRule type="expression" dxfId="2137" priority="2500">
      <formula>$H121&lt;&gt;"-"</formula>
    </cfRule>
  </conditionalFormatting>
  <conditionalFormatting sqref="E121">
    <cfRule type="expression" dxfId="2136" priority="2499">
      <formula>$I121&lt;&gt;"-"</formula>
    </cfRule>
  </conditionalFormatting>
  <conditionalFormatting sqref="B122">
    <cfRule type="expression" dxfId="2135" priority="2496">
      <formula>AD122&lt;&gt;""</formula>
    </cfRule>
  </conditionalFormatting>
  <conditionalFormatting sqref="Z122">
    <cfRule type="cellIs" dxfId="2134" priority="2494" operator="greaterThan">
      <formula>0</formula>
    </cfRule>
    <cfRule type="cellIs" dxfId="2133" priority="2495" operator="lessThan">
      <formula>0</formula>
    </cfRule>
  </conditionalFormatting>
  <conditionalFormatting sqref="S122">
    <cfRule type="cellIs" dxfId="2132" priority="2493" operator="lessThan">
      <formula>0</formula>
    </cfRule>
  </conditionalFormatting>
  <conditionalFormatting sqref="P122">
    <cfRule type="cellIs" dxfId="2131" priority="2491" operator="equal">
      <formula>AS_DURATION_EFFORT</formula>
    </cfRule>
    <cfRule type="cellIs" dxfId="2130" priority="2492" operator="equal">
      <formula>AS_DEV_EFFORT</formula>
    </cfRule>
  </conditionalFormatting>
  <conditionalFormatting sqref="L122:AC122">
    <cfRule type="expression" dxfId="2129" priority="2497">
      <formula>AND($G122="Yes", $S$6="Exclude")</formula>
    </cfRule>
    <cfRule type="expression" dxfId="2128" priority="2498">
      <formula>$J122="Yes"</formula>
    </cfRule>
  </conditionalFormatting>
  <conditionalFormatting sqref="F122">
    <cfRule type="expression" dxfId="2127" priority="2490">
      <formula>$K122&lt;&gt;""</formula>
    </cfRule>
  </conditionalFormatting>
  <conditionalFormatting sqref="C122">
    <cfRule type="expression" dxfId="2126" priority="2489">
      <formula>$G122&lt;&gt;"-"</formula>
    </cfRule>
  </conditionalFormatting>
  <conditionalFormatting sqref="D122">
    <cfRule type="expression" dxfId="2125" priority="2488">
      <formula>$H122&lt;&gt;"-"</formula>
    </cfRule>
  </conditionalFormatting>
  <conditionalFormatting sqref="E122">
    <cfRule type="expression" dxfId="2124" priority="2487">
      <formula>$I122&lt;&gt;"-"</formula>
    </cfRule>
  </conditionalFormatting>
  <conditionalFormatting sqref="B134">
    <cfRule type="expression" dxfId="2123" priority="2484">
      <formula>AD134&lt;&gt;""</formula>
    </cfRule>
  </conditionalFormatting>
  <conditionalFormatting sqref="Z134">
    <cfRule type="cellIs" dxfId="2122" priority="2482" operator="greaterThan">
      <formula>0</formula>
    </cfRule>
    <cfRule type="cellIs" dxfId="2121" priority="2483" operator="lessThan">
      <formula>0</formula>
    </cfRule>
  </conditionalFormatting>
  <conditionalFormatting sqref="S134">
    <cfRule type="cellIs" dxfId="2120" priority="2481" operator="lessThan">
      <formula>0</formula>
    </cfRule>
  </conditionalFormatting>
  <conditionalFormatting sqref="P134">
    <cfRule type="cellIs" dxfId="2119" priority="2479" operator="equal">
      <formula>AS_DURATION_EFFORT</formula>
    </cfRule>
    <cfRule type="cellIs" dxfId="2118" priority="2480" operator="equal">
      <formula>AS_DEV_EFFORT</formula>
    </cfRule>
  </conditionalFormatting>
  <conditionalFormatting sqref="L134:AC134">
    <cfRule type="expression" dxfId="2117" priority="2485">
      <formula>AND($G134="Yes", $S$6="Exclude")</formula>
    </cfRule>
    <cfRule type="expression" dxfId="2116" priority="2486">
      <formula>$J134="Yes"</formula>
    </cfRule>
  </conditionalFormatting>
  <conditionalFormatting sqref="F134">
    <cfRule type="expression" dxfId="2115" priority="2478">
      <formula>$K134&lt;&gt;""</formula>
    </cfRule>
  </conditionalFormatting>
  <conditionalFormatting sqref="C134">
    <cfRule type="expression" dxfId="2114" priority="2477">
      <formula>$G134&lt;&gt;"-"</formula>
    </cfRule>
  </conditionalFormatting>
  <conditionalFormatting sqref="D134">
    <cfRule type="expression" dxfId="2113" priority="2476">
      <formula>$H134&lt;&gt;"-"</formula>
    </cfRule>
  </conditionalFormatting>
  <conditionalFormatting sqref="E134">
    <cfRule type="expression" dxfId="2112" priority="2475">
      <formula>$I134&lt;&gt;"-"</formula>
    </cfRule>
  </conditionalFormatting>
  <conditionalFormatting sqref="B139">
    <cfRule type="expression" dxfId="2111" priority="2471">
      <formula>AD139&lt;&gt;""</formula>
    </cfRule>
  </conditionalFormatting>
  <conditionalFormatting sqref="Z139">
    <cfRule type="cellIs" dxfId="2110" priority="2469" operator="greaterThan">
      <formula>0</formula>
    </cfRule>
    <cfRule type="cellIs" dxfId="2109" priority="2470" operator="lessThan">
      <formula>0</formula>
    </cfRule>
  </conditionalFormatting>
  <conditionalFormatting sqref="S139">
    <cfRule type="cellIs" dxfId="2108" priority="2468" operator="lessThan">
      <formula>0</formula>
    </cfRule>
  </conditionalFormatting>
  <conditionalFormatting sqref="T137:T138">
    <cfRule type="expression" dxfId="2107" priority="2472">
      <formula>#REF!="Yes"</formula>
    </cfRule>
  </conditionalFormatting>
  <conditionalFormatting sqref="P139">
    <cfRule type="cellIs" dxfId="2106" priority="2466" operator="equal">
      <formula>AS_DURATION_EFFORT</formula>
    </cfRule>
    <cfRule type="cellIs" dxfId="2105" priority="2467" operator="equal">
      <formula>AS_DEV_EFFORT</formula>
    </cfRule>
  </conditionalFormatting>
  <conditionalFormatting sqref="B137:B138">
    <cfRule type="expression" dxfId="2104" priority="2465">
      <formula>AD137&lt;&gt;""</formula>
    </cfRule>
  </conditionalFormatting>
  <conditionalFormatting sqref="L139:AC139">
    <cfRule type="expression" dxfId="2103" priority="2473">
      <formula>AND($G139="Yes", $S$6="Exclude")</formula>
    </cfRule>
    <cfRule type="expression" dxfId="2102" priority="2474">
      <formula>$J139="Yes"</formula>
    </cfRule>
  </conditionalFormatting>
  <conditionalFormatting sqref="F139">
    <cfRule type="expression" dxfId="2101" priority="2464">
      <formula>$K139&lt;&gt;""</formula>
    </cfRule>
  </conditionalFormatting>
  <conditionalFormatting sqref="C139">
    <cfRule type="expression" dxfId="2100" priority="2463">
      <formula>$G139&lt;&gt;"-"</formula>
    </cfRule>
  </conditionalFormatting>
  <conditionalFormatting sqref="D139">
    <cfRule type="expression" dxfId="2099" priority="2462">
      <formula>$H139&lt;&gt;"-"</formula>
    </cfRule>
  </conditionalFormatting>
  <conditionalFormatting sqref="E139">
    <cfRule type="expression" dxfId="2098" priority="2461">
      <formula>$I139&lt;&gt;"-"</formula>
    </cfRule>
  </conditionalFormatting>
  <conditionalFormatting sqref="B140">
    <cfRule type="expression" dxfId="2097" priority="2458">
      <formula>AD140&lt;&gt;""</formula>
    </cfRule>
  </conditionalFormatting>
  <conditionalFormatting sqref="Z140">
    <cfRule type="cellIs" dxfId="2096" priority="2456" operator="greaterThan">
      <formula>0</formula>
    </cfRule>
    <cfRule type="cellIs" dxfId="2095" priority="2457" operator="lessThan">
      <formula>0</formula>
    </cfRule>
  </conditionalFormatting>
  <conditionalFormatting sqref="S140">
    <cfRule type="cellIs" dxfId="2094" priority="2455" operator="lessThan">
      <formula>0</formula>
    </cfRule>
  </conditionalFormatting>
  <conditionalFormatting sqref="P140">
    <cfRule type="cellIs" dxfId="2093" priority="2453" operator="equal">
      <formula>AS_DURATION_EFFORT</formula>
    </cfRule>
    <cfRule type="cellIs" dxfId="2092" priority="2454" operator="equal">
      <formula>AS_DEV_EFFORT</formula>
    </cfRule>
  </conditionalFormatting>
  <conditionalFormatting sqref="L140:AC140">
    <cfRule type="expression" dxfId="2091" priority="2459">
      <formula>AND($G140="Yes", $S$6="Exclude")</formula>
    </cfRule>
    <cfRule type="expression" dxfId="2090" priority="2460">
      <formula>$J140="Yes"</formula>
    </cfRule>
  </conditionalFormatting>
  <conditionalFormatting sqref="F140">
    <cfRule type="expression" dxfId="2089" priority="2452">
      <formula>$K140&lt;&gt;""</formula>
    </cfRule>
  </conditionalFormatting>
  <conditionalFormatting sqref="C140">
    <cfRule type="expression" dxfId="2088" priority="2451">
      <formula>$G140&lt;&gt;"-"</formula>
    </cfRule>
  </conditionalFormatting>
  <conditionalFormatting sqref="D140">
    <cfRule type="expression" dxfId="2087" priority="2450">
      <formula>$H140&lt;&gt;"-"</formula>
    </cfRule>
  </conditionalFormatting>
  <conditionalFormatting sqref="E140">
    <cfRule type="expression" dxfId="2086" priority="2449">
      <formula>$I140&lt;&gt;"-"</formula>
    </cfRule>
  </conditionalFormatting>
  <conditionalFormatting sqref="B141">
    <cfRule type="expression" dxfId="2085" priority="2446">
      <formula>AD141&lt;&gt;""</formula>
    </cfRule>
  </conditionalFormatting>
  <conditionalFormatting sqref="Z141">
    <cfRule type="cellIs" dxfId="2084" priority="2444" operator="greaterThan">
      <formula>0</formula>
    </cfRule>
    <cfRule type="cellIs" dxfId="2083" priority="2445" operator="lessThan">
      <formula>0</formula>
    </cfRule>
  </conditionalFormatting>
  <conditionalFormatting sqref="S141">
    <cfRule type="cellIs" dxfId="2082" priority="2443" operator="lessThan">
      <formula>0</formula>
    </cfRule>
  </conditionalFormatting>
  <conditionalFormatting sqref="P141">
    <cfRule type="cellIs" dxfId="2081" priority="2441" operator="equal">
      <formula>AS_DURATION_EFFORT</formula>
    </cfRule>
    <cfRule type="cellIs" dxfId="2080" priority="2442" operator="equal">
      <formula>AS_DEV_EFFORT</formula>
    </cfRule>
  </conditionalFormatting>
  <conditionalFormatting sqref="L141:AC141">
    <cfRule type="expression" dxfId="2079" priority="2447">
      <formula>AND($G141="Yes", $S$6="Exclude")</formula>
    </cfRule>
    <cfRule type="expression" dxfId="2078" priority="2448">
      <formula>$J141="Yes"</formula>
    </cfRule>
  </conditionalFormatting>
  <conditionalFormatting sqref="F141">
    <cfRule type="expression" dxfId="2077" priority="2440">
      <formula>$K141&lt;&gt;""</formula>
    </cfRule>
  </conditionalFormatting>
  <conditionalFormatting sqref="C141">
    <cfRule type="expression" dxfId="2076" priority="2439">
      <formula>$G141&lt;&gt;"-"</formula>
    </cfRule>
  </conditionalFormatting>
  <conditionalFormatting sqref="D141">
    <cfRule type="expression" dxfId="2075" priority="2438">
      <formula>$H141&lt;&gt;"-"</formula>
    </cfRule>
  </conditionalFormatting>
  <conditionalFormatting sqref="E141">
    <cfRule type="expression" dxfId="2074" priority="2437">
      <formula>$I141&lt;&gt;"-"</formula>
    </cfRule>
  </conditionalFormatting>
  <conditionalFormatting sqref="B142">
    <cfRule type="expression" dxfId="2073" priority="2434">
      <formula>AD142&lt;&gt;""</formula>
    </cfRule>
  </conditionalFormatting>
  <conditionalFormatting sqref="Z142">
    <cfRule type="cellIs" dxfId="2072" priority="2432" operator="greaterThan">
      <formula>0</formula>
    </cfRule>
    <cfRule type="cellIs" dxfId="2071" priority="2433" operator="lessThan">
      <formula>0</formula>
    </cfRule>
  </conditionalFormatting>
  <conditionalFormatting sqref="S142">
    <cfRule type="cellIs" dxfId="2070" priority="2431" operator="lessThan">
      <formula>0</formula>
    </cfRule>
  </conditionalFormatting>
  <conditionalFormatting sqref="P142">
    <cfRule type="cellIs" dxfId="2069" priority="2429" operator="equal">
      <formula>AS_DURATION_EFFORT</formula>
    </cfRule>
    <cfRule type="cellIs" dxfId="2068" priority="2430" operator="equal">
      <formula>AS_DEV_EFFORT</formula>
    </cfRule>
  </conditionalFormatting>
  <conditionalFormatting sqref="L142:AC142">
    <cfRule type="expression" dxfId="2067" priority="2435">
      <formula>AND($G142="Yes", $S$6="Exclude")</formula>
    </cfRule>
    <cfRule type="expression" dxfId="2066" priority="2436">
      <formula>$J142="Yes"</formula>
    </cfRule>
  </conditionalFormatting>
  <conditionalFormatting sqref="F142">
    <cfRule type="expression" dxfId="2065" priority="2428">
      <formula>$K142&lt;&gt;""</formula>
    </cfRule>
  </conditionalFormatting>
  <conditionalFormatting sqref="C142">
    <cfRule type="expression" dxfId="2064" priority="2427">
      <formula>$G142&lt;&gt;"-"</formula>
    </cfRule>
  </conditionalFormatting>
  <conditionalFormatting sqref="D142">
    <cfRule type="expression" dxfId="2063" priority="2426">
      <formula>$H142&lt;&gt;"-"</formula>
    </cfRule>
  </conditionalFormatting>
  <conditionalFormatting sqref="E142">
    <cfRule type="expression" dxfId="2062" priority="2425">
      <formula>$I142&lt;&gt;"-"</formula>
    </cfRule>
  </conditionalFormatting>
  <conditionalFormatting sqref="B143">
    <cfRule type="expression" dxfId="2061" priority="2422">
      <formula>AD143&lt;&gt;""</formula>
    </cfRule>
  </conditionalFormatting>
  <conditionalFormatting sqref="Z143">
    <cfRule type="cellIs" dxfId="2060" priority="2420" operator="greaterThan">
      <formula>0</formula>
    </cfRule>
    <cfRule type="cellIs" dxfId="2059" priority="2421" operator="lessThan">
      <formula>0</formula>
    </cfRule>
  </conditionalFormatting>
  <conditionalFormatting sqref="S143">
    <cfRule type="cellIs" dxfId="2058" priority="2419" operator="lessThan">
      <formula>0</formula>
    </cfRule>
  </conditionalFormatting>
  <conditionalFormatting sqref="P143">
    <cfRule type="cellIs" dxfId="2057" priority="2417" operator="equal">
      <formula>AS_DURATION_EFFORT</formula>
    </cfRule>
    <cfRule type="cellIs" dxfId="2056" priority="2418" operator="equal">
      <formula>AS_DEV_EFFORT</formula>
    </cfRule>
  </conditionalFormatting>
  <conditionalFormatting sqref="L143:AC143">
    <cfRule type="expression" dxfId="2055" priority="2423">
      <formula>AND($G143="Yes", $S$6="Exclude")</formula>
    </cfRule>
    <cfRule type="expression" dxfId="2054" priority="2424">
      <formula>$J143="Yes"</formula>
    </cfRule>
  </conditionalFormatting>
  <conditionalFormatting sqref="F143">
    <cfRule type="expression" dxfId="2053" priority="2416">
      <formula>$K143&lt;&gt;""</formula>
    </cfRule>
  </conditionalFormatting>
  <conditionalFormatting sqref="C143">
    <cfRule type="expression" dxfId="2052" priority="2415">
      <formula>$G143&lt;&gt;"-"</formula>
    </cfRule>
  </conditionalFormatting>
  <conditionalFormatting sqref="D143">
    <cfRule type="expression" dxfId="2051" priority="2414">
      <formula>$H143&lt;&gt;"-"</formula>
    </cfRule>
  </conditionalFormatting>
  <conditionalFormatting sqref="E143">
    <cfRule type="expression" dxfId="2050" priority="2413">
      <formula>$I143&lt;&gt;"-"</formula>
    </cfRule>
  </conditionalFormatting>
  <conditionalFormatting sqref="B151">
    <cfRule type="expression" dxfId="2049" priority="2410">
      <formula>AD151&lt;&gt;""</formula>
    </cfRule>
  </conditionalFormatting>
  <conditionalFormatting sqref="Z151">
    <cfRule type="cellIs" dxfId="2048" priority="2408" operator="greaterThan">
      <formula>0</formula>
    </cfRule>
    <cfRule type="cellIs" dxfId="2047" priority="2409" operator="lessThan">
      <formula>0</formula>
    </cfRule>
  </conditionalFormatting>
  <conditionalFormatting sqref="S151">
    <cfRule type="cellIs" dxfId="2046" priority="2407" operator="lessThan">
      <formula>0</formula>
    </cfRule>
  </conditionalFormatting>
  <conditionalFormatting sqref="P151">
    <cfRule type="cellIs" dxfId="2045" priority="2405" operator="equal">
      <formula>AS_DURATION_EFFORT</formula>
    </cfRule>
    <cfRule type="cellIs" dxfId="2044" priority="2406" operator="equal">
      <formula>AS_DEV_EFFORT</formula>
    </cfRule>
  </conditionalFormatting>
  <conditionalFormatting sqref="L151:AC151">
    <cfRule type="expression" dxfId="2043" priority="2411">
      <formula>AND($G151="Yes", $S$6="Exclude")</formula>
    </cfRule>
    <cfRule type="expression" dxfId="2042" priority="2412">
      <formula>$J151="Yes"</formula>
    </cfRule>
  </conditionalFormatting>
  <conditionalFormatting sqref="F151">
    <cfRule type="expression" dxfId="2041" priority="2404">
      <formula>$K151&lt;&gt;""</formula>
    </cfRule>
  </conditionalFormatting>
  <conditionalFormatting sqref="C151">
    <cfRule type="expression" dxfId="2040" priority="2403">
      <formula>$G151&lt;&gt;"-"</formula>
    </cfRule>
  </conditionalFormatting>
  <conditionalFormatting sqref="D151">
    <cfRule type="expression" dxfId="2039" priority="2402">
      <formula>$H151&lt;&gt;"-"</formula>
    </cfRule>
  </conditionalFormatting>
  <conditionalFormatting sqref="E151">
    <cfRule type="expression" dxfId="2038" priority="2401">
      <formula>$I151&lt;&gt;"-"</formula>
    </cfRule>
  </conditionalFormatting>
  <conditionalFormatting sqref="B188">
    <cfRule type="expression" dxfId="2037" priority="2388">
      <formula>AD188&lt;&gt;""</formula>
    </cfRule>
  </conditionalFormatting>
  <conditionalFormatting sqref="Z188">
    <cfRule type="cellIs" dxfId="2036" priority="2386" operator="greaterThan">
      <formula>0</formula>
    </cfRule>
    <cfRule type="cellIs" dxfId="2035" priority="2387" operator="lessThan">
      <formula>0</formula>
    </cfRule>
  </conditionalFormatting>
  <conditionalFormatting sqref="S188">
    <cfRule type="cellIs" dxfId="2034" priority="2385" operator="lessThan">
      <formula>0</formula>
    </cfRule>
  </conditionalFormatting>
  <conditionalFormatting sqref="P188">
    <cfRule type="cellIs" dxfId="2033" priority="2383" operator="equal">
      <formula>AS_DURATION_EFFORT</formula>
    </cfRule>
    <cfRule type="cellIs" dxfId="2032" priority="2384" operator="equal">
      <formula>AS_DEV_EFFORT</formula>
    </cfRule>
  </conditionalFormatting>
  <conditionalFormatting sqref="F188">
    <cfRule type="expression" dxfId="2031" priority="2382">
      <formula>$K188&lt;&gt;""</formula>
    </cfRule>
  </conditionalFormatting>
  <conditionalFormatting sqref="C188">
    <cfRule type="expression" dxfId="2030" priority="2381">
      <formula>$G188&lt;&gt;"-"</formula>
    </cfRule>
  </conditionalFormatting>
  <conditionalFormatting sqref="D188">
    <cfRule type="expression" dxfId="2029" priority="2380">
      <formula>$H188&lt;&gt;"-"</formula>
    </cfRule>
  </conditionalFormatting>
  <conditionalFormatting sqref="E188">
    <cfRule type="expression" dxfId="2028" priority="2379">
      <formula>$I188&lt;&gt;"-"</formula>
    </cfRule>
  </conditionalFormatting>
  <conditionalFormatting sqref="B194">
    <cfRule type="expression" dxfId="2027" priority="2375">
      <formula>AD194&lt;&gt;""</formula>
    </cfRule>
  </conditionalFormatting>
  <conditionalFormatting sqref="Z194">
    <cfRule type="cellIs" dxfId="2026" priority="2373" operator="greaterThan">
      <formula>0</formula>
    </cfRule>
    <cfRule type="cellIs" dxfId="2025" priority="2374" operator="lessThan">
      <formula>0</formula>
    </cfRule>
  </conditionalFormatting>
  <conditionalFormatting sqref="S194">
    <cfRule type="cellIs" dxfId="2024" priority="2372" operator="lessThan">
      <formula>0</formula>
    </cfRule>
  </conditionalFormatting>
  <conditionalFormatting sqref="T192:T193">
    <cfRule type="expression" dxfId="2023" priority="2376">
      <formula>#REF!="Yes"</formula>
    </cfRule>
  </conditionalFormatting>
  <conditionalFormatting sqref="P194">
    <cfRule type="cellIs" dxfId="2022" priority="2370" operator="equal">
      <formula>AS_DURATION_EFFORT</formula>
    </cfRule>
    <cfRule type="cellIs" dxfId="2021" priority="2371" operator="equal">
      <formula>AS_DEV_EFFORT</formula>
    </cfRule>
  </conditionalFormatting>
  <conditionalFormatting sqref="B192:B193">
    <cfRule type="expression" dxfId="2020" priority="2369">
      <formula>AD192&lt;&gt;""</formula>
    </cfRule>
  </conditionalFormatting>
  <conditionalFormatting sqref="F194">
    <cfRule type="expression" dxfId="2019" priority="2368">
      <formula>$K194&lt;&gt;""</formula>
    </cfRule>
  </conditionalFormatting>
  <conditionalFormatting sqref="C194">
    <cfRule type="expression" dxfId="2018" priority="2367">
      <formula>$G194&lt;&gt;"-"</formula>
    </cfRule>
  </conditionalFormatting>
  <conditionalFormatting sqref="D194">
    <cfRule type="expression" dxfId="2017" priority="2366">
      <formula>$H194&lt;&gt;"-"</formula>
    </cfRule>
  </conditionalFormatting>
  <conditionalFormatting sqref="E194">
    <cfRule type="expression" dxfId="2016" priority="2365">
      <formula>$I194&lt;&gt;"-"</formula>
    </cfRule>
  </conditionalFormatting>
  <conditionalFormatting sqref="B195">
    <cfRule type="expression" dxfId="2015" priority="2362">
      <formula>AD195&lt;&gt;""</formula>
    </cfRule>
  </conditionalFormatting>
  <conditionalFormatting sqref="Z195">
    <cfRule type="cellIs" dxfId="2014" priority="2360" operator="greaterThan">
      <formula>0</formula>
    </cfRule>
    <cfRule type="cellIs" dxfId="2013" priority="2361" operator="lessThan">
      <formula>0</formula>
    </cfRule>
  </conditionalFormatting>
  <conditionalFormatting sqref="S195">
    <cfRule type="cellIs" dxfId="2012" priority="2359" operator="lessThan">
      <formula>0</formula>
    </cfRule>
  </conditionalFormatting>
  <conditionalFormatting sqref="P195">
    <cfRule type="cellIs" dxfId="2011" priority="2357" operator="equal">
      <formula>AS_DURATION_EFFORT</formula>
    </cfRule>
    <cfRule type="cellIs" dxfId="2010" priority="2358" operator="equal">
      <formula>AS_DEV_EFFORT</formula>
    </cfRule>
  </conditionalFormatting>
  <conditionalFormatting sqref="F195">
    <cfRule type="expression" dxfId="2009" priority="2356">
      <formula>$K195&lt;&gt;""</formula>
    </cfRule>
  </conditionalFormatting>
  <conditionalFormatting sqref="C195">
    <cfRule type="expression" dxfId="2008" priority="2355">
      <formula>$G195&lt;&gt;"-"</formula>
    </cfRule>
  </conditionalFormatting>
  <conditionalFormatting sqref="D195">
    <cfRule type="expression" dxfId="2007" priority="2354">
      <formula>$H195&lt;&gt;"-"</formula>
    </cfRule>
  </conditionalFormatting>
  <conditionalFormatting sqref="E195">
    <cfRule type="expression" dxfId="2006" priority="2353">
      <formula>$I195&lt;&gt;"-"</formula>
    </cfRule>
  </conditionalFormatting>
  <conditionalFormatting sqref="B196">
    <cfRule type="expression" dxfId="2005" priority="2350">
      <formula>AD196&lt;&gt;""</formula>
    </cfRule>
  </conditionalFormatting>
  <conditionalFormatting sqref="Z196">
    <cfRule type="cellIs" dxfId="2004" priority="2348" operator="greaterThan">
      <formula>0</formula>
    </cfRule>
    <cfRule type="cellIs" dxfId="2003" priority="2349" operator="lessThan">
      <formula>0</formula>
    </cfRule>
  </conditionalFormatting>
  <conditionalFormatting sqref="S196">
    <cfRule type="cellIs" dxfId="2002" priority="2347" operator="lessThan">
      <formula>0</formula>
    </cfRule>
  </conditionalFormatting>
  <conditionalFormatting sqref="P196">
    <cfRule type="cellIs" dxfId="2001" priority="2345" operator="equal">
      <formula>AS_DURATION_EFFORT</formula>
    </cfRule>
    <cfRule type="cellIs" dxfId="2000" priority="2346" operator="equal">
      <formula>AS_DEV_EFFORT</formula>
    </cfRule>
  </conditionalFormatting>
  <conditionalFormatting sqref="F196">
    <cfRule type="expression" dxfId="1999" priority="2344">
      <formula>$K196&lt;&gt;""</formula>
    </cfRule>
  </conditionalFormatting>
  <conditionalFormatting sqref="C196">
    <cfRule type="expression" dxfId="1998" priority="2343">
      <formula>$G196&lt;&gt;"-"</formula>
    </cfRule>
  </conditionalFormatting>
  <conditionalFormatting sqref="D196">
    <cfRule type="expression" dxfId="1997" priority="2342">
      <formula>$H196&lt;&gt;"-"</formula>
    </cfRule>
  </conditionalFormatting>
  <conditionalFormatting sqref="E196">
    <cfRule type="expression" dxfId="1996" priority="2341">
      <formula>$I196&lt;&gt;"-"</formula>
    </cfRule>
  </conditionalFormatting>
  <conditionalFormatting sqref="B197">
    <cfRule type="expression" dxfId="1995" priority="2338">
      <formula>AD197&lt;&gt;""</formula>
    </cfRule>
  </conditionalFormatting>
  <conditionalFormatting sqref="Z197">
    <cfRule type="cellIs" dxfId="1994" priority="2336" operator="greaterThan">
      <formula>0</formula>
    </cfRule>
    <cfRule type="cellIs" dxfId="1993" priority="2337" operator="lessThan">
      <formula>0</formula>
    </cfRule>
  </conditionalFormatting>
  <conditionalFormatting sqref="S197">
    <cfRule type="cellIs" dxfId="1992" priority="2335" operator="lessThan">
      <formula>0</formula>
    </cfRule>
  </conditionalFormatting>
  <conditionalFormatting sqref="P197">
    <cfRule type="cellIs" dxfId="1991" priority="2333" operator="equal">
      <formula>AS_DURATION_EFFORT</formula>
    </cfRule>
    <cfRule type="cellIs" dxfId="1990" priority="2334" operator="equal">
      <formula>AS_DEV_EFFORT</formula>
    </cfRule>
  </conditionalFormatting>
  <conditionalFormatting sqref="F197">
    <cfRule type="expression" dxfId="1989" priority="2332">
      <formula>$K197&lt;&gt;""</formula>
    </cfRule>
  </conditionalFormatting>
  <conditionalFormatting sqref="C197">
    <cfRule type="expression" dxfId="1988" priority="2331">
      <formula>$G197&lt;&gt;"-"</formula>
    </cfRule>
  </conditionalFormatting>
  <conditionalFormatting sqref="D197">
    <cfRule type="expression" dxfId="1987" priority="2330">
      <formula>$H197&lt;&gt;"-"</formula>
    </cfRule>
  </conditionalFormatting>
  <conditionalFormatting sqref="E197">
    <cfRule type="expression" dxfId="1986" priority="2329">
      <formula>$I197&lt;&gt;"-"</formula>
    </cfRule>
  </conditionalFormatting>
  <conditionalFormatting sqref="B198">
    <cfRule type="expression" dxfId="1985" priority="2326">
      <formula>AD198&lt;&gt;""</formula>
    </cfRule>
  </conditionalFormatting>
  <conditionalFormatting sqref="Z198">
    <cfRule type="cellIs" dxfId="1984" priority="2324" operator="greaterThan">
      <formula>0</formula>
    </cfRule>
    <cfRule type="cellIs" dxfId="1983" priority="2325" operator="lessThan">
      <formula>0</formula>
    </cfRule>
  </conditionalFormatting>
  <conditionalFormatting sqref="S198">
    <cfRule type="cellIs" dxfId="1982" priority="2323" operator="lessThan">
      <formula>0</formula>
    </cfRule>
  </conditionalFormatting>
  <conditionalFormatting sqref="P198">
    <cfRule type="cellIs" dxfId="1981" priority="2321" operator="equal">
      <formula>AS_DURATION_EFFORT</formula>
    </cfRule>
    <cfRule type="cellIs" dxfId="1980" priority="2322" operator="equal">
      <formula>AS_DEV_EFFORT</formula>
    </cfRule>
  </conditionalFormatting>
  <conditionalFormatting sqref="F198">
    <cfRule type="expression" dxfId="1979" priority="2320">
      <formula>$K198&lt;&gt;""</formula>
    </cfRule>
  </conditionalFormatting>
  <conditionalFormatting sqref="C198">
    <cfRule type="expression" dxfId="1978" priority="2319">
      <formula>$G198&lt;&gt;"-"</formula>
    </cfRule>
  </conditionalFormatting>
  <conditionalFormatting sqref="D198">
    <cfRule type="expression" dxfId="1977" priority="2318">
      <formula>$H198&lt;&gt;"-"</formula>
    </cfRule>
  </conditionalFormatting>
  <conditionalFormatting sqref="E198">
    <cfRule type="expression" dxfId="1976" priority="2317">
      <formula>$I198&lt;&gt;"-"</formula>
    </cfRule>
  </conditionalFormatting>
  <conditionalFormatting sqref="B214">
    <cfRule type="expression" dxfId="1975" priority="2314">
      <formula>AD214&lt;&gt;""</formula>
    </cfRule>
  </conditionalFormatting>
  <conditionalFormatting sqref="Z214">
    <cfRule type="cellIs" dxfId="1974" priority="2312" operator="greaterThan">
      <formula>0</formula>
    </cfRule>
    <cfRule type="cellIs" dxfId="1973" priority="2313" operator="lessThan">
      <formula>0</formula>
    </cfRule>
  </conditionalFormatting>
  <conditionalFormatting sqref="S214">
    <cfRule type="cellIs" dxfId="1972" priority="2311" operator="lessThan">
      <formula>0</formula>
    </cfRule>
  </conditionalFormatting>
  <conditionalFormatting sqref="P214">
    <cfRule type="cellIs" dxfId="1971" priority="2309" operator="equal">
      <formula>AS_DURATION_EFFORT</formula>
    </cfRule>
    <cfRule type="cellIs" dxfId="1970" priority="2310" operator="equal">
      <formula>AS_DEV_EFFORT</formula>
    </cfRule>
  </conditionalFormatting>
  <conditionalFormatting sqref="F214">
    <cfRule type="expression" dxfId="1969" priority="2308">
      <formula>$K214&lt;&gt;""</formula>
    </cfRule>
  </conditionalFormatting>
  <conditionalFormatting sqref="C214">
    <cfRule type="expression" dxfId="1968" priority="2307">
      <formula>$G214&lt;&gt;"-"</formula>
    </cfRule>
  </conditionalFormatting>
  <conditionalFormatting sqref="D214">
    <cfRule type="expression" dxfId="1967" priority="2306">
      <formula>$H214&lt;&gt;"-"</formula>
    </cfRule>
  </conditionalFormatting>
  <conditionalFormatting sqref="E214">
    <cfRule type="expression" dxfId="1966" priority="2305">
      <formula>$I214&lt;&gt;"-"</formula>
    </cfRule>
  </conditionalFormatting>
  <conditionalFormatting sqref="B215">
    <cfRule type="expression" dxfId="1965" priority="2302">
      <formula>AD215&lt;&gt;""</formula>
    </cfRule>
  </conditionalFormatting>
  <conditionalFormatting sqref="Z215">
    <cfRule type="cellIs" dxfId="1964" priority="2300" operator="greaterThan">
      <formula>0</formula>
    </cfRule>
    <cfRule type="cellIs" dxfId="1963" priority="2301" operator="lessThan">
      <formula>0</formula>
    </cfRule>
  </conditionalFormatting>
  <conditionalFormatting sqref="S215">
    <cfRule type="cellIs" dxfId="1962" priority="2299" operator="lessThan">
      <formula>0</formula>
    </cfRule>
  </conditionalFormatting>
  <conditionalFormatting sqref="P215">
    <cfRule type="cellIs" dxfId="1961" priority="2297" operator="equal">
      <formula>AS_DURATION_EFFORT</formula>
    </cfRule>
    <cfRule type="cellIs" dxfId="1960" priority="2298" operator="equal">
      <formula>AS_DEV_EFFORT</formula>
    </cfRule>
  </conditionalFormatting>
  <conditionalFormatting sqref="F215">
    <cfRule type="expression" dxfId="1959" priority="2296">
      <formula>$K215&lt;&gt;""</formula>
    </cfRule>
  </conditionalFormatting>
  <conditionalFormatting sqref="C215">
    <cfRule type="expression" dxfId="1958" priority="2295">
      <formula>$G215&lt;&gt;"-"</formula>
    </cfRule>
  </conditionalFormatting>
  <conditionalFormatting sqref="D215">
    <cfRule type="expression" dxfId="1957" priority="2294">
      <formula>$H215&lt;&gt;"-"</formula>
    </cfRule>
  </conditionalFormatting>
  <conditionalFormatting sqref="E215">
    <cfRule type="expression" dxfId="1956" priority="2293">
      <formula>$I215&lt;&gt;"-"</formula>
    </cfRule>
  </conditionalFormatting>
  <conditionalFormatting sqref="B230">
    <cfRule type="expression" dxfId="1955" priority="2290">
      <formula>AD230&lt;&gt;""</formula>
    </cfRule>
  </conditionalFormatting>
  <conditionalFormatting sqref="Z230">
    <cfRule type="cellIs" dxfId="1954" priority="2288" operator="greaterThan">
      <formula>0</formula>
    </cfRule>
    <cfRule type="cellIs" dxfId="1953" priority="2289" operator="lessThan">
      <formula>0</formula>
    </cfRule>
  </conditionalFormatting>
  <conditionalFormatting sqref="S230">
    <cfRule type="cellIs" dxfId="1952" priority="2287" operator="lessThan">
      <formula>0</formula>
    </cfRule>
  </conditionalFormatting>
  <conditionalFormatting sqref="P230">
    <cfRule type="cellIs" dxfId="1951" priority="2285" operator="equal">
      <formula>AS_DURATION_EFFORT</formula>
    </cfRule>
    <cfRule type="cellIs" dxfId="1950" priority="2286" operator="equal">
      <formula>AS_DEV_EFFORT</formula>
    </cfRule>
  </conditionalFormatting>
  <conditionalFormatting sqref="F230">
    <cfRule type="expression" dxfId="1949" priority="2284">
      <formula>$K230&lt;&gt;""</formula>
    </cfRule>
  </conditionalFormatting>
  <conditionalFormatting sqref="C230">
    <cfRule type="expression" dxfId="1948" priority="2283">
      <formula>$G230&lt;&gt;"-"</formula>
    </cfRule>
  </conditionalFormatting>
  <conditionalFormatting sqref="D230">
    <cfRule type="expression" dxfId="1947" priority="2282">
      <formula>$H230&lt;&gt;"-"</formula>
    </cfRule>
  </conditionalFormatting>
  <conditionalFormatting sqref="E230">
    <cfRule type="expression" dxfId="1946" priority="2281">
      <formula>$I230&lt;&gt;"-"</formula>
    </cfRule>
  </conditionalFormatting>
  <conditionalFormatting sqref="B231">
    <cfRule type="expression" dxfId="1945" priority="2278">
      <formula>AD231&lt;&gt;""</formula>
    </cfRule>
  </conditionalFormatting>
  <conditionalFormatting sqref="Z231">
    <cfRule type="cellIs" dxfId="1944" priority="2276" operator="greaterThan">
      <formula>0</formula>
    </cfRule>
    <cfRule type="cellIs" dxfId="1943" priority="2277" operator="lessThan">
      <formula>0</formula>
    </cfRule>
  </conditionalFormatting>
  <conditionalFormatting sqref="S231">
    <cfRule type="cellIs" dxfId="1942" priority="2275" operator="lessThan">
      <formula>0</formula>
    </cfRule>
  </conditionalFormatting>
  <conditionalFormatting sqref="P231">
    <cfRule type="cellIs" dxfId="1941" priority="2273" operator="equal">
      <formula>AS_DURATION_EFFORT</formula>
    </cfRule>
    <cfRule type="cellIs" dxfId="1940" priority="2274" operator="equal">
      <formula>AS_DEV_EFFORT</formula>
    </cfRule>
  </conditionalFormatting>
  <conditionalFormatting sqref="F231">
    <cfRule type="expression" dxfId="1939" priority="2272">
      <formula>$K231&lt;&gt;""</formula>
    </cfRule>
  </conditionalFormatting>
  <conditionalFormatting sqref="C231">
    <cfRule type="expression" dxfId="1938" priority="2271">
      <formula>$G231&lt;&gt;"-"</formula>
    </cfRule>
  </conditionalFormatting>
  <conditionalFormatting sqref="D231">
    <cfRule type="expression" dxfId="1937" priority="2270">
      <formula>$H231&lt;&gt;"-"</formula>
    </cfRule>
  </conditionalFormatting>
  <conditionalFormatting sqref="E231">
    <cfRule type="expression" dxfId="1936" priority="2269">
      <formula>$I231&lt;&gt;"-"</formula>
    </cfRule>
  </conditionalFormatting>
  <conditionalFormatting sqref="B232">
    <cfRule type="expression" dxfId="1935" priority="2266">
      <formula>AD232&lt;&gt;""</formula>
    </cfRule>
  </conditionalFormatting>
  <conditionalFormatting sqref="Z232">
    <cfRule type="cellIs" dxfId="1934" priority="2264" operator="greaterThan">
      <formula>0</formula>
    </cfRule>
    <cfRule type="cellIs" dxfId="1933" priority="2265" operator="lessThan">
      <formula>0</formula>
    </cfRule>
  </conditionalFormatting>
  <conditionalFormatting sqref="S232">
    <cfRule type="cellIs" dxfId="1932" priority="2263" operator="lessThan">
      <formula>0</formula>
    </cfRule>
  </conditionalFormatting>
  <conditionalFormatting sqref="P232">
    <cfRule type="cellIs" dxfId="1931" priority="2261" operator="equal">
      <formula>AS_DURATION_EFFORT</formula>
    </cfRule>
    <cfRule type="cellIs" dxfId="1930" priority="2262" operator="equal">
      <formula>AS_DEV_EFFORT</formula>
    </cfRule>
  </conditionalFormatting>
  <conditionalFormatting sqref="F232">
    <cfRule type="expression" dxfId="1929" priority="2260">
      <formula>$K232&lt;&gt;""</formula>
    </cfRule>
  </conditionalFormatting>
  <conditionalFormatting sqref="C232">
    <cfRule type="expression" dxfId="1928" priority="2259">
      <formula>$G232&lt;&gt;"-"</formula>
    </cfRule>
  </conditionalFormatting>
  <conditionalFormatting sqref="D232">
    <cfRule type="expression" dxfId="1927" priority="2258">
      <formula>$H232&lt;&gt;"-"</formula>
    </cfRule>
  </conditionalFormatting>
  <conditionalFormatting sqref="E232">
    <cfRule type="expression" dxfId="1926" priority="2257">
      <formula>$I232&lt;&gt;"-"</formula>
    </cfRule>
  </conditionalFormatting>
  <conditionalFormatting sqref="B233">
    <cfRule type="expression" dxfId="1925" priority="2254">
      <formula>AD233&lt;&gt;""</formula>
    </cfRule>
  </conditionalFormatting>
  <conditionalFormatting sqref="Z233">
    <cfRule type="cellIs" dxfId="1924" priority="2252" operator="greaterThan">
      <formula>0</formula>
    </cfRule>
    <cfRule type="cellIs" dxfId="1923" priority="2253" operator="lessThan">
      <formula>0</formula>
    </cfRule>
  </conditionalFormatting>
  <conditionalFormatting sqref="S233">
    <cfRule type="cellIs" dxfId="1922" priority="2251" operator="lessThan">
      <formula>0</formula>
    </cfRule>
  </conditionalFormatting>
  <conditionalFormatting sqref="P233">
    <cfRule type="cellIs" dxfId="1921" priority="2249" operator="equal">
      <formula>AS_DURATION_EFFORT</formula>
    </cfRule>
    <cfRule type="cellIs" dxfId="1920" priority="2250" operator="equal">
      <formula>AS_DEV_EFFORT</formula>
    </cfRule>
  </conditionalFormatting>
  <conditionalFormatting sqref="F233">
    <cfRule type="expression" dxfId="1919" priority="2248">
      <formula>$K233&lt;&gt;""</formula>
    </cfRule>
  </conditionalFormatting>
  <conditionalFormatting sqref="C233">
    <cfRule type="expression" dxfId="1918" priority="2247">
      <formula>$G233&lt;&gt;"-"</formula>
    </cfRule>
  </conditionalFormatting>
  <conditionalFormatting sqref="D233">
    <cfRule type="expression" dxfId="1917" priority="2246">
      <formula>$H233&lt;&gt;"-"</formula>
    </cfRule>
  </conditionalFormatting>
  <conditionalFormatting sqref="E233">
    <cfRule type="expression" dxfId="1916" priority="2245">
      <formula>$I233&lt;&gt;"-"</formula>
    </cfRule>
  </conditionalFormatting>
  <conditionalFormatting sqref="B234">
    <cfRule type="expression" dxfId="1915" priority="2242">
      <formula>AD234&lt;&gt;""</formula>
    </cfRule>
  </conditionalFormatting>
  <conditionalFormatting sqref="Z234">
    <cfRule type="cellIs" dxfId="1914" priority="2240" operator="greaterThan">
      <formula>0</formula>
    </cfRule>
    <cfRule type="cellIs" dxfId="1913" priority="2241" operator="lessThan">
      <formula>0</formula>
    </cfRule>
  </conditionalFormatting>
  <conditionalFormatting sqref="S234">
    <cfRule type="cellIs" dxfId="1912" priority="2239" operator="lessThan">
      <formula>0</formula>
    </cfRule>
  </conditionalFormatting>
  <conditionalFormatting sqref="P234">
    <cfRule type="cellIs" dxfId="1911" priority="2237" operator="equal">
      <formula>AS_DURATION_EFFORT</formula>
    </cfRule>
    <cfRule type="cellIs" dxfId="1910" priority="2238" operator="equal">
      <formula>AS_DEV_EFFORT</formula>
    </cfRule>
  </conditionalFormatting>
  <conditionalFormatting sqref="F234">
    <cfRule type="expression" dxfId="1909" priority="2236">
      <formula>$K234&lt;&gt;""</formula>
    </cfRule>
  </conditionalFormatting>
  <conditionalFormatting sqref="C234">
    <cfRule type="expression" dxfId="1908" priority="2235">
      <formula>$G234&lt;&gt;"-"</formula>
    </cfRule>
  </conditionalFormatting>
  <conditionalFormatting sqref="D234">
    <cfRule type="expression" dxfId="1907" priority="2234">
      <formula>$H234&lt;&gt;"-"</formula>
    </cfRule>
  </conditionalFormatting>
  <conditionalFormatting sqref="E234">
    <cfRule type="expression" dxfId="1906" priority="2233">
      <formula>$I234&lt;&gt;"-"</formula>
    </cfRule>
  </conditionalFormatting>
  <conditionalFormatting sqref="B241">
    <cfRule type="expression" dxfId="1905" priority="2230">
      <formula>AD241&lt;&gt;""</formula>
    </cfRule>
  </conditionalFormatting>
  <conditionalFormatting sqref="Z241">
    <cfRule type="cellIs" dxfId="1904" priority="2228" operator="greaterThan">
      <formula>0</formula>
    </cfRule>
    <cfRule type="cellIs" dxfId="1903" priority="2229" operator="lessThan">
      <formula>0</formula>
    </cfRule>
  </conditionalFormatting>
  <conditionalFormatting sqref="S241">
    <cfRule type="cellIs" dxfId="1902" priority="2227" operator="lessThan">
      <formula>0</formula>
    </cfRule>
  </conditionalFormatting>
  <conditionalFormatting sqref="P241">
    <cfRule type="cellIs" dxfId="1901" priority="2225" operator="equal">
      <formula>AS_DURATION_EFFORT</formula>
    </cfRule>
    <cfRule type="cellIs" dxfId="1900" priority="2226" operator="equal">
      <formula>AS_DEV_EFFORT</formula>
    </cfRule>
  </conditionalFormatting>
  <conditionalFormatting sqref="F241">
    <cfRule type="expression" dxfId="1899" priority="2224">
      <formula>$K241&lt;&gt;""</formula>
    </cfRule>
  </conditionalFormatting>
  <conditionalFormatting sqref="C241">
    <cfRule type="expression" dxfId="1898" priority="2223">
      <formula>$G241&lt;&gt;"-"</formula>
    </cfRule>
  </conditionalFormatting>
  <conditionalFormatting sqref="D241">
    <cfRule type="expression" dxfId="1897" priority="2222">
      <formula>$H241&lt;&gt;"-"</formula>
    </cfRule>
  </conditionalFormatting>
  <conditionalFormatting sqref="E241">
    <cfRule type="expression" dxfId="1896" priority="2221">
      <formula>$I241&lt;&gt;"-"</formula>
    </cfRule>
  </conditionalFormatting>
  <conditionalFormatting sqref="B242">
    <cfRule type="expression" dxfId="1895" priority="2218">
      <formula>AD242&lt;&gt;""</formula>
    </cfRule>
  </conditionalFormatting>
  <conditionalFormatting sqref="Z242">
    <cfRule type="cellIs" dxfId="1894" priority="2216" operator="greaterThan">
      <formula>0</formula>
    </cfRule>
    <cfRule type="cellIs" dxfId="1893" priority="2217" operator="lessThan">
      <formula>0</formula>
    </cfRule>
  </conditionalFormatting>
  <conditionalFormatting sqref="S242">
    <cfRule type="cellIs" dxfId="1892" priority="2215" operator="lessThan">
      <formula>0</formula>
    </cfRule>
  </conditionalFormatting>
  <conditionalFormatting sqref="P242">
    <cfRule type="cellIs" dxfId="1891" priority="2213" operator="equal">
      <formula>AS_DURATION_EFFORT</formula>
    </cfRule>
    <cfRule type="cellIs" dxfId="1890" priority="2214" operator="equal">
      <formula>AS_DEV_EFFORT</formula>
    </cfRule>
  </conditionalFormatting>
  <conditionalFormatting sqref="F242">
    <cfRule type="expression" dxfId="1889" priority="2212">
      <formula>$K242&lt;&gt;""</formula>
    </cfRule>
  </conditionalFormatting>
  <conditionalFormatting sqref="C242">
    <cfRule type="expression" dxfId="1888" priority="2211">
      <formula>$G242&lt;&gt;"-"</formula>
    </cfRule>
  </conditionalFormatting>
  <conditionalFormatting sqref="D242">
    <cfRule type="expression" dxfId="1887" priority="2210">
      <formula>$H242&lt;&gt;"-"</formula>
    </cfRule>
  </conditionalFormatting>
  <conditionalFormatting sqref="E242">
    <cfRule type="expression" dxfId="1886" priority="2209">
      <formula>$I242&lt;&gt;"-"</formula>
    </cfRule>
  </conditionalFormatting>
  <conditionalFormatting sqref="B243">
    <cfRule type="expression" dxfId="1885" priority="2206">
      <formula>AD243&lt;&gt;""</formula>
    </cfRule>
  </conditionalFormatting>
  <conditionalFormatting sqref="Z243">
    <cfRule type="cellIs" dxfId="1884" priority="2204" operator="greaterThan">
      <formula>0</formula>
    </cfRule>
    <cfRule type="cellIs" dxfId="1883" priority="2205" operator="lessThan">
      <formula>0</formula>
    </cfRule>
  </conditionalFormatting>
  <conditionalFormatting sqref="S243">
    <cfRule type="cellIs" dxfId="1882" priority="2203" operator="lessThan">
      <formula>0</formula>
    </cfRule>
  </conditionalFormatting>
  <conditionalFormatting sqref="P243">
    <cfRule type="cellIs" dxfId="1881" priority="2201" operator="equal">
      <formula>AS_DURATION_EFFORT</formula>
    </cfRule>
    <cfRule type="cellIs" dxfId="1880" priority="2202" operator="equal">
      <formula>AS_DEV_EFFORT</formula>
    </cfRule>
  </conditionalFormatting>
  <conditionalFormatting sqref="F243">
    <cfRule type="expression" dxfId="1879" priority="2200">
      <formula>$K243&lt;&gt;""</formula>
    </cfRule>
  </conditionalFormatting>
  <conditionalFormatting sqref="C243">
    <cfRule type="expression" dxfId="1878" priority="2199">
      <formula>$G243&lt;&gt;"-"</formula>
    </cfRule>
  </conditionalFormatting>
  <conditionalFormatting sqref="D243">
    <cfRule type="expression" dxfId="1877" priority="2198">
      <formula>$H243&lt;&gt;"-"</formula>
    </cfRule>
  </conditionalFormatting>
  <conditionalFormatting sqref="E243">
    <cfRule type="expression" dxfId="1876" priority="2197">
      <formula>$I243&lt;&gt;"-"</formula>
    </cfRule>
  </conditionalFormatting>
  <conditionalFormatting sqref="B244">
    <cfRule type="expression" dxfId="1875" priority="2194">
      <formula>AD244&lt;&gt;""</formula>
    </cfRule>
  </conditionalFormatting>
  <conditionalFormatting sqref="Z244">
    <cfRule type="cellIs" dxfId="1874" priority="2192" operator="greaterThan">
      <formula>0</formula>
    </cfRule>
    <cfRule type="cellIs" dxfId="1873" priority="2193" operator="lessThan">
      <formula>0</formula>
    </cfRule>
  </conditionalFormatting>
  <conditionalFormatting sqref="S244">
    <cfRule type="cellIs" dxfId="1872" priority="2191" operator="lessThan">
      <formula>0</formula>
    </cfRule>
  </conditionalFormatting>
  <conditionalFormatting sqref="P244">
    <cfRule type="cellIs" dxfId="1871" priority="2189" operator="equal">
      <formula>AS_DURATION_EFFORT</formula>
    </cfRule>
    <cfRule type="cellIs" dxfId="1870" priority="2190" operator="equal">
      <formula>AS_DEV_EFFORT</formula>
    </cfRule>
  </conditionalFormatting>
  <conditionalFormatting sqref="F244">
    <cfRule type="expression" dxfId="1869" priority="2188">
      <formula>$K244&lt;&gt;""</formula>
    </cfRule>
  </conditionalFormatting>
  <conditionalFormatting sqref="C244">
    <cfRule type="expression" dxfId="1868" priority="2187">
      <formula>$G244&lt;&gt;"-"</formula>
    </cfRule>
  </conditionalFormatting>
  <conditionalFormatting sqref="D244">
    <cfRule type="expression" dxfId="1867" priority="2186">
      <formula>$H244&lt;&gt;"-"</formula>
    </cfRule>
  </conditionalFormatting>
  <conditionalFormatting sqref="E244">
    <cfRule type="expression" dxfId="1866" priority="2185">
      <formula>$I244&lt;&gt;"-"</formula>
    </cfRule>
  </conditionalFormatting>
  <conditionalFormatting sqref="B245">
    <cfRule type="expression" dxfId="1865" priority="2182">
      <formula>AD245&lt;&gt;""</formula>
    </cfRule>
  </conditionalFormatting>
  <conditionalFormatting sqref="Z245">
    <cfRule type="cellIs" dxfId="1864" priority="2180" operator="greaterThan">
      <formula>0</formula>
    </cfRule>
    <cfRule type="cellIs" dxfId="1863" priority="2181" operator="lessThan">
      <formula>0</formula>
    </cfRule>
  </conditionalFormatting>
  <conditionalFormatting sqref="S245">
    <cfRule type="cellIs" dxfId="1862" priority="2179" operator="lessThan">
      <formula>0</formula>
    </cfRule>
  </conditionalFormatting>
  <conditionalFormatting sqref="P245">
    <cfRule type="cellIs" dxfId="1861" priority="2177" operator="equal">
      <formula>AS_DURATION_EFFORT</formula>
    </cfRule>
    <cfRule type="cellIs" dxfId="1860" priority="2178" operator="equal">
      <formula>AS_DEV_EFFORT</formula>
    </cfRule>
  </conditionalFormatting>
  <conditionalFormatting sqref="F245">
    <cfRule type="expression" dxfId="1859" priority="2176">
      <formula>$K245&lt;&gt;""</formula>
    </cfRule>
  </conditionalFormatting>
  <conditionalFormatting sqref="C245">
    <cfRule type="expression" dxfId="1858" priority="2175">
      <formula>$G245&lt;&gt;"-"</formula>
    </cfRule>
  </conditionalFormatting>
  <conditionalFormatting sqref="D245">
    <cfRule type="expression" dxfId="1857" priority="2174">
      <formula>$H245&lt;&gt;"-"</formula>
    </cfRule>
  </conditionalFormatting>
  <conditionalFormatting sqref="E245">
    <cfRule type="expression" dxfId="1856" priority="2173">
      <formula>$I245&lt;&gt;"-"</formula>
    </cfRule>
  </conditionalFormatting>
  <conditionalFormatting sqref="B250">
    <cfRule type="expression" dxfId="1855" priority="2169">
      <formula>AD250&lt;&gt;""</formula>
    </cfRule>
  </conditionalFormatting>
  <conditionalFormatting sqref="Z250">
    <cfRule type="cellIs" dxfId="1854" priority="2167" operator="greaterThan">
      <formula>0</formula>
    </cfRule>
    <cfRule type="cellIs" dxfId="1853" priority="2168" operator="lessThan">
      <formula>0</formula>
    </cfRule>
  </conditionalFormatting>
  <conditionalFormatting sqref="S250">
    <cfRule type="cellIs" dxfId="1852" priority="2166" operator="lessThan">
      <formula>0</formula>
    </cfRule>
  </conditionalFormatting>
  <conditionalFormatting sqref="T248:T249">
    <cfRule type="expression" dxfId="1851" priority="2170">
      <formula>#REF!="Yes"</formula>
    </cfRule>
  </conditionalFormatting>
  <conditionalFormatting sqref="P250">
    <cfRule type="cellIs" dxfId="1850" priority="2164" operator="equal">
      <formula>AS_DURATION_EFFORT</formula>
    </cfRule>
    <cfRule type="cellIs" dxfId="1849" priority="2165" operator="equal">
      <formula>AS_DEV_EFFORT</formula>
    </cfRule>
  </conditionalFormatting>
  <conditionalFormatting sqref="B248:B249">
    <cfRule type="expression" dxfId="1848" priority="2163">
      <formula>AD248&lt;&gt;""</formula>
    </cfRule>
  </conditionalFormatting>
  <conditionalFormatting sqref="F250">
    <cfRule type="expression" dxfId="1847" priority="2162">
      <formula>$K250&lt;&gt;""</formula>
    </cfRule>
  </conditionalFormatting>
  <conditionalFormatting sqref="C250">
    <cfRule type="expression" dxfId="1846" priority="2161">
      <formula>$G250&lt;&gt;"-"</formula>
    </cfRule>
  </conditionalFormatting>
  <conditionalFormatting sqref="D250">
    <cfRule type="expression" dxfId="1845" priority="2160">
      <formula>$H250&lt;&gt;"-"</formula>
    </cfRule>
  </conditionalFormatting>
  <conditionalFormatting sqref="E250">
    <cfRule type="expression" dxfId="1844" priority="2159">
      <formula>$I250&lt;&gt;"-"</formula>
    </cfRule>
  </conditionalFormatting>
  <conditionalFormatting sqref="B251">
    <cfRule type="expression" dxfId="1843" priority="2156">
      <formula>AD251&lt;&gt;""</formula>
    </cfRule>
  </conditionalFormatting>
  <conditionalFormatting sqref="Z251">
    <cfRule type="cellIs" dxfId="1842" priority="2154" operator="greaterThan">
      <formula>0</formula>
    </cfRule>
    <cfRule type="cellIs" dxfId="1841" priority="2155" operator="lessThan">
      <formula>0</formula>
    </cfRule>
  </conditionalFormatting>
  <conditionalFormatting sqref="S251">
    <cfRule type="cellIs" dxfId="1840" priority="2153" operator="lessThan">
      <formula>0</formula>
    </cfRule>
  </conditionalFormatting>
  <conditionalFormatting sqref="P251">
    <cfRule type="cellIs" dxfId="1839" priority="2151" operator="equal">
      <formula>AS_DURATION_EFFORT</formula>
    </cfRule>
    <cfRule type="cellIs" dxfId="1838" priority="2152" operator="equal">
      <formula>AS_DEV_EFFORT</formula>
    </cfRule>
  </conditionalFormatting>
  <conditionalFormatting sqref="F251">
    <cfRule type="expression" dxfId="1837" priority="2150">
      <formula>$K251&lt;&gt;""</formula>
    </cfRule>
  </conditionalFormatting>
  <conditionalFormatting sqref="C251">
    <cfRule type="expression" dxfId="1836" priority="2149">
      <formula>$G251&lt;&gt;"-"</formula>
    </cfRule>
  </conditionalFormatting>
  <conditionalFormatting sqref="D251">
    <cfRule type="expression" dxfId="1835" priority="2148">
      <formula>$H251&lt;&gt;"-"</formula>
    </cfRule>
  </conditionalFormatting>
  <conditionalFormatting sqref="E251">
    <cfRule type="expression" dxfId="1834" priority="2147">
      <formula>$I251&lt;&gt;"-"</formula>
    </cfRule>
  </conditionalFormatting>
  <conditionalFormatting sqref="B252">
    <cfRule type="expression" dxfId="1833" priority="2144">
      <formula>AD252&lt;&gt;""</formula>
    </cfRule>
  </conditionalFormatting>
  <conditionalFormatting sqref="Z252">
    <cfRule type="cellIs" dxfId="1832" priority="2142" operator="greaterThan">
      <formula>0</formula>
    </cfRule>
    <cfRule type="cellIs" dxfId="1831" priority="2143" operator="lessThan">
      <formula>0</formula>
    </cfRule>
  </conditionalFormatting>
  <conditionalFormatting sqref="S252">
    <cfRule type="cellIs" dxfId="1830" priority="2141" operator="lessThan">
      <formula>0</formula>
    </cfRule>
  </conditionalFormatting>
  <conditionalFormatting sqref="P252">
    <cfRule type="cellIs" dxfId="1829" priority="2139" operator="equal">
      <formula>AS_DURATION_EFFORT</formula>
    </cfRule>
    <cfRule type="cellIs" dxfId="1828" priority="2140" operator="equal">
      <formula>AS_DEV_EFFORT</formula>
    </cfRule>
  </conditionalFormatting>
  <conditionalFormatting sqref="F252">
    <cfRule type="expression" dxfId="1827" priority="2138">
      <formula>$K252&lt;&gt;""</formula>
    </cfRule>
  </conditionalFormatting>
  <conditionalFormatting sqref="C252">
    <cfRule type="expression" dxfId="1826" priority="2137">
      <formula>$G252&lt;&gt;"-"</formula>
    </cfRule>
  </conditionalFormatting>
  <conditionalFormatting sqref="D252">
    <cfRule type="expression" dxfId="1825" priority="2136">
      <formula>$H252&lt;&gt;"-"</formula>
    </cfRule>
  </conditionalFormatting>
  <conditionalFormatting sqref="E252">
    <cfRule type="expression" dxfId="1824" priority="2135">
      <formula>$I252&lt;&gt;"-"</formula>
    </cfRule>
  </conditionalFormatting>
  <conditionalFormatting sqref="B253">
    <cfRule type="expression" dxfId="1823" priority="2132">
      <formula>AD253&lt;&gt;""</formula>
    </cfRule>
  </conditionalFormatting>
  <conditionalFormatting sqref="Z253">
    <cfRule type="cellIs" dxfId="1822" priority="2130" operator="greaterThan">
      <formula>0</formula>
    </cfRule>
    <cfRule type="cellIs" dxfId="1821" priority="2131" operator="lessThan">
      <formula>0</formula>
    </cfRule>
  </conditionalFormatting>
  <conditionalFormatting sqref="S253">
    <cfRule type="cellIs" dxfId="1820" priority="2129" operator="lessThan">
      <formula>0</formula>
    </cfRule>
  </conditionalFormatting>
  <conditionalFormatting sqref="P253">
    <cfRule type="cellIs" dxfId="1819" priority="2127" operator="equal">
      <formula>AS_DURATION_EFFORT</formula>
    </cfRule>
    <cfRule type="cellIs" dxfId="1818" priority="2128" operator="equal">
      <formula>AS_DEV_EFFORT</formula>
    </cfRule>
  </conditionalFormatting>
  <conditionalFormatting sqref="F253">
    <cfRule type="expression" dxfId="1817" priority="2126">
      <formula>$K253&lt;&gt;""</formula>
    </cfRule>
  </conditionalFormatting>
  <conditionalFormatting sqref="C253">
    <cfRule type="expression" dxfId="1816" priority="2125">
      <formula>$G253&lt;&gt;"-"</formula>
    </cfRule>
  </conditionalFormatting>
  <conditionalFormatting sqref="D253">
    <cfRule type="expression" dxfId="1815" priority="2124">
      <formula>$H253&lt;&gt;"-"</formula>
    </cfRule>
  </conditionalFormatting>
  <conditionalFormatting sqref="E253">
    <cfRule type="expression" dxfId="1814" priority="2123">
      <formula>$I253&lt;&gt;"-"</formula>
    </cfRule>
  </conditionalFormatting>
  <conditionalFormatting sqref="B254">
    <cfRule type="expression" dxfId="1813" priority="2120">
      <formula>AD254&lt;&gt;""</formula>
    </cfRule>
  </conditionalFormatting>
  <conditionalFormatting sqref="Z254">
    <cfRule type="cellIs" dxfId="1812" priority="2118" operator="greaterThan">
      <formula>0</formula>
    </cfRule>
    <cfRule type="cellIs" dxfId="1811" priority="2119" operator="lessThan">
      <formula>0</formula>
    </cfRule>
  </conditionalFormatting>
  <conditionalFormatting sqref="S254">
    <cfRule type="cellIs" dxfId="1810" priority="2117" operator="lessThan">
      <formula>0</formula>
    </cfRule>
  </conditionalFormatting>
  <conditionalFormatting sqref="P254">
    <cfRule type="cellIs" dxfId="1809" priority="2115" operator="equal">
      <formula>AS_DURATION_EFFORT</formula>
    </cfRule>
    <cfRule type="cellIs" dxfId="1808" priority="2116" operator="equal">
      <formula>AS_DEV_EFFORT</formula>
    </cfRule>
  </conditionalFormatting>
  <conditionalFormatting sqref="F254">
    <cfRule type="expression" dxfId="1807" priority="2114">
      <formula>$K254&lt;&gt;""</formula>
    </cfRule>
  </conditionalFormatting>
  <conditionalFormatting sqref="C254">
    <cfRule type="expression" dxfId="1806" priority="2113">
      <formula>$G254&lt;&gt;"-"</formula>
    </cfRule>
  </conditionalFormatting>
  <conditionalFormatting sqref="D254">
    <cfRule type="expression" dxfId="1805" priority="2112">
      <formula>$H254&lt;&gt;"-"</formula>
    </cfRule>
  </conditionalFormatting>
  <conditionalFormatting sqref="E254">
    <cfRule type="expression" dxfId="1804" priority="2111">
      <formula>$I254&lt;&gt;"-"</formula>
    </cfRule>
  </conditionalFormatting>
  <conditionalFormatting sqref="B277">
    <cfRule type="expression" dxfId="1803" priority="2107">
      <formula>AD277&lt;&gt;""</formula>
    </cfRule>
  </conditionalFormatting>
  <conditionalFormatting sqref="Z277">
    <cfRule type="cellIs" dxfId="1802" priority="2105" operator="greaterThan">
      <formula>0</formula>
    </cfRule>
    <cfRule type="cellIs" dxfId="1801" priority="2106" operator="lessThan">
      <formula>0</formula>
    </cfRule>
  </conditionalFormatting>
  <conditionalFormatting sqref="S277">
    <cfRule type="cellIs" dxfId="1800" priority="2104" operator="lessThan">
      <formula>0</formula>
    </cfRule>
  </conditionalFormatting>
  <conditionalFormatting sqref="T275:T276">
    <cfRule type="expression" dxfId="1799" priority="2108">
      <formula>#REF!="Yes"</formula>
    </cfRule>
  </conditionalFormatting>
  <conditionalFormatting sqref="P277">
    <cfRule type="cellIs" dxfId="1798" priority="2102" operator="equal">
      <formula>AS_DURATION_EFFORT</formula>
    </cfRule>
    <cfRule type="cellIs" dxfId="1797" priority="2103" operator="equal">
      <formula>AS_DEV_EFFORT</formula>
    </cfRule>
  </conditionalFormatting>
  <conditionalFormatting sqref="B275:B276">
    <cfRule type="expression" dxfId="1796" priority="2101">
      <formula>AD275&lt;&gt;""</formula>
    </cfRule>
  </conditionalFormatting>
  <conditionalFormatting sqref="F277">
    <cfRule type="expression" dxfId="1795" priority="2100">
      <formula>$K277&lt;&gt;""</formula>
    </cfRule>
  </conditionalFormatting>
  <conditionalFormatting sqref="C277">
    <cfRule type="expression" dxfId="1794" priority="2099">
      <formula>$G277&lt;&gt;"-"</formula>
    </cfRule>
  </conditionalFormatting>
  <conditionalFormatting sqref="D277">
    <cfRule type="expression" dxfId="1793" priority="2098">
      <formula>$H277&lt;&gt;"-"</formula>
    </cfRule>
  </conditionalFormatting>
  <conditionalFormatting sqref="E277">
    <cfRule type="expression" dxfId="1792" priority="2097">
      <formula>$I277&lt;&gt;"-"</formula>
    </cfRule>
  </conditionalFormatting>
  <conditionalFormatting sqref="B278">
    <cfRule type="expression" dxfId="1791" priority="2092">
      <formula>AD278&lt;&gt;""</formula>
    </cfRule>
  </conditionalFormatting>
  <conditionalFormatting sqref="Z278">
    <cfRule type="cellIs" dxfId="1790" priority="2090" operator="greaterThan">
      <formula>0</formula>
    </cfRule>
    <cfRule type="cellIs" dxfId="1789" priority="2091" operator="lessThan">
      <formula>0</formula>
    </cfRule>
  </conditionalFormatting>
  <conditionalFormatting sqref="S278">
    <cfRule type="cellIs" dxfId="1788" priority="2089" operator="lessThan">
      <formula>0</formula>
    </cfRule>
  </conditionalFormatting>
  <conditionalFormatting sqref="P278">
    <cfRule type="cellIs" dxfId="1787" priority="2087" operator="equal">
      <formula>AS_DURATION_EFFORT</formula>
    </cfRule>
    <cfRule type="cellIs" dxfId="1786" priority="2088" operator="equal">
      <formula>AS_DEV_EFFORT</formula>
    </cfRule>
  </conditionalFormatting>
  <conditionalFormatting sqref="F278">
    <cfRule type="expression" dxfId="1785" priority="2086">
      <formula>$K278&lt;&gt;""</formula>
    </cfRule>
  </conditionalFormatting>
  <conditionalFormatting sqref="C278">
    <cfRule type="expression" dxfId="1784" priority="2085">
      <formula>$G278&lt;&gt;"-"</formula>
    </cfRule>
  </conditionalFormatting>
  <conditionalFormatting sqref="D278">
    <cfRule type="expression" dxfId="1783" priority="2084">
      <formula>$H278&lt;&gt;"-"</formula>
    </cfRule>
  </conditionalFormatting>
  <conditionalFormatting sqref="E278">
    <cfRule type="expression" dxfId="1782" priority="2083">
      <formula>$I278&lt;&gt;"-"</formula>
    </cfRule>
  </conditionalFormatting>
  <conditionalFormatting sqref="B279">
    <cfRule type="expression" dxfId="1781" priority="2080">
      <formula>AD279&lt;&gt;""</formula>
    </cfRule>
  </conditionalFormatting>
  <conditionalFormatting sqref="Z279">
    <cfRule type="cellIs" dxfId="1780" priority="2078" operator="greaterThan">
      <formula>0</formula>
    </cfRule>
    <cfRule type="cellIs" dxfId="1779" priority="2079" operator="lessThan">
      <formula>0</formula>
    </cfRule>
  </conditionalFormatting>
  <conditionalFormatting sqref="S279">
    <cfRule type="cellIs" dxfId="1778" priority="2077" operator="lessThan">
      <formula>0</formula>
    </cfRule>
  </conditionalFormatting>
  <conditionalFormatting sqref="P279">
    <cfRule type="cellIs" dxfId="1777" priority="2075" operator="equal">
      <formula>AS_DURATION_EFFORT</formula>
    </cfRule>
    <cfRule type="cellIs" dxfId="1776" priority="2076" operator="equal">
      <formula>AS_DEV_EFFORT</formula>
    </cfRule>
  </conditionalFormatting>
  <conditionalFormatting sqref="F279">
    <cfRule type="expression" dxfId="1775" priority="2074">
      <formula>$K279&lt;&gt;""</formula>
    </cfRule>
  </conditionalFormatting>
  <conditionalFormatting sqref="C279">
    <cfRule type="expression" dxfId="1774" priority="2073">
      <formula>$G279&lt;&gt;"-"</formula>
    </cfRule>
  </conditionalFormatting>
  <conditionalFormatting sqref="D279">
    <cfRule type="expression" dxfId="1773" priority="2072">
      <formula>$H279&lt;&gt;"-"</formula>
    </cfRule>
  </conditionalFormatting>
  <conditionalFormatting sqref="E279">
    <cfRule type="expression" dxfId="1772" priority="2071">
      <formula>$I279&lt;&gt;"-"</formula>
    </cfRule>
  </conditionalFormatting>
  <conditionalFormatting sqref="B280">
    <cfRule type="expression" dxfId="1771" priority="2068">
      <formula>AD280&lt;&gt;""</formula>
    </cfRule>
  </conditionalFormatting>
  <conditionalFormatting sqref="Z280">
    <cfRule type="cellIs" dxfId="1770" priority="2066" operator="greaterThan">
      <formula>0</formula>
    </cfRule>
    <cfRule type="cellIs" dxfId="1769" priority="2067" operator="lessThan">
      <formula>0</formula>
    </cfRule>
  </conditionalFormatting>
  <conditionalFormatting sqref="S280">
    <cfRule type="cellIs" dxfId="1768" priority="2065" operator="lessThan">
      <formula>0</formula>
    </cfRule>
  </conditionalFormatting>
  <conditionalFormatting sqref="P280">
    <cfRule type="cellIs" dxfId="1767" priority="2063" operator="equal">
      <formula>AS_DURATION_EFFORT</formula>
    </cfRule>
    <cfRule type="cellIs" dxfId="1766" priority="2064" operator="equal">
      <formula>AS_DEV_EFFORT</formula>
    </cfRule>
  </conditionalFormatting>
  <conditionalFormatting sqref="F280">
    <cfRule type="expression" dxfId="1765" priority="2062">
      <formula>$K280&lt;&gt;""</formula>
    </cfRule>
  </conditionalFormatting>
  <conditionalFormatting sqref="C280">
    <cfRule type="expression" dxfId="1764" priority="2061">
      <formula>$G280&lt;&gt;"-"</formula>
    </cfRule>
  </conditionalFormatting>
  <conditionalFormatting sqref="D280">
    <cfRule type="expression" dxfId="1763" priority="2060">
      <formula>$H280&lt;&gt;"-"</formula>
    </cfRule>
  </conditionalFormatting>
  <conditionalFormatting sqref="E280">
    <cfRule type="expression" dxfId="1762" priority="2059">
      <formula>$I280&lt;&gt;"-"</formula>
    </cfRule>
  </conditionalFormatting>
  <conditionalFormatting sqref="B281">
    <cfRule type="expression" dxfId="1761" priority="2056">
      <formula>AD281&lt;&gt;""</formula>
    </cfRule>
  </conditionalFormatting>
  <conditionalFormatting sqref="Z281">
    <cfRule type="cellIs" dxfId="1760" priority="2054" operator="greaterThan">
      <formula>0</formula>
    </cfRule>
    <cfRule type="cellIs" dxfId="1759" priority="2055" operator="lessThan">
      <formula>0</formula>
    </cfRule>
  </conditionalFormatting>
  <conditionalFormatting sqref="S281">
    <cfRule type="cellIs" dxfId="1758" priority="2053" operator="lessThan">
      <formula>0</formula>
    </cfRule>
  </conditionalFormatting>
  <conditionalFormatting sqref="P281">
    <cfRule type="cellIs" dxfId="1757" priority="2051" operator="equal">
      <formula>AS_DURATION_EFFORT</formula>
    </cfRule>
    <cfRule type="cellIs" dxfId="1756" priority="2052" operator="equal">
      <formula>AS_DEV_EFFORT</formula>
    </cfRule>
  </conditionalFormatting>
  <conditionalFormatting sqref="F281">
    <cfRule type="expression" dxfId="1755" priority="2050">
      <formula>$K281&lt;&gt;""</formula>
    </cfRule>
  </conditionalFormatting>
  <conditionalFormatting sqref="C281">
    <cfRule type="expression" dxfId="1754" priority="2049">
      <formula>$G281&lt;&gt;"-"</formula>
    </cfRule>
  </conditionalFormatting>
  <conditionalFormatting sqref="D281">
    <cfRule type="expression" dxfId="1753" priority="2048">
      <formula>$H281&lt;&gt;"-"</formula>
    </cfRule>
  </conditionalFormatting>
  <conditionalFormatting sqref="E281">
    <cfRule type="expression" dxfId="1752" priority="2047">
      <formula>$I281&lt;&gt;"-"</formula>
    </cfRule>
  </conditionalFormatting>
  <conditionalFormatting sqref="B288">
    <cfRule type="expression" dxfId="1751" priority="2043">
      <formula>AD288&lt;&gt;""</formula>
    </cfRule>
  </conditionalFormatting>
  <conditionalFormatting sqref="Z288">
    <cfRule type="cellIs" dxfId="1750" priority="2041" operator="greaterThan">
      <formula>0</formula>
    </cfRule>
    <cfRule type="cellIs" dxfId="1749" priority="2042" operator="lessThan">
      <formula>0</formula>
    </cfRule>
  </conditionalFormatting>
  <conditionalFormatting sqref="S288">
    <cfRule type="cellIs" dxfId="1748" priority="2040" operator="lessThan">
      <formula>0</formula>
    </cfRule>
  </conditionalFormatting>
  <conditionalFormatting sqref="T286:T287">
    <cfRule type="expression" dxfId="1747" priority="2044">
      <formula>#REF!="Yes"</formula>
    </cfRule>
  </conditionalFormatting>
  <conditionalFormatting sqref="P288">
    <cfRule type="cellIs" dxfId="1746" priority="2038" operator="equal">
      <formula>AS_DURATION_EFFORT</formula>
    </cfRule>
    <cfRule type="cellIs" dxfId="1745" priority="2039" operator="equal">
      <formula>AS_DEV_EFFORT</formula>
    </cfRule>
  </conditionalFormatting>
  <conditionalFormatting sqref="B286:B287">
    <cfRule type="expression" dxfId="1744" priority="2037">
      <formula>AD286&lt;&gt;""</formula>
    </cfRule>
  </conditionalFormatting>
  <conditionalFormatting sqref="F288">
    <cfRule type="expression" dxfId="1743" priority="2036">
      <formula>$K288&lt;&gt;""</formula>
    </cfRule>
  </conditionalFormatting>
  <conditionalFormatting sqref="C288">
    <cfRule type="expression" dxfId="1742" priority="2035">
      <formula>$G288&lt;&gt;"-"</formula>
    </cfRule>
  </conditionalFormatting>
  <conditionalFormatting sqref="D288">
    <cfRule type="expression" dxfId="1741" priority="2034">
      <formula>$H288&lt;&gt;"-"</formula>
    </cfRule>
  </conditionalFormatting>
  <conditionalFormatting sqref="E288">
    <cfRule type="expression" dxfId="1740" priority="2033">
      <formula>$I288&lt;&gt;"-"</formula>
    </cfRule>
  </conditionalFormatting>
  <conditionalFormatting sqref="B289">
    <cfRule type="expression" dxfId="1739" priority="2030">
      <formula>AD289&lt;&gt;""</formula>
    </cfRule>
  </conditionalFormatting>
  <conditionalFormatting sqref="Z289">
    <cfRule type="cellIs" dxfId="1738" priority="2028" operator="greaterThan">
      <formula>0</formula>
    </cfRule>
    <cfRule type="cellIs" dxfId="1737" priority="2029" operator="lessThan">
      <formula>0</formula>
    </cfRule>
  </conditionalFormatting>
  <conditionalFormatting sqref="S289">
    <cfRule type="cellIs" dxfId="1736" priority="2027" operator="lessThan">
      <formula>0</formula>
    </cfRule>
  </conditionalFormatting>
  <conditionalFormatting sqref="P289">
    <cfRule type="cellIs" dxfId="1735" priority="2025" operator="equal">
      <formula>AS_DURATION_EFFORT</formula>
    </cfRule>
    <cfRule type="cellIs" dxfId="1734" priority="2026" operator="equal">
      <formula>AS_DEV_EFFORT</formula>
    </cfRule>
  </conditionalFormatting>
  <conditionalFormatting sqref="F289">
    <cfRule type="expression" dxfId="1733" priority="2024">
      <formula>$K289&lt;&gt;""</formula>
    </cfRule>
  </conditionalFormatting>
  <conditionalFormatting sqref="C289">
    <cfRule type="expression" dxfId="1732" priority="2023">
      <formula>$G289&lt;&gt;"-"</formula>
    </cfRule>
  </conditionalFormatting>
  <conditionalFormatting sqref="D289">
    <cfRule type="expression" dxfId="1731" priority="2022">
      <formula>$H289&lt;&gt;"-"</formula>
    </cfRule>
  </conditionalFormatting>
  <conditionalFormatting sqref="E289">
    <cfRule type="expression" dxfId="1730" priority="2021">
      <formula>$I289&lt;&gt;"-"</formula>
    </cfRule>
  </conditionalFormatting>
  <conditionalFormatting sqref="B290">
    <cfRule type="expression" dxfId="1729" priority="2018">
      <formula>AD290&lt;&gt;""</formula>
    </cfRule>
  </conditionalFormatting>
  <conditionalFormatting sqref="Z290">
    <cfRule type="cellIs" dxfId="1728" priority="2016" operator="greaterThan">
      <formula>0</formula>
    </cfRule>
    <cfRule type="cellIs" dxfId="1727" priority="2017" operator="lessThan">
      <formula>0</formula>
    </cfRule>
  </conditionalFormatting>
  <conditionalFormatting sqref="S290">
    <cfRule type="cellIs" dxfId="1726" priority="2015" operator="lessThan">
      <formula>0</formula>
    </cfRule>
  </conditionalFormatting>
  <conditionalFormatting sqref="P290">
    <cfRule type="cellIs" dxfId="1725" priority="2013" operator="equal">
      <formula>AS_DURATION_EFFORT</formula>
    </cfRule>
    <cfRule type="cellIs" dxfId="1724" priority="2014" operator="equal">
      <formula>AS_DEV_EFFORT</formula>
    </cfRule>
  </conditionalFormatting>
  <conditionalFormatting sqref="F290">
    <cfRule type="expression" dxfId="1723" priority="2012">
      <formula>$K290&lt;&gt;""</formula>
    </cfRule>
  </conditionalFormatting>
  <conditionalFormatting sqref="C290">
    <cfRule type="expression" dxfId="1722" priority="2011">
      <formula>$G290&lt;&gt;"-"</formula>
    </cfRule>
  </conditionalFormatting>
  <conditionalFormatting sqref="D290">
    <cfRule type="expression" dxfId="1721" priority="2010">
      <formula>$H290&lt;&gt;"-"</formula>
    </cfRule>
  </conditionalFormatting>
  <conditionalFormatting sqref="E290">
    <cfRule type="expression" dxfId="1720" priority="2009">
      <formula>$I290&lt;&gt;"-"</formula>
    </cfRule>
  </conditionalFormatting>
  <conditionalFormatting sqref="B291">
    <cfRule type="expression" dxfId="1719" priority="2006">
      <formula>AD291&lt;&gt;""</formula>
    </cfRule>
  </conditionalFormatting>
  <conditionalFormatting sqref="Z291">
    <cfRule type="cellIs" dxfId="1718" priority="2004" operator="greaterThan">
      <formula>0</formula>
    </cfRule>
    <cfRule type="cellIs" dxfId="1717" priority="2005" operator="lessThan">
      <formula>0</formula>
    </cfRule>
  </conditionalFormatting>
  <conditionalFormatting sqref="S291">
    <cfRule type="cellIs" dxfId="1716" priority="2003" operator="lessThan">
      <formula>0</formula>
    </cfRule>
  </conditionalFormatting>
  <conditionalFormatting sqref="P291">
    <cfRule type="cellIs" dxfId="1715" priority="2001" operator="equal">
      <formula>AS_DURATION_EFFORT</formula>
    </cfRule>
    <cfRule type="cellIs" dxfId="1714" priority="2002" operator="equal">
      <formula>AS_DEV_EFFORT</formula>
    </cfRule>
  </conditionalFormatting>
  <conditionalFormatting sqref="F291">
    <cfRule type="expression" dxfId="1713" priority="2000">
      <formula>$K291&lt;&gt;""</formula>
    </cfRule>
  </conditionalFormatting>
  <conditionalFormatting sqref="C291">
    <cfRule type="expression" dxfId="1712" priority="1999">
      <formula>$G291&lt;&gt;"-"</formula>
    </cfRule>
  </conditionalFormatting>
  <conditionalFormatting sqref="D291">
    <cfRule type="expression" dxfId="1711" priority="1998">
      <formula>$H291&lt;&gt;"-"</formula>
    </cfRule>
  </conditionalFormatting>
  <conditionalFormatting sqref="E291">
    <cfRule type="expression" dxfId="1710" priority="1997">
      <formula>$I291&lt;&gt;"-"</formula>
    </cfRule>
  </conditionalFormatting>
  <conditionalFormatting sqref="B292">
    <cfRule type="expression" dxfId="1709" priority="1994">
      <formula>AD292&lt;&gt;""</formula>
    </cfRule>
  </conditionalFormatting>
  <conditionalFormatting sqref="Z292">
    <cfRule type="cellIs" dxfId="1708" priority="1992" operator="greaterThan">
      <formula>0</formula>
    </cfRule>
    <cfRule type="cellIs" dxfId="1707" priority="1993" operator="lessThan">
      <formula>0</formula>
    </cfRule>
  </conditionalFormatting>
  <conditionalFormatting sqref="S292">
    <cfRule type="cellIs" dxfId="1706" priority="1991" operator="lessThan">
      <formula>0</formula>
    </cfRule>
  </conditionalFormatting>
  <conditionalFormatting sqref="P292">
    <cfRule type="cellIs" dxfId="1705" priority="1989" operator="equal">
      <formula>AS_DURATION_EFFORT</formula>
    </cfRule>
    <cfRule type="cellIs" dxfId="1704" priority="1990" operator="equal">
      <formula>AS_DEV_EFFORT</formula>
    </cfRule>
  </conditionalFormatting>
  <conditionalFormatting sqref="F292">
    <cfRule type="expression" dxfId="1703" priority="1988">
      <formula>$K292&lt;&gt;""</formula>
    </cfRule>
  </conditionalFormatting>
  <conditionalFormatting sqref="C292">
    <cfRule type="expression" dxfId="1702" priority="1987">
      <formula>$G292&lt;&gt;"-"</formula>
    </cfRule>
  </conditionalFormatting>
  <conditionalFormatting sqref="D292">
    <cfRule type="expression" dxfId="1701" priority="1986">
      <formula>$H292&lt;&gt;"-"</formula>
    </cfRule>
  </conditionalFormatting>
  <conditionalFormatting sqref="E292">
    <cfRule type="expression" dxfId="1700" priority="1985">
      <formula>$I292&lt;&gt;"-"</formula>
    </cfRule>
  </conditionalFormatting>
  <conditionalFormatting sqref="B298">
    <cfRule type="expression" dxfId="1699" priority="1981">
      <formula>AD298&lt;&gt;""</formula>
    </cfRule>
  </conditionalFormatting>
  <conditionalFormatting sqref="Z298">
    <cfRule type="cellIs" dxfId="1698" priority="1979" operator="greaterThan">
      <formula>0</formula>
    </cfRule>
    <cfRule type="cellIs" dxfId="1697" priority="1980" operator="lessThan">
      <formula>0</formula>
    </cfRule>
  </conditionalFormatting>
  <conditionalFormatting sqref="S298">
    <cfRule type="cellIs" dxfId="1696" priority="1978" operator="lessThan">
      <formula>0</formula>
    </cfRule>
  </conditionalFormatting>
  <conditionalFormatting sqref="T296:T297">
    <cfRule type="expression" dxfId="1695" priority="1982">
      <formula>#REF!="Yes"</formula>
    </cfRule>
  </conditionalFormatting>
  <conditionalFormatting sqref="P298">
    <cfRule type="cellIs" dxfId="1694" priority="1976" operator="equal">
      <formula>AS_DURATION_EFFORT</formula>
    </cfRule>
    <cfRule type="cellIs" dxfId="1693" priority="1977" operator="equal">
      <formula>AS_DEV_EFFORT</formula>
    </cfRule>
  </conditionalFormatting>
  <conditionalFormatting sqref="B296:B297">
    <cfRule type="expression" dxfId="1692" priority="1975">
      <formula>AD296&lt;&gt;""</formula>
    </cfRule>
  </conditionalFormatting>
  <conditionalFormatting sqref="F298">
    <cfRule type="expression" dxfId="1691" priority="1974">
      <formula>$K298&lt;&gt;""</formula>
    </cfRule>
  </conditionalFormatting>
  <conditionalFormatting sqref="C298">
    <cfRule type="expression" dxfId="1690" priority="1973">
      <formula>$G298&lt;&gt;"-"</formula>
    </cfRule>
  </conditionalFormatting>
  <conditionalFormatting sqref="D298">
    <cfRule type="expression" dxfId="1689" priority="1972">
      <formula>$H298&lt;&gt;"-"</formula>
    </cfRule>
  </conditionalFormatting>
  <conditionalFormatting sqref="E298">
    <cfRule type="expression" dxfId="1688" priority="1971">
      <formula>$I298&lt;&gt;"-"</formula>
    </cfRule>
  </conditionalFormatting>
  <conditionalFormatting sqref="B299">
    <cfRule type="expression" dxfId="1687" priority="1968">
      <formula>AD299&lt;&gt;""</formula>
    </cfRule>
  </conditionalFormatting>
  <conditionalFormatting sqref="Z299">
    <cfRule type="cellIs" dxfId="1686" priority="1966" operator="greaterThan">
      <formula>0</formula>
    </cfRule>
    <cfRule type="cellIs" dxfId="1685" priority="1967" operator="lessThan">
      <formula>0</formula>
    </cfRule>
  </conditionalFormatting>
  <conditionalFormatting sqref="S299">
    <cfRule type="cellIs" dxfId="1684" priority="1965" operator="lessThan">
      <formula>0</formula>
    </cfRule>
  </conditionalFormatting>
  <conditionalFormatting sqref="P299">
    <cfRule type="cellIs" dxfId="1683" priority="1963" operator="equal">
      <formula>AS_DURATION_EFFORT</formula>
    </cfRule>
    <cfRule type="cellIs" dxfId="1682" priority="1964" operator="equal">
      <formula>AS_DEV_EFFORT</formula>
    </cfRule>
  </conditionalFormatting>
  <conditionalFormatting sqref="F299">
    <cfRule type="expression" dxfId="1681" priority="1962">
      <formula>$K299&lt;&gt;""</formula>
    </cfRule>
  </conditionalFormatting>
  <conditionalFormatting sqref="C299">
    <cfRule type="expression" dxfId="1680" priority="1961">
      <formula>$G299&lt;&gt;"-"</formula>
    </cfRule>
  </conditionalFormatting>
  <conditionalFormatting sqref="D299">
    <cfRule type="expression" dxfId="1679" priority="1960">
      <formula>$H299&lt;&gt;"-"</formula>
    </cfRule>
  </conditionalFormatting>
  <conditionalFormatting sqref="E299">
    <cfRule type="expression" dxfId="1678" priority="1959">
      <formula>$I299&lt;&gt;"-"</formula>
    </cfRule>
  </conditionalFormatting>
  <conditionalFormatting sqref="B300">
    <cfRule type="expression" dxfId="1677" priority="1956">
      <formula>AD300&lt;&gt;""</formula>
    </cfRule>
  </conditionalFormatting>
  <conditionalFormatting sqref="Z300">
    <cfRule type="cellIs" dxfId="1676" priority="1954" operator="greaterThan">
      <formula>0</formula>
    </cfRule>
    <cfRule type="cellIs" dxfId="1675" priority="1955" operator="lessThan">
      <formula>0</formula>
    </cfRule>
  </conditionalFormatting>
  <conditionalFormatting sqref="S300">
    <cfRule type="cellIs" dxfId="1674" priority="1953" operator="lessThan">
      <formula>0</formula>
    </cfRule>
  </conditionalFormatting>
  <conditionalFormatting sqref="P300">
    <cfRule type="cellIs" dxfId="1673" priority="1951" operator="equal">
      <formula>AS_DURATION_EFFORT</formula>
    </cfRule>
    <cfRule type="cellIs" dxfId="1672" priority="1952" operator="equal">
      <formula>AS_DEV_EFFORT</formula>
    </cfRule>
  </conditionalFormatting>
  <conditionalFormatting sqref="F300">
    <cfRule type="expression" dxfId="1671" priority="1950">
      <formula>$K300&lt;&gt;""</formula>
    </cfRule>
  </conditionalFormatting>
  <conditionalFormatting sqref="C300">
    <cfRule type="expression" dxfId="1670" priority="1949">
      <formula>$G300&lt;&gt;"-"</formula>
    </cfRule>
  </conditionalFormatting>
  <conditionalFormatting sqref="D300">
    <cfRule type="expression" dxfId="1669" priority="1948">
      <formula>$H300&lt;&gt;"-"</formula>
    </cfRule>
  </conditionalFormatting>
  <conditionalFormatting sqref="E300">
    <cfRule type="expression" dxfId="1668" priority="1947">
      <formula>$I300&lt;&gt;"-"</formula>
    </cfRule>
  </conditionalFormatting>
  <conditionalFormatting sqref="B301">
    <cfRule type="expression" dxfId="1667" priority="1944">
      <formula>AD301&lt;&gt;""</formula>
    </cfRule>
  </conditionalFormatting>
  <conditionalFormatting sqref="Z301">
    <cfRule type="cellIs" dxfId="1666" priority="1942" operator="greaterThan">
      <formula>0</formula>
    </cfRule>
    <cfRule type="cellIs" dxfId="1665" priority="1943" operator="lessThan">
      <formula>0</formula>
    </cfRule>
  </conditionalFormatting>
  <conditionalFormatting sqref="S301">
    <cfRule type="cellIs" dxfId="1664" priority="1941" operator="lessThan">
      <formula>0</formula>
    </cfRule>
  </conditionalFormatting>
  <conditionalFormatting sqref="P301">
    <cfRule type="cellIs" dxfId="1663" priority="1939" operator="equal">
      <formula>AS_DURATION_EFFORT</formula>
    </cfRule>
    <cfRule type="cellIs" dxfId="1662" priority="1940" operator="equal">
      <formula>AS_DEV_EFFORT</formula>
    </cfRule>
  </conditionalFormatting>
  <conditionalFormatting sqref="F301">
    <cfRule type="expression" dxfId="1661" priority="1938">
      <formula>$K301&lt;&gt;""</formula>
    </cfRule>
  </conditionalFormatting>
  <conditionalFormatting sqref="C301">
    <cfRule type="expression" dxfId="1660" priority="1937">
      <formula>$G301&lt;&gt;"-"</formula>
    </cfRule>
  </conditionalFormatting>
  <conditionalFormatting sqref="D301">
    <cfRule type="expression" dxfId="1659" priority="1936">
      <formula>$H301&lt;&gt;"-"</formula>
    </cfRule>
  </conditionalFormatting>
  <conditionalFormatting sqref="E301">
    <cfRule type="expression" dxfId="1658" priority="1935">
      <formula>$I301&lt;&gt;"-"</formula>
    </cfRule>
  </conditionalFormatting>
  <conditionalFormatting sqref="B302">
    <cfRule type="expression" dxfId="1657" priority="1932">
      <formula>AD302&lt;&gt;""</formula>
    </cfRule>
  </conditionalFormatting>
  <conditionalFormatting sqref="Z302">
    <cfRule type="cellIs" dxfId="1656" priority="1930" operator="greaterThan">
      <formula>0</formula>
    </cfRule>
    <cfRule type="cellIs" dxfId="1655" priority="1931" operator="lessThan">
      <formula>0</formula>
    </cfRule>
  </conditionalFormatting>
  <conditionalFormatting sqref="S302">
    <cfRule type="cellIs" dxfId="1654" priority="1929" operator="lessThan">
      <formula>0</formula>
    </cfRule>
  </conditionalFormatting>
  <conditionalFormatting sqref="P302">
    <cfRule type="cellIs" dxfId="1653" priority="1927" operator="equal">
      <formula>AS_DURATION_EFFORT</formula>
    </cfRule>
    <cfRule type="cellIs" dxfId="1652" priority="1928" operator="equal">
      <formula>AS_DEV_EFFORT</formula>
    </cfRule>
  </conditionalFormatting>
  <conditionalFormatting sqref="F302">
    <cfRule type="expression" dxfId="1651" priority="1926">
      <formula>$K302&lt;&gt;""</formula>
    </cfRule>
  </conditionalFormatting>
  <conditionalFormatting sqref="C302">
    <cfRule type="expression" dxfId="1650" priority="1925">
      <formula>$G302&lt;&gt;"-"</formula>
    </cfRule>
  </conditionalFormatting>
  <conditionalFormatting sqref="D302">
    <cfRule type="expression" dxfId="1649" priority="1924">
      <formula>$H302&lt;&gt;"-"</formula>
    </cfRule>
  </conditionalFormatting>
  <conditionalFormatting sqref="E302">
    <cfRule type="expression" dxfId="1648" priority="1923">
      <formula>$I302&lt;&gt;"-"</formula>
    </cfRule>
  </conditionalFormatting>
  <conditionalFormatting sqref="B313">
    <cfRule type="expression" dxfId="1647" priority="1919">
      <formula>AD313&lt;&gt;""</formula>
    </cfRule>
  </conditionalFormatting>
  <conditionalFormatting sqref="Z313">
    <cfRule type="cellIs" dxfId="1646" priority="1917" operator="greaterThan">
      <formula>0</formula>
    </cfRule>
    <cfRule type="cellIs" dxfId="1645" priority="1918" operator="lessThan">
      <formula>0</formula>
    </cfRule>
  </conditionalFormatting>
  <conditionalFormatting sqref="S313">
    <cfRule type="cellIs" dxfId="1644" priority="1916" operator="lessThan">
      <formula>0</formula>
    </cfRule>
  </conditionalFormatting>
  <conditionalFormatting sqref="T311:T312">
    <cfRule type="expression" dxfId="1643" priority="1920">
      <formula>#REF!="Yes"</formula>
    </cfRule>
  </conditionalFormatting>
  <conditionalFormatting sqref="P313">
    <cfRule type="cellIs" dxfId="1642" priority="1914" operator="equal">
      <formula>AS_DURATION_EFFORT</formula>
    </cfRule>
    <cfRule type="cellIs" dxfId="1641" priority="1915" operator="equal">
      <formula>AS_DEV_EFFORT</formula>
    </cfRule>
  </conditionalFormatting>
  <conditionalFormatting sqref="B311:B312">
    <cfRule type="expression" dxfId="1640" priority="1913">
      <formula>AD311&lt;&gt;""</formula>
    </cfRule>
  </conditionalFormatting>
  <conditionalFormatting sqref="F313">
    <cfRule type="expression" dxfId="1639" priority="1912">
      <formula>$K313&lt;&gt;""</formula>
    </cfRule>
  </conditionalFormatting>
  <conditionalFormatting sqref="C313">
    <cfRule type="expression" dxfId="1638" priority="1911">
      <formula>$G313&lt;&gt;"-"</formula>
    </cfRule>
  </conditionalFormatting>
  <conditionalFormatting sqref="D313">
    <cfRule type="expression" dxfId="1637" priority="1910">
      <formula>$H313&lt;&gt;"-"</formula>
    </cfRule>
  </conditionalFormatting>
  <conditionalFormatting sqref="E313">
    <cfRule type="expression" dxfId="1636" priority="1909">
      <formula>$I313&lt;&gt;"-"</formula>
    </cfRule>
  </conditionalFormatting>
  <conditionalFormatting sqref="B314">
    <cfRule type="expression" dxfId="1635" priority="1906">
      <formula>AD314&lt;&gt;""</formula>
    </cfRule>
  </conditionalFormatting>
  <conditionalFormatting sqref="Z314">
    <cfRule type="cellIs" dxfId="1634" priority="1904" operator="greaterThan">
      <formula>0</formula>
    </cfRule>
    <cfRule type="cellIs" dxfId="1633" priority="1905" operator="lessThan">
      <formula>0</formula>
    </cfRule>
  </conditionalFormatting>
  <conditionalFormatting sqref="S314">
    <cfRule type="cellIs" dxfId="1632" priority="1903" operator="lessThan">
      <formula>0</formula>
    </cfRule>
  </conditionalFormatting>
  <conditionalFormatting sqref="P314">
    <cfRule type="cellIs" dxfId="1631" priority="1901" operator="equal">
      <formula>AS_DURATION_EFFORT</formula>
    </cfRule>
    <cfRule type="cellIs" dxfId="1630" priority="1902" operator="equal">
      <formula>AS_DEV_EFFORT</formula>
    </cfRule>
  </conditionalFormatting>
  <conditionalFormatting sqref="F314">
    <cfRule type="expression" dxfId="1629" priority="1900">
      <formula>$K314&lt;&gt;""</formula>
    </cfRule>
  </conditionalFormatting>
  <conditionalFormatting sqref="C314">
    <cfRule type="expression" dxfId="1628" priority="1899">
      <formula>$G314&lt;&gt;"-"</formula>
    </cfRule>
  </conditionalFormatting>
  <conditionalFormatting sqref="D314">
    <cfRule type="expression" dxfId="1627" priority="1898">
      <formula>$H314&lt;&gt;"-"</formula>
    </cfRule>
  </conditionalFormatting>
  <conditionalFormatting sqref="E314">
    <cfRule type="expression" dxfId="1626" priority="1897">
      <formula>$I314&lt;&gt;"-"</formula>
    </cfRule>
  </conditionalFormatting>
  <conditionalFormatting sqref="B315">
    <cfRule type="expression" dxfId="1625" priority="1894">
      <formula>AD315&lt;&gt;""</formula>
    </cfRule>
  </conditionalFormatting>
  <conditionalFormatting sqref="Z315">
    <cfRule type="cellIs" dxfId="1624" priority="1892" operator="greaterThan">
      <formula>0</formula>
    </cfRule>
    <cfRule type="cellIs" dxfId="1623" priority="1893" operator="lessThan">
      <formula>0</formula>
    </cfRule>
  </conditionalFormatting>
  <conditionalFormatting sqref="S315">
    <cfRule type="cellIs" dxfId="1622" priority="1891" operator="lessThan">
      <formula>0</formula>
    </cfRule>
  </conditionalFormatting>
  <conditionalFormatting sqref="P315">
    <cfRule type="cellIs" dxfId="1621" priority="1889" operator="equal">
      <formula>AS_DURATION_EFFORT</formula>
    </cfRule>
    <cfRule type="cellIs" dxfId="1620" priority="1890" operator="equal">
      <formula>AS_DEV_EFFORT</formula>
    </cfRule>
  </conditionalFormatting>
  <conditionalFormatting sqref="F315">
    <cfRule type="expression" dxfId="1619" priority="1888">
      <formula>$K315&lt;&gt;""</formula>
    </cfRule>
  </conditionalFormatting>
  <conditionalFormatting sqref="C315">
    <cfRule type="expression" dxfId="1618" priority="1887">
      <formula>$G315&lt;&gt;"-"</formula>
    </cfRule>
  </conditionalFormatting>
  <conditionalFormatting sqref="D315">
    <cfRule type="expression" dxfId="1617" priority="1886">
      <formula>$H315&lt;&gt;"-"</formula>
    </cfRule>
  </conditionalFormatting>
  <conditionalFormatting sqref="E315">
    <cfRule type="expression" dxfId="1616" priority="1885">
      <formula>$I315&lt;&gt;"-"</formula>
    </cfRule>
  </conditionalFormatting>
  <conditionalFormatting sqref="B316">
    <cfRule type="expression" dxfId="1615" priority="1882">
      <formula>AD316&lt;&gt;""</formula>
    </cfRule>
  </conditionalFormatting>
  <conditionalFormatting sqref="Z316">
    <cfRule type="cellIs" dxfId="1614" priority="1880" operator="greaterThan">
      <formula>0</formula>
    </cfRule>
    <cfRule type="cellIs" dxfId="1613" priority="1881" operator="lessThan">
      <formula>0</formula>
    </cfRule>
  </conditionalFormatting>
  <conditionalFormatting sqref="S316">
    <cfRule type="cellIs" dxfId="1612" priority="1879" operator="lessThan">
      <formula>0</formula>
    </cfRule>
  </conditionalFormatting>
  <conditionalFormatting sqref="P316">
    <cfRule type="cellIs" dxfId="1611" priority="1877" operator="equal">
      <formula>AS_DURATION_EFFORT</formula>
    </cfRule>
    <cfRule type="cellIs" dxfId="1610" priority="1878" operator="equal">
      <formula>AS_DEV_EFFORT</formula>
    </cfRule>
  </conditionalFormatting>
  <conditionalFormatting sqref="F316">
    <cfRule type="expression" dxfId="1609" priority="1876">
      <formula>$K316&lt;&gt;""</formula>
    </cfRule>
  </conditionalFormatting>
  <conditionalFormatting sqref="C316">
    <cfRule type="expression" dxfId="1608" priority="1875">
      <formula>$G316&lt;&gt;"-"</formula>
    </cfRule>
  </conditionalFormatting>
  <conditionalFormatting sqref="D316">
    <cfRule type="expression" dxfId="1607" priority="1874">
      <formula>$H316&lt;&gt;"-"</formula>
    </cfRule>
  </conditionalFormatting>
  <conditionalFormatting sqref="E316">
    <cfRule type="expression" dxfId="1606" priority="1873">
      <formula>$I316&lt;&gt;"-"</formula>
    </cfRule>
  </conditionalFormatting>
  <conditionalFormatting sqref="B317">
    <cfRule type="expression" dxfId="1605" priority="1870">
      <formula>AD317&lt;&gt;""</formula>
    </cfRule>
  </conditionalFormatting>
  <conditionalFormatting sqref="Z317">
    <cfRule type="cellIs" dxfId="1604" priority="1868" operator="greaterThan">
      <formula>0</formula>
    </cfRule>
    <cfRule type="cellIs" dxfId="1603" priority="1869" operator="lessThan">
      <formula>0</formula>
    </cfRule>
  </conditionalFormatting>
  <conditionalFormatting sqref="S317">
    <cfRule type="cellIs" dxfId="1602" priority="1867" operator="lessThan">
      <formula>0</formula>
    </cfRule>
  </conditionalFormatting>
  <conditionalFormatting sqref="P317">
    <cfRule type="cellIs" dxfId="1601" priority="1865" operator="equal">
      <formula>AS_DURATION_EFFORT</formula>
    </cfRule>
    <cfRule type="cellIs" dxfId="1600" priority="1866" operator="equal">
      <formula>AS_DEV_EFFORT</formula>
    </cfRule>
  </conditionalFormatting>
  <conditionalFormatting sqref="F317">
    <cfRule type="expression" dxfId="1599" priority="1864">
      <formula>$K317&lt;&gt;""</formula>
    </cfRule>
  </conditionalFormatting>
  <conditionalFormatting sqref="C317">
    <cfRule type="expression" dxfId="1598" priority="1863">
      <formula>$G317&lt;&gt;"-"</formula>
    </cfRule>
  </conditionalFormatting>
  <conditionalFormatting sqref="D317">
    <cfRule type="expression" dxfId="1597" priority="1862">
      <formula>$H317&lt;&gt;"-"</formula>
    </cfRule>
  </conditionalFormatting>
  <conditionalFormatting sqref="E317">
    <cfRule type="expression" dxfId="1596" priority="1861">
      <formula>$I317&lt;&gt;"-"</formula>
    </cfRule>
  </conditionalFormatting>
  <conditionalFormatting sqref="B326">
    <cfRule type="expression" dxfId="1595" priority="1857">
      <formula>AD326&lt;&gt;""</formula>
    </cfRule>
  </conditionalFormatting>
  <conditionalFormatting sqref="Z326">
    <cfRule type="cellIs" dxfId="1594" priority="1855" operator="greaterThan">
      <formula>0</formula>
    </cfRule>
    <cfRule type="cellIs" dxfId="1593" priority="1856" operator="lessThan">
      <formula>0</formula>
    </cfRule>
  </conditionalFormatting>
  <conditionalFormatting sqref="S326">
    <cfRule type="cellIs" dxfId="1592" priority="1854" operator="lessThan">
      <formula>0</formula>
    </cfRule>
  </conditionalFormatting>
  <conditionalFormatting sqref="T324:T325">
    <cfRule type="expression" dxfId="1591" priority="1858">
      <formula>#REF!="Yes"</formula>
    </cfRule>
  </conditionalFormatting>
  <conditionalFormatting sqref="P326">
    <cfRule type="cellIs" dxfId="1590" priority="1852" operator="equal">
      <formula>AS_DURATION_EFFORT</formula>
    </cfRule>
    <cfRule type="cellIs" dxfId="1589" priority="1853" operator="equal">
      <formula>AS_DEV_EFFORT</formula>
    </cfRule>
  </conditionalFormatting>
  <conditionalFormatting sqref="B324:B325">
    <cfRule type="expression" dxfId="1588" priority="1851">
      <formula>AD324&lt;&gt;""</formula>
    </cfRule>
  </conditionalFormatting>
  <conditionalFormatting sqref="F326">
    <cfRule type="expression" dxfId="1587" priority="1850">
      <formula>$K326&lt;&gt;""</formula>
    </cfRule>
  </conditionalFormatting>
  <conditionalFormatting sqref="C326">
    <cfRule type="expression" dxfId="1586" priority="1849">
      <formula>$G326&lt;&gt;"-"</formula>
    </cfRule>
  </conditionalFormatting>
  <conditionalFormatting sqref="D326">
    <cfRule type="expression" dxfId="1585" priority="1848">
      <formula>$H326&lt;&gt;"-"</formula>
    </cfRule>
  </conditionalFormatting>
  <conditionalFormatting sqref="E326">
    <cfRule type="expression" dxfId="1584" priority="1847">
      <formula>$I326&lt;&gt;"-"</formula>
    </cfRule>
  </conditionalFormatting>
  <conditionalFormatting sqref="B327">
    <cfRule type="expression" dxfId="1583" priority="1842">
      <formula>AD327&lt;&gt;""</formula>
    </cfRule>
  </conditionalFormatting>
  <conditionalFormatting sqref="Z327">
    <cfRule type="cellIs" dxfId="1582" priority="1840" operator="greaterThan">
      <formula>0</formula>
    </cfRule>
    <cfRule type="cellIs" dxfId="1581" priority="1841" operator="lessThan">
      <formula>0</formula>
    </cfRule>
  </conditionalFormatting>
  <conditionalFormatting sqref="S327">
    <cfRule type="cellIs" dxfId="1580" priority="1839" operator="lessThan">
      <formula>0</formula>
    </cfRule>
  </conditionalFormatting>
  <conditionalFormatting sqref="P327">
    <cfRule type="cellIs" dxfId="1579" priority="1837" operator="equal">
      <formula>AS_DURATION_EFFORT</formula>
    </cfRule>
    <cfRule type="cellIs" dxfId="1578" priority="1838" operator="equal">
      <formula>AS_DEV_EFFORT</formula>
    </cfRule>
  </conditionalFormatting>
  <conditionalFormatting sqref="F327">
    <cfRule type="expression" dxfId="1577" priority="1836">
      <formula>$K327&lt;&gt;""</formula>
    </cfRule>
  </conditionalFormatting>
  <conditionalFormatting sqref="C327">
    <cfRule type="expression" dxfId="1576" priority="1835">
      <formula>$G327&lt;&gt;"-"</formula>
    </cfRule>
  </conditionalFormatting>
  <conditionalFormatting sqref="D327">
    <cfRule type="expression" dxfId="1575" priority="1834">
      <formula>$H327&lt;&gt;"-"</formula>
    </cfRule>
  </conditionalFormatting>
  <conditionalFormatting sqref="E327">
    <cfRule type="expression" dxfId="1574" priority="1833">
      <formula>$I327&lt;&gt;"-"</formula>
    </cfRule>
  </conditionalFormatting>
  <conditionalFormatting sqref="B328">
    <cfRule type="expression" dxfId="1573" priority="1830">
      <formula>AD328&lt;&gt;""</formula>
    </cfRule>
  </conditionalFormatting>
  <conditionalFormatting sqref="Z328">
    <cfRule type="cellIs" dxfId="1572" priority="1828" operator="greaterThan">
      <formula>0</formula>
    </cfRule>
    <cfRule type="cellIs" dxfId="1571" priority="1829" operator="lessThan">
      <formula>0</formula>
    </cfRule>
  </conditionalFormatting>
  <conditionalFormatting sqref="S328">
    <cfRule type="cellIs" dxfId="1570" priority="1827" operator="lessThan">
      <formula>0</formula>
    </cfRule>
  </conditionalFormatting>
  <conditionalFormatting sqref="P328">
    <cfRule type="cellIs" dxfId="1569" priority="1825" operator="equal">
      <formula>AS_DURATION_EFFORT</formula>
    </cfRule>
    <cfRule type="cellIs" dxfId="1568" priority="1826" operator="equal">
      <formula>AS_DEV_EFFORT</formula>
    </cfRule>
  </conditionalFormatting>
  <conditionalFormatting sqref="F328">
    <cfRule type="expression" dxfId="1567" priority="1824">
      <formula>$K328&lt;&gt;""</formula>
    </cfRule>
  </conditionalFormatting>
  <conditionalFormatting sqref="C328">
    <cfRule type="expression" dxfId="1566" priority="1823">
      <formula>$G328&lt;&gt;"-"</formula>
    </cfRule>
  </conditionalFormatting>
  <conditionalFormatting sqref="D328">
    <cfRule type="expression" dxfId="1565" priority="1822">
      <formula>$H328&lt;&gt;"-"</formula>
    </cfRule>
  </conditionalFormatting>
  <conditionalFormatting sqref="E328">
    <cfRule type="expression" dxfId="1564" priority="1821">
      <formula>$I328&lt;&gt;"-"</formula>
    </cfRule>
  </conditionalFormatting>
  <conditionalFormatting sqref="B329">
    <cfRule type="expression" dxfId="1563" priority="1818">
      <formula>AD329&lt;&gt;""</formula>
    </cfRule>
  </conditionalFormatting>
  <conditionalFormatting sqref="Z329">
    <cfRule type="cellIs" dxfId="1562" priority="1816" operator="greaterThan">
      <formula>0</formula>
    </cfRule>
    <cfRule type="cellIs" dxfId="1561" priority="1817" operator="lessThan">
      <formula>0</formula>
    </cfRule>
  </conditionalFormatting>
  <conditionalFormatting sqref="S329">
    <cfRule type="cellIs" dxfId="1560" priority="1815" operator="lessThan">
      <formula>0</formula>
    </cfRule>
  </conditionalFormatting>
  <conditionalFormatting sqref="P329">
    <cfRule type="cellIs" dxfId="1559" priority="1813" operator="equal">
      <formula>AS_DURATION_EFFORT</formula>
    </cfRule>
    <cfRule type="cellIs" dxfId="1558" priority="1814" operator="equal">
      <formula>AS_DEV_EFFORT</formula>
    </cfRule>
  </conditionalFormatting>
  <conditionalFormatting sqref="F329">
    <cfRule type="expression" dxfId="1557" priority="1812">
      <formula>$K329&lt;&gt;""</formula>
    </cfRule>
  </conditionalFormatting>
  <conditionalFormatting sqref="C329">
    <cfRule type="expression" dxfId="1556" priority="1811">
      <formula>$G329&lt;&gt;"-"</formula>
    </cfRule>
  </conditionalFormatting>
  <conditionalFormatting sqref="D329">
    <cfRule type="expression" dxfId="1555" priority="1810">
      <formula>$H329&lt;&gt;"-"</formula>
    </cfRule>
  </conditionalFormatting>
  <conditionalFormatting sqref="E329">
    <cfRule type="expression" dxfId="1554" priority="1809">
      <formula>$I329&lt;&gt;"-"</formula>
    </cfRule>
  </conditionalFormatting>
  <conditionalFormatting sqref="B330">
    <cfRule type="expression" dxfId="1553" priority="1806">
      <formula>AD330&lt;&gt;""</formula>
    </cfRule>
  </conditionalFormatting>
  <conditionalFormatting sqref="Z330">
    <cfRule type="cellIs" dxfId="1552" priority="1804" operator="greaterThan">
      <formula>0</formula>
    </cfRule>
    <cfRule type="cellIs" dxfId="1551" priority="1805" operator="lessThan">
      <formula>0</formula>
    </cfRule>
  </conditionalFormatting>
  <conditionalFormatting sqref="S330">
    <cfRule type="cellIs" dxfId="1550" priority="1803" operator="lessThan">
      <formula>0</formula>
    </cfRule>
  </conditionalFormatting>
  <conditionalFormatting sqref="P330">
    <cfRule type="cellIs" dxfId="1549" priority="1801" operator="equal">
      <formula>AS_DURATION_EFFORT</formula>
    </cfRule>
    <cfRule type="cellIs" dxfId="1548" priority="1802" operator="equal">
      <formula>AS_DEV_EFFORT</formula>
    </cfRule>
  </conditionalFormatting>
  <conditionalFormatting sqref="F330">
    <cfRule type="expression" dxfId="1547" priority="1800">
      <formula>$K330&lt;&gt;""</formula>
    </cfRule>
  </conditionalFormatting>
  <conditionalFormatting sqref="C330">
    <cfRule type="expression" dxfId="1546" priority="1799">
      <formula>$G330&lt;&gt;"-"</formula>
    </cfRule>
  </conditionalFormatting>
  <conditionalFormatting sqref="D330">
    <cfRule type="expression" dxfId="1545" priority="1798">
      <formula>$H330&lt;&gt;"-"</formula>
    </cfRule>
  </conditionalFormatting>
  <conditionalFormatting sqref="E330">
    <cfRule type="expression" dxfId="1544" priority="1797">
      <formula>$I330&lt;&gt;"-"</formula>
    </cfRule>
  </conditionalFormatting>
  <conditionalFormatting sqref="B334">
    <cfRule type="expression" dxfId="1543" priority="1793">
      <formula>AD334&lt;&gt;""</formula>
    </cfRule>
  </conditionalFormatting>
  <conditionalFormatting sqref="Z334">
    <cfRule type="cellIs" dxfId="1542" priority="1791" operator="greaterThan">
      <formula>0</formula>
    </cfRule>
    <cfRule type="cellIs" dxfId="1541" priority="1792" operator="lessThan">
      <formula>0</formula>
    </cfRule>
  </conditionalFormatting>
  <conditionalFormatting sqref="S334">
    <cfRule type="cellIs" dxfId="1540" priority="1790" operator="lessThan">
      <formula>0</formula>
    </cfRule>
  </conditionalFormatting>
  <conditionalFormatting sqref="T332:T333">
    <cfRule type="expression" dxfId="1539" priority="1794">
      <formula>#REF!="Yes"</formula>
    </cfRule>
  </conditionalFormatting>
  <conditionalFormatting sqref="P334">
    <cfRule type="cellIs" dxfId="1538" priority="1788" operator="equal">
      <formula>AS_DURATION_EFFORT</formula>
    </cfRule>
    <cfRule type="cellIs" dxfId="1537" priority="1789" operator="equal">
      <formula>AS_DEV_EFFORT</formula>
    </cfRule>
  </conditionalFormatting>
  <conditionalFormatting sqref="B332:B333">
    <cfRule type="expression" dxfId="1536" priority="1787">
      <formula>AD332&lt;&gt;""</formula>
    </cfRule>
  </conditionalFormatting>
  <conditionalFormatting sqref="F334">
    <cfRule type="expression" dxfId="1535" priority="1786">
      <formula>$K334&lt;&gt;""</formula>
    </cfRule>
  </conditionalFormatting>
  <conditionalFormatting sqref="C334">
    <cfRule type="expression" dxfId="1534" priority="1785">
      <formula>$G334&lt;&gt;"-"</formula>
    </cfRule>
  </conditionalFormatting>
  <conditionalFormatting sqref="D334">
    <cfRule type="expression" dxfId="1533" priority="1784">
      <formula>$H334&lt;&gt;"-"</formula>
    </cfRule>
  </conditionalFormatting>
  <conditionalFormatting sqref="E334">
    <cfRule type="expression" dxfId="1532" priority="1783">
      <formula>$I334&lt;&gt;"-"</formula>
    </cfRule>
  </conditionalFormatting>
  <conditionalFormatting sqref="B335">
    <cfRule type="expression" dxfId="1531" priority="1780">
      <formula>AD335&lt;&gt;""</formula>
    </cfRule>
  </conditionalFormatting>
  <conditionalFormatting sqref="Z335">
    <cfRule type="cellIs" dxfId="1530" priority="1778" operator="greaterThan">
      <formula>0</formula>
    </cfRule>
    <cfRule type="cellIs" dxfId="1529" priority="1779" operator="lessThan">
      <formula>0</formula>
    </cfRule>
  </conditionalFormatting>
  <conditionalFormatting sqref="S335">
    <cfRule type="cellIs" dxfId="1528" priority="1777" operator="lessThan">
      <formula>0</formula>
    </cfRule>
  </conditionalFormatting>
  <conditionalFormatting sqref="P335">
    <cfRule type="cellIs" dxfId="1527" priority="1775" operator="equal">
      <formula>AS_DURATION_EFFORT</formula>
    </cfRule>
    <cfRule type="cellIs" dxfId="1526" priority="1776" operator="equal">
      <formula>AS_DEV_EFFORT</formula>
    </cfRule>
  </conditionalFormatting>
  <conditionalFormatting sqref="F335">
    <cfRule type="expression" dxfId="1525" priority="1774">
      <formula>$K335&lt;&gt;""</formula>
    </cfRule>
  </conditionalFormatting>
  <conditionalFormatting sqref="C335">
    <cfRule type="expression" dxfId="1524" priority="1773">
      <formula>$G335&lt;&gt;"-"</formula>
    </cfRule>
  </conditionalFormatting>
  <conditionalFormatting sqref="D335">
    <cfRule type="expression" dxfId="1523" priority="1772">
      <formula>$H335&lt;&gt;"-"</formula>
    </cfRule>
  </conditionalFormatting>
  <conditionalFormatting sqref="E335">
    <cfRule type="expression" dxfId="1522" priority="1771">
      <formula>$I335&lt;&gt;"-"</formula>
    </cfRule>
  </conditionalFormatting>
  <conditionalFormatting sqref="B336">
    <cfRule type="expression" dxfId="1521" priority="1756">
      <formula>AD336&lt;&gt;""</formula>
    </cfRule>
  </conditionalFormatting>
  <conditionalFormatting sqref="Z336">
    <cfRule type="cellIs" dxfId="1520" priority="1754" operator="greaterThan">
      <formula>0</formula>
    </cfRule>
    <cfRule type="cellIs" dxfId="1519" priority="1755" operator="lessThan">
      <formula>0</formula>
    </cfRule>
  </conditionalFormatting>
  <conditionalFormatting sqref="S336">
    <cfRule type="cellIs" dxfId="1518" priority="1753" operator="lessThan">
      <formula>0</formula>
    </cfRule>
  </conditionalFormatting>
  <conditionalFormatting sqref="P336">
    <cfRule type="cellIs" dxfId="1517" priority="1751" operator="equal">
      <formula>AS_DURATION_EFFORT</formula>
    </cfRule>
    <cfRule type="cellIs" dxfId="1516" priority="1752" operator="equal">
      <formula>AS_DEV_EFFORT</formula>
    </cfRule>
  </conditionalFormatting>
  <conditionalFormatting sqref="F336">
    <cfRule type="expression" dxfId="1515" priority="1750">
      <formula>$K336&lt;&gt;""</formula>
    </cfRule>
  </conditionalFormatting>
  <conditionalFormatting sqref="C336">
    <cfRule type="expression" dxfId="1514" priority="1749">
      <formula>$G336&lt;&gt;"-"</formula>
    </cfRule>
  </conditionalFormatting>
  <conditionalFormatting sqref="D336">
    <cfRule type="expression" dxfId="1513" priority="1748">
      <formula>$H336&lt;&gt;"-"</formula>
    </cfRule>
  </conditionalFormatting>
  <conditionalFormatting sqref="E336">
    <cfRule type="expression" dxfId="1512" priority="1747">
      <formula>$I336&lt;&gt;"-"</formula>
    </cfRule>
  </conditionalFormatting>
  <conditionalFormatting sqref="B342">
    <cfRule type="expression" dxfId="1511" priority="1743">
      <formula>AD342&lt;&gt;""</formula>
    </cfRule>
  </conditionalFormatting>
  <conditionalFormatting sqref="Z342">
    <cfRule type="cellIs" dxfId="1510" priority="1741" operator="greaterThan">
      <formula>0</formula>
    </cfRule>
    <cfRule type="cellIs" dxfId="1509" priority="1742" operator="lessThan">
      <formula>0</formula>
    </cfRule>
  </conditionalFormatting>
  <conditionalFormatting sqref="S342">
    <cfRule type="cellIs" dxfId="1508" priority="1740" operator="lessThan">
      <formula>0</formula>
    </cfRule>
  </conditionalFormatting>
  <conditionalFormatting sqref="T340:T341">
    <cfRule type="expression" dxfId="1507" priority="1744">
      <formula>#REF!="Yes"</formula>
    </cfRule>
  </conditionalFormatting>
  <conditionalFormatting sqref="P342">
    <cfRule type="cellIs" dxfId="1506" priority="1738" operator="equal">
      <formula>AS_DURATION_EFFORT</formula>
    </cfRule>
    <cfRule type="cellIs" dxfId="1505" priority="1739" operator="equal">
      <formula>AS_DEV_EFFORT</formula>
    </cfRule>
  </conditionalFormatting>
  <conditionalFormatting sqref="B340:B341">
    <cfRule type="expression" dxfId="1504" priority="1737">
      <formula>AD340&lt;&gt;""</formula>
    </cfRule>
  </conditionalFormatting>
  <conditionalFormatting sqref="F342">
    <cfRule type="expression" dxfId="1503" priority="1736">
      <formula>$K342&lt;&gt;""</formula>
    </cfRule>
  </conditionalFormatting>
  <conditionalFormatting sqref="C342">
    <cfRule type="expression" dxfId="1502" priority="1735">
      <formula>$G342&lt;&gt;"-"</formula>
    </cfRule>
  </conditionalFormatting>
  <conditionalFormatting sqref="D342">
    <cfRule type="expression" dxfId="1501" priority="1734">
      <formula>$H342&lt;&gt;"-"</formula>
    </cfRule>
  </conditionalFormatting>
  <conditionalFormatting sqref="E342">
    <cfRule type="expression" dxfId="1500" priority="1733">
      <formula>$I342&lt;&gt;"-"</formula>
    </cfRule>
  </conditionalFormatting>
  <conditionalFormatting sqref="B350">
    <cfRule type="expression" dxfId="1499" priority="1691">
      <formula>AD350&lt;&gt;""</formula>
    </cfRule>
  </conditionalFormatting>
  <conditionalFormatting sqref="Z350">
    <cfRule type="cellIs" dxfId="1498" priority="1689" operator="greaterThan">
      <formula>0</formula>
    </cfRule>
    <cfRule type="cellIs" dxfId="1497" priority="1690" operator="lessThan">
      <formula>0</formula>
    </cfRule>
  </conditionalFormatting>
  <conditionalFormatting sqref="S350">
    <cfRule type="cellIs" dxfId="1496" priority="1688" operator="lessThan">
      <formula>0</formula>
    </cfRule>
  </conditionalFormatting>
  <conditionalFormatting sqref="T348:T349">
    <cfRule type="expression" dxfId="1495" priority="1692">
      <formula>#REF!="Yes"</formula>
    </cfRule>
  </conditionalFormatting>
  <conditionalFormatting sqref="P350">
    <cfRule type="cellIs" dxfId="1494" priority="1686" operator="equal">
      <formula>AS_DURATION_EFFORT</formula>
    </cfRule>
    <cfRule type="cellIs" dxfId="1493" priority="1687" operator="equal">
      <formula>AS_DEV_EFFORT</formula>
    </cfRule>
  </conditionalFormatting>
  <conditionalFormatting sqref="B348:B349">
    <cfRule type="expression" dxfId="1492" priority="1685">
      <formula>AD348&lt;&gt;""</formula>
    </cfRule>
  </conditionalFormatting>
  <conditionalFormatting sqref="F350">
    <cfRule type="expression" dxfId="1491" priority="1684">
      <formula>$K350&lt;&gt;""</formula>
    </cfRule>
  </conditionalFormatting>
  <conditionalFormatting sqref="C350">
    <cfRule type="expression" dxfId="1490" priority="1683">
      <formula>$G350&lt;&gt;"-"</formula>
    </cfRule>
  </conditionalFormatting>
  <conditionalFormatting sqref="D350">
    <cfRule type="expression" dxfId="1489" priority="1682">
      <formula>$H350&lt;&gt;"-"</formula>
    </cfRule>
  </conditionalFormatting>
  <conditionalFormatting sqref="E350">
    <cfRule type="expression" dxfId="1488" priority="1681">
      <formula>$I350&lt;&gt;"-"</formula>
    </cfRule>
  </conditionalFormatting>
  <conditionalFormatting sqref="B351">
    <cfRule type="expression" dxfId="1487" priority="1678">
      <formula>AD351&lt;&gt;""</formula>
    </cfRule>
  </conditionalFormatting>
  <conditionalFormatting sqref="Z351">
    <cfRule type="cellIs" dxfId="1486" priority="1676" operator="greaterThan">
      <formula>0</formula>
    </cfRule>
    <cfRule type="cellIs" dxfId="1485" priority="1677" operator="lessThan">
      <formula>0</formula>
    </cfRule>
  </conditionalFormatting>
  <conditionalFormatting sqref="S351">
    <cfRule type="cellIs" dxfId="1484" priority="1675" operator="lessThan">
      <formula>0</formula>
    </cfRule>
  </conditionalFormatting>
  <conditionalFormatting sqref="P351">
    <cfRule type="cellIs" dxfId="1483" priority="1673" operator="equal">
      <formula>AS_DURATION_EFFORT</formula>
    </cfRule>
    <cfRule type="cellIs" dxfId="1482" priority="1674" operator="equal">
      <formula>AS_DEV_EFFORT</formula>
    </cfRule>
  </conditionalFormatting>
  <conditionalFormatting sqref="F351">
    <cfRule type="expression" dxfId="1481" priority="1672">
      <formula>$K351&lt;&gt;""</formula>
    </cfRule>
  </conditionalFormatting>
  <conditionalFormatting sqref="C351">
    <cfRule type="expression" dxfId="1480" priority="1671">
      <formula>$G351&lt;&gt;"-"</formula>
    </cfRule>
  </conditionalFormatting>
  <conditionalFormatting sqref="D351">
    <cfRule type="expression" dxfId="1479" priority="1670">
      <formula>$H351&lt;&gt;"-"</formula>
    </cfRule>
  </conditionalFormatting>
  <conditionalFormatting sqref="E351">
    <cfRule type="expression" dxfId="1478" priority="1669">
      <formula>$I351&lt;&gt;"-"</formula>
    </cfRule>
  </conditionalFormatting>
  <conditionalFormatting sqref="B352">
    <cfRule type="expression" dxfId="1477" priority="1666">
      <formula>AD352&lt;&gt;""</formula>
    </cfRule>
  </conditionalFormatting>
  <conditionalFormatting sqref="Z352">
    <cfRule type="cellIs" dxfId="1476" priority="1664" operator="greaterThan">
      <formula>0</formula>
    </cfRule>
    <cfRule type="cellIs" dxfId="1475" priority="1665" operator="lessThan">
      <formula>0</formula>
    </cfRule>
  </conditionalFormatting>
  <conditionalFormatting sqref="S352">
    <cfRule type="cellIs" dxfId="1474" priority="1663" operator="lessThan">
      <formula>0</formula>
    </cfRule>
  </conditionalFormatting>
  <conditionalFormatting sqref="P352">
    <cfRule type="cellIs" dxfId="1473" priority="1661" operator="equal">
      <formula>AS_DURATION_EFFORT</formula>
    </cfRule>
    <cfRule type="cellIs" dxfId="1472" priority="1662" operator="equal">
      <formula>AS_DEV_EFFORT</formula>
    </cfRule>
  </conditionalFormatting>
  <conditionalFormatting sqref="F352">
    <cfRule type="expression" dxfId="1471" priority="1660">
      <formula>$K352&lt;&gt;""</formula>
    </cfRule>
  </conditionalFormatting>
  <conditionalFormatting sqref="C352">
    <cfRule type="expression" dxfId="1470" priority="1659">
      <formula>$G352&lt;&gt;"-"</formula>
    </cfRule>
  </conditionalFormatting>
  <conditionalFormatting sqref="D352">
    <cfRule type="expression" dxfId="1469" priority="1658">
      <formula>$H352&lt;&gt;"-"</formula>
    </cfRule>
  </conditionalFormatting>
  <conditionalFormatting sqref="E352">
    <cfRule type="expression" dxfId="1468" priority="1657">
      <formula>$I352&lt;&gt;"-"</formula>
    </cfRule>
  </conditionalFormatting>
  <conditionalFormatting sqref="B356">
    <cfRule type="expression" dxfId="1467" priority="1629">
      <formula>AD356&lt;&gt;""</formula>
    </cfRule>
  </conditionalFormatting>
  <conditionalFormatting sqref="Z356">
    <cfRule type="cellIs" dxfId="1466" priority="1627" operator="greaterThan">
      <formula>0</formula>
    </cfRule>
    <cfRule type="cellIs" dxfId="1465" priority="1628" operator="lessThan">
      <formula>0</formula>
    </cfRule>
  </conditionalFormatting>
  <conditionalFormatting sqref="S356">
    <cfRule type="cellIs" dxfId="1464" priority="1626" operator="lessThan">
      <formula>0</formula>
    </cfRule>
  </conditionalFormatting>
  <conditionalFormatting sqref="T354:T355">
    <cfRule type="expression" dxfId="1463" priority="1630">
      <formula>#REF!="Yes"</formula>
    </cfRule>
  </conditionalFormatting>
  <conditionalFormatting sqref="P356">
    <cfRule type="cellIs" dxfId="1462" priority="1624" operator="equal">
      <formula>AS_DURATION_EFFORT</formula>
    </cfRule>
    <cfRule type="cellIs" dxfId="1461" priority="1625" operator="equal">
      <formula>AS_DEV_EFFORT</formula>
    </cfRule>
  </conditionalFormatting>
  <conditionalFormatting sqref="B354:B355">
    <cfRule type="expression" dxfId="1460" priority="1623">
      <formula>AD354&lt;&gt;""</formula>
    </cfRule>
  </conditionalFormatting>
  <conditionalFormatting sqref="F356">
    <cfRule type="expression" dxfId="1459" priority="1622">
      <formula>$K356&lt;&gt;""</formula>
    </cfRule>
  </conditionalFormatting>
  <conditionalFormatting sqref="C356">
    <cfRule type="expression" dxfId="1458" priority="1621">
      <formula>$G356&lt;&gt;"-"</formula>
    </cfRule>
  </conditionalFormatting>
  <conditionalFormatting sqref="D356">
    <cfRule type="expression" dxfId="1457" priority="1620">
      <formula>$H356&lt;&gt;"-"</formula>
    </cfRule>
  </conditionalFormatting>
  <conditionalFormatting sqref="E356">
    <cfRule type="expression" dxfId="1456" priority="1619">
      <formula>$I356&lt;&gt;"-"</formula>
    </cfRule>
  </conditionalFormatting>
  <conditionalFormatting sqref="B357">
    <cfRule type="expression" dxfId="1455" priority="1616">
      <formula>AD357&lt;&gt;""</formula>
    </cfRule>
  </conditionalFormatting>
  <conditionalFormatting sqref="Z357">
    <cfRule type="cellIs" dxfId="1454" priority="1614" operator="greaterThan">
      <formula>0</formula>
    </cfRule>
    <cfRule type="cellIs" dxfId="1453" priority="1615" operator="lessThan">
      <formula>0</formula>
    </cfRule>
  </conditionalFormatting>
  <conditionalFormatting sqref="S357">
    <cfRule type="cellIs" dxfId="1452" priority="1613" operator="lessThan">
      <formula>0</formula>
    </cfRule>
  </conditionalFormatting>
  <conditionalFormatting sqref="P357">
    <cfRule type="cellIs" dxfId="1451" priority="1611" operator="equal">
      <formula>AS_DURATION_EFFORT</formula>
    </cfRule>
    <cfRule type="cellIs" dxfId="1450" priority="1612" operator="equal">
      <formula>AS_DEV_EFFORT</formula>
    </cfRule>
  </conditionalFormatting>
  <conditionalFormatting sqref="F357">
    <cfRule type="expression" dxfId="1449" priority="1610">
      <formula>$K357&lt;&gt;""</formula>
    </cfRule>
  </conditionalFormatting>
  <conditionalFormatting sqref="C357">
    <cfRule type="expression" dxfId="1448" priority="1609">
      <formula>$G357&lt;&gt;"-"</formula>
    </cfRule>
  </conditionalFormatting>
  <conditionalFormatting sqref="D357">
    <cfRule type="expression" dxfId="1447" priority="1608">
      <formula>$H357&lt;&gt;"-"</formula>
    </cfRule>
  </conditionalFormatting>
  <conditionalFormatting sqref="E357">
    <cfRule type="expression" dxfId="1446" priority="1607">
      <formula>$I357&lt;&gt;"-"</formula>
    </cfRule>
  </conditionalFormatting>
  <conditionalFormatting sqref="B377">
    <cfRule type="expression" dxfId="1445" priority="1582">
      <formula>AD377&lt;&gt;""</formula>
    </cfRule>
  </conditionalFormatting>
  <conditionalFormatting sqref="Z377">
    <cfRule type="cellIs" dxfId="1444" priority="1580" operator="greaterThan">
      <formula>0</formula>
    </cfRule>
    <cfRule type="cellIs" dxfId="1443" priority="1581" operator="lessThan">
      <formula>0</formula>
    </cfRule>
  </conditionalFormatting>
  <conditionalFormatting sqref="S377">
    <cfRule type="cellIs" dxfId="1442" priority="1579" operator="lessThan">
      <formula>0</formula>
    </cfRule>
  </conditionalFormatting>
  <conditionalFormatting sqref="P377">
    <cfRule type="cellIs" dxfId="1441" priority="1577" operator="equal">
      <formula>AS_DURATION_EFFORT</formula>
    </cfRule>
    <cfRule type="cellIs" dxfId="1440" priority="1578" operator="equal">
      <formula>AS_DEV_EFFORT</formula>
    </cfRule>
  </conditionalFormatting>
  <conditionalFormatting sqref="F377">
    <cfRule type="expression" dxfId="1439" priority="1576">
      <formula>$K377&lt;&gt;""</formula>
    </cfRule>
  </conditionalFormatting>
  <conditionalFormatting sqref="C377">
    <cfRule type="expression" dxfId="1438" priority="1575">
      <formula>$G377&lt;&gt;"-"</formula>
    </cfRule>
  </conditionalFormatting>
  <conditionalFormatting sqref="D377">
    <cfRule type="expression" dxfId="1437" priority="1574">
      <formula>$H377&lt;&gt;"-"</formula>
    </cfRule>
  </conditionalFormatting>
  <conditionalFormatting sqref="E377">
    <cfRule type="expression" dxfId="1436" priority="1573">
      <formula>$I377&lt;&gt;"-"</formula>
    </cfRule>
  </conditionalFormatting>
  <conditionalFormatting sqref="B378">
    <cfRule type="expression" dxfId="1435" priority="1572">
      <formula>AD378&lt;&gt;""</formula>
    </cfRule>
  </conditionalFormatting>
  <conditionalFormatting sqref="Z378">
    <cfRule type="cellIs" dxfId="1434" priority="1570" operator="greaterThan">
      <formula>0</formula>
    </cfRule>
    <cfRule type="cellIs" dxfId="1433" priority="1571" operator="lessThan">
      <formula>0</formula>
    </cfRule>
  </conditionalFormatting>
  <conditionalFormatting sqref="S378">
    <cfRule type="cellIs" dxfId="1432" priority="1569" operator="lessThan">
      <formula>0</formula>
    </cfRule>
  </conditionalFormatting>
  <conditionalFormatting sqref="P378">
    <cfRule type="cellIs" dxfId="1431" priority="1567" operator="equal">
      <formula>AS_DURATION_EFFORT</formula>
    </cfRule>
    <cfRule type="cellIs" dxfId="1430" priority="1568" operator="equal">
      <formula>AS_DEV_EFFORT</formula>
    </cfRule>
  </conditionalFormatting>
  <conditionalFormatting sqref="F378">
    <cfRule type="expression" dxfId="1429" priority="1566">
      <formula>$K378&lt;&gt;""</formula>
    </cfRule>
  </conditionalFormatting>
  <conditionalFormatting sqref="C378">
    <cfRule type="expression" dxfId="1428" priority="1565">
      <formula>$G378&lt;&gt;"-"</formula>
    </cfRule>
  </conditionalFormatting>
  <conditionalFormatting sqref="D378">
    <cfRule type="expression" dxfId="1427" priority="1564">
      <formula>$H378&lt;&gt;"-"</formula>
    </cfRule>
  </conditionalFormatting>
  <conditionalFormatting sqref="E378">
    <cfRule type="expression" dxfId="1426" priority="1563">
      <formula>$I378&lt;&gt;"-"</formula>
    </cfRule>
  </conditionalFormatting>
  <conditionalFormatting sqref="B379">
    <cfRule type="expression" dxfId="1425" priority="1562">
      <formula>AD379&lt;&gt;""</formula>
    </cfRule>
  </conditionalFormatting>
  <conditionalFormatting sqref="Z379">
    <cfRule type="cellIs" dxfId="1424" priority="1560" operator="greaterThan">
      <formula>0</formula>
    </cfRule>
    <cfRule type="cellIs" dxfId="1423" priority="1561" operator="lessThan">
      <formula>0</formula>
    </cfRule>
  </conditionalFormatting>
  <conditionalFormatting sqref="S379">
    <cfRule type="cellIs" dxfId="1422" priority="1559" operator="lessThan">
      <formula>0</formula>
    </cfRule>
  </conditionalFormatting>
  <conditionalFormatting sqref="P379">
    <cfRule type="cellIs" dxfId="1421" priority="1557" operator="equal">
      <formula>AS_DURATION_EFFORT</formula>
    </cfRule>
    <cfRule type="cellIs" dxfId="1420" priority="1558" operator="equal">
      <formula>AS_DEV_EFFORT</formula>
    </cfRule>
  </conditionalFormatting>
  <conditionalFormatting sqref="F379">
    <cfRule type="expression" dxfId="1419" priority="1556">
      <formula>$K379&lt;&gt;""</formula>
    </cfRule>
  </conditionalFormatting>
  <conditionalFormatting sqref="C379">
    <cfRule type="expression" dxfId="1418" priority="1555">
      <formula>$G379&lt;&gt;"-"</formula>
    </cfRule>
  </conditionalFormatting>
  <conditionalFormatting sqref="D379">
    <cfRule type="expression" dxfId="1417" priority="1554">
      <formula>$H379&lt;&gt;"-"</formula>
    </cfRule>
  </conditionalFormatting>
  <conditionalFormatting sqref="E379">
    <cfRule type="expression" dxfId="1416" priority="1553">
      <formula>$I379&lt;&gt;"-"</formula>
    </cfRule>
  </conditionalFormatting>
  <conditionalFormatting sqref="B387">
    <cfRule type="expression" dxfId="1415" priority="1552">
      <formula>AD387&lt;&gt;""</formula>
    </cfRule>
  </conditionalFormatting>
  <conditionalFormatting sqref="Z387">
    <cfRule type="cellIs" dxfId="1414" priority="1550" operator="greaterThan">
      <formula>0</formula>
    </cfRule>
    <cfRule type="cellIs" dxfId="1413" priority="1551" operator="lessThan">
      <formula>0</formula>
    </cfRule>
  </conditionalFormatting>
  <conditionalFormatting sqref="S387">
    <cfRule type="cellIs" dxfId="1412" priority="1549" operator="lessThan">
      <formula>0</formula>
    </cfRule>
  </conditionalFormatting>
  <conditionalFormatting sqref="P387">
    <cfRule type="cellIs" dxfId="1411" priority="1547" operator="equal">
      <formula>AS_DURATION_EFFORT</formula>
    </cfRule>
    <cfRule type="cellIs" dxfId="1410" priority="1548" operator="equal">
      <formula>AS_DEV_EFFORT</formula>
    </cfRule>
  </conditionalFormatting>
  <conditionalFormatting sqref="F387">
    <cfRule type="expression" dxfId="1409" priority="1546">
      <formula>$K387&lt;&gt;""</formula>
    </cfRule>
  </conditionalFormatting>
  <conditionalFormatting sqref="C387">
    <cfRule type="expression" dxfId="1408" priority="1545">
      <formula>$G387&lt;&gt;"-"</formula>
    </cfRule>
  </conditionalFormatting>
  <conditionalFormatting sqref="D387">
    <cfRule type="expression" dxfId="1407" priority="1544">
      <formula>$H387&lt;&gt;"-"</formula>
    </cfRule>
  </conditionalFormatting>
  <conditionalFormatting sqref="E387">
    <cfRule type="expression" dxfId="1406" priority="1543">
      <formula>$I387&lt;&gt;"-"</formula>
    </cfRule>
  </conditionalFormatting>
  <conditionalFormatting sqref="B388">
    <cfRule type="expression" dxfId="1405" priority="1542">
      <formula>AD388&lt;&gt;""</formula>
    </cfRule>
  </conditionalFormatting>
  <conditionalFormatting sqref="Z388">
    <cfRule type="cellIs" dxfId="1404" priority="1540" operator="greaterThan">
      <formula>0</formula>
    </cfRule>
    <cfRule type="cellIs" dxfId="1403" priority="1541" operator="lessThan">
      <formula>0</formula>
    </cfRule>
  </conditionalFormatting>
  <conditionalFormatting sqref="S388">
    <cfRule type="cellIs" dxfId="1402" priority="1539" operator="lessThan">
      <formula>0</formula>
    </cfRule>
  </conditionalFormatting>
  <conditionalFormatting sqref="P388">
    <cfRule type="cellIs" dxfId="1401" priority="1537" operator="equal">
      <formula>AS_DURATION_EFFORT</formula>
    </cfRule>
    <cfRule type="cellIs" dxfId="1400" priority="1538" operator="equal">
      <formula>AS_DEV_EFFORT</formula>
    </cfRule>
  </conditionalFormatting>
  <conditionalFormatting sqref="F388">
    <cfRule type="expression" dxfId="1399" priority="1536">
      <formula>$K388&lt;&gt;""</formula>
    </cfRule>
  </conditionalFormatting>
  <conditionalFormatting sqref="C388">
    <cfRule type="expression" dxfId="1398" priority="1535">
      <formula>$G388&lt;&gt;"-"</formula>
    </cfRule>
  </conditionalFormatting>
  <conditionalFormatting sqref="D388">
    <cfRule type="expression" dxfId="1397" priority="1534">
      <formula>$H388&lt;&gt;"-"</formula>
    </cfRule>
  </conditionalFormatting>
  <conditionalFormatting sqref="E388">
    <cfRule type="expression" dxfId="1396" priority="1533">
      <formula>$I388&lt;&gt;"-"</formula>
    </cfRule>
  </conditionalFormatting>
  <conditionalFormatting sqref="B389">
    <cfRule type="expression" dxfId="1395" priority="1532">
      <formula>AD389&lt;&gt;""</formula>
    </cfRule>
  </conditionalFormatting>
  <conditionalFormatting sqref="Z389">
    <cfRule type="cellIs" dxfId="1394" priority="1530" operator="greaterThan">
      <formula>0</formula>
    </cfRule>
    <cfRule type="cellIs" dxfId="1393" priority="1531" operator="lessThan">
      <formula>0</formula>
    </cfRule>
  </conditionalFormatting>
  <conditionalFormatting sqref="S389">
    <cfRule type="cellIs" dxfId="1392" priority="1529" operator="lessThan">
      <formula>0</formula>
    </cfRule>
  </conditionalFormatting>
  <conditionalFormatting sqref="P389">
    <cfRule type="cellIs" dxfId="1391" priority="1527" operator="equal">
      <formula>AS_DURATION_EFFORT</formula>
    </cfRule>
    <cfRule type="cellIs" dxfId="1390" priority="1528" operator="equal">
      <formula>AS_DEV_EFFORT</formula>
    </cfRule>
  </conditionalFormatting>
  <conditionalFormatting sqref="F389">
    <cfRule type="expression" dxfId="1389" priority="1526">
      <formula>$K389&lt;&gt;""</formula>
    </cfRule>
  </conditionalFormatting>
  <conditionalFormatting sqref="C389">
    <cfRule type="expression" dxfId="1388" priority="1525">
      <formula>$G389&lt;&gt;"-"</formula>
    </cfRule>
  </conditionalFormatting>
  <conditionalFormatting sqref="D389">
    <cfRule type="expression" dxfId="1387" priority="1524">
      <formula>$H389&lt;&gt;"-"</formula>
    </cfRule>
  </conditionalFormatting>
  <conditionalFormatting sqref="E389">
    <cfRule type="expression" dxfId="1386" priority="1523">
      <formula>$I389&lt;&gt;"-"</formula>
    </cfRule>
  </conditionalFormatting>
  <conditionalFormatting sqref="B393">
    <cfRule type="expression" dxfId="1385" priority="1519">
      <formula>AD393&lt;&gt;""</formula>
    </cfRule>
  </conditionalFormatting>
  <conditionalFormatting sqref="Z393">
    <cfRule type="cellIs" dxfId="1384" priority="1517" operator="greaterThan">
      <formula>0</formula>
    </cfRule>
    <cfRule type="cellIs" dxfId="1383" priority="1518" operator="lessThan">
      <formula>0</formula>
    </cfRule>
  </conditionalFormatting>
  <conditionalFormatting sqref="S393">
    <cfRule type="cellIs" dxfId="1382" priority="1516" operator="lessThan">
      <formula>0</formula>
    </cfRule>
  </conditionalFormatting>
  <conditionalFormatting sqref="T391:T392">
    <cfRule type="expression" dxfId="1381" priority="1520">
      <formula>#REF!="Yes"</formula>
    </cfRule>
  </conditionalFormatting>
  <conditionalFormatting sqref="P393">
    <cfRule type="cellIs" dxfId="1380" priority="1514" operator="equal">
      <formula>AS_DURATION_EFFORT</formula>
    </cfRule>
    <cfRule type="cellIs" dxfId="1379" priority="1515" operator="equal">
      <formula>AS_DEV_EFFORT</formula>
    </cfRule>
  </conditionalFormatting>
  <conditionalFormatting sqref="B391:B392">
    <cfRule type="expression" dxfId="1378" priority="1513">
      <formula>AD391&lt;&gt;""</formula>
    </cfRule>
  </conditionalFormatting>
  <conditionalFormatting sqref="F393">
    <cfRule type="expression" dxfId="1377" priority="1512">
      <formula>$K393&lt;&gt;""</formula>
    </cfRule>
  </conditionalFormatting>
  <conditionalFormatting sqref="C393">
    <cfRule type="expression" dxfId="1376" priority="1511">
      <formula>$G393&lt;&gt;"-"</formula>
    </cfRule>
  </conditionalFormatting>
  <conditionalFormatting sqref="D393">
    <cfRule type="expression" dxfId="1375" priority="1510">
      <formula>$H393&lt;&gt;"-"</formula>
    </cfRule>
  </conditionalFormatting>
  <conditionalFormatting sqref="E393">
    <cfRule type="expression" dxfId="1374" priority="1509">
      <formula>$I393&lt;&gt;"-"</formula>
    </cfRule>
  </conditionalFormatting>
  <conditionalFormatting sqref="B394">
    <cfRule type="expression" dxfId="1373" priority="1506">
      <formula>AD394&lt;&gt;""</formula>
    </cfRule>
  </conditionalFormatting>
  <conditionalFormatting sqref="Z394">
    <cfRule type="cellIs" dxfId="1372" priority="1504" operator="greaterThan">
      <formula>0</formula>
    </cfRule>
    <cfRule type="cellIs" dxfId="1371" priority="1505" operator="lessThan">
      <formula>0</formula>
    </cfRule>
  </conditionalFormatting>
  <conditionalFormatting sqref="S394">
    <cfRule type="cellIs" dxfId="1370" priority="1503" operator="lessThan">
      <formula>0</formula>
    </cfRule>
  </conditionalFormatting>
  <conditionalFormatting sqref="P394">
    <cfRule type="cellIs" dxfId="1369" priority="1501" operator="equal">
      <formula>AS_DURATION_EFFORT</formula>
    </cfRule>
    <cfRule type="cellIs" dxfId="1368" priority="1502" operator="equal">
      <formula>AS_DEV_EFFORT</formula>
    </cfRule>
  </conditionalFormatting>
  <conditionalFormatting sqref="F394">
    <cfRule type="expression" dxfId="1367" priority="1500">
      <formula>$K394&lt;&gt;""</formula>
    </cfRule>
  </conditionalFormatting>
  <conditionalFormatting sqref="C394">
    <cfRule type="expression" dxfId="1366" priority="1499">
      <formula>$G394&lt;&gt;"-"</formula>
    </cfRule>
  </conditionalFormatting>
  <conditionalFormatting sqref="D394">
    <cfRule type="expression" dxfId="1365" priority="1498">
      <formula>$H394&lt;&gt;"-"</formula>
    </cfRule>
  </conditionalFormatting>
  <conditionalFormatting sqref="E394">
    <cfRule type="expression" dxfId="1364" priority="1497">
      <formula>$I394&lt;&gt;"-"</formula>
    </cfRule>
  </conditionalFormatting>
  <conditionalFormatting sqref="B395">
    <cfRule type="expression" dxfId="1363" priority="1494">
      <formula>AD395&lt;&gt;""</formula>
    </cfRule>
  </conditionalFormatting>
  <conditionalFormatting sqref="Z395">
    <cfRule type="cellIs" dxfId="1362" priority="1492" operator="greaterThan">
      <formula>0</formula>
    </cfRule>
    <cfRule type="cellIs" dxfId="1361" priority="1493" operator="lessThan">
      <formula>0</formula>
    </cfRule>
  </conditionalFormatting>
  <conditionalFormatting sqref="S395">
    <cfRule type="cellIs" dxfId="1360" priority="1491" operator="lessThan">
      <formula>0</formula>
    </cfRule>
  </conditionalFormatting>
  <conditionalFormatting sqref="P395">
    <cfRule type="cellIs" dxfId="1359" priority="1489" operator="equal">
      <formula>AS_DURATION_EFFORT</formula>
    </cfRule>
    <cfRule type="cellIs" dxfId="1358" priority="1490" operator="equal">
      <formula>AS_DEV_EFFORT</formula>
    </cfRule>
  </conditionalFormatting>
  <conditionalFormatting sqref="F395">
    <cfRule type="expression" dxfId="1357" priority="1488">
      <formula>$K395&lt;&gt;""</formula>
    </cfRule>
  </conditionalFormatting>
  <conditionalFormatting sqref="C395">
    <cfRule type="expression" dxfId="1356" priority="1487">
      <formula>$G395&lt;&gt;"-"</formula>
    </cfRule>
  </conditionalFormatting>
  <conditionalFormatting sqref="D395">
    <cfRule type="expression" dxfId="1355" priority="1486">
      <formula>$H395&lt;&gt;"-"</formula>
    </cfRule>
  </conditionalFormatting>
  <conditionalFormatting sqref="E395">
    <cfRule type="expression" dxfId="1354" priority="1485">
      <formula>$I395&lt;&gt;"-"</formula>
    </cfRule>
  </conditionalFormatting>
  <conditionalFormatting sqref="B396">
    <cfRule type="expression" dxfId="1353" priority="1482">
      <formula>AD396&lt;&gt;""</formula>
    </cfRule>
  </conditionalFormatting>
  <conditionalFormatting sqref="Z396">
    <cfRule type="cellIs" dxfId="1352" priority="1480" operator="greaterThan">
      <formula>0</formula>
    </cfRule>
    <cfRule type="cellIs" dxfId="1351" priority="1481" operator="lessThan">
      <formula>0</formula>
    </cfRule>
  </conditionalFormatting>
  <conditionalFormatting sqref="S396">
    <cfRule type="cellIs" dxfId="1350" priority="1479" operator="lessThan">
      <formula>0</formula>
    </cfRule>
  </conditionalFormatting>
  <conditionalFormatting sqref="P396">
    <cfRule type="cellIs" dxfId="1349" priority="1477" operator="equal">
      <formula>AS_DURATION_EFFORT</formula>
    </cfRule>
    <cfRule type="cellIs" dxfId="1348" priority="1478" operator="equal">
      <formula>AS_DEV_EFFORT</formula>
    </cfRule>
  </conditionalFormatting>
  <conditionalFormatting sqref="F396">
    <cfRule type="expression" dxfId="1347" priority="1476">
      <formula>$K396&lt;&gt;""</formula>
    </cfRule>
  </conditionalFormatting>
  <conditionalFormatting sqref="C396">
    <cfRule type="expression" dxfId="1346" priority="1475">
      <formula>$G396&lt;&gt;"-"</formula>
    </cfRule>
  </conditionalFormatting>
  <conditionalFormatting sqref="D396">
    <cfRule type="expression" dxfId="1345" priority="1474">
      <formula>$H396&lt;&gt;"-"</formula>
    </cfRule>
  </conditionalFormatting>
  <conditionalFormatting sqref="E396">
    <cfRule type="expression" dxfId="1344" priority="1473">
      <formula>$I396&lt;&gt;"-"</formula>
    </cfRule>
  </conditionalFormatting>
  <conditionalFormatting sqref="B397">
    <cfRule type="expression" dxfId="1343" priority="1470">
      <formula>AD397&lt;&gt;""</formula>
    </cfRule>
  </conditionalFormatting>
  <conditionalFormatting sqref="Z397">
    <cfRule type="cellIs" dxfId="1342" priority="1468" operator="greaterThan">
      <formula>0</formula>
    </cfRule>
    <cfRule type="cellIs" dxfId="1341" priority="1469" operator="lessThan">
      <formula>0</formula>
    </cfRule>
  </conditionalFormatting>
  <conditionalFormatting sqref="S397">
    <cfRule type="cellIs" dxfId="1340" priority="1467" operator="lessThan">
      <formula>0</formula>
    </cfRule>
  </conditionalFormatting>
  <conditionalFormatting sqref="P397">
    <cfRule type="cellIs" dxfId="1339" priority="1465" operator="equal">
      <formula>AS_DURATION_EFFORT</formula>
    </cfRule>
    <cfRule type="cellIs" dxfId="1338" priority="1466" operator="equal">
      <formula>AS_DEV_EFFORT</formula>
    </cfRule>
  </conditionalFormatting>
  <conditionalFormatting sqref="F397">
    <cfRule type="expression" dxfId="1337" priority="1464">
      <formula>$K397&lt;&gt;""</formula>
    </cfRule>
  </conditionalFormatting>
  <conditionalFormatting sqref="C397">
    <cfRule type="expression" dxfId="1336" priority="1463">
      <formula>$G397&lt;&gt;"-"</formula>
    </cfRule>
  </conditionalFormatting>
  <conditionalFormatting sqref="D397">
    <cfRule type="expression" dxfId="1335" priority="1462">
      <formula>$H397&lt;&gt;"-"</formula>
    </cfRule>
  </conditionalFormatting>
  <conditionalFormatting sqref="E397">
    <cfRule type="expression" dxfId="1334" priority="1461">
      <formula>$I397&lt;&gt;"-"</formula>
    </cfRule>
  </conditionalFormatting>
  <conditionalFormatting sqref="B398">
    <cfRule type="expression" dxfId="1333" priority="1458">
      <formula>AD398&lt;&gt;""</formula>
    </cfRule>
  </conditionalFormatting>
  <conditionalFormatting sqref="Z398">
    <cfRule type="cellIs" dxfId="1332" priority="1456" operator="greaterThan">
      <formula>0</formula>
    </cfRule>
    <cfRule type="cellIs" dxfId="1331" priority="1457" operator="lessThan">
      <formula>0</formula>
    </cfRule>
  </conditionalFormatting>
  <conditionalFormatting sqref="S398">
    <cfRule type="cellIs" dxfId="1330" priority="1455" operator="lessThan">
      <formula>0</formula>
    </cfRule>
  </conditionalFormatting>
  <conditionalFormatting sqref="P398">
    <cfRule type="cellIs" dxfId="1329" priority="1453" operator="equal">
      <formula>AS_DURATION_EFFORT</formula>
    </cfRule>
    <cfRule type="cellIs" dxfId="1328" priority="1454" operator="equal">
      <formula>AS_DEV_EFFORT</formula>
    </cfRule>
  </conditionalFormatting>
  <conditionalFormatting sqref="F398">
    <cfRule type="expression" dxfId="1327" priority="1452">
      <formula>$K398&lt;&gt;""</formula>
    </cfRule>
  </conditionalFormatting>
  <conditionalFormatting sqref="C398">
    <cfRule type="expression" dxfId="1326" priority="1451">
      <formula>$G398&lt;&gt;"-"</formula>
    </cfRule>
  </conditionalFormatting>
  <conditionalFormatting sqref="D398">
    <cfRule type="expression" dxfId="1325" priority="1450">
      <formula>$H398&lt;&gt;"-"</formula>
    </cfRule>
  </conditionalFormatting>
  <conditionalFormatting sqref="E398">
    <cfRule type="expression" dxfId="1324" priority="1449">
      <formula>$I398&lt;&gt;"-"</formula>
    </cfRule>
  </conditionalFormatting>
  <conditionalFormatting sqref="B399">
    <cfRule type="expression" dxfId="1323" priority="1446">
      <formula>AD399&lt;&gt;""</formula>
    </cfRule>
  </conditionalFormatting>
  <conditionalFormatting sqref="Z399">
    <cfRule type="cellIs" dxfId="1322" priority="1444" operator="greaterThan">
      <formula>0</formula>
    </cfRule>
    <cfRule type="cellIs" dxfId="1321" priority="1445" operator="lessThan">
      <formula>0</formula>
    </cfRule>
  </conditionalFormatting>
  <conditionalFormatting sqref="S399">
    <cfRule type="cellIs" dxfId="1320" priority="1443" operator="lessThan">
      <formula>0</formula>
    </cfRule>
  </conditionalFormatting>
  <conditionalFormatting sqref="P399">
    <cfRule type="cellIs" dxfId="1319" priority="1441" operator="equal">
      <formula>AS_DURATION_EFFORT</formula>
    </cfRule>
    <cfRule type="cellIs" dxfId="1318" priority="1442" operator="equal">
      <formula>AS_DEV_EFFORT</formula>
    </cfRule>
  </conditionalFormatting>
  <conditionalFormatting sqref="F399">
    <cfRule type="expression" dxfId="1317" priority="1440">
      <formula>$K399&lt;&gt;""</formula>
    </cfRule>
  </conditionalFormatting>
  <conditionalFormatting sqref="C399">
    <cfRule type="expression" dxfId="1316" priority="1439">
      <formula>$G399&lt;&gt;"-"</formula>
    </cfRule>
  </conditionalFormatting>
  <conditionalFormatting sqref="D399">
    <cfRule type="expression" dxfId="1315" priority="1438">
      <formula>$H399&lt;&gt;"-"</formula>
    </cfRule>
  </conditionalFormatting>
  <conditionalFormatting sqref="E399">
    <cfRule type="expression" dxfId="1314" priority="1437">
      <formula>$I399&lt;&gt;"-"</formula>
    </cfRule>
  </conditionalFormatting>
  <conditionalFormatting sqref="B400">
    <cfRule type="expression" dxfId="1313" priority="1434">
      <formula>AD400&lt;&gt;""</formula>
    </cfRule>
  </conditionalFormatting>
  <conditionalFormatting sqref="Z400">
    <cfRule type="cellIs" dxfId="1312" priority="1432" operator="greaterThan">
      <formula>0</formula>
    </cfRule>
    <cfRule type="cellIs" dxfId="1311" priority="1433" operator="lessThan">
      <formula>0</formula>
    </cfRule>
  </conditionalFormatting>
  <conditionalFormatting sqref="S400">
    <cfRule type="cellIs" dxfId="1310" priority="1431" operator="lessThan">
      <formula>0</formula>
    </cfRule>
  </conditionalFormatting>
  <conditionalFormatting sqref="P400">
    <cfRule type="cellIs" dxfId="1309" priority="1429" operator="equal">
      <formula>AS_DURATION_EFFORT</formula>
    </cfRule>
    <cfRule type="cellIs" dxfId="1308" priority="1430" operator="equal">
      <formula>AS_DEV_EFFORT</formula>
    </cfRule>
  </conditionalFormatting>
  <conditionalFormatting sqref="F400">
    <cfRule type="expression" dxfId="1307" priority="1428">
      <formula>$K400&lt;&gt;""</formula>
    </cfRule>
  </conditionalFormatting>
  <conditionalFormatting sqref="C400">
    <cfRule type="expression" dxfId="1306" priority="1427">
      <formula>$G400&lt;&gt;"-"</formula>
    </cfRule>
  </conditionalFormatting>
  <conditionalFormatting sqref="D400">
    <cfRule type="expression" dxfId="1305" priority="1426">
      <formula>$H400&lt;&gt;"-"</formula>
    </cfRule>
  </conditionalFormatting>
  <conditionalFormatting sqref="E400">
    <cfRule type="expression" dxfId="1304" priority="1425">
      <formula>$I400&lt;&gt;"-"</formula>
    </cfRule>
  </conditionalFormatting>
  <conditionalFormatting sqref="B401">
    <cfRule type="expression" dxfId="1303" priority="1422">
      <formula>AD401&lt;&gt;""</formula>
    </cfRule>
  </conditionalFormatting>
  <conditionalFormatting sqref="Z401">
    <cfRule type="cellIs" dxfId="1302" priority="1420" operator="greaterThan">
      <formula>0</formula>
    </cfRule>
    <cfRule type="cellIs" dxfId="1301" priority="1421" operator="lessThan">
      <formula>0</formula>
    </cfRule>
  </conditionalFormatting>
  <conditionalFormatting sqref="S401">
    <cfRule type="cellIs" dxfId="1300" priority="1419" operator="lessThan">
      <formula>0</formula>
    </cfRule>
  </conditionalFormatting>
  <conditionalFormatting sqref="P401">
    <cfRule type="cellIs" dxfId="1299" priority="1417" operator="equal">
      <formula>AS_DURATION_EFFORT</formula>
    </cfRule>
    <cfRule type="cellIs" dxfId="1298" priority="1418" operator="equal">
      <formula>AS_DEV_EFFORT</formula>
    </cfRule>
  </conditionalFormatting>
  <conditionalFormatting sqref="F401">
    <cfRule type="expression" dxfId="1297" priority="1416">
      <formula>$K401&lt;&gt;""</formula>
    </cfRule>
  </conditionalFormatting>
  <conditionalFormatting sqref="C401">
    <cfRule type="expression" dxfId="1296" priority="1415">
      <formula>$G401&lt;&gt;"-"</formula>
    </cfRule>
  </conditionalFormatting>
  <conditionalFormatting sqref="D401">
    <cfRule type="expression" dxfId="1295" priority="1414">
      <formula>$H401&lt;&gt;"-"</formula>
    </cfRule>
  </conditionalFormatting>
  <conditionalFormatting sqref="E401">
    <cfRule type="expression" dxfId="1294" priority="1413">
      <formula>$I401&lt;&gt;"-"</formula>
    </cfRule>
  </conditionalFormatting>
  <conditionalFormatting sqref="B402">
    <cfRule type="expression" dxfId="1293" priority="1410">
      <formula>AD402&lt;&gt;""</formula>
    </cfRule>
  </conditionalFormatting>
  <conditionalFormatting sqref="Z402">
    <cfRule type="cellIs" dxfId="1292" priority="1408" operator="greaterThan">
      <formula>0</formula>
    </cfRule>
    <cfRule type="cellIs" dxfId="1291" priority="1409" operator="lessThan">
      <formula>0</formula>
    </cfRule>
  </conditionalFormatting>
  <conditionalFormatting sqref="S402">
    <cfRule type="cellIs" dxfId="1290" priority="1407" operator="lessThan">
      <formula>0</formula>
    </cfRule>
  </conditionalFormatting>
  <conditionalFormatting sqref="P402">
    <cfRule type="cellIs" dxfId="1289" priority="1405" operator="equal">
      <formula>AS_DURATION_EFFORT</formula>
    </cfRule>
    <cfRule type="cellIs" dxfId="1288" priority="1406" operator="equal">
      <formula>AS_DEV_EFFORT</formula>
    </cfRule>
  </conditionalFormatting>
  <conditionalFormatting sqref="F402">
    <cfRule type="expression" dxfId="1287" priority="1404">
      <formula>$K402&lt;&gt;""</formula>
    </cfRule>
  </conditionalFormatting>
  <conditionalFormatting sqref="C402">
    <cfRule type="expression" dxfId="1286" priority="1403">
      <formula>$G402&lt;&gt;"-"</formula>
    </cfRule>
  </conditionalFormatting>
  <conditionalFormatting sqref="D402">
    <cfRule type="expression" dxfId="1285" priority="1402">
      <formula>$H402&lt;&gt;"-"</formula>
    </cfRule>
  </conditionalFormatting>
  <conditionalFormatting sqref="E402">
    <cfRule type="expression" dxfId="1284" priority="1401">
      <formula>$I402&lt;&gt;"-"</formula>
    </cfRule>
  </conditionalFormatting>
  <conditionalFormatting sqref="B410">
    <cfRule type="expression" dxfId="1283" priority="1397">
      <formula>AD410&lt;&gt;""</formula>
    </cfRule>
  </conditionalFormatting>
  <conditionalFormatting sqref="Z410">
    <cfRule type="cellIs" dxfId="1282" priority="1395" operator="greaterThan">
      <formula>0</formula>
    </cfRule>
    <cfRule type="cellIs" dxfId="1281" priority="1396" operator="lessThan">
      <formula>0</formula>
    </cfRule>
  </conditionalFormatting>
  <conditionalFormatting sqref="S410">
    <cfRule type="cellIs" dxfId="1280" priority="1394" operator="lessThan">
      <formula>0</formula>
    </cfRule>
  </conditionalFormatting>
  <conditionalFormatting sqref="T408:T409">
    <cfRule type="expression" dxfId="1279" priority="1398">
      <formula>#REF!="Yes"</formula>
    </cfRule>
  </conditionalFormatting>
  <conditionalFormatting sqref="P410">
    <cfRule type="cellIs" dxfId="1278" priority="1392" operator="equal">
      <formula>AS_DURATION_EFFORT</formula>
    </cfRule>
    <cfRule type="cellIs" dxfId="1277" priority="1393" operator="equal">
      <formula>AS_DEV_EFFORT</formula>
    </cfRule>
  </conditionalFormatting>
  <conditionalFormatting sqref="B408:B409">
    <cfRule type="expression" dxfId="1276" priority="1391">
      <formula>AD408&lt;&gt;""</formula>
    </cfRule>
  </conditionalFormatting>
  <conditionalFormatting sqref="F410">
    <cfRule type="expression" dxfId="1275" priority="1390">
      <formula>$K410&lt;&gt;""</formula>
    </cfRule>
  </conditionalFormatting>
  <conditionalFormatting sqref="C410">
    <cfRule type="expression" dxfId="1274" priority="1389">
      <formula>$G410&lt;&gt;"-"</formula>
    </cfRule>
  </conditionalFormatting>
  <conditionalFormatting sqref="D410">
    <cfRule type="expression" dxfId="1273" priority="1388">
      <formula>$H410&lt;&gt;"-"</formula>
    </cfRule>
  </conditionalFormatting>
  <conditionalFormatting sqref="E410">
    <cfRule type="expression" dxfId="1272" priority="1387">
      <formula>$I410&lt;&gt;"-"</formula>
    </cfRule>
  </conditionalFormatting>
  <conditionalFormatting sqref="B411">
    <cfRule type="expression" dxfId="1271" priority="1384">
      <formula>AD411&lt;&gt;""</formula>
    </cfRule>
  </conditionalFormatting>
  <conditionalFormatting sqref="Z411">
    <cfRule type="cellIs" dxfId="1270" priority="1382" operator="greaterThan">
      <formula>0</formula>
    </cfRule>
    <cfRule type="cellIs" dxfId="1269" priority="1383" operator="lessThan">
      <formula>0</formula>
    </cfRule>
  </conditionalFormatting>
  <conditionalFormatting sqref="S411">
    <cfRule type="cellIs" dxfId="1268" priority="1381" operator="lessThan">
      <formula>0</formula>
    </cfRule>
  </conditionalFormatting>
  <conditionalFormatting sqref="P411">
    <cfRule type="cellIs" dxfId="1267" priority="1379" operator="equal">
      <formula>AS_DURATION_EFFORT</formula>
    </cfRule>
    <cfRule type="cellIs" dxfId="1266" priority="1380" operator="equal">
      <formula>AS_DEV_EFFORT</formula>
    </cfRule>
  </conditionalFormatting>
  <conditionalFormatting sqref="F411">
    <cfRule type="expression" dxfId="1265" priority="1378">
      <formula>$K411&lt;&gt;""</formula>
    </cfRule>
  </conditionalFormatting>
  <conditionalFormatting sqref="C411">
    <cfRule type="expression" dxfId="1264" priority="1377">
      <formula>$G411&lt;&gt;"-"</formula>
    </cfRule>
  </conditionalFormatting>
  <conditionalFormatting sqref="D411">
    <cfRule type="expression" dxfId="1263" priority="1376">
      <formula>$H411&lt;&gt;"-"</formula>
    </cfRule>
  </conditionalFormatting>
  <conditionalFormatting sqref="E411">
    <cfRule type="expression" dxfId="1262" priority="1375">
      <formula>$I411&lt;&gt;"-"</formula>
    </cfRule>
  </conditionalFormatting>
  <conditionalFormatting sqref="B412">
    <cfRule type="expression" dxfId="1261" priority="1372">
      <formula>AD412&lt;&gt;""</formula>
    </cfRule>
  </conditionalFormatting>
  <conditionalFormatting sqref="Z412">
    <cfRule type="cellIs" dxfId="1260" priority="1370" operator="greaterThan">
      <formula>0</formula>
    </cfRule>
    <cfRule type="cellIs" dxfId="1259" priority="1371" operator="lessThan">
      <formula>0</formula>
    </cfRule>
  </conditionalFormatting>
  <conditionalFormatting sqref="S412">
    <cfRule type="cellIs" dxfId="1258" priority="1369" operator="lessThan">
      <formula>0</formula>
    </cfRule>
  </conditionalFormatting>
  <conditionalFormatting sqref="P412">
    <cfRule type="cellIs" dxfId="1257" priority="1367" operator="equal">
      <formula>AS_DURATION_EFFORT</formula>
    </cfRule>
    <cfRule type="cellIs" dxfId="1256" priority="1368" operator="equal">
      <formula>AS_DEV_EFFORT</formula>
    </cfRule>
  </conditionalFormatting>
  <conditionalFormatting sqref="F412">
    <cfRule type="expression" dxfId="1255" priority="1366">
      <formula>$K412&lt;&gt;""</formula>
    </cfRule>
  </conditionalFormatting>
  <conditionalFormatting sqref="C412">
    <cfRule type="expression" dxfId="1254" priority="1365">
      <formula>$G412&lt;&gt;"-"</formula>
    </cfRule>
  </conditionalFormatting>
  <conditionalFormatting sqref="D412">
    <cfRule type="expression" dxfId="1253" priority="1364">
      <formula>$H412&lt;&gt;"-"</formula>
    </cfRule>
  </conditionalFormatting>
  <conditionalFormatting sqref="E412">
    <cfRule type="expression" dxfId="1252" priority="1363">
      <formula>$I412&lt;&gt;"-"</formula>
    </cfRule>
  </conditionalFormatting>
  <conditionalFormatting sqref="B413">
    <cfRule type="expression" dxfId="1251" priority="1360">
      <formula>AD413&lt;&gt;""</formula>
    </cfRule>
  </conditionalFormatting>
  <conditionalFormatting sqref="Z413">
    <cfRule type="cellIs" dxfId="1250" priority="1358" operator="greaterThan">
      <formula>0</formula>
    </cfRule>
    <cfRule type="cellIs" dxfId="1249" priority="1359" operator="lessThan">
      <formula>0</formula>
    </cfRule>
  </conditionalFormatting>
  <conditionalFormatting sqref="S413">
    <cfRule type="cellIs" dxfId="1248" priority="1357" operator="lessThan">
      <formula>0</formula>
    </cfRule>
  </conditionalFormatting>
  <conditionalFormatting sqref="P413">
    <cfRule type="cellIs" dxfId="1247" priority="1355" operator="equal">
      <formula>AS_DURATION_EFFORT</formula>
    </cfRule>
    <cfRule type="cellIs" dxfId="1246" priority="1356" operator="equal">
      <formula>AS_DEV_EFFORT</formula>
    </cfRule>
  </conditionalFormatting>
  <conditionalFormatting sqref="F413">
    <cfRule type="expression" dxfId="1245" priority="1354">
      <formula>$K413&lt;&gt;""</formula>
    </cfRule>
  </conditionalFormatting>
  <conditionalFormatting sqref="C413">
    <cfRule type="expression" dxfId="1244" priority="1353">
      <formula>$G413&lt;&gt;"-"</formula>
    </cfRule>
  </conditionalFormatting>
  <conditionalFormatting sqref="D413">
    <cfRule type="expression" dxfId="1243" priority="1352">
      <formula>$H413&lt;&gt;"-"</formula>
    </cfRule>
  </conditionalFormatting>
  <conditionalFormatting sqref="E413">
    <cfRule type="expression" dxfId="1242" priority="1351">
      <formula>$I413&lt;&gt;"-"</formula>
    </cfRule>
  </conditionalFormatting>
  <conditionalFormatting sqref="B414">
    <cfRule type="expression" dxfId="1241" priority="1348">
      <formula>AD414&lt;&gt;""</formula>
    </cfRule>
  </conditionalFormatting>
  <conditionalFormatting sqref="Z414">
    <cfRule type="cellIs" dxfId="1240" priority="1346" operator="greaterThan">
      <formula>0</formula>
    </cfRule>
    <cfRule type="cellIs" dxfId="1239" priority="1347" operator="lessThan">
      <formula>0</formula>
    </cfRule>
  </conditionalFormatting>
  <conditionalFormatting sqref="S414">
    <cfRule type="cellIs" dxfId="1238" priority="1345" operator="lessThan">
      <formula>0</formula>
    </cfRule>
  </conditionalFormatting>
  <conditionalFormatting sqref="P414">
    <cfRule type="cellIs" dxfId="1237" priority="1343" operator="equal">
      <formula>AS_DURATION_EFFORT</formula>
    </cfRule>
    <cfRule type="cellIs" dxfId="1236" priority="1344" operator="equal">
      <formula>AS_DEV_EFFORT</formula>
    </cfRule>
  </conditionalFormatting>
  <conditionalFormatting sqref="F414">
    <cfRule type="expression" dxfId="1235" priority="1342">
      <formula>$K414&lt;&gt;""</formula>
    </cfRule>
  </conditionalFormatting>
  <conditionalFormatting sqref="C414">
    <cfRule type="expression" dxfId="1234" priority="1341">
      <formula>$G414&lt;&gt;"-"</formula>
    </cfRule>
  </conditionalFormatting>
  <conditionalFormatting sqref="D414">
    <cfRule type="expression" dxfId="1233" priority="1340">
      <formula>$H414&lt;&gt;"-"</formula>
    </cfRule>
  </conditionalFormatting>
  <conditionalFormatting sqref="E414">
    <cfRule type="expression" dxfId="1232" priority="1339">
      <formula>$I414&lt;&gt;"-"</formula>
    </cfRule>
  </conditionalFormatting>
  <conditionalFormatting sqref="B415">
    <cfRule type="expression" dxfId="1231" priority="1336">
      <formula>AD415&lt;&gt;""</formula>
    </cfRule>
  </conditionalFormatting>
  <conditionalFormatting sqref="Z415">
    <cfRule type="cellIs" dxfId="1230" priority="1334" operator="greaterThan">
      <formula>0</formula>
    </cfRule>
    <cfRule type="cellIs" dxfId="1229" priority="1335" operator="lessThan">
      <formula>0</formula>
    </cfRule>
  </conditionalFormatting>
  <conditionalFormatting sqref="S415">
    <cfRule type="cellIs" dxfId="1228" priority="1333" operator="lessThan">
      <formula>0</formula>
    </cfRule>
  </conditionalFormatting>
  <conditionalFormatting sqref="P415">
    <cfRule type="cellIs" dxfId="1227" priority="1331" operator="equal">
      <formula>AS_DURATION_EFFORT</formula>
    </cfRule>
    <cfRule type="cellIs" dxfId="1226" priority="1332" operator="equal">
      <formula>AS_DEV_EFFORT</formula>
    </cfRule>
  </conditionalFormatting>
  <conditionalFormatting sqref="F415">
    <cfRule type="expression" dxfId="1225" priority="1330">
      <formula>$K415&lt;&gt;""</formula>
    </cfRule>
  </conditionalFormatting>
  <conditionalFormatting sqref="C415">
    <cfRule type="expression" dxfId="1224" priority="1329">
      <formula>$G415&lt;&gt;"-"</formula>
    </cfRule>
  </conditionalFormatting>
  <conditionalFormatting sqref="D415">
    <cfRule type="expression" dxfId="1223" priority="1328">
      <formula>$H415&lt;&gt;"-"</formula>
    </cfRule>
  </conditionalFormatting>
  <conditionalFormatting sqref="E415">
    <cfRule type="expression" dxfId="1222" priority="1327">
      <formula>$I415&lt;&gt;"-"</formula>
    </cfRule>
  </conditionalFormatting>
  <conditionalFormatting sqref="B416">
    <cfRule type="expression" dxfId="1221" priority="1324">
      <formula>AD416&lt;&gt;""</formula>
    </cfRule>
  </conditionalFormatting>
  <conditionalFormatting sqref="Z416">
    <cfRule type="cellIs" dxfId="1220" priority="1322" operator="greaterThan">
      <formula>0</formula>
    </cfRule>
    <cfRule type="cellIs" dxfId="1219" priority="1323" operator="lessThan">
      <formula>0</formula>
    </cfRule>
  </conditionalFormatting>
  <conditionalFormatting sqref="S416">
    <cfRule type="cellIs" dxfId="1218" priority="1321" operator="lessThan">
      <formula>0</formula>
    </cfRule>
  </conditionalFormatting>
  <conditionalFormatting sqref="P416">
    <cfRule type="cellIs" dxfId="1217" priority="1319" operator="equal">
      <formula>AS_DURATION_EFFORT</formula>
    </cfRule>
    <cfRule type="cellIs" dxfId="1216" priority="1320" operator="equal">
      <formula>AS_DEV_EFFORT</formula>
    </cfRule>
  </conditionalFormatting>
  <conditionalFormatting sqref="F416">
    <cfRule type="expression" dxfId="1215" priority="1318">
      <formula>$K416&lt;&gt;""</formula>
    </cfRule>
  </conditionalFormatting>
  <conditionalFormatting sqref="C416">
    <cfRule type="expression" dxfId="1214" priority="1317">
      <formula>$G416&lt;&gt;"-"</formula>
    </cfRule>
  </conditionalFormatting>
  <conditionalFormatting sqref="D416">
    <cfRule type="expression" dxfId="1213" priority="1316">
      <formula>$H416&lt;&gt;"-"</formula>
    </cfRule>
  </conditionalFormatting>
  <conditionalFormatting sqref="E416">
    <cfRule type="expression" dxfId="1212" priority="1315">
      <formula>$I416&lt;&gt;"-"</formula>
    </cfRule>
  </conditionalFormatting>
  <conditionalFormatting sqref="B417">
    <cfRule type="expression" dxfId="1211" priority="1312">
      <formula>AD417&lt;&gt;""</formula>
    </cfRule>
  </conditionalFormatting>
  <conditionalFormatting sqref="Z417">
    <cfRule type="cellIs" dxfId="1210" priority="1310" operator="greaterThan">
      <formula>0</formula>
    </cfRule>
    <cfRule type="cellIs" dxfId="1209" priority="1311" operator="lessThan">
      <formula>0</formula>
    </cfRule>
  </conditionalFormatting>
  <conditionalFormatting sqref="S417">
    <cfRule type="cellIs" dxfId="1208" priority="1309" operator="lessThan">
      <formula>0</formula>
    </cfRule>
  </conditionalFormatting>
  <conditionalFormatting sqref="P417">
    <cfRule type="cellIs" dxfId="1207" priority="1307" operator="equal">
      <formula>AS_DURATION_EFFORT</formula>
    </cfRule>
    <cfRule type="cellIs" dxfId="1206" priority="1308" operator="equal">
      <formula>AS_DEV_EFFORT</formula>
    </cfRule>
  </conditionalFormatting>
  <conditionalFormatting sqref="F417">
    <cfRule type="expression" dxfId="1205" priority="1306">
      <formula>$K417&lt;&gt;""</formula>
    </cfRule>
  </conditionalFormatting>
  <conditionalFormatting sqref="C417">
    <cfRule type="expression" dxfId="1204" priority="1305">
      <formula>$G417&lt;&gt;"-"</formula>
    </cfRule>
  </conditionalFormatting>
  <conditionalFormatting sqref="D417">
    <cfRule type="expression" dxfId="1203" priority="1304">
      <formula>$H417&lt;&gt;"-"</formula>
    </cfRule>
  </conditionalFormatting>
  <conditionalFormatting sqref="E417">
    <cfRule type="expression" dxfId="1202" priority="1303">
      <formula>$I417&lt;&gt;"-"</formula>
    </cfRule>
  </conditionalFormatting>
  <conditionalFormatting sqref="B424">
    <cfRule type="expression" dxfId="1201" priority="1299">
      <formula>AD424&lt;&gt;""</formula>
    </cfRule>
  </conditionalFormatting>
  <conditionalFormatting sqref="Z424">
    <cfRule type="cellIs" dxfId="1200" priority="1297" operator="greaterThan">
      <formula>0</formula>
    </cfRule>
    <cfRule type="cellIs" dxfId="1199" priority="1298" operator="lessThan">
      <formula>0</formula>
    </cfRule>
  </conditionalFormatting>
  <conditionalFormatting sqref="S424">
    <cfRule type="cellIs" dxfId="1198" priority="1296" operator="lessThan">
      <formula>0</formula>
    </cfRule>
  </conditionalFormatting>
  <conditionalFormatting sqref="T422:T423">
    <cfRule type="expression" dxfId="1197" priority="1300">
      <formula>#REF!="Yes"</formula>
    </cfRule>
  </conditionalFormatting>
  <conditionalFormatting sqref="P424">
    <cfRule type="cellIs" dxfId="1196" priority="1294" operator="equal">
      <formula>AS_DURATION_EFFORT</formula>
    </cfRule>
    <cfRule type="cellIs" dxfId="1195" priority="1295" operator="equal">
      <formula>AS_DEV_EFFORT</formula>
    </cfRule>
  </conditionalFormatting>
  <conditionalFormatting sqref="B422:B423">
    <cfRule type="expression" dxfId="1194" priority="1293">
      <formula>AD422&lt;&gt;""</formula>
    </cfRule>
  </conditionalFormatting>
  <conditionalFormatting sqref="F424">
    <cfRule type="expression" dxfId="1193" priority="1292">
      <formula>$K424&lt;&gt;""</formula>
    </cfRule>
  </conditionalFormatting>
  <conditionalFormatting sqref="C424">
    <cfRule type="expression" dxfId="1192" priority="1291">
      <formula>$G424&lt;&gt;"-"</formula>
    </cfRule>
  </conditionalFormatting>
  <conditionalFormatting sqref="D424">
    <cfRule type="expression" dxfId="1191" priority="1290">
      <formula>$H424&lt;&gt;"-"</formula>
    </cfRule>
  </conditionalFormatting>
  <conditionalFormatting sqref="E424">
    <cfRule type="expression" dxfId="1190" priority="1289">
      <formula>$I424&lt;&gt;"-"</formula>
    </cfRule>
  </conditionalFormatting>
  <conditionalFormatting sqref="B425">
    <cfRule type="expression" dxfId="1189" priority="1286">
      <formula>AD425&lt;&gt;""</formula>
    </cfRule>
  </conditionalFormatting>
  <conditionalFormatting sqref="Z425">
    <cfRule type="cellIs" dxfId="1188" priority="1284" operator="greaterThan">
      <formula>0</formula>
    </cfRule>
    <cfRule type="cellIs" dxfId="1187" priority="1285" operator="lessThan">
      <formula>0</formula>
    </cfRule>
  </conditionalFormatting>
  <conditionalFormatting sqref="S425">
    <cfRule type="cellIs" dxfId="1186" priority="1283" operator="lessThan">
      <formula>0</formula>
    </cfRule>
  </conditionalFormatting>
  <conditionalFormatting sqref="P425">
    <cfRule type="cellIs" dxfId="1185" priority="1281" operator="equal">
      <formula>AS_DURATION_EFFORT</formula>
    </cfRule>
    <cfRule type="cellIs" dxfId="1184" priority="1282" operator="equal">
      <formula>AS_DEV_EFFORT</formula>
    </cfRule>
  </conditionalFormatting>
  <conditionalFormatting sqref="F425">
    <cfRule type="expression" dxfId="1183" priority="1280">
      <formula>$K425&lt;&gt;""</formula>
    </cfRule>
  </conditionalFormatting>
  <conditionalFormatting sqref="C425">
    <cfRule type="expression" dxfId="1182" priority="1279">
      <formula>$G425&lt;&gt;"-"</formula>
    </cfRule>
  </conditionalFormatting>
  <conditionalFormatting sqref="D425">
    <cfRule type="expression" dxfId="1181" priority="1278">
      <formula>$H425&lt;&gt;"-"</formula>
    </cfRule>
  </conditionalFormatting>
  <conditionalFormatting sqref="E425">
    <cfRule type="expression" dxfId="1180" priority="1277">
      <formula>$I425&lt;&gt;"-"</formula>
    </cfRule>
  </conditionalFormatting>
  <conditionalFormatting sqref="B426">
    <cfRule type="expression" dxfId="1179" priority="1274">
      <formula>AD426&lt;&gt;""</formula>
    </cfRule>
  </conditionalFormatting>
  <conditionalFormatting sqref="Z426">
    <cfRule type="cellIs" dxfId="1178" priority="1272" operator="greaterThan">
      <formula>0</formula>
    </cfRule>
    <cfRule type="cellIs" dxfId="1177" priority="1273" operator="lessThan">
      <formula>0</formula>
    </cfRule>
  </conditionalFormatting>
  <conditionalFormatting sqref="S426">
    <cfRule type="cellIs" dxfId="1176" priority="1271" operator="lessThan">
      <formula>0</formula>
    </cfRule>
  </conditionalFormatting>
  <conditionalFormatting sqref="P426">
    <cfRule type="cellIs" dxfId="1175" priority="1269" operator="equal">
      <formula>AS_DURATION_EFFORT</formula>
    </cfRule>
    <cfRule type="cellIs" dxfId="1174" priority="1270" operator="equal">
      <formula>AS_DEV_EFFORT</formula>
    </cfRule>
  </conditionalFormatting>
  <conditionalFormatting sqref="F426">
    <cfRule type="expression" dxfId="1173" priority="1268">
      <formula>$K426&lt;&gt;""</formula>
    </cfRule>
  </conditionalFormatting>
  <conditionalFormatting sqref="C426">
    <cfRule type="expression" dxfId="1172" priority="1267">
      <formula>$G426&lt;&gt;"-"</formula>
    </cfRule>
  </conditionalFormatting>
  <conditionalFormatting sqref="D426">
    <cfRule type="expression" dxfId="1171" priority="1266">
      <formula>$H426&lt;&gt;"-"</formula>
    </cfRule>
  </conditionalFormatting>
  <conditionalFormatting sqref="E426">
    <cfRule type="expression" dxfId="1170" priority="1265">
      <formula>$I426&lt;&gt;"-"</formula>
    </cfRule>
  </conditionalFormatting>
  <conditionalFormatting sqref="B427">
    <cfRule type="expression" dxfId="1169" priority="1262">
      <formula>AD427&lt;&gt;""</formula>
    </cfRule>
  </conditionalFormatting>
  <conditionalFormatting sqref="Z427">
    <cfRule type="cellIs" dxfId="1168" priority="1260" operator="greaterThan">
      <formula>0</formula>
    </cfRule>
    <cfRule type="cellIs" dxfId="1167" priority="1261" operator="lessThan">
      <formula>0</formula>
    </cfRule>
  </conditionalFormatting>
  <conditionalFormatting sqref="S427">
    <cfRule type="cellIs" dxfId="1166" priority="1259" operator="lessThan">
      <formula>0</formula>
    </cfRule>
  </conditionalFormatting>
  <conditionalFormatting sqref="P427">
    <cfRule type="cellIs" dxfId="1165" priority="1257" operator="equal">
      <formula>AS_DURATION_EFFORT</formula>
    </cfRule>
    <cfRule type="cellIs" dxfId="1164" priority="1258" operator="equal">
      <formula>AS_DEV_EFFORT</formula>
    </cfRule>
  </conditionalFormatting>
  <conditionalFormatting sqref="F427">
    <cfRule type="expression" dxfId="1163" priority="1256">
      <formula>$K427&lt;&gt;""</formula>
    </cfRule>
  </conditionalFormatting>
  <conditionalFormatting sqref="C427">
    <cfRule type="expression" dxfId="1162" priority="1255">
      <formula>$G427&lt;&gt;"-"</formula>
    </cfRule>
  </conditionalFormatting>
  <conditionalFormatting sqref="D427">
    <cfRule type="expression" dxfId="1161" priority="1254">
      <formula>$H427&lt;&gt;"-"</formula>
    </cfRule>
  </conditionalFormatting>
  <conditionalFormatting sqref="E427">
    <cfRule type="expression" dxfId="1160" priority="1253">
      <formula>$I427&lt;&gt;"-"</formula>
    </cfRule>
  </conditionalFormatting>
  <conditionalFormatting sqref="B428">
    <cfRule type="expression" dxfId="1159" priority="1250">
      <formula>AD428&lt;&gt;""</formula>
    </cfRule>
  </conditionalFormatting>
  <conditionalFormatting sqref="Z428">
    <cfRule type="cellIs" dxfId="1158" priority="1248" operator="greaterThan">
      <formula>0</formula>
    </cfRule>
    <cfRule type="cellIs" dxfId="1157" priority="1249" operator="lessThan">
      <formula>0</formula>
    </cfRule>
  </conditionalFormatting>
  <conditionalFormatting sqref="S428">
    <cfRule type="cellIs" dxfId="1156" priority="1247" operator="lessThan">
      <formula>0</formula>
    </cfRule>
  </conditionalFormatting>
  <conditionalFormatting sqref="P428">
    <cfRule type="cellIs" dxfId="1155" priority="1245" operator="equal">
      <formula>AS_DURATION_EFFORT</formula>
    </cfRule>
    <cfRule type="cellIs" dxfId="1154" priority="1246" operator="equal">
      <formula>AS_DEV_EFFORT</formula>
    </cfRule>
  </conditionalFormatting>
  <conditionalFormatting sqref="F428">
    <cfRule type="expression" dxfId="1153" priority="1244">
      <formula>$K428&lt;&gt;""</formula>
    </cfRule>
  </conditionalFormatting>
  <conditionalFormatting sqref="C428">
    <cfRule type="expression" dxfId="1152" priority="1243">
      <formula>$G428&lt;&gt;"-"</formula>
    </cfRule>
  </conditionalFormatting>
  <conditionalFormatting sqref="D428">
    <cfRule type="expression" dxfId="1151" priority="1242">
      <formula>$H428&lt;&gt;"-"</formula>
    </cfRule>
  </conditionalFormatting>
  <conditionalFormatting sqref="E428">
    <cfRule type="expression" dxfId="1150" priority="1241">
      <formula>$I428&lt;&gt;"-"</formula>
    </cfRule>
  </conditionalFormatting>
  <conditionalFormatting sqref="B429">
    <cfRule type="expression" dxfId="1149" priority="1238">
      <formula>AD429&lt;&gt;""</formula>
    </cfRule>
  </conditionalFormatting>
  <conditionalFormatting sqref="Z429">
    <cfRule type="cellIs" dxfId="1148" priority="1236" operator="greaterThan">
      <formula>0</formula>
    </cfRule>
    <cfRule type="cellIs" dxfId="1147" priority="1237" operator="lessThan">
      <formula>0</formula>
    </cfRule>
  </conditionalFormatting>
  <conditionalFormatting sqref="S429">
    <cfRule type="cellIs" dxfId="1146" priority="1235" operator="lessThan">
      <formula>0</formula>
    </cfRule>
  </conditionalFormatting>
  <conditionalFormatting sqref="P429">
    <cfRule type="cellIs" dxfId="1145" priority="1233" operator="equal">
      <formula>AS_DURATION_EFFORT</formula>
    </cfRule>
    <cfRule type="cellIs" dxfId="1144" priority="1234" operator="equal">
      <formula>AS_DEV_EFFORT</formula>
    </cfRule>
  </conditionalFormatting>
  <conditionalFormatting sqref="F429">
    <cfRule type="expression" dxfId="1143" priority="1232">
      <formula>$K429&lt;&gt;""</formula>
    </cfRule>
  </conditionalFormatting>
  <conditionalFormatting sqref="C429">
    <cfRule type="expression" dxfId="1142" priority="1231">
      <formula>$G429&lt;&gt;"-"</formula>
    </cfRule>
  </conditionalFormatting>
  <conditionalFormatting sqref="D429">
    <cfRule type="expression" dxfId="1141" priority="1230">
      <formula>$H429&lt;&gt;"-"</formula>
    </cfRule>
  </conditionalFormatting>
  <conditionalFormatting sqref="E429">
    <cfRule type="expression" dxfId="1140" priority="1229">
      <formula>$I429&lt;&gt;"-"</formula>
    </cfRule>
  </conditionalFormatting>
  <conditionalFormatting sqref="B437">
    <cfRule type="expression" dxfId="1139" priority="1225">
      <formula>AD437&lt;&gt;""</formula>
    </cfRule>
  </conditionalFormatting>
  <conditionalFormatting sqref="Z437">
    <cfRule type="cellIs" dxfId="1138" priority="1223" operator="greaterThan">
      <formula>0</formula>
    </cfRule>
    <cfRule type="cellIs" dxfId="1137" priority="1224" operator="lessThan">
      <formula>0</formula>
    </cfRule>
  </conditionalFormatting>
  <conditionalFormatting sqref="S437">
    <cfRule type="cellIs" dxfId="1136" priority="1222" operator="lessThan">
      <formula>0</formula>
    </cfRule>
  </conditionalFormatting>
  <conditionalFormatting sqref="T435:T436">
    <cfRule type="expression" dxfId="1135" priority="1226">
      <formula>#REF!="Yes"</formula>
    </cfRule>
  </conditionalFormatting>
  <conditionalFormatting sqref="P437">
    <cfRule type="cellIs" dxfId="1134" priority="1220" operator="equal">
      <formula>AS_DURATION_EFFORT</formula>
    </cfRule>
    <cfRule type="cellIs" dxfId="1133" priority="1221" operator="equal">
      <formula>AS_DEV_EFFORT</formula>
    </cfRule>
  </conditionalFormatting>
  <conditionalFormatting sqref="B435:B436">
    <cfRule type="expression" dxfId="1132" priority="1219">
      <formula>AD435&lt;&gt;""</formula>
    </cfRule>
  </conditionalFormatting>
  <conditionalFormatting sqref="F437">
    <cfRule type="expression" dxfId="1131" priority="1218">
      <formula>$K437&lt;&gt;""</formula>
    </cfRule>
  </conditionalFormatting>
  <conditionalFormatting sqref="C437">
    <cfRule type="expression" dxfId="1130" priority="1217">
      <formula>$G437&lt;&gt;"-"</formula>
    </cfRule>
  </conditionalFormatting>
  <conditionalFormatting sqref="D437">
    <cfRule type="expression" dxfId="1129" priority="1216">
      <formula>$H437&lt;&gt;"-"</formula>
    </cfRule>
  </conditionalFormatting>
  <conditionalFormatting sqref="E437">
    <cfRule type="expression" dxfId="1128" priority="1215">
      <formula>$I437&lt;&gt;"-"</formula>
    </cfRule>
  </conditionalFormatting>
  <conditionalFormatting sqref="B438">
    <cfRule type="expression" dxfId="1127" priority="1212">
      <formula>AD438&lt;&gt;""</formula>
    </cfRule>
  </conditionalFormatting>
  <conditionalFormatting sqref="Z438">
    <cfRule type="cellIs" dxfId="1126" priority="1210" operator="greaterThan">
      <formula>0</formula>
    </cfRule>
    <cfRule type="cellIs" dxfId="1125" priority="1211" operator="lessThan">
      <formula>0</formula>
    </cfRule>
  </conditionalFormatting>
  <conditionalFormatting sqref="S438">
    <cfRule type="cellIs" dxfId="1124" priority="1209" operator="lessThan">
      <formula>0</formula>
    </cfRule>
  </conditionalFormatting>
  <conditionalFormatting sqref="P438">
    <cfRule type="cellIs" dxfId="1123" priority="1207" operator="equal">
      <formula>AS_DURATION_EFFORT</formula>
    </cfRule>
    <cfRule type="cellIs" dxfId="1122" priority="1208" operator="equal">
      <formula>AS_DEV_EFFORT</formula>
    </cfRule>
  </conditionalFormatting>
  <conditionalFormatting sqref="F438">
    <cfRule type="expression" dxfId="1121" priority="1206">
      <formula>$K438&lt;&gt;""</formula>
    </cfRule>
  </conditionalFormatting>
  <conditionalFormatting sqref="C438">
    <cfRule type="expression" dxfId="1120" priority="1205">
      <formula>$G438&lt;&gt;"-"</formula>
    </cfRule>
  </conditionalFormatting>
  <conditionalFormatting sqref="D438">
    <cfRule type="expression" dxfId="1119" priority="1204">
      <formula>$H438&lt;&gt;"-"</formula>
    </cfRule>
  </conditionalFormatting>
  <conditionalFormatting sqref="E438">
    <cfRule type="expression" dxfId="1118" priority="1203">
      <formula>$I438&lt;&gt;"-"</formula>
    </cfRule>
  </conditionalFormatting>
  <conditionalFormatting sqref="B439">
    <cfRule type="expression" dxfId="1117" priority="1200">
      <formula>AD439&lt;&gt;""</formula>
    </cfRule>
  </conditionalFormatting>
  <conditionalFormatting sqref="Z439">
    <cfRule type="cellIs" dxfId="1116" priority="1198" operator="greaterThan">
      <formula>0</formula>
    </cfRule>
    <cfRule type="cellIs" dxfId="1115" priority="1199" operator="lessThan">
      <formula>0</formula>
    </cfRule>
  </conditionalFormatting>
  <conditionalFormatting sqref="S439">
    <cfRule type="cellIs" dxfId="1114" priority="1197" operator="lessThan">
      <formula>0</formula>
    </cfRule>
  </conditionalFormatting>
  <conditionalFormatting sqref="P439">
    <cfRule type="cellIs" dxfId="1113" priority="1195" operator="equal">
      <formula>AS_DURATION_EFFORT</formula>
    </cfRule>
    <cfRule type="cellIs" dxfId="1112" priority="1196" operator="equal">
      <formula>AS_DEV_EFFORT</formula>
    </cfRule>
  </conditionalFormatting>
  <conditionalFormatting sqref="F439">
    <cfRule type="expression" dxfId="1111" priority="1194">
      <formula>$K439&lt;&gt;""</formula>
    </cfRule>
  </conditionalFormatting>
  <conditionalFormatting sqref="C439">
    <cfRule type="expression" dxfId="1110" priority="1193">
      <formula>$G439&lt;&gt;"-"</formula>
    </cfRule>
  </conditionalFormatting>
  <conditionalFormatting sqref="D439">
    <cfRule type="expression" dxfId="1109" priority="1192">
      <formula>$H439&lt;&gt;"-"</formula>
    </cfRule>
  </conditionalFormatting>
  <conditionalFormatting sqref="E439">
    <cfRule type="expression" dxfId="1108" priority="1191">
      <formula>$I439&lt;&gt;"-"</formula>
    </cfRule>
  </conditionalFormatting>
  <conditionalFormatting sqref="B440">
    <cfRule type="expression" dxfId="1107" priority="1188">
      <formula>AD440&lt;&gt;""</formula>
    </cfRule>
  </conditionalFormatting>
  <conditionalFormatting sqref="Z440">
    <cfRule type="cellIs" dxfId="1106" priority="1186" operator="greaterThan">
      <formula>0</formula>
    </cfRule>
    <cfRule type="cellIs" dxfId="1105" priority="1187" operator="lessThan">
      <formula>0</formula>
    </cfRule>
  </conditionalFormatting>
  <conditionalFormatting sqref="S440">
    <cfRule type="cellIs" dxfId="1104" priority="1185" operator="lessThan">
      <formula>0</formula>
    </cfRule>
  </conditionalFormatting>
  <conditionalFormatting sqref="P440">
    <cfRule type="cellIs" dxfId="1103" priority="1183" operator="equal">
      <formula>AS_DURATION_EFFORT</formula>
    </cfRule>
    <cfRule type="cellIs" dxfId="1102" priority="1184" operator="equal">
      <formula>AS_DEV_EFFORT</formula>
    </cfRule>
  </conditionalFormatting>
  <conditionalFormatting sqref="F440">
    <cfRule type="expression" dxfId="1101" priority="1182">
      <formula>$K440&lt;&gt;""</formula>
    </cfRule>
  </conditionalFormatting>
  <conditionalFormatting sqref="C440">
    <cfRule type="expression" dxfId="1100" priority="1181">
      <formula>$G440&lt;&gt;"-"</formula>
    </cfRule>
  </conditionalFormatting>
  <conditionalFormatting sqref="D440">
    <cfRule type="expression" dxfId="1099" priority="1180">
      <formula>$H440&lt;&gt;"-"</formula>
    </cfRule>
  </conditionalFormatting>
  <conditionalFormatting sqref="E440">
    <cfRule type="expression" dxfId="1098" priority="1179">
      <formula>$I440&lt;&gt;"-"</formula>
    </cfRule>
  </conditionalFormatting>
  <conditionalFormatting sqref="B441">
    <cfRule type="expression" dxfId="1097" priority="1176">
      <formula>AD441&lt;&gt;""</formula>
    </cfRule>
  </conditionalFormatting>
  <conditionalFormatting sqref="Z441">
    <cfRule type="cellIs" dxfId="1096" priority="1174" operator="greaterThan">
      <formula>0</formula>
    </cfRule>
    <cfRule type="cellIs" dxfId="1095" priority="1175" operator="lessThan">
      <formula>0</formula>
    </cfRule>
  </conditionalFormatting>
  <conditionalFormatting sqref="S441">
    <cfRule type="cellIs" dxfId="1094" priority="1173" operator="lessThan">
      <formula>0</formula>
    </cfRule>
  </conditionalFormatting>
  <conditionalFormatting sqref="P441">
    <cfRule type="cellIs" dxfId="1093" priority="1171" operator="equal">
      <formula>AS_DURATION_EFFORT</formula>
    </cfRule>
    <cfRule type="cellIs" dxfId="1092" priority="1172" operator="equal">
      <formula>AS_DEV_EFFORT</formula>
    </cfRule>
  </conditionalFormatting>
  <conditionalFormatting sqref="F441">
    <cfRule type="expression" dxfId="1091" priority="1170">
      <formula>$K441&lt;&gt;""</formula>
    </cfRule>
  </conditionalFormatting>
  <conditionalFormatting sqref="C441">
    <cfRule type="expression" dxfId="1090" priority="1169">
      <formula>$G441&lt;&gt;"-"</formula>
    </cfRule>
  </conditionalFormatting>
  <conditionalFormatting sqref="D441">
    <cfRule type="expression" dxfId="1089" priority="1168">
      <formula>$H441&lt;&gt;"-"</formula>
    </cfRule>
  </conditionalFormatting>
  <conditionalFormatting sqref="E441">
    <cfRule type="expression" dxfId="1088" priority="1167">
      <formula>$I441&lt;&gt;"-"</formula>
    </cfRule>
  </conditionalFormatting>
  <conditionalFormatting sqref="B445">
    <cfRule type="expression" dxfId="1087" priority="1163">
      <formula>AD445&lt;&gt;""</formula>
    </cfRule>
  </conditionalFormatting>
  <conditionalFormatting sqref="Z445">
    <cfRule type="cellIs" dxfId="1086" priority="1161" operator="greaterThan">
      <formula>0</formula>
    </cfRule>
    <cfRule type="cellIs" dxfId="1085" priority="1162" operator="lessThan">
      <formula>0</formula>
    </cfRule>
  </conditionalFormatting>
  <conditionalFormatting sqref="S445">
    <cfRule type="cellIs" dxfId="1084" priority="1160" operator="lessThan">
      <formula>0</formula>
    </cfRule>
  </conditionalFormatting>
  <conditionalFormatting sqref="T443:T444">
    <cfRule type="expression" dxfId="1083" priority="1164">
      <formula>#REF!="Yes"</formula>
    </cfRule>
  </conditionalFormatting>
  <conditionalFormatting sqref="P445">
    <cfRule type="cellIs" dxfId="1082" priority="1158" operator="equal">
      <formula>AS_DURATION_EFFORT</formula>
    </cfRule>
    <cfRule type="cellIs" dxfId="1081" priority="1159" operator="equal">
      <formula>AS_DEV_EFFORT</formula>
    </cfRule>
  </conditionalFormatting>
  <conditionalFormatting sqref="B443:B444">
    <cfRule type="expression" dxfId="1080" priority="1157">
      <formula>AD443&lt;&gt;""</formula>
    </cfRule>
  </conditionalFormatting>
  <conditionalFormatting sqref="F445">
    <cfRule type="expression" dxfId="1079" priority="1156">
      <formula>$K445&lt;&gt;""</formula>
    </cfRule>
  </conditionalFormatting>
  <conditionalFormatting sqref="C445">
    <cfRule type="expression" dxfId="1078" priority="1155">
      <formula>$G445&lt;&gt;"-"</formula>
    </cfRule>
  </conditionalFormatting>
  <conditionalFormatting sqref="D445">
    <cfRule type="expression" dxfId="1077" priority="1154">
      <formula>$H445&lt;&gt;"-"</formula>
    </cfRule>
  </conditionalFormatting>
  <conditionalFormatting sqref="E445">
    <cfRule type="expression" dxfId="1076" priority="1153">
      <formula>$I445&lt;&gt;"-"</formula>
    </cfRule>
  </conditionalFormatting>
  <conditionalFormatting sqref="B446">
    <cfRule type="expression" dxfId="1075" priority="1150">
      <formula>AD446&lt;&gt;""</formula>
    </cfRule>
  </conditionalFormatting>
  <conditionalFormatting sqref="Z446">
    <cfRule type="cellIs" dxfId="1074" priority="1148" operator="greaterThan">
      <formula>0</formula>
    </cfRule>
    <cfRule type="cellIs" dxfId="1073" priority="1149" operator="lessThan">
      <formula>0</formula>
    </cfRule>
  </conditionalFormatting>
  <conditionalFormatting sqref="S446">
    <cfRule type="cellIs" dxfId="1072" priority="1147" operator="lessThan">
      <formula>0</formula>
    </cfRule>
  </conditionalFormatting>
  <conditionalFormatting sqref="P446">
    <cfRule type="cellIs" dxfId="1071" priority="1145" operator="equal">
      <formula>AS_DURATION_EFFORT</formula>
    </cfRule>
    <cfRule type="cellIs" dxfId="1070" priority="1146" operator="equal">
      <formula>AS_DEV_EFFORT</formula>
    </cfRule>
  </conditionalFormatting>
  <conditionalFormatting sqref="F446">
    <cfRule type="expression" dxfId="1069" priority="1144">
      <formula>$K446&lt;&gt;""</formula>
    </cfRule>
  </conditionalFormatting>
  <conditionalFormatting sqref="C446">
    <cfRule type="expression" dxfId="1068" priority="1143">
      <formula>$G446&lt;&gt;"-"</formula>
    </cfRule>
  </conditionalFormatting>
  <conditionalFormatting sqref="D446">
    <cfRule type="expression" dxfId="1067" priority="1142">
      <formula>$H446&lt;&gt;"-"</formula>
    </cfRule>
  </conditionalFormatting>
  <conditionalFormatting sqref="E446">
    <cfRule type="expression" dxfId="1066" priority="1141">
      <formula>$I446&lt;&gt;"-"</formula>
    </cfRule>
  </conditionalFormatting>
  <conditionalFormatting sqref="B447">
    <cfRule type="expression" dxfId="1065" priority="1138">
      <formula>AD447&lt;&gt;""</formula>
    </cfRule>
  </conditionalFormatting>
  <conditionalFormatting sqref="Z447">
    <cfRule type="cellIs" dxfId="1064" priority="1136" operator="greaterThan">
      <formula>0</formula>
    </cfRule>
    <cfRule type="cellIs" dxfId="1063" priority="1137" operator="lessThan">
      <formula>0</formula>
    </cfRule>
  </conditionalFormatting>
  <conditionalFormatting sqref="S447">
    <cfRule type="cellIs" dxfId="1062" priority="1135" operator="lessThan">
      <formula>0</formula>
    </cfRule>
  </conditionalFormatting>
  <conditionalFormatting sqref="P447">
    <cfRule type="cellIs" dxfId="1061" priority="1133" operator="equal">
      <formula>AS_DURATION_EFFORT</formula>
    </cfRule>
    <cfRule type="cellIs" dxfId="1060" priority="1134" operator="equal">
      <formula>AS_DEV_EFFORT</formula>
    </cfRule>
  </conditionalFormatting>
  <conditionalFormatting sqref="F447">
    <cfRule type="expression" dxfId="1059" priority="1132">
      <formula>$K447&lt;&gt;""</formula>
    </cfRule>
  </conditionalFormatting>
  <conditionalFormatting sqref="C447">
    <cfRule type="expression" dxfId="1058" priority="1131">
      <formula>$G447&lt;&gt;"-"</formula>
    </cfRule>
  </conditionalFormatting>
  <conditionalFormatting sqref="D447">
    <cfRule type="expression" dxfId="1057" priority="1130">
      <formula>$H447&lt;&gt;"-"</formula>
    </cfRule>
  </conditionalFormatting>
  <conditionalFormatting sqref="E447">
    <cfRule type="expression" dxfId="1056" priority="1129">
      <formula>$I447&lt;&gt;"-"</formula>
    </cfRule>
  </conditionalFormatting>
  <conditionalFormatting sqref="B448">
    <cfRule type="expression" dxfId="1055" priority="1126">
      <formula>AD448&lt;&gt;""</formula>
    </cfRule>
  </conditionalFormatting>
  <conditionalFormatting sqref="Z448">
    <cfRule type="cellIs" dxfId="1054" priority="1124" operator="greaterThan">
      <formula>0</formula>
    </cfRule>
    <cfRule type="cellIs" dxfId="1053" priority="1125" operator="lessThan">
      <formula>0</formula>
    </cfRule>
  </conditionalFormatting>
  <conditionalFormatting sqref="S448">
    <cfRule type="cellIs" dxfId="1052" priority="1123" operator="lessThan">
      <formula>0</formula>
    </cfRule>
  </conditionalFormatting>
  <conditionalFormatting sqref="P448">
    <cfRule type="cellIs" dxfId="1051" priority="1121" operator="equal">
      <formula>AS_DURATION_EFFORT</formula>
    </cfRule>
    <cfRule type="cellIs" dxfId="1050" priority="1122" operator="equal">
      <formula>AS_DEV_EFFORT</formula>
    </cfRule>
  </conditionalFormatting>
  <conditionalFormatting sqref="F448">
    <cfRule type="expression" dxfId="1049" priority="1120">
      <formula>$K448&lt;&gt;""</formula>
    </cfRule>
  </conditionalFormatting>
  <conditionalFormatting sqref="C448">
    <cfRule type="expression" dxfId="1048" priority="1119">
      <formula>$G448&lt;&gt;"-"</formula>
    </cfRule>
  </conditionalFormatting>
  <conditionalFormatting sqref="D448">
    <cfRule type="expression" dxfId="1047" priority="1118">
      <formula>$H448&lt;&gt;"-"</formula>
    </cfRule>
  </conditionalFormatting>
  <conditionalFormatting sqref="E448">
    <cfRule type="expression" dxfId="1046" priority="1117">
      <formula>$I448&lt;&gt;"-"</formula>
    </cfRule>
  </conditionalFormatting>
  <conditionalFormatting sqref="B449">
    <cfRule type="expression" dxfId="1045" priority="1114">
      <formula>AD449&lt;&gt;""</formula>
    </cfRule>
  </conditionalFormatting>
  <conditionalFormatting sqref="Z449">
    <cfRule type="cellIs" dxfId="1044" priority="1112" operator="greaterThan">
      <formula>0</formula>
    </cfRule>
    <cfRule type="cellIs" dxfId="1043" priority="1113" operator="lessThan">
      <formula>0</formula>
    </cfRule>
  </conditionalFormatting>
  <conditionalFormatting sqref="S449">
    <cfRule type="cellIs" dxfId="1042" priority="1111" operator="lessThan">
      <formula>0</formula>
    </cfRule>
  </conditionalFormatting>
  <conditionalFormatting sqref="P449">
    <cfRule type="cellIs" dxfId="1041" priority="1109" operator="equal">
      <formula>AS_DURATION_EFFORT</formula>
    </cfRule>
    <cfRule type="cellIs" dxfId="1040" priority="1110" operator="equal">
      <formula>AS_DEV_EFFORT</formula>
    </cfRule>
  </conditionalFormatting>
  <conditionalFormatting sqref="F449">
    <cfRule type="expression" dxfId="1039" priority="1108">
      <formula>$K449&lt;&gt;""</formula>
    </cfRule>
  </conditionalFormatting>
  <conditionalFormatting sqref="C449">
    <cfRule type="expression" dxfId="1038" priority="1107">
      <formula>$G449&lt;&gt;"-"</formula>
    </cfRule>
  </conditionalFormatting>
  <conditionalFormatting sqref="D449">
    <cfRule type="expression" dxfId="1037" priority="1106">
      <formula>$H449&lt;&gt;"-"</formula>
    </cfRule>
  </conditionalFormatting>
  <conditionalFormatting sqref="E449">
    <cfRule type="expression" dxfId="1036" priority="1105">
      <formula>$I449&lt;&gt;"-"</formula>
    </cfRule>
  </conditionalFormatting>
  <conditionalFormatting sqref="B450">
    <cfRule type="expression" dxfId="1035" priority="1102">
      <formula>AD450&lt;&gt;""</formula>
    </cfRule>
  </conditionalFormatting>
  <conditionalFormatting sqref="Z450">
    <cfRule type="cellIs" dxfId="1034" priority="1100" operator="greaterThan">
      <formula>0</formula>
    </cfRule>
    <cfRule type="cellIs" dxfId="1033" priority="1101" operator="lessThan">
      <formula>0</formula>
    </cfRule>
  </conditionalFormatting>
  <conditionalFormatting sqref="S450">
    <cfRule type="cellIs" dxfId="1032" priority="1099" operator="lessThan">
      <formula>0</formula>
    </cfRule>
  </conditionalFormatting>
  <conditionalFormatting sqref="P450">
    <cfRule type="cellIs" dxfId="1031" priority="1097" operator="equal">
      <formula>AS_DURATION_EFFORT</formula>
    </cfRule>
    <cfRule type="cellIs" dxfId="1030" priority="1098" operator="equal">
      <formula>AS_DEV_EFFORT</formula>
    </cfRule>
  </conditionalFormatting>
  <conditionalFormatting sqref="F450">
    <cfRule type="expression" dxfId="1029" priority="1096">
      <formula>$K450&lt;&gt;""</formula>
    </cfRule>
  </conditionalFormatting>
  <conditionalFormatting sqref="C450">
    <cfRule type="expression" dxfId="1028" priority="1095">
      <formula>$G450&lt;&gt;"-"</formula>
    </cfRule>
  </conditionalFormatting>
  <conditionalFormatting sqref="D450">
    <cfRule type="expression" dxfId="1027" priority="1094">
      <formula>$H450&lt;&gt;"-"</formula>
    </cfRule>
  </conditionalFormatting>
  <conditionalFormatting sqref="E450">
    <cfRule type="expression" dxfId="1026" priority="1093">
      <formula>$I450&lt;&gt;"-"</formula>
    </cfRule>
  </conditionalFormatting>
  <conditionalFormatting sqref="B451">
    <cfRule type="expression" dxfId="1025" priority="1090">
      <formula>AD451&lt;&gt;""</formula>
    </cfRule>
  </conditionalFormatting>
  <conditionalFormatting sqref="Z451">
    <cfRule type="cellIs" dxfId="1024" priority="1088" operator="greaterThan">
      <formula>0</formula>
    </cfRule>
    <cfRule type="cellIs" dxfId="1023" priority="1089" operator="lessThan">
      <formula>0</formula>
    </cfRule>
  </conditionalFormatting>
  <conditionalFormatting sqref="S451">
    <cfRule type="cellIs" dxfId="1022" priority="1087" operator="lessThan">
      <formula>0</formula>
    </cfRule>
  </conditionalFormatting>
  <conditionalFormatting sqref="P451">
    <cfRule type="cellIs" dxfId="1021" priority="1085" operator="equal">
      <formula>AS_DURATION_EFFORT</formula>
    </cfRule>
    <cfRule type="cellIs" dxfId="1020" priority="1086" operator="equal">
      <formula>AS_DEV_EFFORT</formula>
    </cfRule>
  </conditionalFormatting>
  <conditionalFormatting sqref="F451">
    <cfRule type="expression" dxfId="1019" priority="1084">
      <formula>$K451&lt;&gt;""</formula>
    </cfRule>
  </conditionalFormatting>
  <conditionalFormatting sqref="C451">
    <cfRule type="expression" dxfId="1018" priority="1083">
      <formula>$G451&lt;&gt;"-"</formula>
    </cfRule>
  </conditionalFormatting>
  <conditionalFormatting sqref="D451">
    <cfRule type="expression" dxfId="1017" priority="1082">
      <formula>$H451&lt;&gt;"-"</formula>
    </cfRule>
  </conditionalFormatting>
  <conditionalFormatting sqref="E451">
    <cfRule type="expression" dxfId="1016" priority="1081">
      <formula>$I451&lt;&gt;"-"</formula>
    </cfRule>
  </conditionalFormatting>
  <conditionalFormatting sqref="B343">
    <cfRule type="expression" dxfId="1015" priority="1064">
      <formula>AD343&lt;&gt;""</formula>
    </cfRule>
  </conditionalFormatting>
  <conditionalFormatting sqref="Z343">
    <cfRule type="cellIs" dxfId="1014" priority="1062" operator="greaterThan">
      <formula>0</formula>
    </cfRule>
    <cfRule type="cellIs" dxfId="1013" priority="1063" operator="lessThan">
      <formula>0</formula>
    </cfRule>
  </conditionalFormatting>
  <conditionalFormatting sqref="S343">
    <cfRule type="cellIs" dxfId="1012" priority="1061" operator="lessThan">
      <formula>0</formula>
    </cfRule>
  </conditionalFormatting>
  <conditionalFormatting sqref="P343">
    <cfRule type="cellIs" dxfId="1011" priority="1059" operator="equal">
      <formula>AS_DURATION_EFFORT</formula>
    </cfRule>
    <cfRule type="cellIs" dxfId="1010" priority="1060" operator="equal">
      <formula>AS_DEV_EFFORT</formula>
    </cfRule>
  </conditionalFormatting>
  <conditionalFormatting sqref="F343">
    <cfRule type="expression" dxfId="1009" priority="1058">
      <formula>$K343&lt;&gt;""</formula>
    </cfRule>
  </conditionalFormatting>
  <conditionalFormatting sqref="C343">
    <cfRule type="expression" dxfId="1008" priority="1057">
      <formula>$G343&lt;&gt;"-"</formula>
    </cfRule>
  </conditionalFormatting>
  <conditionalFormatting sqref="D343">
    <cfRule type="expression" dxfId="1007" priority="1056">
      <formula>$H343&lt;&gt;"-"</formula>
    </cfRule>
  </conditionalFormatting>
  <conditionalFormatting sqref="E343">
    <cfRule type="expression" dxfId="1006" priority="1055">
      <formula>$I343&lt;&gt;"-"</formula>
    </cfRule>
  </conditionalFormatting>
  <conditionalFormatting sqref="B344">
    <cfRule type="expression" dxfId="1005" priority="1052">
      <formula>AD344&lt;&gt;""</formula>
    </cfRule>
  </conditionalFormatting>
  <conditionalFormatting sqref="Z344">
    <cfRule type="cellIs" dxfId="1004" priority="1050" operator="greaterThan">
      <formula>0</formula>
    </cfRule>
    <cfRule type="cellIs" dxfId="1003" priority="1051" operator="lessThan">
      <formula>0</formula>
    </cfRule>
  </conditionalFormatting>
  <conditionalFormatting sqref="S344">
    <cfRule type="cellIs" dxfId="1002" priority="1049" operator="lessThan">
      <formula>0</formula>
    </cfRule>
  </conditionalFormatting>
  <conditionalFormatting sqref="P344">
    <cfRule type="cellIs" dxfId="1001" priority="1047" operator="equal">
      <formula>AS_DURATION_EFFORT</formula>
    </cfRule>
    <cfRule type="cellIs" dxfId="1000" priority="1048" operator="equal">
      <formula>AS_DEV_EFFORT</formula>
    </cfRule>
  </conditionalFormatting>
  <conditionalFormatting sqref="F344">
    <cfRule type="expression" dxfId="999" priority="1046">
      <formula>$K344&lt;&gt;""</formula>
    </cfRule>
  </conditionalFormatting>
  <conditionalFormatting sqref="C344">
    <cfRule type="expression" dxfId="998" priority="1045">
      <formula>$G344&lt;&gt;"-"</formula>
    </cfRule>
  </conditionalFormatting>
  <conditionalFormatting sqref="D344">
    <cfRule type="expression" dxfId="997" priority="1044">
      <formula>$H344&lt;&gt;"-"</formula>
    </cfRule>
  </conditionalFormatting>
  <conditionalFormatting sqref="E344">
    <cfRule type="expression" dxfId="996" priority="1043">
      <formula>$I344&lt;&gt;"-"</formula>
    </cfRule>
  </conditionalFormatting>
  <conditionalFormatting sqref="B345">
    <cfRule type="expression" dxfId="995" priority="1040">
      <formula>AD345&lt;&gt;""</formula>
    </cfRule>
  </conditionalFormatting>
  <conditionalFormatting sqref="Z345">
    <cfRule type="cellIs" dxfId="994" priority="1038" operator="greaterThan">
      <formula>0</formula>
    </cfRule>
    <cfRule type="cellIs" dxfId="993" priority="1039" operator="lessThan">
      <formula>0</formula>
    </cfRule>
  </conditionalFormatting>
  <conditionalFormatting sqref="S345">
    <cfRule type="cellIs" dxfId="992" priority="1037" operator="lessThan">
      <formula>0</formula>
    </cfRule>
  </conditionalFormatting>
  <conditionalFormatting sqref="P345">
    <cfRule type="cellIs" dxfId="991" priority="1035" operator="equal">
      <formula>AS_DURATION_EFFORT</formula>
    </cfRule>
    <cfRule type="cellIs" dxfId="990" priority="1036" operator="equal">
      <formula>AS_DEV_EFFORT</formula>
    </cfRule>
  </conditionalFormatting>
  <conditionalFormatting sqref="F345">
    <cfRule type="expression" dxfId="989" priority="1034">
      <formula>$K345&lt;&gt;""</formula>
    </cfRule>
  </conditionalFormatting>
  <conditionalFormatting sqref="C345">
    <cfRule type="expression" dxfId="988" priority="1033">
      <formula>$G345&lt;&gt;"-"</formula>
    </cfRule>
  </conditionalFormatting>
  <conditionalFormatting sqref="D345">
    <cfRule type="expression" dxfId="987" priority="1032">
      <formula>$H345&lt;&gt;"-"</formula>
    </cfRule>
  </conditionalFormatting>
  <conditionalFormatting sqref="E345">
    <cfRule type="expression" dxfId="986" priority="1031">
      <formula>$I345&lt;&gt;"-"</formula>
    </cfRule>
  </conditionalFormatting>
  <conditionalFormatting sqref="B346">
    <cfRule type="expression" dxfId="985" priority="1028">
      <formula>AD346&lt;&gt;""</formula>
    </cfRule>
  </conditionalFormatting>
  <conditionalFormatting sqref="Z346">
    <cfRule type="cellIs" dxfId="984" priority="1026" operator="greaterThan">
      <formula>0</formula>
    </cfRule>
    <cfRule type="cellIs" dxfId="983" priority="1027" operator="lessThan">
      <formula>0</formula>
    </cfRule>
  </conditionalFormatting>
  <conditionalFormatting sqref="S346">
    <cfRule type="cellIs" dxfId="982" priority="1025" operator="lessThan">
      <formula>0</formula>
    </cfRule>
  </conditionalFormatting>
  <conditionalFormatting sqref="P346">
    <cfRule type="cellIs" dxfId="981" priority="1023" operator="equal">
      <formula>AS_DURATION_EFFORT</formula>
    </cfRule>
    <cfRule type="cellIs" dxfId="980" priority="1024" operator="equal">
      <formula>AS_DEV_EFFORT</formula>
    </cfRule>
  </conditionalFormatting>
  <conditionalFormatting sqref="F346">
    <cfRule type="expression" dxfId="979" priority="1022">
      <formula>$K346&lt;&gt;""</formula>
    </cfRule>
  </conditionalFormatting>
  <conditionalFormatting sqref="C346">
    <cfRule type="expression" dxfId="978" priority="1021">
      <formula>$G346&lt;&gt;"-"</formula>
    </cfRule>
  </conditionalFormatting>
  <conditionalFormatting sqref="D346">
    <cfRule type="expression" dxfId="977" priority="1020">
      <formula>$H346&lt;&gt;"-"</formula>
    </cfRule>
  </conditionalFormatting>
  <conditionalFormatting sqref="E346">
    <cfRule type="expression" dxfId="976" priority="1019">
      <formula>$I346&lt;&gt;"-"</formula>
    </cfRule>
  </conditionalFormatting>
  <conditionalFormatting sqref="B362">
    <cfRule type="expression" dxfId="975" priority="1015">
      <formula>AD362&lt;&gt;""</formula>
    </cfRule>
  </conditionalFormatting>
  <conditionalFormatting sqref="Z362">
    <cfRule type="cellIs" dxfId="974" priority="1013" operator="greaterThan">
      <formula>0</formula>
    </cfRule>
    <cfRule type="cellIs" dxfId="973" priority="1014" operator="lessThan">
      <formula>0</formula>
    </cfRule>
  </conditionalFormatting>
  <conditionalFormatting sqref="S362">
    <cfRule type="cellIs" dxfId="972" priority="1012" operator="lessThan">
      <formula>0</formula>
    </cfRule>
  </conditionalFormatting>
  <conditionalFormatting sqref="T360:T361">
    <cfRule type="expression" dxfId="971" priority="1016">
      <formula>#REF!="Yes"</formula>
    </cfRule>
  </conditionalFormatting>
  <conditionalFormatting sqref="P362">
    <cfRule type="cellIs" dxfId="970" priority="1010" operator="equal">
      <formula>AS_DURATION_EFFORT</formula>
    </cfRule>
    <cfRule type="cellIs" dxfId="969" priority="1011" operator="equal">
      <formula>AS_DEV_EFFORT</formula>
    </cfRule>
  </conditionalFormatting>
  <conditionalFormatting sqref="B360:B361">
    <cfRule type="expression" dxfId="968" priority="1009">
      <formula>AD360&lt;&gt;""</formula>
    </cfRule>
  </conditionalFormatting>
  <conditionalFormatting sqref="F362">
    <cfRule type="expression" dxfId="967" priority="1008">
      <formula>$K362&lt;&gt;""</formula>
    </cfRule>
  </conditionalFormatting>
  <conditionalFormatting sqref="C362">
    <cfRule type="expression" dxfId="966" priority="1007">
      <formula>$G362&lt;&gt;"-"</formula>
    </cfRule>
  </conditionalFormatting>
  <conditionalFormatting sqref="D362">
    <cfRule type="expression" dxfId="965" priority="1006">
      <formula>$H362&lt;&gt;"-"</formula>
    </cfRule>
  </conditionalFormatting>
  <conditionalFormatting sqref="E362">
    <cfRule type="expression" dxfId="964" priority="1005">
      <formula>$I362&lt;&gt;"-"</formula>
    </cfRule>
  </conditionalFormatting>
  <conditionalFormatting sqref="B363">
    <cfRule type="expression" dxfId="963" priority="1002">
      <formula>AD363&lt;&gt;""</formula>
    </cfRule>
  </conditionalFormatting>
  <conditionalFormatting sqref="Z363">
    <cfRule type="cellIs" dxfId="962" priority="1000" operator="greaterThan">
      <formula>0</formula>
    </cfRule>
    <cfRule type="cellIs" dxfId="961" priority="1001" operator="lessThan">
      <formula>0</formula>
    </cfRule>
  </conditionalFormatting>
  <conditionalFormatting sqref="S363">
    <cfRule type="cellIs" dxfId="960" priority="999" operator="lessThan">
      <formula>0</formula>
    </cfRule>
  </conditionalFormatting>
  <conditionalFormatting sqref="P363">
    <cfRule type="cellIs" dxfId="959" priority="997" operator="equal">
      <formula>AS_DURATION_EFFORT</formula>
    </cfRule>
    <cfRule type="cellIs" dxfId="958" priority="998" operator="equal">
      <formula>AS_DEV_EFFORT</formula>
    </cfRule>
  </conditionalFormatting>
  <conditionalFormatting sqref="F363">
    <cfRule type="expression" dxfId="957" priority="996">
      <formula>$K363&lt;&gt;""</formula>
    </cfRule>
  </conditionalFormatting>
  <conditionalFormatting sqref="C363">
    <cfRule type="expression" dxfId="956" priority="995">
      <formula>$G363&lt;&gt;"-"</formula>
    </cfRule>
  </conditionalFormatting>
  <conditionalFormatting sqref="D363">
    <cfRule type="expression" dxfId="955" priority="994">
      <formula>$H363&lt;&gt;"-"</formula>
    </cfRule>
  </conditionalFormatting>
  <conditionalFormatting sqref="E363">
    <cfRule type="expression" dxfId="954" priority="993">
      <formula>$I363&lt;&gt;"-"</formula>
    </cfRule>
  </conditionalFormatting>
  <conditionalFormatting sqref="B367">
    <cfRule type="expression" dxfId="953" priority="989">
      <formula>AD367&lt;&gt;""</formula>
    </cfRule>
  </conditionalFormatting>
  <conditionalFormatting sqref="Z367">
    <cfRule type="cellIs" dxfId="952" priority="987" operator="greaterThan">
      <formula>0</formula>
    </cfRule>
    <cfRule type="cellIs" dxfId="951" priority="988" operator="lessThan">
      <formula>0</formula>
    </cfRule>
  </conditionalFormatting>
  <conditionalFormatting sqref="S367">
    <cfRule type="cellIs" dxfId="950" priority="986" operator="lessThan">
      <formula>0</formula>
    </cfRule>
  </conditionalFormatting>
  <conditionalFormatting sqref="T365:T366">
    <cfRule type="expression" dxfId="949" priority="990">
      <formula>#REF!="Yes"</formula>
    </cfRule>
  </conditionalFormatting>
  <conditionalFormatting sqref="P367">
    <cfRule type="cellIs" dxfId="948" priority="984" operator="equal">
      <formula>AS_DURATION_EFFORT</formula>
    </cfRule>
    <cfRule type="cellIs" dxfId="947" priority="985" operator="equal">
      <formula>AS_DEV_EFFORT</formula>
    </cfRule>
  </conditionalFormatting>
  <conditionalFormatting sqref="B365:B366">
    <cfRule type="expression" dxfId="946" priority="983">
      <formula>AD365&lt;&gt;""</formula>
    </cfRule>
  </conditionalFormatting>
  <conditionalFormatting sqref="F367">
    <cfRule type="expression" dxfId="945" priority="982">
      <formula>$K367&lt;&gt;""</formula>
    </cfRule>
  </conditionalFormatting>
  <conditionalFormatting sqref="C367">
    <cfRule type="expression" dxfId="944" priority="981">
      <formula>$G367&lt;&gt;"-"</formula>
    </cfRule>
  </conditionalFormatting>
  <conditionalFormatting sqref="D367">
    <cfRule type="expression" dxfId="943" priority="980">
      <formula>$H367&lt;&gt;"-"</formula>
    </cfRule>
  </conditionalFormatting>
  <conditionalFormatting sqref="E367">
    <cfRule type="expression" dxfId="942" priority="979">
      <formula>$I367&lt;&gt;"-"</formula>
    </cfRule>
  </conditionalFormatting>
  <conditionalFormatting sqref="B368">
    <cfRule type="expression" dxfId="941" priority="976">
      <formula>AD368&lt;&gt;""</formula>
    </cfRule>
  </conditionalFormatting>
  <conditionalFormatting sqref="Z368">
    <cfRule type="cellIs" dxfId="940" priority="974" operator="greaterThan">
      <formula>0</formula>
    </cfRule>
    <cfRule type="cellIs" dxfId="939" priority="975" operator="lessThan">
      <formula>0</formula>
    </cfRule>
  </conditionalFormatting>
  <conditionalFormatting sqref="S368">
    <cfRule type="cellIs" dxfId="938" priority="973" operator="lessThan">
      <formula>0</formula>
    </cfRule>
  </conditionalFormatting>
  <conditionalFormatting sqref="P368">
    <cfRule type="cellIs" dxfId="937" priority="971" operator="equal">
      <formula>AS_DURATION_EFFORT</formula>
    </cfRule>
    <cfRule type="cellIs" dxfId="936" priority="972" operator="equal">
      <formula>AS_DEV_EFFORT</formula>
    </cfRule>
  </conditionalFormatting>
  <conditionalFormatting sqref="F368">
    <cfRule type="expression" dxfId="935" priority="970">
      <formula>$K368&lt;&gt;""</formula>
    </cfRule>
  </conditionalFormatting>
  <conditionalFormatting sqref="C368">
    <cfRule type="expression" dxfId="934" priority="969">
      <formula>$G368&lt;&gt;"-"</formula>
    </cfRule>
  </conditionalFormatting>
  <conditionalFormatting sqref="D368">
    <cfRule type="expression" dxfId="933" priority="968">
      <formula>$H368&lt;&gt;"-"</formula>
    </cfRule>
  </conditionalFormatting>
  <conditionalFormatting sqref="E368">
    <cfRule type="expression" dxfId="932" priority="967">
      <formula>$I368&lt;&gt;"-"</formula>
    </cfRule>
  </conditionalFormatting>
  <conditionalFormatting sqref="B458">
    <cfRule type="expression" dxfId="931" priority="966">
      <formula>AD458&lt;&gt;""</formula>
    </cfRule>
  </conditionalFormatting>
  <conditionalFormatting sqref="Z458">
    <cfRule type="cellIs" dxfId="930" priority="964" operator="greaterThan">
      <formula>0</formula>
    </cfRule>
    <cfRule type="cellIs" dxfId="929" priority="965" operator="lessThan">
      <formula>0</formula>
    </cfRule>
  </conditionalFormatting>
  <conditionalFormatting sqref="S458">
    <cfRule type="cellIs" dxfId="928" priority="963" operator="lessThan">
      <formula>0</formula>
    </cfRule>
  </conditionalFormatting>
  <conditionalFormatting sqref="P458">
    <cfRule type="cellIs" dxfId="927" priority="961" operator="equal">
      <formula>AS_DURATION_EFFORT</formula>
    </cfRule>
    <cfRule type="cellIs" dxfId="926" priority="962" operator="equal">
      <formula>AS_DEV_EFFORT</formula>
    </cfRule>
  </conditionalFormatting>
  <conditionalFormatting sqref="F458">
    <cfRule type="expression" dxfId="925" priority="960">
      <formula>$K458&lt;&gt;""</formula>
    </cfRule>
  </conditionalFormatting>
  <conditionalFormatting sqref="C458">
    <cfRule type="expression" dxfId="924" priority="959">
      <formula>$G458&lt;&gt;"-"</formula>
    </cfRule>
  </conditionalFormatting>
  <conditionalFormatting sqref="D458">
    <cfRule type="expression" dxfId="923" priority="958">
      <formula>$H458&lt;&gt;"-"</formula>
    </cfRule>
  </conditionalFormatting>
  <conditionalFormatting sqref="E458">
    <cfRule type="expression" dxfId="922" priority="957">
      <formula>$I458&lt;&gt;"-"</formula>
    </cfRule>
  </conditionalFormatting>
  <conditionalFormatting sqref="S174">
    <cfRule type="expression" dxfId="921" priority="956">
      <formula>#REF!="Yes"</formula>
    </cfRule>
  </conditionalFormatting>
  <conditionalFormatting sqref="B174">
    <cfRule type="expression" dxfId="920" priority="955">
      <formula>AD174&lt;&gt;""</formula>
    </cfRule>
  </conditionalFormatting>
  <conditionalFormatting sqref="S226">
    <cfRule type="expression" dxfId="919" priority="954">
      <formula>#REF!="Yes"</formula>
    </cfRule>
  </conditionalFormatting>
  <conditionalFormatting sqref="B226">
    <cfRule type="expression" dxfId="918" priority="953">
      <formula>AD226&lt;&gt;""</formula>
    </cfRule>
  </conditionalFormatting>
  <conditionalFormatting sqref="S274">
    <cfRule type="expression" dxfId="917" priority="952">
      <formula>#REF!="Yes"</formula>
    </cfRule>
  </conditionalFormatting>
  <conditionalFormatting sqref="B274">
    <cfRule type="expression" dxfId="916" priority="951">
      <formula>AD274&lt;&gt;""</formula>
    </cfRule>
  </conditionalFormatting>
  <conditionalFormatting sqref="S323">
    <cfRule type="expression" dxfId="915" priority="950">
      <formula>#REF!="Yes"</formula>
    </cfRule>
  </conditionalFormatting>
  <conditionalFormatting sqref="B323">
    <cfRule type="expression" dxfId="914" priority="949">
      <formula>AD323&lt;&gt;""</formula>
    </cfRule>
  </conditionalFormatting>
  <conditionalFormatting sqref="S370">
    <cfRule type="expression" dxfId="913" priority="946">
      <formula>#REF!="Yes"</formula>
    </cfRule>
  </conditionalFormatting>
  <conditionalFormatting sqref="B370">
    <cfRule type="expression" dxfId="912" priority="945">
      <formula>AD370&lt;&gt;""</formula>
    </cfRule>
  </conditionalFormatting>
  <conditionalFormatting sqref="S339">
    <cfRule type="expression" dxfId="911" priority="940">
      <formula>#REF!="Yes"</formula>
    </cfRule>
  </conditionalFormatting>
  <conditionalFormatting sqref="B339">
    <cfRule type="expression" dxfId="910" priority="939">
      <formula>AD339&lt;&gt;""</formula>
    </cfRule>
  </conditionalFormatting>
  <conditionalFormatting sqref="S453">
    <cfRule type="expression" dxfId="909" priority="938">
      <formula>#REF!="Yes"</formula>
    </cfRule>
  </conditionalFormatting>
  <conditionalFormatting sqref="B453">
    <cfRule type="expression" dxfId="908" priority="937">
      <formula>AD453&lt;&gt;""</formula>
    </cfRule>
  </conditionalFormatting>
  <conditionalFormatting sqref="S463">
    <cfRule type="expression" dxfId="907" priority="922">
      <formula>#REF!="Yes"</formula>
    </cfRule>
  </conditionalFormatting>
  <conditionalFormatting sqref="B463">
    <cfRule type="expression" dxfId="906" priority="921">
      <formula>AD463&lt;&gt;""</formula>
    </cfRule>
  </conditionalFormatting>
  <conditionalFormatting sqref="S469">
    <cfRule type="expression" dxfId="905" priority="920">
      <formula>#REF!="Yes"</formula>
    </cfRule>
  </conditionalFormatting>
  <conditionalFormatting sqref="B469">
    <cfRule type="expression" dxfId="904" priority="919">
      <formula>AD469&lt;&gt;""</formula>
    </cfRule>
  </conditionalFormatting>
  <conditionalFormatting sqref="B510">
    <cfRule type="expression" dxfId="903" priority="918">
      <formula>AD510&lt;&gt;""</formula>
    </cfRule>
  </conditionalFormatting>
  <conditionalFormatting sqref="Z510">
    <cfRule type="cellIs" dxfId="902" priority="916" operator="greaterThan">
      <formula>0</formula>
    </cfRule>
    <cfRule type="cellIs" dxfId="901" priority="917" operator="lessThan">
      <formula>0</formula>
    </cfRule>
  </conditionalFormatting>
  <conditionalFormatting sqref="S510">
    <cfRule type="cellIs" dxfId="900" priority="915" operator="lessThan">
      <formula>0</formula>
    </cfRule>
  </conditionalFormatting>
  <conditionalFormatting sqref="P510">
    <cfRule type="cellIs" dxfId="899" priority="913" operator="equal">
      <formula>AS_DURATION_EFFORT</formula>
    </cfRule>
    <cfRule type="cellIs" dxfId="898" priority="914" operator="equal">
      <formula>AS_DEV_EFFORT</formula>
    </cfRule>
  </conditionalFormatting>
  <conditionalFormatting sqref="F510">
    <cfRule type="expression" dxfId="897" priority="912">
      <formula>$K510&lt;&gt;""</formula>
    </cfRule>
  </conditionalFormatting>
  <conditionalFormatting sqref="C510">
    <cfRule type="expression" dxfId="896" priority="911">
      <formula>$G510&lt;&gt;"-"</formula>
    </cfRule>
  </conditionalFormatting>
  <conditionalFormatting sqref="D510">
    <cfRule type="expression" dxfId="895" priority="910">
      <formula>$H510&lt;&gt;"-"</formula>
    </cfRule>
  </conditionalFormatting>
  <conditionalFormatting sqref="E510">
    <cfRule type="expression" dxfId="894" priority="909">
      <formula>$I510&lt;&gt;"-"</formula>
    </cfRule>
  </conditionalFormatting>
  <conditionalFormatting sqref="B511">
    <cfRule type="expression" dxfId="893" priority="908">
      <formula>AD511&lt;&gt;""</formula>
    </cfRule>
  </conditionalFormatting>
  <conditionalFormatting sqref="Z511">
    <cfRule type="cellIs" dxfId="892" priority="906" operator="greaterThan">
      <formula>0</formula>
    </cfRule>
    <cfRule type="cellIs" dxfId="891" priority="907" operator="lessThan">
      <formula>0</formula>
    </cfRule>
  </conditionalFormatting>
  <conditionalFormatting sqref="S511">
    <cfRule type="cellIs" dxfId="890" priority="905" operator="lessThan">
      <formula>0</formula>
    </cfRule>
  </conditionalFormatting>
  <conditionalFormatting sqref="P511">
    <cfRule type="cellIs" dxfId="889" priority="903" operator="equal">
      <formula>AS_DURATION_EFFORT</formula>
    </cfRule>
    <cfRule type="cellIs" dxfId="888" priority="904" operator="equal">
      <formula>AS_DEV_EFFORT</formula>
    </cfRule>
  </conditionalFormatting>
  <conditionalFormatting sqref="F511">
    <cfRule type="expression" dxfId="887" priority="902">
      <formula>$K511&lt;&gt;""</formula>
    </cfRule>
  </conditionalFormatting>
  <conditionalFormatting sqref="C511">
    <cfRule type="expression" dxfId="886" priority="901">
      <formula>$G511&lt;&gt;"-"</formula>
    </cfRule>
  </conditionalFormatting>
  <conditionalFormatting sqref="D511">
    <cfRule type="expression" dxfId="885" priority="900">
      <formula>$H511&lt;&gt;"-"</formula>
    </cfRule>
  </conditionalFormatting>
  <conditionalFormatting sqref="E511">
    <cfRule type="expression" dxfId="884" priority="899">
      <formula>$I511&lt;&gt;"-"</formula>
    </cfRule>
  </conditionalFormatting>
  <conditionalFormatting sqref="B515">
    <cfRule type="expression" dxfId="883" priority="896">
      <formula>AD515&lt;&gt;""</formula>
    </cfRule>
  </conditionalFormatting>
  <conditionalFormatting sqref="Z515">
    <cfRule type="cellIs" dxfId="882" priority="894" operator="greaterThan">
      <formula>0</formula>
    </cfRule>
    <cfRule type="cellIs" dxfId="881" priority="895" operator="lessThan">
      <formula>0</formula>
    </cfRule>
  </conditionalFormatting>
  <conditionalFormatting sqref="S515">
    <cfRule type="cellIs" dxfId="880" priority="893" operator="lessThan">
      <formula>0</formula>
    </cfRule>
  </conditionalFormatting>
  <conditionalFormatting sqref="P515">
    <cfRule type="cellIs" dxfId="879" priority="891" operator="equal">
      <formula>AS_DURATION_EFFORT</formula>
    </cfRule>
    <cfRule type="cellIs" dxfId="878" priority="892" operator="equal">
      <formula>AS_DEV_EFFORT</formula>
    </cfRule>
  </conditionalFormatting>
  <conditionalFormatting sqref="F515">
    <cfRule type="expression" dxfId="877" priority="890">
      <formula>$K515&lt;&gt;""</formula>
    </cfRule>
  </conditionalFormatting>
  <conditionalFormatting sqref="C515">
    <cfRule type="expression" dxfId="876" priority="889">
      <formula>$G515&lt;&gt;"-"</formula>
    </cfRule>
  </conditionalFormatting>
  <conditionalFormatting sqref="D515">
    <cfRule type="expression" dxfId="875" priority="888">
      <formula>$H515&lt;&gt;"-"</formula>
    </cfRule>
  </conditionalFormatting>
  <conditionalFormatting sqref="E515">
    <cfRule type="expression" dxfId="874" priority="887">
      <formula>$I515&lt;&gt;"-"</formula>
    </cfRule>
  </conditionalFormatting>
  <conditionalFormatting sqref="B518">
    <cfRule type="expression" dxfId="873" priority="886">
      <formula>AD518&lt;&gt;""</formula>
    </cfRule>
  </conditionalFormatting>
  <conditionalFormatting sqref="Z518">
    <cfRule type="cellIs" dxfId="872" priority="884" operator="greaterThan">
      <formula>0</formula>
    </cfRule>
    <cfRule type="cellIs" dxfId="871" priority="885" operator="lessThan">
      <formula>0</formula>
    </cfRule>
  </conditionalFormatting>
  <conditionalFormatting sqref="S518">
    <cfRule type="cellIs" dxfId="870" priority="883" operator="lessThan">
      <formula>0</formula>
    </cfRule>
  </conditionalFormatting>
  <conditionalFormatting sqref="P518">
    <cfRule type="cellIs" dxfId="869" priority="881" operator="equal">
      <formula>AS_DURATION_EFFORT</formula>
    </cfRule>
    <cfRule type="cellIs" dxfId="868" priority="882" operator="equal">
      <formula>AS_DEV_EFFORT</formula>
    </cfRule>
  </conditionalFormatting>
  <conditionalFormatting sqref="F518">
    <cfRule type="expression" dxfId="867" priority="880">
      <formula>$K518&lt;&gt;""</formula>
    </cfRule>
  </conditionalFormatting>
  <conditionalFormatting sqref="C518">
    <cfRule type="expression" dxfId="866" priority="879">
      <formula>$G518&lt;&gt;"-"</formula>
    </cfRule>
  </conditionalFormatting>
  <conditionalFormatting sqref="D518">
    <cfRule type="expression" dxfId="865" priority="878">
      <formula>$H518&lt;&gt;"-"</formula>
    </cfRule>
  </conditionalFormatting>
  <conditionalFormatting sqref="E518">
    <cfRule type="expression" dxfId="864" priority="877">
      <formula>$I518&lt;&gt;"-"</formula>
    </cfRule>
  </conditionalFormatting>
  <conditionalFormatting sqref="B516">
    <cfRule type="expression" dxfId="863" priority="874">
      <formula>AD516&lt;&gt;""</formula>
    </cfRule>
  </conditionalFormatting>
  <conditionalFormatting sqref="Z516">
    <cfRule type="cellIs" dxfId="862" priority="872" operator="greaterThan">
      <formula>0</formula>
    </cfRule>
    <cfRule type="cellIs" dxfId="861" priority="873" operator="lessThan">
      <formula>0</formula>
    </cfRule>
  </conditionalFormatting>
  <conditionalFormatting sqref="S516">
    <cfRule type="cellIs" dxfId="860" priority="871" operator="lessThan">
      <formula>0</formula>
    </cfRule>
  </conditionalFormatting>
  <conditionalFormatting sqref="P516">
    <cfRule type="cellIs" dxfId="859" priority="869" operator="equal">
      <formula>AS_DURATION_EFFORT</formula>
    </cfRule>
    <cfRule type="cellIs" dxfId="858" priority="870" operator="equal">
      <formula>AS_DEV_EFFORT</formula>
    </cfRule>
  </conditionalFormatting>
  <conditionalFormatting sqref="F516">
    <cfRule type="expression" dxfId="857" priority="868">
      <formula>$K516&lt;&gt;""</formula>
    </cfRule>
  </conditionalFormatting>
  <conditionalFormatting sqref="C516">
    <cfRule type="expression" dxfId="856" priority="867">
      <formula>$G516&lt;&gt;"-"</formula>
    </cfRule>
  </conditionalFormatting>
  <conditionalFormatting sqref="D516">
    <cfRule type="expression" dxfId="855" priority="866">
      <formula>$H516&lt;&gt;"-"</formula>
    </cfRule>
  </conditionalFormatting>
  <conditionalFormatting sqref="E516">
    <cfRule type="expression" dxfId="854" priority="865">
      <formula>$I516&lt;&gt;"-"</formula>
    </cfRule>
  </conditionalFormatting>
  <conditionalFormatting sqref="B495">
    <cfRule type="expression" dxfId="853" priority="864">
      <formula>AD495&lt;&gt;""</formula>
    </cfRule>
  </conditionalFormatting>
  <conditionalFormatting sqref="Z495">
    <cfRule type="cellIs" dxfId="852" priority="862" operator="greaterThan">
      <formula>0</formula>
    </cfRule>
    <cfRule type="cellIs" dxfId="851" priority="863" operator="lessThan">
      <formula>0</formula>
    </cfRule>
  </conditionalFormatting>
  <conditionalFormatting sqref="S495">
    <cfRule type="cellIs" dxfId="850" priority="861" operator="lessThan">
      <formula>0</formula>
    </cfRule>
  </conditionalFormatting>
  <conditionalFormatting sqref="P495">
    <cfRule type="cellIs" dxfId="849" priority="859" operator="equal">
      <formula>AS_DURATION_EFFORT</formula>
    </cfRule>
    <cfRule type="cellIs" dxfId="848" priority="860" operator="equal">
      <formula>AS_DEV_EFFORT</formula>
    </cfRule>
  </conditionalFormatting>
  <conditionalFormatting sqref="F495">
    <cfRule type="expression" dxfId="847" priority="858">
      <formula>$K495&lt;&gt;""</formula>
    </cfRule>
  </conditionalFormatting>
  <conditionalFormatting sqref="C495">
    <cfRule type="expression" dxfId="846" priority="857">
      <formula>$G495&lt;&gt;"-"</formula>
    </cfRule>
  </conditionalFormatting>
  <conditionalFormatting sqref="D495">
    <cfRule type="expression" dxfId="845" priority="856">
      <formula>$H495&lt;&gt;"-"</formula>
    </cfRule>
  </conditionalFormatting>
  <conditionalFormatting sqref="E495">
    <cfRule type="expression" dxfId="844" priority="855">
      <formula>$I495&lt;&gt;"-"</formula>
    </cfRule>
  </conditionalFormatting>
  <conditionalFormatting sqref="B157">
    <cfRule type="expression" dxfId="843" priority="851">
      <formula>AD157&lt;&gt;""</formula>
    </cfRule>
  </conditionalFormatting>
  <conditionalFormatting sqref="Z157">
    <cfRule type="cellIs" dxfId="842" priority="849" operator="greaterThan">
      <formula>0</formula>
    </cfRule>
    <cfRule type="cellIs" dxfId="841" priority="850" operator="lessThan">
      <formula>0</formula>
    </cfRule>
  </conditionalFormatting>
  <conditionalFormatting sqref="S157">
    <cfRule type="cellIs" dxfId="840" priority="848" operator="lessThan">
      <formula>0</formula>
    </cfRule>
  </conditionalFormatting>
  <conditionalFormatting sqref="T155:T156">
    <cfRule type="expression" dxfId="839" priority="852">
      <formula>#REF!="Yes"</formula>
    </cfRule>
  </conditionalFormatting>
  <conditionalFormatting sqref="P157">
    <cfRule type="cellIs" dxfId="838" priority="846" operator="equal">
      <formula>AS_DURATION_EFFORT</formula>
    </cfRule>
    <cfRule type="cellIs" dxfId="837" priority="847" operator="equal">
      <formula>AS_DEV_EFFORT</formula>
    </cfRule>
  </conditionalFormatting>
  <conditionalFormatting sqref="B155:B156">
    <cfRule type="expression" dxfId="836" priority="845">
      <formula>AD155&lt;&gt;""</formula>
    </cfRule>
  </conditionalFormatting>
  <conditionalFormatting sqref="L157:AC157">
    <cfRule type="expression" dxfId="835" priority="853">
      <formula>AND($G157="Yes", $S$6="Exclude")</formula>
    </cfRule>
    <cfRule type="expression" dxfId="834" priority="854">
      <formula>$J157="Yes"</formula>
    </cfRule>
  </conditionalFormatting>
  <conditionalFormatting sqref="F157">
    <cfRule type="expression" dxfId="833" priority="844">
      <formula>$K157&lt;&gt;""</formula>
    </cfRule>
  </conditionalFormatting>
  <conditionalFormatting sqref="C157">
    <cfRule type="expression" dxfId="832" priority="843">
      <formula>$G157&lt;&gt;"-"</formula>
    </cfRule>
  </conditionalFormatting>
  <conditionalFormatting sqref="D157">
    <cfRule type="expression" dxfId="831" priority="842">
      <formula>$H157&lt;&gt;"-"</formula>
    </cfRule>
  </conditionalFormatting>
  <conditionalFormatting sqref="E157">
    <cfRule type="expression" dxfId="830" priority="841">
      <formula>$I157&lt;&gt;"-"</formula>
    </cfRule>
  </conditionalFormatting>
  <conditionalFormatting sqref="B162">
    <cfRule type="expression" dxfId="829" priority="838">
      <formula>AD162&lt;&gt;""</formula>
    </cfRule>
  </conditionalFormatting>
  <conditionalFormatting sqref="Z162">
    <cfRule type="cellIs" dxfId="828" priority="836" operator="greaterThan">
      <formula>0</formula>
    </cfRule>
    <cfRule type="cellIs" dxfId="827" priority="837" operator="lessThan">
      <formula>0</formula>
    </cfRule>
  </conditionalFormatting>
  <conditionalFormatting sqref="S162">
    <cfRule type="cellIs" dxfId="826" priority="835" operator="lessThan">
      <formula>0</formula>
    </cfRule>
  </conditionalFormatting>
  <conditionalFormatting sqref="P162">
    <cfRule type="cellIs" dxfId="825" priority="833" operator="equal">
      <formula>AS_DURATION_EFFORT</formula>
    </cfRule>
    <cfRule type="cellIs" dxfId="824" priority="834" operator="equal">
      <formula>AS_DEV_EFFORT</formula>
    </cfRule>
  </conditionalFormatting>
  <conditionalFormatting sqref="L162:AC162">
    <cfRule type="expression" dxfId="823" priority="839">
      <formula>AND($G162="Yes", $S$6="Exclude")</formula>
    </cfRule>
    <cfRule type="expression" dxfId="822" priority="840">
      <formula>$J162="Yes"</formula>
    </cfRule>
  </conditionalFormatting>
  <conditionalFormatting sqref="F162">
    <cfRule type="expression" dxfId="821" priority="832">
      <formula>$K162&lt;&gt;""</formula>
    </cfRule>
  </conditionalFormatting>
  <conditionalFormatting sqref="C162">
    <cfRule type="expression" dxfId="820" priority="831">
      <formula>$G162&lt;&gt;"-"</formula>
    </cfRule>
  </conditionalFormatting>
  <conditionalFormatting sqref="D162">
    <cfRule type="expression" dxfId="819" priority="830">
      <formula>$H162&lt;&gt;"-"</formula>
    </cfRule>
  </conditionalFormatting>
  <conditionalFormatting sqref="E162">
    <cfRule type="expression" dxfId="818" priority="829">
      <formula>$I162&lt;&gt;"-"</formula>
    </cfRule>
  </conditionalFormatting>
  <conditionalFormatting sqref="B161">
    <cfRule type="expression" dxfId="817" priority="826">
      <formula>AD161&lt;&gt;""</formula>
    </cfRule>
  </conditionalFormatting>
  <conditionalFormatting sqref="Z161">
    <cfRule type="cellIs" dxfId="816" priority="824" operator="greaterThan">
      <formula>0</formula>
    </cfRule>
    <cfRule type="cellIs" dxfId="815" priority="825" operator="lessThan">
      <formula>0</formula>
    </cfRule>
  </conditionalFormatting>
  <conditionalFormatting sqref="S161">
    <cfRule type="cellIs" dxfId="814" priority="823" operator="lessThan">
      <formula>0</formula>
    </cfRule>
  </conditionalFormatting>
  <conditionalFormatting sqref="P161">
    <cfRule type="cellIs" dxfId="813" priority="821" operator="equal">
      <formula>AS_DURATION_EFFORT</formula>
    </cfRule>
    <cfRule type="cellIs" dxfId="812" priority="822" operator="equal">
      <formula>AS_DEV_EFFORT</formula>
    </cfRule>
  </conditionalFormatting>
  <conditionalFormatting sqref="L161:AC161">
    <cfRule type="expression" dxfId="811" priority="827">
      <formula>AND($G161="Yes", $S$6="Exclude")</formula>
    </cfRule>
    <cfRule type="expression" dxfId="810" priority="828">
      <formula>$J161="Yes"</formula>
    </cfRule>
  </conditionalFormatting>
  <conditionalFormatting sqref="F161">
    <cfRule type="expression" dxfId="809" priority="820">
      <formula>$K161&lt;&gt;""</formula>
    </cfRule>
  </conditionalFormatting>
  <conditionalFormatting sqref="C161">
    <cfRule type="expression" dxfId="808" priority="819">
      <formula>$G161&lt;&gt;"-"</formula>
    </cfRule>
  </conditionalFormatting>
  <conditionalFormatting sqref="D161">
    <cfRule type="expression" dxfId="807" priority="818">
      <formula>$H161&lt;&gt;"-"</formula>
    </cfRule>
  </conditionalFormatting>
  <conditionalFormatting sqref="E161">
    <cfRule type="expression" dxfId="806" priority="817">
      <formula>$I161&lt;&gt;"-"</formula>
    </cfRule>
  </conditionalFormatting>
  <conditionalFormatting sqref="B160">
    <cfRule type="expression" dxfId="805" priority="814">
      <formula>AD160&lt;&gt;""</formula>
    </cfRule>
  </conditionalFormatting>
  <conditionalFormatting sqref="Z160">
    <cfRule type="cellIs" dxfId="804" priority="812" operator="greaterThan">
      <formula>0</formula>
    </cfRule>
    <cfRule type="cellIs" dxfId="803" priority="813" operator="lessThan">
      <formula>0</formula>
    </cfRule>
  </conditionalFormatting>
  <conditionalFormatting sqref="S160">
    <cfRule type="cellIs" dxfId="802" priority="811" operator="lessThan">
      <formula>0</formula>
    </cfRule>
  </conditionalFormatting>
  <conditionalFormatting sqref="P160">
    <cfRule type="cellIs" dxfId="801" priority="809" operator="equal">
      <formula>AS_DURATION_EFFORT</formula>
    </cfRule>
    <cfRule type="cellIs" dxfId="800" priority="810" operator="equal">
      <formula>AS_DEV_EFFORT</formula>
    </cfRule>
  </conditionalFormatting>
  <conditionalFormatting sqref="L160:AC160">
    <cfRule type="expression" dxfId="799" priority="815">
      <formula>AND($G160="Yes", $S$6="Exclude")</formula>
    </cfRule>
    <cfRule type="expression" dxfId="798" priority="816">
      <formula>$J160="Yes"</formula>
    </cfRule>
  </conditionalFormatting>
  <conditionalFormatting sqref="F160">
    <cfRule type="expression" dxfId="797" priority="808">
      <formula>$K160&lt;&gt;""</formula>
    </cfRule>
  </conditionalFormatting>
  <conditionalFormatting sqref="C160">
    <cfRule type="expression" dxfId="796" priority="807">
      <formula>$G160&lt;&gt;"-"</formula>
    </cfRule>
  </conditionalFormatting>
  <conditionalFormatting sqref="D160">
    <cfRule type="expression" dxfId="795" priority="806">
      <formula>$H160&lt;&gt;"-"</formula>
    </cfRule>
  </conditionalFormatting>
  <conditionalFormatting sqref="E160">
    <cfRule type="expression" dxfId="794" priority="805">
      <formula>$I160&lt;&gt;"-"</formula>
    </cfRule>
  </conditionalFormatting>
  <conditionalFormatting sqref="B159">
    <cfRule type="expression" dxfId="793" priority="802">
      <formula>AD159&lt;&gt;""</formula>
    </cfRule>
  </conditionalFormatting>
  <conditionalFormatting sqref="Z159">
    <cfRule type="cellIs" dxfId="792" priority="800" operator="greaterThan">
      <formula>0</formula>
    </cfRule>
    <cfRule type="cellIs" dxfId="791" priority="801" operator="lessThan">
      <formula>0</formula>
    </cfRule>
  </conditionalFormatting>
  <conditionalFormatting sqref="S159">
    <cfRule type="cellIs" dxfId="790" priority="799" operator="lessThan">
      <formula>0</formula>
    </cfRule>
  </conditionalFormatting>
  <conditionalFormatting sqref="P159">
    <cfRule type="cellIs" dxfId="789" priority="797" operator="equal">
      <formula>AS_DURATION_EFFORT</formula>
    </cfRule>
    <cfRule type="cellIs" dxfId="788" priority="798" operator="equal">
      <formula>AS_DEV_EFFORT</formula>
    </cfRule>
  </conditionalFormatting>
  <conditionalFormatting sqref="L159:AC159">
    <cfRule type="expression" dxfId="787" priority="803">
      <formula>AND($G159="Yes", $S$6="Exclude")</formula>
    </cfRule>
    <cfRule type="expression" dxfId="786" priority="804">
      <formula>$J159="Yes"</formula>
    </cfRule>
  </conditionalFormatting>
  <conditionalFormatting sqref="F159">
    <cfRule type="expression" dxfId="785" priority="796">
      <formula>$K159&lt;&gt;""</formula>
    </cfRule>
  </conditionalFormatting>
  <conditionalFormatting sqref="C159">
    <cfRule type="expression" dxfId="784" priority="795">
      <formula>$G159&lt;&gt;"-"</formula>
    </cfRule>
  </conditionalFormatting>
  <conditionalFormatting sqref="D159">
    <cfRule type="expression" dxfId="783" priority="794">
      <formula>$H159&lt;&gt;"-"</formula>
    </cfRule>
  </conditionalFormatting>
  <conditionalFormatting sqref="E159">
    <cfRule type="expression" dxfId="782" priority="793">
      <formula>$I159&lt;&gt;"-"</formula>
    </cfRule>
  </conditionalFormatting>
  <conditionalFormatting sqref="B158">
    <cfRule type="expression" dxfId="781" priority="790">
      <formula>AD158&lt;&gt;""</formula>
    </cfRule>
  </conditionalFormatting>
  <conditionalFormatting sqref="Z158">
    <cfRule type="cellIs" dxfId="780" priority="788" operator="greaterThan">
      <formula>0</formula>
    </cfRule>
    <cfRule type="cellIs" dxfId="779" priority="789" operator="lessThan">
      <formula>0</formula>
    </cfRule>
  </conditionalFormatting>
  <conditionalFormatting sqref="S158">
    <cfRule type="cellIs" dxfId="778" priority="787" operator="lessThan">
      <formula>0</formula>
    </cfRule>
  </conditionalFormatting>
  <conditionalFormatting sqref="P158">
    <cfRule type="cellIs" dxfId="777" priority="785" operator="equal">
      <formula>AS_DURATION_EFFORT</formula>
    </cfRule>
    <cfRule type="cellIs" dxfId="776" priority="786" operator="equal">
      <formula>AS_DEV_EFFORT</formula>
    </cfRule>
  </conditionalFormatting>
  <conditionalFormatting sqref="L158:AC158">
    <cfRule type="expression" dxfId="775" priority="791">
      <formula>AND($G158="Yes", $S$6="Exclude")</formula>
    </cfRule>
    <cfRule type="expression" dxfId="774" priority="792">
      <formula>$J158="Yes"</formula>
    </cfRule>
  </conditionalFormatting>
  <conditionalFormatting sqref="F158">
    <cfRule type="expression" dxfId="773" priority="784">
      <formula>$K158&lt;&gt;""</formula>
    </cfRule>
  </conditionalFormatting>
  <conditionalFormatting sqref="C158">
    <cfRule type="expression" dxfId="772" priority="783">
      <formula>$G158&lt;&gt;"-"</formula>
    </cfRule>
  </conditionalFormatting>
  <conditionalFormatting sqref="D158">
    <cfRule type="expression" dxfId="771" priority="782">
      <formula>$H158&lt;&gt;"-"</formula>
    </cfRule>
  </conditionalFormatting>
  <conditionalFormatting sqref="E158">
    <cfRule type="expression" dxfId="770" priority="781">
      <formula>$I158&lt;&gt;"-"</formula>
    </cfRule>
  </conditionalFormatting>
  <conditionalFormatting sqref="B496">
    <cfRule type="expression" dxfId="769" priority="780">
      <formula>AD496&lt;&gt;""</formula>
    </cfRule>
  </conditionalFormatting>
  <conditionalFormatting sqref="Z496">
    <cfRule type="cellIs" dxfId="768" priority="778" operator="greaterThan">
      <formula>0</formula>
    </cfRule>
    <cfRule type="cellIs" dxfId="767" priority="779" operator="lessThan">
      <formula>0</formula>
    </cfRule>
  </conditionalFormatting>
  <conditionalFormatting sqref="S496">
    <cfRule type="cellIs" dxfId="766" priority="777" operator="lessThan">
      <formula>0</formula>
    </cfRule>
  </conditionalFormatting>
  <conditionalFormatting sqref="P496">
    <cfRule type="cellIs" dxfId="765" priority="775" operator="equal">
      <formula>AS_DURATION_EFFORT</formula>
    </cfRule>
    <cfRule type="cellIs" dxfId="764" priority="776" operator="equal">
      <formula>AS_DEV_EFFORT</formula>
    </cfRule>
  </conditionalFormatting>
  <conditionalFormatting sqref="F496">
    <cfRule type="expression" dxfId="763" priority="774">
      <formula>$K496&lt;&gt;""</formula>
    </cfRule>
  </conditionalFormatting>
  <conditionalFormatting sqref="C496">
    <cfRule type="expression" dxfId="762" priority="773">
      <formula>$G496&lt;&gt;"-"</formula>
    </cfRule>
  </conditionalFormatting>
  <conditionalFormatting sqref="D496">
    <cfRule type="expression" dxfId="761" priority="772">
      <formula>$H496&lt;&gt;"-"</formula>
    </cfRule>
  </conditionalFormatting>
  <conditionalFormatting sqref="E496">
    <cfRule type="expression" dxfId="760" priority="771">
      <formula>$I496&lt;&gt;"-"</formula>
    </cfRule>
  </conditionalFormatting>
  <conditionalFormatting sqref="B432">
    <cfRule type="expression" dxfId="759" priority="770">
      <formula>AD432&lt;&gt;""</formula>
    </cfRule>
  </conditionalFormatting>
  <conditionalFormatting sqref="Z432">
    <cfRule type="cellIs" dxfId="758" priority="768" operator="greaterThan">
      <formula>0</formula>
    </cfRule>
    <cfRule type="cellIs" dxfId="757" priority="769" operator="lessThan">
      <formula>0</formula>
    </cfRule>
  </conditionalFormatting>
  <conditionalFormatting sqref="S432">
    <cfRule type="cellIs" dxfId="756" priority="767" operator="lessThan">
      <formula>0</formula>
    </cfRule>
  </conditionalFormatting>
  <conditionalFormatting sqref="P432">
    <cfRule type="cellIs" dxfId="755" priority="765" operator="equal">
      <formula>AS_DURATION_EFFORT</formula>
    </cfRule>
    <cfRule type="cellIs" dxfId="754" priority="766" operator="equal">
      <formula>AS_DEV_EFFORT</formula>
    </cfRule>
  </conditionalFormatting>
  <conditionalFormatting sqref="F432">
    <cfRule type="expression" dxfId="753" priority="764">
      <formula>$K432&lt;&gt;""</formula>
    </cfRule>
  </conditionalFormatting>
  <conditionalFormatting sqref="C432">
    <cfRule type="expression" dxfId="752" priority="763">
      <formula>$G432&lt;&gt;"-"</formula>
    </cfRule>
  </conditionalFormatting>
  <conditionalFormatting sqref="D432">
    <cfRule type="expression" dxfId="751" priority="762">
      <formula>$H432&lt;&gt;"-"</formula>
    </cfRule>
  </conditionalFormatting>
  <conditionalFormatting sqref="E432">
    <cfRule type="expression" dxfId="750" priority="761">
      <formula>$I432&lt;&gt;"-"</formula>
    </cfRule>
  </conditionalFormatting>
  <conditionalFormatting sqref="B431">
    <cfRule type="expression" dxfId="749" priority="760">
      <formula>AD431&lt;&gt;""</formula>
    </cfRule>
  </conditionalFormatting>
  <conditionalFormatting sqref="Z431">
    <cfRule type="cellIs" dxfId="748" priority="758" operator="greaterThan">
      <formula>0</formula>
    </cfRule>
    <cfRule type="cellIs" dxfId="747" priority="759" operator="lessThan">
      <formula>0</formula>
    </cfRule>
  </conditionalFormatting>
  <conditionalFormatting sqref="S431">
    <cfRule type="cellIs" dxfId="746" priority="757" operator="lessThan">
      <formula>0</formula>
    </cfRule>
  </conditionalFormatting>
  <conditionalFormatting sqref="P431">
    <cfRule type="cellIs" dxfId="745" priority="755" operator="equal">
      <formula>AS_DURATION_EFFORT</formula>
    </cfRule>
    <cfRule type="cellIs" dxfId="744" priority="756" operator="equal">
      <formula>AS_DEV_EFFORT</formula>
    </cfRule>
  </conditionalFormatting>
  <conditionalFormatting sqref="F431">
    <cfRule type="expression" dxfId="743" priority="754">
      <formula>$K431&lt;&gt;""</formula>
    </cfRule>
  </conditionalFormatting>
  <conditionalFormatting sqref="C431">
    <cfRule type="expression" dxfId="742" priority="753">
      <formula>$G431&lt;&gt;"-"</formula>
    </cfRule>
  </conditionalFormatting>
  <conditionalFormatting sqref="D431">
    <cfRule type="expression" dxfId="741" priority="752">
      <formula>$H431&lt;&gt;"-"</formula>
    </cfRule>
  </conditionalFormatting>
  <conditionalFormatting sqref="E431">
    <cfRule type="expression" dxfId="740" priority="751">
      <formula>$I431&lt;&gt;"-"</formula>
    </cfRule>
  </conditionalFormatting>
  <conditionalFormatting sqref="B430">
    <cfRule type="expression" dxfId="739" priority="750">
      <formula>AD430&lt;&gt;""</formula>
    </cfRule>
  </conditionalFormatting>
  <conditionalFormatting sqref="Z430">
    <cfRule type="cellIs" dxfId="738" priority="748" operator="greaterThan">
      <formula>0</formula>
    </cfRule>
    <cfRule type="cellIs" dxfId="737" priority="749" operator="lessThan">
      <formula>0</formula>
    </cfRule>
  </conditionalFormatting>
  <conditionalFormatting sqref="S430">
    <cfRule type="cellIs" dxfId="736" priority="747" operator="lessThan">
      <formula>0</formula>
    </cfRule>
  </conditionalFormatting>
  <conditionalFormatting sqref="P430">
    <cfRule type="cellIs" dxfId="735" priority="745" operator="equal">
      <formula>AS_DURATION_EFFORT</formula>
    </cfRule>
    <cfRule type="cellIs" dxfId="734" priority="746" operator="equal">
      <formula>AS_DEV_EFFORT</formula>
    </cfRule>
  </conditionalFormatting>
  <conditionalFormatting sqref="F430">
    <cfRule type="expression" dxfId="733" priority="744">
      <formula>$K430&lt;&gt;""</formula>
    </cfRule>
  </conditionalFormatting>
  <conditionalFormatting sqref="C430">
    <cfRule type="expression" dxfId="732" priority="743">
      <formula>$G430&lt;&gt;"-"</formula>
    </cfRule>
  </conditionalFormatting>
  <conditionalFormatting sqref="D430">
    <cfRule type="expression" dxfId="731" priority="742">
      <formula>$H430&lt;&gt;"-"</formula>
    </cfRule>
  </conditionalFormatting>
  <conditionalFormatting sqref="E430">
    <cfRule type="expression" dxfId="730" priority="741">
      <formula>$I430&lt;&gt;"-"</formula>
    </cfRule>
  </conditionalFormatting>
  <conditionalFormatting sqref="B403">
    <cfRule type="expression" dxfId="729" priority="740">
      <formula>AD403&lt;&gt;""</formula>
    </cfRule>
  </conditionalFormatting>
  <conditionalFormatting sqref="Z403">
    <cfRule type="cellIs" dxfId="728" priority="738" operator="greaterThan">
      <formula>0</formula>
    </cfRule>
    <cfRule type="cellIs" dxfId="727" priority="739" operator="lessThan">
      <formula>0</formula>
    </cfRule>
  </conditionalFormatting>
  <conditionalFormatting sqref="S403">
    <cfRule type="cellIs" dxfId="726" priority="737" operator="lessThan">
      <formula>0</formula>
    </cfRule>
  </conditionalFormatting>
  <conditionalFormatting sqref="P403">
    <cfRule type="cellIs" dxfId="725" priority="735" operator="equal">
      <formula>AS_DURATION_EFFORT</formula>
    </cfRule>
    <cfRule type="cellIs" dxfId="724" priority="736" operator="equal">
      <formula>AS_DEV_EFFORT</formula>
    </cfRule>
  </conditionalFormatting>
  <conditionalFormatting sqref="F403">
    <cfRule type="expression" dxfId="723" priority="734">
      <formula>$K403&lt;&gt;""</formula>
    </cfRule>
  </conditionalFormatting>
  <conditionalFormatting sqref="C403">
    <cfRule type="expression" dxfId="722" priority="733">
      <formula>$G403&lt;&gt;"-"</formula>
    </cfRule>
  </conditionalFormatting>
  <conditionalFormatting sqref="D403">
    <cfRule type="expression" dxfId="721" priority="732">
      <formula>$H403&lt;&gt;"-"</formula>
    </cfRule>
  </conditionalFormatting>
  <conditionalFormatting sqref="E403">
    <cfRule type="expression" dxfId="720" priority="731">
      <formula>$I403&lt;&gt;"-"</formula>
    </cfRule>
  </conditionalFormatting>
  <conditionalFormatting sqref="B358">
    <cfRule type="expression" dxfId="719" priority="730">
      <formula>AD358&lt;&gt;""</formula>
    </cfRule>
  </conditionalFormatting>
  <conditionalFormatting sqref="Z358">
    <cfRule type="cellIs" dxfId="718" priority="728" operator="greaterThan">
      <formula>0</formula>
    </cfRule>
    <cfRule type="cellIs" dxfId="717" priority="729" operator="lessThan">
      <formula>0</formula>
    </cfRule>
  </conditionalFormatting>
  <conditionalFormatting sqref="S358">
    <cfRule type="cellIs" dxfId="716" priority="727" operator="lessThan">
      <formula>0</formula>
    </cfRule>
  </conditionalFormatting>
  <conditionalFormatting sqref="P358">
    <cfRule type="cellIs" dxfId="715" priority="725" operator="equal">
      <formula>AS_DURATION_EFFORT</formula>
    </cfRule>
    <cfRule type="cellIs" dxfId="714" priority="726" operator="equal">
      <formula>AS_DEV_EFFORT</formula>
    </cfRule>
  </conditionalFormatting>
  <conditionalFormatting sqref="F358">
    <cfRule type="expression" dxfId="713" priority="724">
      <formula>$K358&lt;&gt;""</formula>
    </cfRule>
  </conditionalFormatting>
  <conditionalFormatting sqref="C358">
    <cfRule type="expression" dxfId="712" priority="723">
      <formula>$G358&lt;&gt;"-"</formula>
    </cfRule>
  </conditionalFormatting>
  <conditionalFormatting sqref="D358">
    <cfRule type="expression" dxfId="711" priority="722">
      <formula>$H358&lt;&gt;"-"</formula>
    </cfRule>
  </conditionalFormatting>
  <conditionalFormatting sqref="E358">
    <cfRule type="expression" dxfId="710" priority="721">
      <formula>$I358&lt;&gt;"-"</formula>
    </cfRule>
  </conditionalFormatting>
  <conditionalFormatting sqref="B337">
    <cfRule type="expression" dxfId="709" priority="720">
      <formula>AD337&lt;&gt;""</formula>
    </cfRule>
  </conditionalFormatting>
  <conditionalFormatting sqref="Z337">
    <cfRule type="cellIs" dxfId="708" priority="718" operator="greaterThan">
      <formula>0</formula>
    </cfRule>
    <cfRule type="cellIs" dxfId="707" priority="719" operator="lessThan">
      <formula>0</formula>
    </cfRule>
  </conditionalFormatting>
  <conditionalFormatting sqref="S337">
    <cfRule type="cellIs" dxfId="706" priority="717" operator="lessThan">
      <formula>0</formula>
    </cfRule>
  </conditionalFormatting>
  <conditionalFormatting sqref="P337">
    <cfRule type="cellIs" dxfId="705" priority="715" operator="equal">
      <formula>AS_DURATION_EFFORT</formula>
    </cfRule>
    <cfRule type="cellIs" dxfId="704" priority="716" operator="equal">
      <formula>AS_DEV_EFFORT</formula>
    </cfRule>
  </conditionalFormatting>
  <conditionalFormatting sqref="F337">
    <cfRule type="expression" dxfId="703" priority="714">
      <formula>$K337&lt;&gt;""</formula>
    </cfRule>
  </conditionalFormatting>
  <conditionalFormatting sqref="C337">
    <cfRule type="expression" dxfId="702" priority="713">
      <formula>$G337&lt;&gt;"-"</formula>
    </cfRule>
  </conditionalFormatting>
  <conditionalFormatting sqref="D337">
    <cfRule type="expression" dxfId="701" priority="712">
      <formula>$H337&lt;&gt;"-"</formula>
    </cfRule>
  </conditionalFormatting>
  <conditionalFormatting sqref="E337">
    <cfRule type="expression" dxfId="700" priority="711">
      <formula>$I337&lt;&gt;"-"</formula>
    </cfRule>
  </conditionalFormatting>
  <conditionalFormatting sqref="B321">
    <cfRule type="expression" dxfId="699" priority="710">
      <formula>AD321&lt;&gt;""</formula>
    </cfRule>
  </conditionalFormatting>
  <conditionalFormatting sqref="Z321">
    <cfRule type="cellIs" dxfId="698" priority="708" operator="greaterThan">
      <formula>0</formula>
    </cfRule>
    <cfRule type="cellIs" dxfId="697" priority="709" operator="lessThan">
      <formula>0</formula>
    </cfRule>
  </conditionalFormatting>
  <conditionalFormatting sqref="S321">
    <cfRule type="cellIs" dxfId="696" priority="707" operator="lessThan">
      <formula>0</formula>
    </cfRule>
  </conditionalFormatting>
  <conditionalFormatting sqref="P321">
    <cfRule type="cellIs" dxfId="695" priority="705" operator="equal">
      <formula>AS_DURATION_EFFORT</formula>
    </cfRule>
    <cfRule type="cellIs" dxfId="694" priority="706" operator="equal">
      <formula>AS_DEV_EFFORT</formula>
    </cfRule>
  </conditionalFormatting>
  <conditionalFormatting sqref="F321">
    <cfRule type="expression" dxfId="693" priority="704">
      <formula>$K321&lt;&gt;""</formula>
    </cfRule>
  </conditionalFormatting>
  <conditionalFormatting sqref="C321">
    <cfRule type="expression" dxfId="692" priority="703">
      <formula>$G321&lt;&gt;"-"</formula>
    </cfRule>
  </conditionalFormatting>
  <conditionalFormatting sqref="D321">
    <cfRule type="expression" dxfId="691" priority="702">
      <formula>$H321&lt;&gt;"-"</formula>
    </cfRule>
  </conditionalFormatting>
  <conditionalFormatting sqref="E321">
    <cfRule type="expression" dxfId="690" priority="701">
      <formula>$I321&lt;&gt;"-"</formula>
    </cfRule>
  </conditionalFormatting>
  <conditionalFormatting sqref="B320">
    <cfRule type="expression" dxfId="689" priority="700">
      <formula>AD320&lt;&gt;""</formula>
    </cfRule>
  </conditionalFormatting>
  <conditionalFormatting sqref="Z320">
    <cfRule type="cellIs" dxfId="688" priority="698" operator="greaterThan">
      <formula>0</formula>
    </cfRule>
    <cfRule type="cellIs" dxfId="687" priority="699" operator="lessThan">
      <formula>0</formula>
    </cfRule>
  </conditionalFormatting>
  <conditionalFormatting sqref="S320">
    <cfRule type="cellIs" dxfId="686" priority="697" operator="lessThan">
      <formula>0</formula>
    </cfRule>
  </conditionalFormatting>
  <conditionalFormatting sqref="P320">
    <cfRule type="cellIs" dxfId="685" priority="695" operator="equal">
      <formula>AS_DURATION_EFFORT</formula>
    </cfRule>
    <cfRule type="cellIs" dxfId="684" priority="696" operator="equal">
      <formula>AS_DEV_EFFORT</formula>
    </cfRule>
  </conditionalFormatting>
  <conditionalFormatting sqref="F320">
    <cfRule type="expression" dxfId="683" priority="694">
      <formula>$K320&lt;&gt;""</formula>
    </cfRule>
  </conditionalFormatting>
  <conditionalFormatting sqref="C320">
    <cfRule type="expression" dxfId="682" priority="693">
      <formula>$G320&lt;&gt;"-"</formula>
    </cfRule>
  </conditionalFormatting>
  <conditionalFormatting sqref="D320">
    <cfRule type="expression" dxfId="681" priority="692">
      <formula>$H320&lt;&gt;"-"</formula>
    </cfRule>
  </conditionalFormatting>
  <conditionalFormatting sqref="E320">
    <cfRule type="expression" dxfId="680" priority="691">
      <formula>$I320&lt;&gt;"-"</formula>
    </cfRule>
  </conditionalFormatting>
  <conditionalFormatting sqref="B319">
    <cfRule type="expression" dxfId="679" priority="690">
      <formula>AD319&lt;&gt;""</formula>
    </cfRule>
  </conditionalFormatting>
  <conditionalFormatting sqref="Z319">
    <cfRule type="cellIs" dxfId="678" priority="688" operator="greaterThan">
      <formula>0</formula>
    </cfRule>
    <cfRule type="cellIs" dxfId="677" priority="689" operator="lessThan">
      <formula>0</formula>
    </cfRule>
  </conditionalFormatting>
  <conditionalFormatting sqref="S319">
    <cfRule type="cellIs" dxfId="676" priority="687" operator="lessThan">
      <formula>0</formula>
    </cfRule>
  </conditionalFormatting>
  <conditionalFormatting sqref="P319">
    <cfRule type="cellIs" dxfId="675" priority="685" operator="equal">
      <formula>AS_DURATION_EFFORT</formula>
    </cfRule>
    <cfRule type="cellIs" dxfId="674" priority="686" operator="equal">
      <formula>AS_DEV_EFFORT</formula>
    </cfRule>
  </conditionalFormatting>
  <conditionalFormatting sqref="F319">
    <cfRule type="expression" dxfId="673" priority="684">
      <formula>$K319&lt;&gt;""</formula>
    </cfRule>
  </conditionalFormatting>
  <conditionalFormatting sqref="C319">
    <cfRule type="expression" dxfId="672" priority="683">
      <formula>$G319&lt;&gt;"-"</formula>
    </cfRule>
  </conditionalFormatting>
  <conditionalFormatting sqref="D319">
    <cfRule type="expression" dxfId="671" priority="682">
      <formula>$H319&lt;&gt;"-"</formula>
    </cfRule>
  </conditionalFormatting>
  <conditionalFormatting sqref="E319">
    <cfRule type="expression" dxfId="670" priority="681">
      <formula>$I319&lt;&gt;"-"</formula>
    </cfRule>
  </conditionalFormatting>
  <conditionalFormatting sqref="B318">
    <cfRule type="expression" dxfId="669" priority="680">
      <formula>AD318&lt;&gt;""</formula>
    </cfRule>
  </conditionalFormatting>
  <conditionalFormatting sqref="Z318">
    <cfRule type="cellIs" dxfId="668" priority="678" operator="greaterThan">
      <formula>0</formula>
    </cfRule>
    <cfRule type="cellIs" dxfId="667" priority="679" operator="lessThan">
      <formula>0</formula>
    </cfRule>
  </conditionalFormatting>
  <conditionalFormatting sqref="S318">
    <cfRule type="cellIs" dxfId="666" priority="677" operator="lessThan">
      <formula>0</formula>
    </cfRule>
  </conditionalFormatting>
  <conditionalFormatting sqref="P318">
    <cfRule type="cellIs" dxfId="665" priority="675" operator="equal">
      <formula>AS_DURATION_EFFORT</formula>
    </cfRule>
    <cfRule type="cellIs" dxfId="664" priority="676" operator="equal">
      <formula>AS_DEV_EFFORT</formula>
    </cfRule>
  </conditionalFormatting>
  <conditionalFormatting sqref="F318">
    <cfRule type="expression" dxfId="663" priority="674">
      <formula>$K318&lt;&gt;""</formula>
    </cfRule>
  </conditionalFormatting>
  <conditionalFormatting sqref="C318">
    <cfRule type="expression" dxfId="662" priority="673">
      <formula>$G318&lt;&gt;"-"</formula>
    </cfRule>
  </conditionalFormatting>
  <conditionalFormatting sqref="D318">
    <cfRule type="expression" dxfId="661" priority="672">
      <formula>$H318&lt;&gt;"-"</formula>
    </cfRule>
  </conditionalFormatting>
  <conditionalFormatting sqref="E318">
    <cfRule type="expression" dxfId="660" priority="671">
      <formula>$I318&lt;&gt;"-"</formula>
    </cfRule>
  </conditionalFormatting>
  <conditionalFormatting sqref="B305">
    <cfRule type="expression" dxfId="659" priority="670">
      <formula>AD305&lt;&gt;""</formula>
    </cfRule>
  </conditionalFormatting>
  <conditionalFormatting sqref="Z305">
    <cfRule type="cellIs" dxfId="658" priority="668" operator="greaterThan">
      <formula>0</formula>
    </cfRule>
    <cfRule type="cellIs" dxfId="657" priority="669" operator="lessThan">
      <formula>0</formula>
    </cfRule>
  </conditionalFormatting>
  <conditionalFormatting sqref="S305">
    <cfRule type="cellIs" dxfId="656" priority="667" operator="lessThan">
      <formula>0</formula>
    </cfRule>
  </conditionalFormatting>
  <conditionalFormatting sqref="P305">
    <cfRule type="cellIs" dxfId="655" priority="665" operator="equal">
      <formula>AS_DURATION_EFFORT</formula>
    </cfRule>
    <cfRule type="cellIs" dxfId="654" priority="666" operator="equal">
      <formula>AS_DEV_EFFORT</formula>
    </cfRule>
  </conditionalFormatting>
  <conditionalFormatting sqref="F305">
    <cfRule type="expression" dxfId="653" priority="664">
      <formula>$K305&lt;&gt;""</formula>
    </cfRule>
  </conditionalFormatting>
  <conditionalFormatting sqref="C305">
    <cfRule type="expression" dxfId="652" priority="663">
      <formula>$G305&lt;&gt;"-"</formula>
    </cfRule>
  </conditionalFormatting>
  <conditionalFormatting sqref="D305">
    <cfRule type="expression" dxfId="651" priority="662">
      <formula>$H305&lt;&gt;"-"</formula>
    </cfRule>
  </conditionalFormatting>
  <conditionalFormatting sqref="E305">
    <cfRule type="expression" dxfId="650" priority="661">
      <formula>$I305&lt;&gt;"-"</formula>
    </cfRule>
  </conditionalFormatting>
  <conditionalFormatting sqref="B304">
    <cfRule type="expression" dxfId="649" priority="660">
      <formula>AD304&lt;&gt;""</formula>
    </cfRule>
  </conditionalFormatting>
  <conditionalFormatting sqref="Z304">
    <cfRule type="cellIs" dxfId="648" priority="658" operator="greaterThan">
      <formula>0</formula>
    </cfRule>
    <cfRule type="cellIs" dxfId="647" priority="659" operator="lessThan">
      <formula>0</formula>
    </cfRule>
  </conditionalFormatting>
  <conditionalFormatting sqref="S304">
    <cfRule type="cellIs" dxfId="646" priority="657" operator="lessThan">
      <formula>0</formula>
    </cfRule>
  </conditionalFormatting>
  <conditionalFormatting sqref="P304">
    <cfRule type="cellIs" dxfId="645" priority="655" operator="equal">
      <formula>AS_DURATION_EFFORT</formula>
    </cfRule>
    <cfRule type="cellIs" dxfId="644" priority="656" operator="equal">
      <formula>AS_DEV_EFFORT</formula>
    </cfRule>
  </conditionalFormatting>
  <conditionalFormatting sqref="F304">
    <cfRule type="expression" dxfId="643" priority="654">
      <formula>$K304&lt;&gt;""</formula>
    </cfRule>
  </conditionalFormatting>
  <conditionalFormatting sqref="C304">
    <cfRule type="expression" dxfId="642" priority="653">
      <formula>$G304&lt;&gt;"-"</formula>
    </cfRule>
  </conditionalFormatting>
  <conditionalFormatting sqref="D304">
    <cfRule type="expression" dxfId="641" priority="652">
      <formula>$H304&lt;&gt;"-"</formula>
    </cfRule>
  </conditionalFormatting>
  <conditionalFormatting sqref="E304">
    <cfRule type="expression" dxfId="640" priority="651">
      <formula>$I304&lt;&gt;"-"</formula>
    </cfRule>
  </conditionalFormatting>
  <conditionalFormatting sqref="B303">
    <cfRule type="expression" dxfId="639" priority="650">
      <formula>AD303&lt;&gt;""</formula>
    </cfRule>
  </conditionalFormatting>
  <conditionalFormatting sqref="Z303">
    <cfRule type="cellIs" dxfId="638" priority="648" operator="greaterThan">
      <formula>0</formula>
    </cfRule>
    <cfRule type="cellIs" dxfId="637" priority="649" operator="lessThan">
      <formula>0</formula>
    </cfRule>
  </conditionalFormatting>
  <conditionalFormatting sqref="S303">
    <cfRule type="cellIs" dxfId="636" priority="647" operator="lessThan">
      <formula>0</formula>
    </cfRule>
  </conditionalFormatting>
  <conditionalFormatting sqref="P303">
    <cfRule type="cellIs" dxfId="635" priority="645" operator="equal">
      <formula>AS_DURATION_EFFORT</formula>
    </cfRule>
    <cfRule type="cellIs" dxfId="634" priority="646" operator="equal">
      <formula>AS_DEV_EFFORT</formula>
    </cfRule>
  </conditionalFormatting>
  <conditionalFormatting sqref="F303">
    <cfRule type="expression" dxfId="633" priority="644">
      <formula>$K303&lt;&gt;""</formula>
    </cfRule>
  </conditionalFormatting>
  <conditionalFormatting sqref="C303">
    <cfRule type="expression" dxfId="632" priority="643">
      <formula>$G303&lt;&gt;"-"</formula>
    </cfRule>
  </conditionalFormatting>
  <conditionalFormatting sqref="D303">
    <cfRule type="expression" dxfId="631" priority="642">
      <formula>$H303&lt;&gt;"-"</formula>
    </cfRule>
  </conditionalFormatting>
  <conditionalFormatting sqref="E303">
    <cfRule type="expression" dxfId="630" priority="641">
      <formula>$I303&lt;&gt;"-"</formula>
    </cfRule>
  </conditionalFormatting>
  <conditionalFormatting sqref="B284">
    <cfRule type="expression" dxfId="629" priority="640">
      <formula>AD284&lt;&gt;""</formula>
    </cfRule>
  </conditionalFormatting>
  <conditionalFormatting sqref="Z284">
    <cfRule type="cellIs" dxfId="628" priority="638" operator="greaterThan">
      <formula>0</formula>
    </cfRule>
    <cfRule type="cellIs" dxfId="627" priority="639" operator="lessThan">
      <formula>0</formula>
    </cfRule>
  </conditionalFormatting>
  <conditionalFormatting sqref="S284">
    <cfRule type="cellIs" dxfId="626" priority="637" operator="lessThan">
      <formula>0</formula>
    </cfRule>
  </conditionalFormatting>
  <conditionalFormatting sqref="P284">
    <cfRule type="cellIs" dxfId="625" priority="635" operator="equal">
      <formula>AS_DURATION_EFFORT</formula>
    </cfRule>
    <cfRule type="cellIs" dxfId="624" priority="636" operator="equal">
      <formula>AS_DEV_EFFORT</formula>
    </cfRule>
  </conditionalFormatting>
  <conditionalFormatting sqref="F284">
    <cfRule type="expression" dxfId="623" priority="634">
      <formula>$K284&lt;&gt;""</formula>
    </cfRule>
  </conditionalFormatting>
  <conditionalFormatting sqref="C284">
    <cfRule type="expression" dxfId="622" priority="633">
      <formula>$G284&lt;&gt;"-"</formula>
    </cfRule>
  </conditionalFormatting>
  <conditionalFormatting sqref="D284">
    <cfRule type="expression" dxfId="621" priority="632">
      <formula>$H284&lt;&gt;"-"</formula>
    </cfRule>
  </conditionalFormatting>
  <conditionalFormatting sqref="E284">
    <cfRule type="expression" dxfId="620" priority="631">
      <formula>$I284&lt;&gt;"-"</formula>
    </cfRule>
  </conditionalFormatting>
  <conditionalFormatting sqref="B283">
    <cfRule type="expression" dxfId="619" priority="630">
      <formula>AD283&lt;&gt;""</formula>
    </cfRule>
  </conditionalFormatting>
  <conditionalFormatting sqref="Z283">
    <cfRule type="cellIs" dxfId="618" priority="628" operator="greaterThan">
      <formula>0</formula>
    </cfRule>
    <cfRule type="cellIs" dxfId="617" priority="629" operator="lessThan">
      <formula>0</formula>
    </cfRule>
  </conditionalFormatting>
  <conditionalFormatting sqref="S283">
    <cfRule type="cellIs" dxfId="616" priority="627" operator="lessThan">
      <formula>0</formula>
    </cfRule>
  </conditionalFormatting>
  <conditionalFormatting sqref="P283">
    <cfRule type="cellIs" dxfId="615" priority="625" operator="equal">
      <formula>AS_DURATION_EFFORT</formula>
    </cfRule>
    <cfRule type="cellIs" dxfId="614" priority="626" operator="equal">
      <formula>AS_DEV_EFFORT</formula>
    </cfRule>
  </conditionalFormatting>
  <conditionalFormatting sqref="F283">
    <cfRule type="expression" dxfId="613" priority="624">
      <formula>$K283&lt;&gt;""</formula>
    </cfRule>
  </conditionalFormatting>
  <conditionalFormatting sqref="C283">
    <cfRule type="expression" dxfId="612" priority="623">
      <formula>$G283&lt;&gt;"-"</formula>
    </cfRule>
  </conditionalFormatting>
  <conditionalFormatting sqref="D283">
    <cfRule type="expression" dxfId="611" priority="622">
      <formula>$H283&lt;&gt;"-"</formula>
    </cfRule>
  </conditionalFormatting>
  <conditionalFormatting sqref="E283">
    <cfRule type="expression" dxfId="610" priority="621">
      <formula>$I283&lt;&gt;"-"</formula>
    </cfRule>
  </conditionalFormatting>
  <conditionalFormatting sqref="B282">
    <cfRule type="expression" dxfId="609" priority="620">
      <formula>AD282&lt;&gt;""</formula>
    </cfRule>
  </conditionalFormatting>
  <conditionalFormatting sqref="Z282">
    <cfRule type="cellIs" dxfId="608" priority="618" operator="greaterThan">
      <formula>0</formula>
    </cfRule>
    <cfRule type="cellIs" dxfId="607" priority="619" operator="lessThan">
      <formula>0</formula>
    </cfRule>
  </conditionalFormatting>
  <conditionalFormatting sqref="S282">
    <cfRule type="cellIs" dxfId="606" priority="617" operator="lessThan">
      <formula>0</formula>
    </cfRule>
  </conditionalFormatting>
  <conditionalFormatting sqref="P282">
    <cfRule type="cellIs" dxfId="605" priority="615" operator="equal">
      <formula>AS_DURATION_EFFORT</formula>
    </cfRule>
    <cfRule type="cellIs" dxfId="604" priority="616" operator="equal">
      <formula>AS_DEV_EFFORT</formula>
    </cfRule>
  </conditionalFormatting>
  <conditionalFormatting sqref="F282">
    <cfRule type="expression" dxfId="603" priority="614">
      <formula>$K282&lt;&gt;""</formula>
    </cfRule>
  </conditionalFormatting>
  <conditionalFormatting sqref="C282">
    <cfRule type="expression" dxfId="602" priority="613">
      <formula>$G282&lt;&gt;"-"</formula>
    </cfRule>
  </conditionalFormatting>
  <conditionalFormatting sqref="D282">
    <cfRule type="expression" dxfId="601" priority="612">
      <formula>$H282&lt;&gt;"-"</formula>
    </cfRule>
  </conditionalFormatting>
  <conditionalFormatting sqref="E282">
    <cfRule type="expression" dxfId="600" priority="611">
      <formula>$I282&lt;&gt;"-"</formula>
    </cfRule>
  </conditionalFormatting>
  <conditionalFormatting sqref="B268">
    <cfRule type="expression" dxfId="599" priority="607">
      <formula>AD268&lt;&gt;""</formula>
    </cfRule>
  </conditionalFormatting>
  <conditionalFormatting sqref="Z268">
    <cfRule type="cellIs" dxfId="598" priority="605" operator="greaterThan">
      <formula>0</formula>
    </cfRule>
    <cfRule type="cellIs" dxfId="597" priority="606" operator="lessThan">
      <formula>0</formula>
    </cfRule>
  </conditionalFormatting>
  <conditionalFormatting sqref="S268">
    <cfRule type="cellIs" dxfId="596" priority="604" operator="lessThan">
      <formula>0</formula>
    </cfRule>
  </conditionalFormatting>
  <conditionalFormatting sqref="T266:T267">
    <cfRule type="expression" dxfId="595" priority="608">
      <formula>#REF!="Yes"</formula>
    </cfRule>
  </conditionalFormatting>
  <conditionalFormatting sqref="P268">
    <cfRule type="cellIs" dxfId="594" priority="602" operator="equal">
      <formula>AS_DURATION_EFFORT</formula>
    </cfRule>
    <cfRule type="cellIs" dxfId="593" priority="603" operator="equal">
      <formula>AS_DEV_EFFORT</formula>
    </cfRule>
  </conditionalFormatting>
  <conditionalFormatting sqref="B266:B267">
    <cfRule type="expression" dxfId="592" priority="601">
      <formula>AD266&lt;&gt;""</formula>
    </cfRule>
  </conditionalFormatting>
  <conditionalFormatting sqref="L268:AC268">
    <cfRule type="expression" dxfId="591" priority="609">
      <formula>AND($G268="Yes", $S$6="Exclude")</formula>
    </cfRule>
    <cfRule type="expression" dxfId="590" priority="610">
      <formula>$J268="Yes"</formula>
    </cfRule>
  </conditionalFormatting>
  <conditionalFormatting sqref="F268">
    <cfRule type="expression" dxfId="589" priority="600">
      <formula>$K268&lt;&gt;""</formula>
    </cfRule>
  </conditionalFormatting>
  <conditionalFormatting sqref="C268">
    <cfRule type="expression" dxfId="588" priority="599">
      <formula>$G268&lt;&gt;"-"</formula>
    </cfRule>
  </conditionalFormatting>
  <conditionalFormatting sqref="D268">
    <cfRule type="expression" dxfId="587" priority="598">
      <formula>$H268&lt;&gt;"-"</formula>
    </cfRule>
  </conditionalFormatting>
  <conditionalFormatting sqref="E268">
    <cfRule type="expression" dxfId="586" priority="597">
      <formula>$I268&lt;&gt;"-"</formula>
    </cfRule>
  </conditionalFormatting>
  <conditionalFormatting sqref="B259">
    <cfRule type="expression" dxfId="585" priority="593">
      <formula>AD259&lt;&gt;""</formula>
    </cfRule>
  </conditionalFormatting>
  <conditionalFormatting sqref="Z259">
    <cfRule type="cellIs" dxfId="584" priority="591" operator="greaterThan">
      <formula>0</formula>
    </cfRule>
    <cfRule type="cellIs" dxfId="583" priority="592" operator="lessThan">
      <formula>0</formula>
    </cfRule>
  </conditionalFormatting>
  <conditionalFormatting sqref="S259">
    <cfRule type="cellIs" dxfId="582" priority="590" operator="lessThan">
      <formula>0</formula>
    </cfRule>
  </conditionalFormatting>
  <conditionalFormatting sqref="T257:T258">
    <cfRule type="expression" dxfId="581" priority="594">
      <formula>#REF!="Yes"</formula>
    </cfRule>
  </conditionalFormatting>
  <conditionalFormatting sqref="P259">
    <cfRule type="cellIs" dxfId="580" priority="588" operator="equal">
      <formula>AS_DURATION_EFFORT</formula>
    </cfRule>
    <cfRule type="cellIs" dxfId="579" priority="589" operator="equal">
      <formula>AS_DEV_EFFORT</formula>
    </cfRule>
  </conditionalFormatting>
  <conditionalFormatting sqref="B257:B258">
    <cfRule type="expression" dxfId="578" priority="587">
      <formula>AD257&lt;&gt;""</formula>
    </cfRule>
  </conditionalFormatting>
  <conditionalFormatting sqref="L259:AC259">
    <cfRule type="expression" dxfId="577" priority="595">
      <formula>AND($G259="Yes", $S$6="Exclude")</formula>
    </cfRule>
    <cfRule type="expression" dxfId="576" priority="596">
      <formula>$J259="Yes"</formula>
    </cfRule>
  </conditionalFormatting>
  <conditionalFormatting sqref="F259">
    <cfRule type="expression" dxfId="575" priority="586">
      <formula>$K259&lt;&gt;""</formula>
    </cfRule>
  </conditionalFormatting>
  <conditionalFormatting sqref="C259">
    <cfRule type="expression" dxfId="574" priority="585">
      <formula>$G259&lt;&gt;"-"</formula>
    </cfRule>
  </conditionalFormatting>
  <conditionalFormatting sqref="D259">
    <cfRule type="expression" dxfId="573" priority="584">
      <formula>$H259&lt;&gt;"-"</formula>
    </cfRule>
  </conditionalFormatting>
  <conditionalFormatting sqref="E259">
    <cfRule type="expression" dxfId="572" priority="583">
      <formula>$I259&lt;&gt;"-"</formula>
    </cfRule>
  </conditionalFormatting>
  <conditionalFormatting sqref="B263">
    <cfRule type="expression" dxfId="571" priority="580">
      <formula>AD263&lt;&gt;""</formula>
    </cfRule>
  </conditionalFormatting>
  <conditionalFormatting sqref="Z263">
    <cfRule type="cellIs" dxfId="570" priority="578" operator="greaterThan">
      <formula>0</formula>
    </cfRule>
    <cfRule type="cellIs" dxfId="569" priority="579" operator="lessThan">
      <formula>0</formula>
    </cfRule>
  </conditionalFormatting>
  <conditionalFormatting sqref="S263">
    <cfRule type="cellIs" dxfId="568" priority="577" operator="lessThan">
      <formula>0</formula>
    </cfRule>
  </conditionalFormatting>
  <conditionalFormatting sqref="P263">
    <cfRule type="cellIs" dxfId="567" priority="575" operator="equal">
      <formula>AS_DURATION_EFFORT</formula>
    </cfRule>
    <cfRule type="cellIs" dxfId="566" priority="576" operator="equal">
      <formula>AS_DEV_EFFORT</formula>
    </cfRule>
  </conditionalFormatting>
  <conditionalFormatting sqref="L263:AC263">
    <cfRule type="expression" dxfId="565" priority="581">
      <formula>AND($G263="Yes", $S$6="Exclude")</formula>
    </cfRule>
    <cfRule type="expression" dxfId="564" priority="582">
      <formula>$J263="Yes"</formula>
    </cfRule>
  </conditionalFormatting>
  <conditionalFormatting sqref="F263">
    <cfRule type="expression" dxfId="563" priority="574">
      <formula>$K263&lt;&gt;""</formula>
    </cfRule>
  </conditionalFormatting>
  <conditionalFormatting sqref="C263">
    <cfRule type="expression" dxfId="562" priority="573">
      <formula>$G263&lt;&gt;"-"</formula>
    </cfRule>
  </conditionalFormatting>
  <conditionalFormatting sqref="D263">
    <cfRule type="expression" dxfId="561" priority="572">
      <formula>$H263&lt;&gt;"-"</formula>
    </cfRule>
  </conditionalFormatting>
  <conditionalFormatting sqref="E263">
    <cfRule type="expression" dxfId="560" priority="571">
      <formula>$I263&lt;&gt;"-"</formula>
    </cfRule>
  </conditionalFormatting>
  <conditionalFormatting sqref="B262">
    <cfRule type="expression" dxfId="559" priority="568">
      <formula>AD262&lt;&gt;""</formula>
    </cfRule>
  </conditionalFormatting>
  <conditionalFormatting sqref="Z262">
    <cfRule type="cellIs" dxfId="558" priority="566" operator="greaterThan">
      <formula>0</formula>
    </cfRule>
    <cfRule type="cellIs" dxfId="557" priority="567" operator="lessThan">
      <formula>0</formula>
    </cfRule>
  </conditionalFormatting>
  <conditionalFormatting sqref="S262">
    <cfRule type="cellIs" dxfId="556" priority="565" operator="lessThan">
      <formula>0</formula>
    </cfRule>
  </conditionalFormatting>
  <conditionalFormatting sqref="P262">
    <cfRule type="cellIs" dxfId="555" priority="563" operator="equal">
      <formula>AS_DURATION_EFFORT</formula>
    </cfRule>
    <cfRule type="cellIs" dxfId="554" priority="564" operator="equal">
      <formula>AS_DEV_EFFORT</formula>
    </cfRule>
  </conditionalFormatting>
  <conditionalFormatting sqref="L262:AC262">
    <cfRule type="expression" dxfId="553" priority="569">
      <formula>AND($G262="Yes", $S$6="Exclude")</formula>
    </cfRule>
    <cfRule type="expression" dxfId="552" priority="570">
      <formula>$J262="Yes"</formula>
    </cfRule>
  </conditionalFormatting>
  <conditionalFormatting sqref="F262">
    <cfRule type="expression" dxfId="551" priority="562">
      <formula>$K262&lt;&gt;""</formula>
    </cfRule>
  </conditionalFormatting>
  <conditionalFormatting sqref="C262">
    <cfRule type="expression" dxfId="550" priority="561">
      <formula>$G262&lt;&gt;"-"</formula>
    </cfRule>
  </conditionalFormatting>
  <conditionalFormatting sqref="D262">
    <cfRule type="expression" dxfId="549" priority="560">
      <formula>$H262&lt;&gt;"-"</formula>
    </cfRule>
  </conditionalFormatting>
  <conditionalFormatting sqref="E262">
    <cfRule type="expression" dxfId="548" priority="559">
      <formula>$I262&lt;&gt;"-"</formula>
    </cfRule>
  </conditionalFormatting>
  <conditionalFormatting sqref="B261">
    <cfRule type="expression" dxfId="547" priority="556">
      <formula>AD261&lt;&gt;""</formula>
    </cfRule>
  </conditionalFormatting>
  <conditionalFormatting sqref="Z261">
    <cfRule type="cellIs" dxfId="546" priority="554" operator="greaterThan">
      <formula>0</formula>
    </cfRule>
    <cfRule type="cellIs" dxfId="545" priority="555" operator="lessThan">
      <formula>0</formula>
    </cfRule>
  </conditionalFormatting>
  <conditionalFormatting sqref="S261">
    <cfRule type="cellIs" dxfId="544" priority="553" operator="lessThan">
      <formula>0</formula>
    </cfRule>
  </conditionalFormatting>
  <conditionalFormatting sqref="P261">
    <cfRule type="cellIs" dxfId="543" priority="551" operator="equal">
      <formula>AS_DURATION_EFFORT</formula>
    </cfRule>
    <cfRule type="cellIs" dxfId="542" priority="552" operator="equal">
      <formula>AS_DEV_EFFORT</formula>
    </cfRule>
  </conditionalFormatting>
  <conditionalFormatting sqref="L261:AC261">
    <cfRule type="expression" dxfId="541" priority="557">
      <formula>AND($G261="Yes", $S$6="Exclude")</formula>
    </cfRule>
    <cfRule type="expression" dxfId="540" priority="558">
      <formula>$J261="Yes"</formula>
    </cfRule>
  </conditionalFormatting>
  <conditionalFormatting sqref="F261">
    <cfRule type="expression" dxfId="539" priority="550">
      <formula>$K261&lt;&gt;""</formula>
    </cfRule>
  </conditionalFormatting>
  <conditionalFormatting sqref="C261">
    <cfRule type="expression" dxfId="538" priority="549">
      <formula>$G261&lt;&gt;"-"</formula>
    </cfRule>
  </conditionalFormatting>
  <conditionalFormatting sqref="D261">
    <cfRule type="expression" dxfId="537" priority="548">
      <formula>$H261&lt;&gt;"-"</formula>
    </cfRule>
  </conditionalFormatting>
  <conditionalFormatting sqref="E261">
    <cfRule type="expression" dxfId="536" priority="547">
      <formula>$I261&lt;&gt;"-"</formula>
    </cfRule>
  </conditionalFormatting>
  <conditionalFormatting sqref="B260">
    <cfRule type="expression" dxfId="535" priority="544">
      <formula>AD260&lt;&gt;""</formula>
    </cfRule>
  </conditionalFormatting>
  <conditionalFormatting sqref="Z260">
    <cfRule type="cellIs" dxfId="534" priority="542" operator="greaterThan">
      <formula>0</formula>
    </cfRule>
    <cfRule type="cellIs" dxfId="533" priority="543" operator="lessThan">
      <formula>0</formula>
    </cfRule>
  </conditionalFormatting>
  <conditionalFormatting sqref="S260">
    <cfRule type="cellIs" dxfId="532" priority="541" operator="lessThan">
      <formula>0</formula>
    </cfRule>
  </conditionalFormatting>
  <conditionalFormatting sqref="P260">
    <cfRule type="cellIs" dxfId="531" priority="539" operator="equal">
      <formula>AS_DURATION_EFFORT</formula>
    </cfRule>
    <cfRule type="cellIs" dxfId="530" priority="540" operator="equal">
      <formula>AS_DEV_EFFORT</formula>
    </cfRule>
  </conditionalFormatting>
  <conditionalFormatting sqref="L260:AC260">
    <cfRule type="expression" dxfId="529" priority="545">
      <formula>AND($G260="Yes", $S$6="Exclude")</formula>
    </cfRule>
    <cfRule type="expression" dxfId="528" priority="546">
      <formula>$J260="Yes"</formula>
    </cfRule>
  </conditionalFormatting>
  <conditionalFormatting sqref="F260">
    <cfRule type="expression" dxfId="527" priority="538">
      <formula>$K260&lt;&gt;""</formula>
    </cfRule>
  </conditionalFormatting>
  <conditionalFormatting sqref="C260">
    <cfRule type="expression" dxfId="526" priority="537">
      <formula>$G260&lt;&gt;"-"</formula>
    </cfRule>
  </conditionalFormatting>
  <conditionalFormatting sqref="D260">
    <cfRule type="expression" dxfId="525" priority="536">
      <formula>$H260&lt;&gt;"-"</formula>
    </cfRule>
  </conditionalFormatting>
  <conditionalFormatting sqref="E260">
    <cfRule type="expression" dxfId="524" priority="535">
      <formula>$I260&lt;&gt;"-"</formula>
    </cfRule>
  </conditionalFormatting>
  <conditionalFormatting sqref="B271">
    <cfRule type="expression" dxfId="523" priority="532">
      <formula>AD271&lt;&gt;""</formula>
    </cfRule>
  </conditionalFormatting>
  <conditionalFormatting sqref="Z271">
    <cfRule type="cellIs" dxfId="522" priority="530" operator="greaterThan">
      <formula>0</formula>
    </cfRule>
    <cfRule type="cellIs" dxfId="521" priority="531" operator="lessThan">
      <formula>0</formula>
    </cfRule>
  </conditionalFormatting>
  <conditionalFormatting sqref="S271">
    <cfRule type="cellIs" dxfId="520" priority="529" operator="lessThan">
      <formula>0</formula>
    </cfRule>
  </conditionalFormatting>
  <conditionalFormatting sqref="P271">
    <cfRule type="cellIs" dxfId="519" priority="527" operator="equal">
      <formula>AS_DURATION_EFFORT</formula>
    </cfRule>
    <cfRule type="cellIs" dxfId="518" priority="528" operator="equal">
      <formula>AS_DEV_EFFORT</formula>
    </cfRule>
  </conditionalFormatting>
  <conditionalFormatting sqref="L271:AC271">
    <cfRule type="expression" dxfId="517" priority="533">
      <formula>AND($G271="Yes", $S$6="Exclude")</formula>
    </cfRule>
    <cfRule type="expression" dxfId="516" priority="534">
      <formula>$J271="Yes"</formula>
    </cfRule>
  </conditionalFormatting>
  <conditionalFormatting sqref="F271">
    <cfRule type="expression" dxfId="515" priority="526">
      <formula>$K271&lt;&gt;""</formula>
    </cfRule>
  </conditionalFormatting>
  <conditionalFormatting sqref="C271">
    <cfRule type="expression" dxfId="514" priority="525">
      <formula>$G271&lt;&gt;"-"</formula>
    </cfRule>
  </conditionalFormatting>
  <conditionalFormatting sqref="D271">
    <cfRule type="expression" dxfId="513" priority="524">
      <formula>$H271&lt;&gt;"-"</formula>
    </cfRule>
  </conditionalFormatting>
  <conditionalFormatting sqref="E271">
    <cfRule type="expression" dxfId="512" priority="523">
      <formula>$I271&lt;&gt;"-"</formula>
    </cfRule>
  </conditionalFormatting>
  <conditionalFormatting sqref="B270">
    <cfRule type="expression" dxfId="511" priority="520">
      <formula>AD270&lt;&gt;""</formula>
    </cfRule>
  </conditionalFormatting>
  <conditionalFormatting sqref="Z270">
    <cfRule type="cellIs" dxfId="510" priority="518" operator="greaterThan">
      <formula>0</formula>
    </cfRule>
    <cfRule type="cellIs" dxfId="509" priority="519" operator="lessThan">
      <formula>0</formula>
    </cfRule>
  </conditionalFormatting>
  <conditionalFormatting sqref="S270">
    <cfRule type="cellIs" dxfId="508" priority="517" operator="lessThan">
      <formula>0</formula>
    </cfRule>
  </conditionalFormatting>
  <conditionalFormatting sqref="P270">
    <cfRule type="cellIs" dxfId="507" priority="515" operator="equal">
      <formula>AS_DURATION_EFFORT</formula>
    </cfRule>
    <cfRule type="cellIs" dxfId="506" priority="516" operator="equal">
      <formula>AS_DEV_EFFORT</formula>
    </cfRule>
  </conditionalFormatting>
  <conditionalFormatting sqref="L270:AC270">
    <cfRule type="expression" dxfId="505" priority="521">
      <formula>AND($G270="Yes", $S$6="Exclude")</formula>
    </cfRule>
    <cfRule type="expression" dxfId="504" priority="522">
      <formula>$J270="Yes"</formula>
    </cfRule>
  </conditionalFormatting>
  <conditionalFormatting sqref="F270">
    <cfRule type="expression" dxfId="503" priority="514">
      <formula>$K270&lt;&gt;""</formula>
    </cfRule>
  </conditionalFormatting>
  <conditionalFormatting sqref="C270">
    <cfRule type="expression" dxfId="502" priority="513">
      <formula>$G270&lt;&gt;"-"</formula>
    </cfRule>
  </conditionalFormatting>
  <conditionalFormatting sqref="D270">
    <cfRule type="expression" dxfId="501" priority="512">
      <formula>$H270&lt;&gt;"-"</formula>
    </cfRule>
  </conditionalFormatting>
  <conditionalFormatting sqref="E270">
    <cfRule type="expression" dxfId="500" priority="511">
      <formula>$I270&lt;&gt;"-"</formula>
    </cfRule>
  </conditionalFormatting>
  <conditionalFormatting sqref="B269">
    <cfRule type="expression" dxfId="499" priority="508">
      <formula>AD269&lt;&gt;""</formula>
    </cfRule>
  </conditionalFormatting>
  <conditionalFormatting sqref="Z269">
    <cfRule type="cellIs" dxfId="498" priority="506" operator="greaterThan">
      <formula>0</formula>
    </cfRule>
    <cfRule type="cellIs" dxfId="497" priority="507" operator="lessThan">
      <formula>0</formula>
    </cfRule>
  </conditionalFormatting>
  <conditionalFormatting sqref="S269">
    <cfRule type="cellIs" dxfId="496" priority="505" operator="lessThan">
      <formula>0</formula>
    </cfRule>
  </conditionalFormatting>
  <conditionalFormatting sqref="P269">
    <cfRule type="cellIs" dxfId="495" priority="503" operator="equal">
      <formula>AS_DURATION_EFFORT</formula>
    </cfRule>
    <cfRule type="cellIs" dxfId="494" priority="504" operator="equal">
      <formula>AS_DEV_EFFORT</formula>
    </cfRule>
  </conditionalFormatting>
  <conditionalFormatting sqref="L269:AC269">
    <cfRule type="expression" dxfId="493" priority="509">
      <formula>AND($G269="Yes", $S$6="Exclude")</formula>
    </cfRule>
    <cfRule type="expression" dxfId="492" priority="510">
      <formula>$J269="Yes"</formula>
    </cfRule>
  </conditionalFormatting>
  <conditionalFormatting sqref="F269">
    <cfRule type="expression" dxfId="491" priority="502">
      <formula>$K269&lt;&gt;""</formula>
    </cfRule>
  </conditionalFormatting>
  <conditionalFormatting sqref="C269">
    <cfRule type="expression" dxfId="490" priority="501">
      <formula>$G269&lt;&gt;"-"</formula>
    </cfRule>
  </conditionalFormatting>
  <conditionalFormatting sqref="D269">
    <cfRule type="expression" dxfId="489" priority="500">
      <formula>$H269&lt;&gt;"-"</formula>
    </cfRule>
  </conditionalFormatting>
  <conditionalFormatting sqref="E269">
    <cfRule type="expression" dxfId="488" priority="499">
      <formula>$I269&lt;&gt;"-"</formula>
    </cfRule>
  </conditionalFormatting>
  <conditionalFormatting sqref="B219">
    <cfRule type="expression" dxfId="487" priority="495">
      <formula>AD219&lt;&gt;""</formula>
    </cfRule>
  </conditionalFormatting>
  <conditionalFormatting sqref="Z219">
    <cfRule type="cellIs" dxfId="486" priority="493" operator="greaterThan">
      <formula>0</formula>
    </cfRule>
    <cfRule type="cellIs" dxfId="485" priority="494" operator="lessThan">
      <formula>0</formula>
    </cfRule>
  </conditionalFormatting>
  <conditionalFormatting sqref="S219">
    <cfRule type="cellIs" dxfId="484" priority="492" operator="lessThan">
      <formula>0</formula>
    </cfRule>
  </conditionalFormatting>
  <conditionalFormatting sqref="T217:T218">
    <cfRule type="expression" dxfId="483" priority="496">
      <formula>#REF!="Yes"</formula>
    </cfRule>
  </conditionalFormatting>
  <conditionalFormatting sqref="P219">
    <cfRule type="cellIs" dxfId="482" priority="490" operator="equal">
      <formula>AS_DURATION_EFFORT</formula>
    </cfRule>
    <cfRule type="cellIs" dxfId="481" priority="491" operator="equal">
      <formula>AS_DEV_EFFORT</formula>
    </cfRule>
  </conditionalFormatting>
  <conditionalFormatting sqref="B217:B218">
    <cfRule type="expression" dxfId="480" priority="489">
      <formula>AD217&lt;&gt;""</formula>
    </cfRule>
  </conditionalFormatting>
  <conditionalFormatting sqref="L219:AC219">
    <cfRule type="expression" dxfId="479" priority="497">
      <formula>AND($G219="Yes", $S$6="Exclude")</formula>
    </cfRule>
    <cfRule type="expression" dxfId="478" priority="498">
      <formula>$J219="Yes"</formula>
    </cfRule>
  </conditionalFormatting>
  <conditionalFormatting sqref="F219">
    <cfRule type="expression" dxfId="477" priority="488">
      <formula>$K219&lt;&gt;""</formula>
    </cfRule>
  </conditionalFormatting>
  <conditionalFormatting sqref="C219">
    <cfRule type="expression" dxfId="476" priority="487">
      <formula>$G219&lt;&gt;"-"</formula>
    </cfRule>
  </conditionalFormatting>
  <conditionalFormatting sqref="D219">
    <cfRule type="expression" dxfId="475" priority="486">
      <formula>$H219&lt;&gt;"-"</formula>
    </cfRule>
  </conditionalFormatting>
  <conditionalFormatting sqref="E219">
    <cfRule type="expression" dxfId="474" priority="485">
      <formula>$I219&lt;&gt;"-"</formula>
    </cfRule>
  </conditionalFormatting>
  <conditionalFormatting sqref="B224">
    <cfRule type="expression" dxfId="473" priority="482">
      <formula>AD224&lt;&gt;""</formula>
    </cfRule>
  </conditionalFormatting>
  <conditionalFormatting sqref="Z224">
    <cfRule type="cellIs" dxfId="472" priority="480" operator="greaterThan">
      <formula>0</formula>
    </cfRule>
    <cfRule type="cellIs" dxfId="471" priority="481" operator="lessThan">
      <formula>0</formula>
    </cfRule>
  </conditionalFormatting>
  <conditionalFormatting sqref="S224">
    <cfRule type="cellIs" dxfId="470" priority="479" operator="lessThan">
      <formula>0</formula>
    </cfRule>
  </conditionalFormatting>
  <conditionalFormatting sqref="P224">
    <cfRule type="cellIs" dxfId="469" priority="477" operator="equal">
      <formula>AS_DURATION_EFFORT</formula>
    </cfRule>
    <cfRule type="cellIs" dxfId="468" priority="478" operator="equal">
      <formula>AS_DEV_EFFORT</formula>
    </cfRule>
  </conditionalFormatting>
  <conditionalFormatting sqref="L224:AC224">
    <cfRule type="expression" dxfId="467" priority="483">
      <formula>AND($G224="Yes", $S$6="Exclude")</formula>
    </cfRule>
    <cfRule type="expression" dxfId="466" priority="484">
      <formula>$J224="Yes"</formula>
    </cfRule>
  </conditionalFormatting>
  <conditionalFormatting sqref="F224">
    <cfRule type="expression" dxfId="465" priority="476">
      <formula>$K224&lt;&gt;""</formula>
    </cfRule>
  </conditionalFormatting>
  <conditionalFormatting sqref="C224">
    <cfRule type="expression" dxfId="464" priority="475">
      <formula>$G224&lt;&gt;"-"</formula>
    </cfRule>
  </conditionalFormatting>
  <conditionalFormatting sqref="D224">
    <cfRule type="expression" dxfId="463" priority="474">
      <formula>$H224&lt;&gt;"-"</formula>
    </cfRule>
  </conditionalFormatting>
  <conditionalFormatting sqref="E224">
    <cfRule type="expression" dxfId="462" priority="473">
      <formula>$I224&lt;&gt;"-"</formula>
    </cfRule>
  </conditionalFormatting>
  <conditionalFormatting sqref="B223">
    <cfRule type="expression" dxfId="461" priority="470">
      <formula>AD223&lt;&gt;""</formula>
    </cfRule>
  </conditionalFormatting>
  <conditionalFormatting sqref="Z223">
    <cfRule type="cellIs" dxfId="460" priority="468" operator="greaterThan">
      <formula>0</formula>
    </cfRule>
    <cfRule type="cellIs" dxfId="459" priority="469" operator="lessThan">
      <formula>0</formula>
    </cfRule>
  </conditionalFormatting>
  <conditionalFormatting sqref="S223">
    <cfRule type="cellIs" dxfId="458" priority="467" operator="lessThan">
      <formula>0</formula>
    </cfRule>
  </conditionalFormatting>
  <conditionalFormatting sqref="P223">
    <cfRule type="cellIs" dxfId="457" priority="465" operator="equal">
      <formula>AS_DURATION_EFFORT</formula>
    </cfRule>
    <cfRule type="cellIs" dxfId="456" priority="466" operator="equal">
      <formula>AS_DEV_EFFORT</formula>
    </cfRule>
  </conditionalFormatting>
  <conditionalFormatting sqref="L223:AC223">
    <cfRule type="expression" dxfId="455" priority="471">
      <formula>AND($G223="Yes", $S$6="Exclude")</formula>
    </cfRule>
    <cfRule type="expression" dxfId="454" priority="472">
      <formula>$J223="Yes"</formula>
    </cfRule>
  </conditionalFormatting>
  <conditionalFormatting sqref="F223">
    <cfRule type="expression" dxfId="453" priority="464">
      <formula>$K223&lt;&gt;""</formula>
    </cfRule>
  </conditionalFormatting>
  <conditionalFormatting sqref="C223">
    <cfRule type="expression" dxfId="452" priority="463">
      <formula>$G223&lt;&gt;"-"</formula>
    </cfRule>
  </conditionalFormatting>
  <conditionalFormatting sqref="D223">
    <cfRule type="expression" dxfId="451" priority="462">
      <formula>$H223&lt;&gt;"-"</formula>
    </cfRule>
  </conditionalFormatting>
  <conditionalFormatting sqref="E223">
    <cfRule type="expression" dxfId="450" priority="461">
      <formula>$I223&lt;&gt;"-"</formula>
    </cfRule>
  </conditionalFormatting>
  <conditionalFormatting sqref="B222">
    <cfRule type="expression" dxfId="449" priority="458">
      <formula>AD222&lt;&gt;""</formula>
    </cfRule>
  </conditionalFormatting>
  <conditionalFormatting sqref="Z222">
    <cfRule type="cellIs" dxfId="448" priority="456" operator="greaterThan">
      <formula>0</formula>
    </cfRule>
    <cfRule type="cellIs" dxfId="447" priority="457" operator="lessThan">
      <formula>0</formula>
    </cfRule>
  </conditionalFormatting>
  <conditionalFormatting sqref="S222">
    <cfRule type="cellIs" dxfId="446" priority="455" operator="lessThan">
      <formula>0</formula>
    </cfRule>
  </conditionalFormatting>
  <conditionalFormatting sqref="P222">
    <cfRule type="cellIs" dxfId="445" priority="453" operator="equal">
      <formula>AS_DURATION_EFFORT</formula>
    </cfRule>
    <cfRule type="cellIs" dxfId="444" priority="454" operator="equal">
      <formula>AS_DEV_EFFORT</formula>
    </cfRule>
  </conditionalFormatting>
  <conditionalFormatting sqref="L222:AC222">
    <cfRule type="expression" dxfId="443" priority="459">
      <formula>AND($G222="Yes", $S$6="Exclude")</formula>
    </cfRule>
    <cfRule type="expression" dxfId="442" priority="460">
      <formula>$J222="Yes"</formula>
    </cfRule>
  </conditionalFormatting>
  <conditionalFormatting sqref="F222">
    <cfRule type="expression" dxfId="441" priority="452">
      <formula>$K222&lt;&gt;""</formula>
    </cfRule>
  </conditionalFormatting>
  <conditionalFormatting sqref="C222">
    <cfRule type="expression" dxfId="440" priority="451">
      <formula>$G222&lt;&gt;"-"</formula>
    </cfRule>
  </conditionalFormatting>
  <conditionalFormatting sqref="D222">
    <cfRule type="expression" dxfId="439" priority="450">
      <formula>$H222&lt;&gt;"-"</formula>
    </cfRule>
  </conditionalFormatting>
  <conditionalFormatting sqref="E222">
    <cfRule type="expression" dxfId="438" priority="449">
      <formula>$I222&lt;&gt;"-"</formula>
    </cfRule>
  </conditionalFormatting>
  <conditionalFormatting sqref="B221">
    <cfRule type="expression" dxfId="437" priority="446">
      <formula>AD221&lt;&gt;""</formula>
    </cfRule>
  </conditionalFormatting>
  <conditionalFormatting sqref="Z221">
    <cfRule type="cellIs" dxfId="436" priority="444" operator="greaterThan">
      <formula>0</formula>
    </cfRule>
    <cfRule type="cellIs" dxfId="435" priority="445" operator="lessThan">
      <formula>0</formula>
    </cfRule>
  </conditionalFormatting>
  <conditionalFormatting sqref="S221">
    <cfRule type="cellIs" dxfId="434" priority="443" operator="lessThan">
      <formula>0</formula>
    </cfRule>
  </conditionalFormatting>
  <conditionalFormatting sqref="P221">
    <cfRule type="cellIs" dxfId="433" priority="441" operator="equal">
      <formula>AS_DURATION_EFFORT</formula>
    </cfRule>
    <cfRule type="cellIs" dxfId="432" priority="442" operator="equal">
      <formula>AS_DEV_EFFORT</formula>
    </cfRule>
  </conditionalFormatting>
  <conditionalFormatting sqref="L221:AC221">
    <cfRule type="expression" dxfId="431" priority="447">
      <formula>AND($G221="Yes", $S$6="Exclude")</formula>
    </cfRule>
    <cfRule type="expression" dxfId="430" priority="448">
      <formula>$J221="Yes"</formula>
    </cfRule>
  </conditionalFormatting>
  <conditionalFormatting sqref="F221">
    <cfRule type="expression" dxfId="429" priority="440">
      <formula>$K221&lt;&gt;""</formula>
    </cfRule>
  </conditionalFormatting>
  <conditionalFormatting sqref="C221">
    <cfRule type="expression" dxfId="428" priority="439">
      <formula>$G221&lt;&gt;"-"</formula>
    </cfRule>
  </conditionalFormatting>
  <conditionalFormatting sqref="D221">
    <cfRule type="expression" dxfId="427" priority="438">
      <formula>$H221&lt;&gt;"-"</formula>
    </cfRule>
  </conditionalFormatting>
  <conditionalFormatting sqref="E221">
    <cfRule type="expression" dxfId="426" priority="437">
      <formula>$I221&lt;&gt;"-"</formula>
    </cfRule>
  </conditionalFormatting>
  <conditionalFormatting sqref="B220">
    <cfRule type="expression" dxfId="425" priority="434">
      <formula>AD220&lt;&gt;""</formula>
    </cfRule>
  </conditionalFormatting>
  <conditionalFormatting sqref="Z220">
    <cfRule type="cellIs" dxfId="424" priority="432" operator="greaterThan">
      <formula>0</formula>
    </cfRule>
    <cfRule type="cellIs" dxfId="423" priority="433" operator="lessThan">
      <formula>0</formula>
    </cfRule>
  </conditionalFormatting>
  <conditionalFormatting sqref="S220">
    <cfRule type="cellIs" dxfId="422" priority="431" operator="lessThan">
      <formula>0</formula>
    </cfRule>
  </conditionalFormatting>
  <conditionalFormatting sqref="P220">
    <cfRule type="cellIs" dxfId="421" priority="429" operator="equal">
      <formula>AS_DURATION_EFFORT</formula>
    </cfRule>
    <cfRule type="cellIs" dxfId="420" priority="430" operator="equal">
      <formula>AS_DEV_EFFORT</formula>
    </cfRule>
  </conditionalFormatting>
  <conditionalFormatting sqref="L220:AC220">
    <cfRule type="expression" dxfId="419" priority="435">
      <formula>AND($G220="Yes", $S$6="Exclude")</formula>
    </cfRule>
    <cfRule type="expression" dxfId="418" priority="436">
      <formula>$J220="Yes"</formula>
    </cfRule>
  </conditionalFormatting>
  <conditionalFormatting sqref="F220">
    <cfRule type="expression" dxfId="417" priority="428">
      <formula>$K220&lt;&gt;""</formula>
    </cfRule>
  </conditionalFormatting>
  <conditionalFormatting sqref="C220">
    <cfRule type="expression" dxfId="416" priority="427">
      <formula>$G220&lt;&gt;"-"</formula>
    </cfRule>
  </conditionalFormatting>
  <conditionalFormatting sqref="D220">
    <cfRule type="expression" dxfId="415" priority="426">
      <formula>$H220&lt;&gt;"-"</formula>
    </cfRule>
  </conditionalFormatting>
  <conditionalFormatting sqref="E220">
    <cfRule type="expression" dxfId="414" priority="425">
      <formula>$I220&lt;&gt;"-"</formula>
    </cfRule>
  </conditionalFormatting>
  <conditionalFormatting sqref="B166">
    <cfRule type="expression" dxfId="413" priority="421">
      <formula>AD166&lt;&gt;""</formula>
    </cfRule>
  </conditionalFormatting>
  <conditionalFormatting sqref="Z166">
    <cfRule type="cellIs" dxfId="412" priority="419" operator="greaterThan">
      <formula>0</formula>
    </cfRule>
    <cfRule type="cellIs" dxfId="411" priority="420" operator="lessThan">
      <formula>0</formula>
    </cfRule>
  </conditionalFormatting>
  <conditionalFormatting sqref="S166">
    <cfRule type="cellIs" dxfId="410" priority="418" operator="lessThan">
      <formula>0</formula>
    </cfRule>
  </conditionalFormatting>
  <conditionalFormatting sqref="T164:T165">
    <cfRule type="expression" dxfId="409" priority="422">
      <formula>#REF!="Yes"</formula>
    </cfRule>
  </conditionalFormatting>
  <conditionalFormatting sqref="P166">
    <cfRule type="cellIs" dxfId="408" priority="416" operator="equal">
      <formula>AS_DURATION_EFFORT</formula>
    </cfRule>
    <cfRule type="cellIs" dxfId="407" priority="417" operator="equal">
      <formula>AS_DEV_EFFORT</formula>
    </cfRule>
  </conditionalFormatting>
  <conditionalFormatting sqref="B164:B165">
    <cfRule type="expression" dxfId="406" priority="415">
      <formula>AD164&lt;&gt;""</formula>
    </cfRule>
  </conditionalFormatting>
  <conditionalFormatting sqref="L166:AC166">
    <cfRule type="expression" dxfId="405" priority="423">
      <formula>AND($G166="Yes", $S$6="Exclude")</formula>
    </cfRule>
    <cfRule type="expression" dxfId="404" priority="424">
      <formula>$J166="Yes"</formula>
    </cfRule>
  </conditionalFormatting>
  <conditionalFormatting sqref="F166">
    <cfRule type="expression" dxfId="403" priority="414">
      <formula>$K166&lt;&gt;""</formula>
    </cfRule>
  </conditionalFormatting>
  <conditionalFormatting sqref="C166">
    <cfRule type="expression" dxfId="402" priority="413">
      <formula>$G166&lt;&gt;"-"</formula>
    </cfRule>
  </conditionalFormatting>
  <conditionalFormatting sqref="D166">
    <cfRule type="expression" dxfId="401" priority="412">
      <formula>$H166&lt;&gt;"-"</formula>
    </cfRule>
  </conditionalFormatting>
  <conditionalFormatting sqref="E166">
    <cfRule type="expression" dxfId="400" priority="411">
      <formula>$I166&lt;&gt;"-"</formula>
    </cfRule>
  </conditionalFormatting>
  <conditionalFormatting sqref="B170">
    <cfRule type="expression" dxfId="399" priority="408">
      <formula>AD170&lt;&gt;""</formula>
    </cfRule>
  </conditionalFormatting>
  <conditionalFormatting sqref="Z170">
    <cfRule type="cellIs" dxfId="398" priority="406" operator="greaterThan">
      <formula>0</formula>
    </cfRule>
    <cfRule type="cellIs" dxfId="397" priority="407" operator="lessThan">
      <formula>0</formula>
    </cfRule>
  </conditionalFormatting>
  <conditionalFormatting sqref="S170">
    <cfRule type="cellIs" dxfId="396" priority="405" operator="lessThan">
      <formula>0</formula>
    </cfRule>
  </conditionalFormatting>
  <conditionalFormatting sqref="P170">
    <cfRule type="cellIs" dxfId="395" priority="403" operator="equal">
      <formula>AS_DURATION_EFFORT</formula>
    </cfRule>
    <cfRule type="cellIs" dxfId="394" priority="404" operator="equal">
      <formula>AS_DEV_EFFORT</formula>
    </cfRule>
  </conditionalFormatting>
  <conditionalFormatting sqref="L170:AC170">
    <cfRule type="expression" dxfId="393" priority="409">
      <formula>AND($G170="Yes", $S$6="Exclude")</formula>
    </cfRule>
    <cfRule type="expression" dxfId="392" priority="410">
      <formula>$J170="Yes"</formula>
    </cfRule>
  </conditionalFormatting>
  <conditionalFormatting sqref="F170">
    <cfRule type="expression" dxfId="391" priority="402">
      <formula>$K170&lt;&gt;""</formula>
    </cfRule>
  </conditionalFormatting>
  <conditionalFormatting sqref="C170">
    <cfRule type="expression" dxfId="390" priority="401">
      <formula>$G170&lt;&gt;"-"</formula>
    </cfRule>
  </conditionalFormatting>
  <conditionalFormatting sqref="D170">
    <cfRule type="expression" dxfId="389" priority="400">
      <formula>$H170&lt;&gt;"-"</formula>
    </cfRule>
  </conditionalFormatting>
  <conditionalFormatting sqref="E170">
    <cfRule type="expression" dxfId="388" priority="399">
      <formula>$I170&lt;&gt;"-"</formula>
    </cfRule>
  </conditionalFormatting>
  <conditionalFormatting sqref="B169">
    <cfRule type="expression" dxfId="387" priority="396">
      <formula>AD169&lt;&gt;""</formula>
    </cfRule>
  </conditionalFormatting>
  <conditionalFormatting sqref="Z169">
    <cfRule type="cellIs" dxfId="386" priority="394" operator="greaterThan">
      <formula>0</formula>
    </cfRule>
    <cfRule type="cellIs" dxfId="385" priority="395" operator="lessThan">
      <formula>0</formula>
    </cfRule>
  </conditionalFormatting>
  <conditionalFormatting sqref="S169">
    <cfRule type="cellIs" dxfId="384" priority="393" operator="lessThan">
      <formula>0</formula>
    </cfRule>
  </conditionalFormatting>
  <conditionalFormatting sqref="P169">
    <cfRule type="cellIs" dxfId="383" priority="391" operator="equal">
      <formula>AS_DURATION_EFFORT</formula>
    </cfRule>
    <cfRule type="cellIs" dxfId="382" priority="392" operator="equal">
      <formula>AS_DEV_EFFORT</formula>
    </cfRule>
  </conditionalFormatting>
  <conditionalFormatting sqref="L169:AC169">
    <cfRule type="expression" dxfId="381" priority="397">
      <formula>AND($G169="Yes", $S$6="Exclude")</formula>
    </cfRule>
    <cfRule type="expression" dxfId="380" priority="398">
      <formula>$J169="Yes"</formula>
    </cfRule>
  </conditionalFormatting>
  <conditionalFormatting sqref="F169">
    <cfRule type="expression" dxfId="379" priority="390">
      <formula>$K169&lt;&gt;""</formula>
    </cfRule>
  </conditionalFormatting>
  <conditionalFormatting sqref="C169">
    <cfRule type="expression" dxfId="378" priority="389">
      <formula>$G169&lt;&gt;"-"</formula>
    </cfRule>
  </conditionalFormatting>
  <conditionalFormatting sqref="D169">
    <cfRule type="expression" dxfId="377" priority="388">
      <formula>$H169&lt;&gt;"-"</formula>
    </cfRule>
  </conditionalFormatting>
  <conditionalFormatting sqref="E169">
    <cfRule type="expression" dxfId="376" priority="387">
      <formula>$I169&lt;&gt;"-"</formula>
    </cfRule>
  </conditionalFormatting>
  <conditionalFormatting sqref="B168">
    <cfRule type="expression" dxfId="375" priority="384">
      <formula>AD168&lt;&gt;""</formula>
    </cfRule>
  </conditionalFormatting>
  <conditionalFormatting sqref="Z168">
    <cfRule type="cellIs" dxfId="374" priority="382" operator="greaterThan">
      <formula>0</formula>
    </cfRule>
    <cfRule type="cellIs" dxfId="373" priority="383" operator="lessThan">
      <formula>0</formula>
    </cfRule>
  </conditionalFormatting>
  <conditionalFormatting sqref="S168">
    <cfRule type="cellIs" dxfId="372" priority="381" operator="lessThan">
      <formula>0</formula>
    </cfRule>
  </conditionalFormatting>
  <conditionalFormatting sqref="P168">
    <cfRule type="cellIs" dxfId="371" priority="379" operator="equal">
      <formula>AS_DURATION_EFFORT</formula>
    </cfRule>
    <cfRule type="cellIs" dxfId="370" priority="380" operator="equal">
      <formula>AS_DEV_EFFORT</formula>
    </cfRule>
  </conditionalFormatting>
  <conditionalFormatting sqref="L168:AC168">
    <cfRule type="expression" dxfId="369" priority="385">
      <formula>AND($G168="Yes", $S$6="Exclude")</formula>
    </cfRule>
    <cfRule type="expression" dxfId="368" priority="386">
      <formula>$J168="Yes"</formula>
    </cfRule>
  </conditionalFormatting>
  <conditionalFormatting sqref="F168">
    <cfRule type="expression" dxfId="367" priority="378">
      <formula>$K168&lt;&gt;""</formula>
    </cfRule>
  </conditionalFormatting>
  <conditionalFormatting sqref="C168">
    <cfRule type="expression" dxfId="366" priority="377">
      <formula>$G168&lt;&gt;"-"</formula>
    </cfRule>
  </conditionalFormatting>
  <conditionalFormatting sqref="D168">
    <cfRule type="expression" dxfId="365" priority="376">
      <formula>$H168&lt;&gt;"-"</formula>
    </cfRule>
  </conditionalFormatting>
  <conditionalFormatting sqref="E168">
    <cfRule type="expression" dxfId="364" priority="375">
      <formula>$I168&lt;&gt;"-"</formula>
    </cfRule>
  </conditionalFormatting>
  <conditionalFormatting sqref="B167">
    <cfRule type="expression" dxfId="363" priority="372">
      <formula>AD167&lt;&gt;""</formula>
    </cfRule>
  </conditionalFormatting>
  <conditionalFormatting sqref="Z167">
    <cfRule type="cellIs" dxfId="362" priority="370" operator="greaterThan">
      <formula>0</formula>
    </cfRule>
    <cfRule type="cellIs" dxfId="361" priority="371" operator="lessThan">
      <formula>0</formula>
    </cfRule>
  </conditionalFormatting>
  <conditionalFormatting sqref="S167">
    <cfRule type="cellIs" dxfId="360" priority="369" operator="lessThan">
      <formula>0</formula>
    </cfRule>
  </conditionalFormatting>
  <conditionalFormatting sqref="P167">
    <cfRule type="cellIs" dxfId="359" priority="367" operator="equal">
      <formula>AS_DURATION_EFFORT</formula>
    </cfRule>
    <cfRule type="cellIs" dxfId="358" priority="368" operator="equal">
      <formula>AS_DEV_EFFORT</formula>
    </cfRule>
  </conditionalFormatting>
  <conditionalFormatting sqref="L167:AC167">
    <cfRule type="expression" dxfId="357" priority="373">
      <formula>AND($G167="Yes", $S$6="Exclude")</formula>
    </cfRule>
    <cfRule type="expression" dxfId="356" priority="374">
      <formula>$J167="Yes"</formula>
    </cfRule>
  </conditionalFormatting>
  <conditionalFormatting sqref="F167">
    <cfRule type="expression" dxfId="355" priority="366">
      <formula>$K167&lt;&gt;""</formula>
    </cfRule>
  </conditionalFormatting>
  <conditionalFormatting sqref="C167">
    <cfRule type="expression" dxfId="354" priority="365">
      <formula>$G167&lt;&gt;"-"</formula>
    </cfRule>
  </conditionalFormatting>
  <conditionalFormatting sqref="D167">
    <cfRule type="expression" dxfId="353" priority="364">
      <formula>$H167&lt;&gt;"-"</formula>
    </cfRule>
  </conditionalFormatting>
  <conditionalFormatting sqref="E167">
    <cfRule type="expression" dxfId="352" priority="363">
      <formula>$I167&lt;&gt;"-"</formula>
    </cfRule>
  </conditionalFormatting>
  <conditionalFormatting sqref="B152">
    <cfRule type="expression" dxfId="351" priority="360">
      <formula>AD152&lt;&gt;""</formula>
    </cfRule>
  </conditionalFormatting>
  <conditionalFormatting sqref="Z152">
    <cfRule type="cellIs" dxfId="350" priority="358" operator="greaterThan">
      <formula>0</formula>
    </cfRule>
    <cfRule type="cellIs" dxfId="349" priority="359" operator="lessThan">
      <formula>0</formula>
    </cfRule>
  </conditionalFormatting>
  <conditionalFormatting sqref="S152">
    <cfRule type="cellIs" dxfId="348" priority="357" operator="lessThan">
      <formula>0</formula>
    </cfRule>
  </conditionalFormatting>
  <conditionalFormatting sqref="P152">
    <cfRule type="cellIs" dxfId="347" priority="355" operator="equal">
      <formula>AS_DURATION_EFFORT</formula>
    </cfRule>
    <cfRule type="cellIs" dxfId="346" priority="356" operator="equal">
      <formula>AS_DEV_EFFORT</formula>
    </cfRule>
  </conditionalFormatting>
  <conditionalFormatting sqref="L152:AC152">
    <cfRule type="expression" dxfId="345" priority="361">
      <formula>AND($G152="Yes", $S$6="Exclude")</formula>
    </cfRule>
    <cfRule type="expression" dxfId="344" priority="362">
      <formula>$J152="Yes"</formula>
    </cfRule>
  </conditionalFormatting>
  <conditionalFormatting sqref="F152">
    <cfRule type="expression" dxfId="343" priority="354">
      <formula>$K152&lt;&gt;""</formula>
    </cfRule>
  </conditionalFormatting>
  <conditionalFormatting sqref="C152">
    <cfRule type="expression" dxfId="342" priority="353">
      <formula>$G152&lt;&gt;"-"</formula>
    </cfRule>
  </conditionalFormatting>
  <conditionalFormatting sqref="D152">
    <cfRule type="expression" dxfId="341" priority="352">
      <formula>$H152&lt;&gt;"-"</formula>
    </cfRule>
  </conditionalFormatting>
  <conditionalFormatting sqref="E152">
    <cfRule type="expression" dxfId="340" priority="351">
      <formula>$I152&lt;&gt;"-"</formula>
    </cfRule>
  </conditionalFormatting>
  <conditionalFormatting sqref="B125">
    <cfRule type="expression" dxfId="339" priority="348">
      <formula>AD125&lt;&gt;""</formula>
    </cfRule>
  </conditionalFormatting>
  <conditionalFormatting sqref="Z125">
    <cfRule type="cellIs" dxfId="338" priority="346" operator="greaterThan">
      <formula>0</formula>
    </cfRule>
    <cfRule type="cellIs" dxfId="337" priority="347" operator="lessThan">
      <formula>0</formula>
    </cfRule>
  </conditionalFormatting>
  <conditionalFormatting sqref="S125">
    <cfRule type="cellIs" dxfId="336" priority="345" operator="lessThan">
      <formula>0</formula>
    </cfRule>
  </conditionalFormatting>
  <conditionalFormatting sqref="P125">
    <cfRule type="cellIs" dxfId="335" priority="343" operator="equal">
      <formula>AS_DURATION_EFFORT</formula>
    </cfRule>
    <cfRule type="cellIs" dxfId="334" priority="344" operator="equal">
      <formula>AS_DEV_EFFORT</formula>
    </cfRule>
  </conditionalFormatting>
  <conditionalFormatting sqref="L125:AC125">
    <cfRule type="expression" dxfId="333" priority="349">
      <formula>AND($G125="Yes", $S$6="Exclude")</formula>
    </cfRule>
    <cfRule type="expression" dxfId="332" priority="350">
      <formula>$J125="Yes"</formula>
    </cfRule>
  </conditionalFormatting>
  <conditionalFormatting sqref="F125">
    <cfRule type="expression" dxfId="331" priority="342">
      <formula>$K125&lt;&gt;""</formula>
    </cfRule>
  </conditionalFormatting>
  <conditionalFormatting sqref="C125">
    <cfRule type="expression" dxfId="330" priority="341">
      <formula>$G125&lt;&gt;"-"</formula>
    </cfRule>
  </conditionalFormatting>
  <conditionalFormatting sqref="D125">
    <cfRule type="expression" dxfId="329" priority="340">
      <formula>$H125&lt;&gt;"-"</formula>
    </cfRule>
  </conditionalFormatting>
  <conditionalFormatting sqref="E125">
    <cfRule type="expression" dxfId="328" priority="339">
      <formula>$I125&lt;&gt;"-"</formula>
    </cfRule>
  </conditionalFormatting>
  <conditionalFormatting sqref="B124">
    <cfRule type="expression" dxfId="327" priority="336">
      <formula>AD124&lt;&gt;""</formula>
    </cfRule>
  </conditionalFormatting>
  <conditionalFormatting sqref="Z124">
    <cfRule type="cellIs" dxfId="326" priority="334" operator="greaterThan">
      <formula>0</formula>
    </cfRule>
    <cfRule type="cellIs" dxfId="325" priority="335" operator="lessThan">
      <formula>0</formula>
    </cfRule>
  </conditionalFormatting>
  <conditionalFormatting sqref="S124">
    <cfRule type="cellIs" dxfId="324" priority="333" operator="lessThan">
      <formula>0</formula>
    </cfRule>
  </conditionalFormatting>
  <conditionalFormatting sqref="P124">
    <cfRule type="cellIs" dxfId="323" priority="331" operator="equal">
      <formula>AS_DURATION_EFFORT</formula>
    </cfRule>
    <cfRule type="cellIs" dxfId="322" priority="332" operator="equal">
      <formula>AS_DEV_EFFORT</formula>
    </cfRule>
  </conditionalFormatting>
  <conditionalFormatting sqref="L124:AC124">
    <cfRule type="expression" dxfId="321" priority="337">
      <formula>AND($G124="Yes", $S$6="Exclude")</formula>
    </cfRule>
    <cfRule type="expression" dxfId="320" priority="338">
      <formula>$J124="Yes"</formula>
    </cfRule>
  </conditionalFormatting>
  <conditionalFormatting sqref="F124">
    <cfRule type="expression" dxfId="319" priority="330">
      <formula>$K124&lt;&gt;""</formula>
    </cfRule>
  </conditionalFormatting>
  <conditionalFormatting sqref="C124">
    <cfRule type="expression" dxfId="318" priority="329">
      <formula>$G124&lt;&gt;"-"</formula>
    </cfRule>
  </conditionalFormatting>
  <conditionalFormatting sqref="D124">
    <cfRule type="expression" dxfId="317" priority="328">
      <formula>$H124&lt;&gt;"-"</formula>
    </cfRule>
  </conditionalFormatting>
  <conditionalFormatting sqref="E124">
    <cfRule type="expression" dxfId="316" priority="327">
      <formula>$I124&lt;&gt;"-"</formula>
    </cfRule>
  </conditionalFormatting>
  <conditionalFormatting sqref="B123">
    <cfRule type="expression" dxfId="315" priority="324">
      <formula>AD123&lt;&gt;""</formula>
    </cfRule>
  </conditionalFormatting>
  <conditionalFormatting sqref="Z123">
    <cfRule type="cellIs" dxfId="314" priority="322" operator="greaterThan">
      <formula>0</formula>
    </cfRule>
    <cfRule type="cellIs" dxfId="313" priority="323" operator="lessThan">
      <formula>0</formula>
    </cfRule>
  </conditionalFormatting>
  <conditionalFormatting sqref="S123">
    <cfRule type="cellIs" dxfId="312" priority="321" operator="lessThan">
      <formula>0</formula>
    </cfRule>
  </conditionalFormatting>
  <conditionalFormatting sqref="P123">
    <cfRule type="cellIs" dxfId="311" priority="319" operator="equal">
      <formula>AS_DURATION_EFFORT</formula>
    </cfRule>
    <cfRule type="cellIs" dxfId="310" priority="320" operator="equal">
      <formula>AS_DEV_EFFORT</formula>
    </cfRule>
  </conditionalFormatting>
  <conditionalFormatting sqref="L123:AC123">
    <cfRule type="expression" dxfId="309" priority="325">
      <formula>AND($G123="Yes", $S$6="Exclude")</formula>
    </cfRule>
    <cfRule type="expression" dxfId="308" priority="326">
      <formula>$J123="Yes"</formula>
    </cfRule>
  </conditionalFormatting>
  <conditionalFormatting sqref="F123">
    <cfRule type="expression" dxfId="307" priority="318">
      <formula>$K123&lt;&gt;""</formula>
    </cfRule>
  </conditionalFormatting>
  <conditionalFormatting sqref="C123">
    <cfRule type="expression" dxfId="306" priority="317">
      <formula>$G123&lt;&gt;"-"</formula>
    </cfRule>
  </conditionalFormatting>
  <conditionalFormatting sqref="D123">
    <cfRule type="expression" dxfId="305" priority="316">
      <formula>$H123&lt;&gt;"-"</formula>
    </cfRule>
  </conditionalFormatting>
  <conditionalFormatting sqref="E123">
    <cfRule type="expression" dxfId="304" priority="315">
      <formula>$I123&lt;&gt;"-"</formula>
    </cfRule>
  </conditionalFormatting>
  <conditionalFormatting sqref="B497">
    <cfRule type="expression" dxfId="303" priority="314">
      <formula>AD497&lt;&gt;""</formula>
    </cfRule>
  </conditionalFormatting>
  <conditionalFormatting sqref="Z497">
    <cfRule type="cellIs" dxfId="302" priority="312" operator="greaterThan">
      <formula>0</formula>
    </cfRule>
    <cfRule type="cellIs" dxfId="301" priority="313" operator="lessThan">
      <formula>0</formula>
    </cfRule>
  </conditionalFormatting>
  <conditionalFormatting sqref="S497">
    <cfRule type="cellIs" dxfId="300" priority="311" operator="lessThan">
      <formula>0</formula>
    </cfRule>
  </conditionalFormatting>
  <conditionalFormatting sqref="P497">
    <cfRule type="cellIs" dxfId="299" priority="309" operator="equal">
      <formula>AS_DURATION_EFFORT</formula>
    </cfRule>
    <cfRule type="cellIs" dxfId="298" priority="310" operator="equal">
      <formula>AS_DEV_EFFORT</formula>
    </cfRule>
  </conditionalFormatting>
  <conditionalFormatting sqref="F497">
    <cfRule type="expression" dxfId="297" priority="308">
      <formula>$K497&lt;&gt;""</formula>
    </cfRule>
  </conditionalFormatting>
  <conditionalFormatting sqref="C497">
    <cfRule type="expression" dxfId="296" priority="307">
      <formula>$G497&lt;&gt;"-"</formula>
    </cfRule>
  </conditionalFormatting>
  <conditionalFormatting sqref="D497">
    <cfRule type="expression" dxfId="295" priority="306">
      <formula>$H497&lt;&gt;"-"</formula>
    </cfRule>
  </conditionalFormatting>
  <conditionalFormatting sqref="E497">
    <cfRule type="expression" dxfId="294" priority="305">
      <formula>$I497&lt;&gt;"-"</formula>
    </cfRule>
  </conditionalFormatting>
  <conditionalFormatting sqref="B433">
    <cfRule type="expression" dxfId="293" priority="294">
      <formula>AD433&lt;&gt;""</formula>
    </cfRule>
  </conditionalFormatting>
  <conditionalFormatting sqref="Z433">
    <cfRule type="cellIs" dxfId="292" priority="292" operator="greaterThan">
      <formula>0</formula>
    </cfRule>
    <cfRule type="cellIs" dxfId="291" priority="293" operator="lessThan">
      <formula>0</formula>
    </cfRule>
  </conditionalFormatting>
  <conditionalFormatting sqref="S433">
    <cfRule type="cellIs" dxfId="290" priority="291" operator="lessThan">
      <formula>0</formula>
    </cfRule>
  </conditionalFormatting>
  <conditionalFormatting sqref="P433">
    <cfRule type="cellIs" dxfId="289" priority="289" operator="equal">
      <formula>AS_DURATION_EFFORT</formula>
    </cfRule>
    <cfRule type="cellIs" dxfId="288" priority="290" operator="equal">
      <formula>AS_DEV_EFFORT</formula>
    </cfRule>
  </conditionalFormatting>
  <conditionalFormatting sqref="F433">
    <cfRule type="expression" dxfId="287" priority="288">
      <formula>$K433&lt;&gt;""</formula>
    </cfRule>
  </conditionalFormatting>
  <conditionalFormatting sqref="C433">
    <cfRule type="expression" dxfId="286" priority="287">
      <formula>$G433&lt;&gt;"-"</formula>
    </cfRule>
  </conditionalFormatting>
  <conditionalFormatting sqref="D433">
    <cfRule type="expression" dxfId="285" priority="286">
      <formula>$H433&lt;&gt;"-"</formula>
    </cfRule>
  </conditionalFormatting>
  <conditionalFormatting sqref="E433">
    <cfRule type="expression" dxfId="284" priority="285">
      <formula>$I433&lt;&gt;"-"</formula>
    </cfRule>
  </conditionalFormatting>
  <conditionalFormatting sqref="B420">
    <cfRule type="expression" dxfId="283" priority="284">
      <formula>AD420&lt;&gt;""</formula>
    </cfRule>
  </conditionalFormatting>
  <conditionalFormatting sqref="Z420">
    <cfRule type="cellIs" dxfId="282" priority="282" operator="greaterThan">
      <formula>0</formula>
    </cfRule>
    <cfRule type="cellIs" dxfId="281" priority="283" operator="lessThan">
      <formula>0</formula>
    </cfRule>
  </conditionalFormatting>
  <conditionalFormatting sqref="S420">
    <cfRule type="cellIs" dxfId="280" priority="281" operator="lessThan">
      <formula>0</formula>
    </cfRule>
  </conditionalFormatting>
  <conditionalFormatting sqref="P420">
    <cfRule type="cellIs" dxfId="279" priority="279" operator="equal">
      <formula>AS_DURATION_EFFORT</formula>
    </cfRule>
    <cfRule type="cellIs" dxfId="278" priority="280" operator="equal">
      <formula>AS_DEV_EFFORT</formula>
    </cfRule>
  </conditionalFormatting>
  <conditionalFormatting sqref="F420">
    <cfRule type="expression" dxfId="277" priority="278">
      <formula>$K420&lt;&gt;""</formula>
    </cfRule>
  </conditionalFormatting>
  <conditionalFormatting sqref="C420">
    <cfRule type="expression" dxfId="276" priority="277">
      <formula>$G420&lt;&gt;"-"</formula>
    </cfRule>
  </conditionalFormatting>
  <conditionalFormatting sqref="D420">
    <cfRule type="expression" dxfId="275" priority="276">
      <formula>$H420&lt;&gt;"-"</formula>
    </cfRule>
  </conditionalFormatting>
  <conditionalFormatting sqref="E420">
    <cfRule type="expression" dxfId="274" priority="275">
      <formula>$I420&lt;&gt;"-"</formula>
    </cfRule>
  </conditionalFormatting>
  <conditionalFormatting sqref="B419">
    <cfRule type="expression" dxfId="273" priority="274">
      <formula>AD419&lt;&gt;""</formula>
    </cfRule>
  </conditionalFormatting>
  <conditionalFormatting sqref="Z419">
    <cfRule type="cellIs" dxfId="272" priority="272" operator="greaterThan">
      <formula>0</formula>
    </cfRule>
    <cfRule type="cellIs" dxfId="271" priority="273" operator="lessThan">
      <formula>0</formula>
    </cfRule>
  </conditionalFormatting>
  <conditionalFormatting sqref="S419">
    <cfRule type="cellIs" dxfId="270" priority="271" operator="lessThan">
      <formula>0</formula>
    </cfRule>
  </conditionalFormatting>
  <conditionalFormatting sqref="P419">
    <cfRule type="cellIs" dxfId="269" priority="269" operator="equal">
      <formula>AS_DURATION_EFFORT</formula>
    </cfRule>
    <cfRule type="cellIs" dxfId="268" priority="270" operator="equal">
      <formula>AS_DEV_EFFORT</formula>
    </cfRule>
  </conditionalFormatting>
  <conditionalFormatting sqref="F419">
    <cfRule type="expression" dxfId="267" priority="268">
      <formula>$K419&lt;&gt;""</formula>
    </cfRule>
  </conditionalFormatting>
  <conditionalFormatting sqref="C419">
    <cfRule type="expression" dxfId="266" priority="267">
      <formula>$G419&lt;&gt;"-"</formula>
    </cfRule>
  </conditionalFormatting>
  <conditionalFormatting sqref="D419">
    <cfRule type="expression" dxfId="265" priority="266">
      <formula>$H419&lt;&gt;"-"</formula>
    </cfRule>
  </conditionalFormatting>
  <conditionalFormatting sqref="E419">
    <cfRule type="expression" dxfId="264" priority="265">
      <formula>$I419&lt;&gt;"-"</formula>
    </cfRule>
  </conditionalFormatting>
  <conditionalFormatting sqref="B418">
    <cfRule type="expression" dxfId="263" priority="264">
      <formula>AD418&lt;&gt;""</formula>
    </cfRule>
  </conditionalFormatting>
  <conditionalFormatting sqref="Z418">
    <cfRule type="cellIs" dxfId="262" priority="262" operator="greaterThan">
      <formula>0</formula>
    </cfRule>
    <cfRule type="cellIs" dxfId="261" priority="263" operator="lessThan">
      <formula>0</formula>
    </cfRule>
  </conditionalFormatting>
  <conditionalFormatting sqref="S418">
    <cfRule type="cellIs" dxfId="260" priority="261" operator="lessThan">
      <formula>0</formula>
    </cfRule>
  </conditionalFormatting>
  <conditionalFormatting sqref="P418">
    <cfRule type="cellIs" dxfId="259" priority="259" operator="equal">
      <formula>AS_DURATION_EFFORT</formula>
    </cfRule>
    <cfRule type="cellIs" dxfId="258" priority="260" operator="equal">
      <formula>AS_DEV_EFFORT</formula>
    </cfRule>
  </conditionalFormatting>
  <conditionalFormatting sqref="F418">
    <cfRule type="expression" dxfId="257" priority="258">
      <formula>$K418&lt;&gt;""</formula>
    </cfRule>
  </conditionalFormatting>
  <conditionalFormatting sqref="C418">
    <cfRule type="expression" dxfId="256" priority="257">
      <formula>$G418&lt;&gt;"-"</formula>
    </cfRule>
  </conditionalFormatting>
  <conditionalFormatting sqref="D418">
    <cfRule type="expression" dxfId="255" priority="256">
      <formula>$H418&lt;&gt;"-"</formula>
    </cfRule>
  </conditionalFormatting>
  <conditionalFormatting sqref="E418">
    <cfRule type="expression" dxfId="254" priority="255">
      <formula>$I418&lt;&gt;"-"</formula>
    </cfRule>
  </conditionalFormatting>
  <conditionalFormatting sqref="B406">
    <cfRule type="expression" dxfId="253" priority="254">
      <formula>AD406&lt;&gt;""</formula>
    </cfRule>
  </conditionalFormatting>
  <conditionalFormatting sqref="Z406">
    <cfRule type="cellIs" dxfId="252" priority="252" operator="greaterThan">
      <formula>0</formula>
    </cfRule>
    <cfRule type="cellIs" dxfId="251" priority="253" operator="lessThan">
      <formula>0</formula>
    </cfRule>
  </conditionalFormatting>
  <conditionalFormatting sqref="S406">
    <cfRule type="cellIs" dxfId="250" priority="251" operator="lessThan">
      <formula>0</formula>
    </cfRule>
  </conditionalFormatting>
  <conditionalFormatting sqref="P406">
    <cfRule type="cellIs" dxfId="249" priority="249" operator="equal">
      <formula>AS_DURATION_EFFORT</formula>
    </cfRule>
    <cfRule type="cellIs" dxfId="248" priority="250" operator="equal">
      <formula>AS_DEV_EFFORT</formula>
    </cfRule>
  </conditionalFormatting>
  <conditionalFormatting sqref="F406">
    <cfRule type="expression" dxfId="247" priority="248">
      <formula>$K406&lt;&gt;""</formula>
    </cfRule>
  </conditionalFormatting>
  <conditionalFormatting sqref="C406">
    <cfRule type="expression" dxfId="246" priority="247">
      <formula>$G406&lt;&gt;"-"</formula>
    </cfRule>
  </conditionalFormatting>
  <conditionalFormatting sqref="D406">
    <cfRule type="expression" dxfId="245" priority="246">
      <formula>$H406&lt;&gt;"-"</formula>
    </cfRule>
  </conditionalFormatting>
  <conditionalFormatting sqref="E406">
    <cfRule type="expression" dxfId="244" priority="245">
      <formula>$I406&lt;&gt;"-"</formula>
    </cfRule>
  </conditionalFormatting>
  <conditionalFormatting sqref="B405">
    <cfRule type="expression" dxfId="243" priority="244">
      <formula>AD405&lt;&gt;""</formula>
    </cfRule>
  </conditionalFormatting>
  <conditionalFormatting sqref="Z405">
    <cfRule type="cellIs" dxfId="242" priority="242" operator="greaterThan">
      <formula>0</formula>
    </cfRule>
    <cfRule type="cellIs" dxfId="241" priority="243" operator="lessThan">
      <formula>0</formula>
    </cfRule>
  </conditionalFormatting>
  <conditionalFormatting sqref="S405">
    <cfRule type="cellIs" dxfId="240" priority="241" operator="lessThan">
      <formula>0</formula>
    </cfRule>
  </conditionalFormatting>
  <conditionalFormatting sqref="P405">
    <cfRule type="cellIs" dxfId="239" priority="239" operator="equal">
      <formula>AS_DURATION_EFFORT</formula>
    </cfRule>
    <cfRule type="cellIs" dxfId="238" priority="240" operator="equal">
      <formula>AS_DEV_EFFORT</formula>
    </cfRule>
  </conditionalFormatting>
  <conditionalFormatting sqref="F405">
    <cfRule type="expression" dxfId="237" priority="238">
      <formula>$K405&lt;&gt;""</formula>
    </cfRule>
  </conditionalFormatting>
  <conditionalFormatting sqref="C405">
    <cfRule type="expression" dxfId="236" priority="237">
      <formula>$G405&lt;&gt;"-"</formula>
    </cfRule>
  </conditionalFormatting>
  <conditionalFormatting sqref="D405">
    <cfRule type="expression" dxfId="235" priority="236">
      <formula>$H405&lt;&gt;"-"</formula>
    </cfRule>
  </conditionalFormatting>
  <conditionalFormatting sqref="E405">
    <cfRule type="expression" dxfId="234" priority="235">
      <formula>$I405&lt;&gt;"-"</formula>
    </cfRule>
  </conditionalFormatting>
  <conditionalFormatting sqref="B404">
    <cfRule type="expression" dxfId="233" priority="234">
      <formula>AD404&lt;&gt;""</formula>
    </cfRule>
  </conditionalFormatting>
  <conditionalFormatting sqref="Z404">
    <cfRule type="cellIs" dxfId="232" priority="232" operator="greaterThan">
      <formula>0</formula>
    </cfRule>
    <cfRule type="cellIs" dxfId="231" priority="233" operator="lessThan">
      <formula>0</formula>
    </cfRule>
  </conditionalFormatting>
  <conditionalFormatting sqref="S404">
    <cfRule type="cellIs" dxfId="230" priority="231" operator="lessThan">
      <formula>0</formula>
    </cfRule>
  </conditionalFormatting>
  <conditionalFormatting sqref="P404">
    <cfRule type="cellIs" dxfId="229" priority="229" operator="equal">
      <formula>AS_DURATION_EFFORT</formula>
    </cfRule>
    <cfRule type="cellIs" dxfId="228" priority="230" operator="equal">
      <formula>AS_DEV_EFFORT</formula>
    </cfRule>
  </conditionalFormatting>
  <conditionalFormatting sqref="F404">
    <cfRule type="expression" dxfId="227" priority="228">
      <formula>$K404&lt;&gt;""</formula>
    </cfRule>
  </conditionalFormatting>
  <conditionalFormatting sqref="C404">
    <cfRule type="expression" dxfId="226" priority="227">
      <formula>$G404&lt;&gt;"-"</formula>
    </cfRule>
  </conditionalFormatting>
  <conditionalFormatting sqref="D404">
    <cfRule type="expression" dxfId="225" priority="226">
      <formula>$H404&lt;&gt;"-"</formula>
    </cfRule>
  </conditionalFormatting>
  <conditionalFormatting sqref="E404">
    <cfRule type="expression" dxfId="224" priority="225">
      <formula>$I404&lt;&gt;"-"</formula>
    </cfRule>
  </conditionalFormatting>
  <conditionalFormatting sqref="B309">
    <cfRule type="expression" dxfId="223" priority="224">
      <formula>AD309&lt;&gt;""</formula>
    </cfRule>
  </conditionalFormatting>
  <conditionalFormatting sqref="Z309">
    <cfRule type="cellIs" dxfId="222" priority="222" operator="greaterThan">
      <formula>0</formula>
    </cfRule>
    <cfRule type="cellIs" dxfId="221" priority="223" operator="lessThan">
      <formula>0</formula>
    </cfRule>
  </conditionalFormatting>
  <conditionalFormatting sqref="S309">
    <cfRule type="cellIs" dxfId="220" priority="221" operator="lessThan">
      <formula>0</formula>
    </cfRule>
  </conditionalFormatting>
  <conditionalFormatting sqref="P309">
    <cfRule type="cellIs" dxfId="219" priority="219" operator="equal">
      <formula>AS_DURATION_EFFORT</formula>
    </cfRule>
    <cfRule type="cellIs" dxfId="218" priority="220" operator="equal">
      <formula>AS_DEV_EFFORT</formula>
    </cfRule>
  </conditionalFormatting>
  <conditionalFormatting sqref="F309">
    <cfRule type="expression" dxfId="217" priority="218">
      <formula>$K309&lt;&gt;""</formula>
    </cfRule>
  </conditionalFormatting>
  <conditionalFormatting sqref="C309">
    <cfRule type="expression" dxfId="216" priority="217">
      <formula>$G309&lt;&gt;"-"</formula>
    </cfRule>
  </conditionalFormatting>
  <conditionalFormatting sqref="D309">
    <cfRule type="expression" dxfId="215" priority="216">
      <formula>$H309&lt;&gt;"-"</formula>
    </cfRule>
  </conditionalFormatting>
  <conditionalFormatting sqref="E309">
    <cfRule type="expression" dxfId="214" priority="215">
      <formula>$I309&lt;&gt;"-"</formula>
    </cfRule>
  </conditionalFormatting>
  <conditionalFormatting sqref="B308">
    <cfRule type="expression" dxfId="213" priority="214">
      <formula>AD308&lt;&gt;""</formula>
    </cfRule>
  </conditionalFormatting>
  <conditionalFormatting sqref="Z308">
    <cfRule type="cellIs" dxfId="212" priority="212" operator="greaterThan">
      <formula>0</formula>
    </cfRule>
    <cfRule type="cellIs" dxfId="211" priority="213" operator="lessThan">
      <formula>0</formula>
    </cfRule>
  </conditionalFormatting>
  <conditionalFormatting sqref="S308">
    <cfRule type="cellIs" dxfId="210" priority="211" operator="lessThan">
      <formula>0</formula>
    </cfRule>
  </conditionalFormatting>
  <conditionalFormatting sqref="P308">
    <cfRule type="cellIs" dxfId="209" priority="209" operator="equal">
      <formula>AS_DURATION_EFFORT</formula>
    </cfRule>
    <cfRule type="cellIs" dxfId="208" priority="210" operator="equal">
      <formula>AS_DEV_EFFORT</formula>
    </cfRule>
  </conditionalFormatting>
  <conditionalFormatting sqref="F308">
    <cfRule type="expression" dxfId="207" priority="208">
      <formula>$K308&lt;&gt;""</formula>
    </cfRule>
  </conditionalFormatting>
  <conditionalFormatting sqref="C308">
    <cfRule type="expression" dxfId="206" priority="207">
      <formula>$G308&lt;&gt;"-"</formula>
    </cfRule>
  </conditionalFormatting>
  <conditionalFormatting sqref="D308">
    <cfRule type="expression" dxfId="205" priority="206">
      <formula>$H308&lt;&gt;"-"</formula>
    </cfRule>
  </conditionalFormatting>
  <conditionalFormatting sqref="E308">
    <cfRule type="expression" dxfId="204" priority="205">
      <formula>$I308&lt;&gt;"-"</formula>
    </cfRule>
  </conditionalFormatting>
  <conditionalFormatting sqref="B307">
    <cfRule type="expression" dxfId="203" priority="204">
      <formula>AD307&lt;&gt;""</formula>
    </cfRule>
  </conditionalFormatting>
  <conditionalFormatting sqref="Z307">
    <cfRule type="cellIs" dxfId="202" priority="202" operator="greaterThan">
      <formula>0</formula>
    </cfRule>
    <cfRule type="cellIs" dxfId="201" priority="203" operator="lessThan">
      <formula>0</formula>
    </cfRule>
  </conditionalFormatting>
  <conditionalFormatting sqref="S307">
    <cfRule type="cellIs" dxfId="200" priority="201" operator="lessThan">
      <formula>0</formula>
    </cfRule>
  </conditionalFormatting>
  <conditionalFormatting sqref="P307">
    <cfRule type="cellIs" dxfId="199" priority="199" operator="equal">
      <formula>AS_DURATION_EFFORT</formula>
    </cfRule>
    <cfRule type="cellIs" dxfId="198" priority="200" operator="equal">
      <formula>AS_DEV_EFFORT</formula>
    </cfRule>
  </conditionalFormatting>
  <conditionalFormatting sqref="F307">
    <cfRule type="expression" dxfId="197" priority="198">
      <formula>$K307&lt;&gt;""</formula>
    </cfRule>
  </conditionalFormatting>
  <conditionalFormatting sqref="C307">
    <cfRule type="expression" dxfId="196" priority="197">
      <formula>$G307&lt;&gt;"-"</formula>
    </cfRule>
  </conditionalFormatting>
  <conditionalFormatting sqref="D307">
    <cfRule type="expression" dxfId="195" priority="196">
      <formula>$H307&lt;&gt;"-"</formula>
    </cfRule>
  </conditionalFormatting>
  <conditionalFormatting sqref="E307">
    <cfRule type="expression" dxfId="194" priority="195">
      <formula>$I307&lt;&gt;"-"</formula>
    </cfRule>
  </conditionalFormatting>
  <conditionalFormatting sqref="B306">
    <cfRule type="expression" dxfId="193" priority="194">
      <formula>AD306&lt;&gt;""</formula>
    </cfRule>
  </conditionalFormatting>
  <conditionalFormatting sqref="Z306">
    <cfRule type="cellIs" dxfId="192" priority="192" operator="greaterThan">
      <formula>0</formula>
    </cfRule>
    <cfRule type="cellIs" dxfId="191" priority="193" operator="lessThan">
      <formula>0</formula>
    </cfRule>
  </conditionalFormatting>
  <conditionalFormatting sqref="S306">
    <cfRule type="cellIs" dxfId="190" priority="191" operator="lessThan">
      <formula>0</formula>
    </cfRule>
  </conditionalFormatting>
  <conditionalFormatting sqref="P306">
    <cfRule type="cellIs" dxfId="189" priority="189" operator="equal">
      <formula>AS_DURATION_EFFORT</formula>
    </cfRule>
    <cfRule type="cellIs" dxfId="188" priority="190" operator="equal">
      <formula>AS_DEV_EFFORT</formula>
    </cfRule>
  </conditionalFormatting>
  <conditionalFormatting sqref="F306">
    <cfRule type="expression" dxfId="187" priority="188">
      <formula>$K306&lt;&gt;""</formula>
    </cfRule>
  </conditionalFormatting>
  <conditionalFormatting sqref="C306">
    <cfRule type="expression" dxfId="186" priority="187">
      <formula>$G306&lt;&gt;"-"</formula>
    </cfRule>
  </conditionalFormatting>
  <conditionalFormatting sqref="D306">
    <cfRule type="expression" dxfId="185" priority="186">
      <formula>$H306&lt;&gt;"-"</formula>
    </cfRule>
  </conditionalFormatting>
  <conditionalFormatting sqref="E306">
    <cfRule type="expression" dxfId="184" priority="185">
      <formula>$I306&lt;&gt;"-"</formula>
    </cfRule>
  </conditionalFormatting>
  <conditionalFormatting sqref="B294">
    <cfRule type="expression" dxfId="183" priority="184">
      <formula>AD294&lt;&gt;""</formula>
    </cfRule>
  </conditionalFormatting>
  <conditionalFormatting sqref="Z294">
    <cfRule type="cellIs" dxfId="182" priority="182" operator="greaterThan">
      <formula>0</formula>
    </cfRule>
    <cfRule type="cellIs" dxfId="181" priority="183" operator="lessThan">
      <formula>0</formula>
    </cfRule>
  </conditionalFormatting>
  <conditionalFormatting sqref="S294">
    <cfRule type="cellIs" dxfId="180" priority="181" operator="lessThan">
      <formula>0</formula>
    </cfRule>
  </conditionalFormatting>
  <conditionalFormatting sqref="P294">
    <cfRule type="cellIs" dxfId="179" priority="179" operator="equal">
      <formula>AS_DURATION_EFFORT</formula>
    </cfRule>
    <cfRule type="cellIs" dxfId="178" priority="180" operator="equal">
      <formula>AS_DEV_EFFORT</formula>
    </cfRule>
  </conditionalFormatting>
  <conditionalFormatting sqref="F294">
    <cfRule type="expression" dxfId="177" priority="178">
      <formula>$K294&lt;&gt;""</formula>
    </cfRule>
  </conditionalFormatting>
  <conditionalFormatting sqref="C294">
    <cfRule type="expression" dxfId="176" priority="177">
      <formula>$G294&lt;&gt;"-"</formula>
    </cfRule>
  </conditionalFormatting>
  <conditionalFormatting sqref="D294">
    <cfRule type="expression" dxfId="175" priority="176">
      <formula>$H294&lt;&gt;"-"</formula>
    </cfRule>
  </conditionalFormatting>
  <conditionalFormatting sqref="E294">
    <cfRule type="expression" dxfId="174" priority="175">
      <formula>$I294&lt;&gt;"-"</formula>
    </cfRule>
  </conditionalFormatting>
  <conditionalFormatting sqref="B293">
    <cfRule type="expression" dxfId="173" priority="174">
      <formula>AD293&lt;&gt;""</formula>
    </cfRule>
  </conditionalFormatting>
  <conditionalFormatting sqref="Z293">
    <cfRule type="cellIs" dxfId="172" priority="172" operator="greaterThan">
      <formula>0</formula>
    </cfRule>
    <cfRule type="cellIs" dxfId="171" priority="173" operator="lessThan">
      <formula>0</formula>
    </cfRule>
  </conditionalFormatting>
  <conditionalFormatting sqref="S293">
    <cfRule type="cellIs" dxfId="170" priority="171" operator="lessThan">
      <formula>0</formula>
    </cfRule>
  </conditionalFormatting>
  <conditionalFormatting sqref="P293">
    <cfRule type="cellIs" dxfId="169" priority="169" operator="equal">
      <formula>AS_DURATION_EFFORT</formula>
    </cfRule>
    <cfRule type="cellIs" dxfId="168" priority="170" operator="equal">
      <formula>AS_DEV_EFFORT</formula>
    </cfRule>
  </conditionalFormatting>
  <conditionalFormatting sqref="F293">
    <cfRule type="expression" dxfId="167" priority="168">
      <formula>$K293&lt;&gt;""</formula>
    </cfRule>
  </conditionalFormatting>
  <conditionalFormatting sqref="C293">
    <cfRule type="expression" dxfId="166" priority="167">
      <formula>$G293&lt;&gt;"-"</formula>
    </cfRule>
  </conditionalFormatting>
  <conditionalFormatting sqref="D293">
    <cfRule type="expression" dxfId="165" priority="166">
      <formula>$H293&lt;&gt;"-"</formula>
    </cfRule>
  </conditionalFormatting>
  <conditionalFormatting sqref="E293">
    <cfRule type="expression" dxfId="164" priority="165">
      <formula>$I293&lt;&gt;"-"</formula>
    </cfRule>
  </conditionalFormatting>
  <conditionalFormatting sqref="B272">
    <cfRule type="expression" dxfId="163" priority="162">
      <formula>AD272&lt;&gt;""</formula>
    </cfRule>
  </conditionalFormatting>
  <conditionalFormatting sqref="Z272">
    <cfRule type="cellIs" dxfId="162" priority="160" operator="greaterThan">
      <formula>0</formula>
    </cfRule>
    <cfRule type="cellIs" dxfId="161" priority="161" operator="lessThan">
      <formula>0</formula>
    </cfRule>
  </conditionalFormatting>
  <conditionalFormatting sqref="S272">
    <cfRule type="cellIs" dxfId="160" priority="159" operator="lessThan">
      <formula>0</formula>
    </cfRule>
  </conditionalFormatting>
  <conditionalFormatting sqref="P272">
    <cfRule type="cellIs" dxfId="159" priority="157" operator="equal">
      <formula>AS_DURATION_EFFORT</formula>
    </cfRule>
    <cfRule type="cellIs" dxfId="158" priority="158" operator="equal">
      <formula>AS_DEV_EFFORT</formula>
    </cfRule>
  </conditionalFormatting>
  <conditionalFormatting sqref="L272:AC272">
    <cfRule type="expression" dxfId="157" priority="163">
      <formula>AND($G272="Yes", $S$6="Exclude")</formula>
    </cfRule>
    <cfRule type="expression" dxfId="156" priority="164">
      <formula>$J272="Yes"</formula>
    </cfRule>
  </conditionalFormatting>
  <conditionalFormatting sqref="F272">
    <cfRule type="expression" dxfId="155" priority="156">
      <formula>$K272&lt;&gt;""</formula>
    </cfRule>
  </conditionalFormatting>
  <conditionalFormatting sqref="C272">
    <cfRule type="expression" dxfId="154" priority="155">
      <formula>$G272&lt;&gt;"-"</formula>
    </cfRule>
  </conditionalFormatting>
  <conditionalFormatting sqref="D272">
    <cfRule type="expression" dxfId="153" priority="154">
      <formula>$H272&lt;&gt;"-"</formula>
    </cfRule>
  </conditionalFormatting>
  <conditionalFormatting sqref="E272">
    <cfRule type="expression" dxfId="152" priority="153">
      <formula>$I272&lt;&gt;"-"</formula>
    </cfRule>
  </conditionalFormatting>
  <conditionalFormatting sqref="B264">
    <cfRule type="expression" dxfId="151" priority="150">
      <formula>AD264&lt;&gt;""</formula>
    </cfRule>
  </conditionalFormatting>
  <conditionalFormatting sqref="Z264">
    <cfRule type="cellIs" dxfId="150" priority="148" operator="greaterThan">
      <formula>0</formula>
    </cfRule>
    <cfRule type="cellIs" dxfId="149" priority="149" operator="lessThan">
      <formula>0</formula>
    </cfRule>
  </conditionalFormatting>
  <conditionalFormatting sqref="S264">
    <cfRule type="cellIs" dxfId="148" priority="147" operator="lessThan">
      <formula>0</formula>
    </cfRule>
  </conditionalFormatting>
  <conditionalFormatting sqref="P264">
    <cfRule type="cellIs" dxfId="147" priority="145" operator="equal">
      <formula>AS_DURATION_EFFORT</formula>
    </cfRule>
    <cfRule type="cellIs" dxfId="146" priority="146" operator="equal">
      <formula>AS_DEV_EFFORT</formula>
    </cfRule>
  </conditionalFormatting>
  <conditionalFormatting sqref="L264:AC264">
    <cfRule type="expression" dxfId="145" priority="151">
      <formula>AND($G264="Yes", $S$6="Exclude")</formula>
    </cfRule>
    <cfRule type="expression" dxfId="144" priority="152">
      <formula>$J264="Yes"</formula>
    </cfRule>
  </conditionalFormatting>
  <conditionalFormatting sqref="F264">
    <cfRule type="expression" dxfId="143" priority="144">
      <formula>$K264&lt;&gt;""</formula>
    </cfRule>
  </conditionalFormatting>
  <conditionalFormatting sqref="C264">
    <cfRule type="expression" dxfId="142" priority="143">
      <formula>$G264&lt;&gt;"-"</formula>
    </cfRule>
  </conditionalFormatting>
  <conditionalFormatting sqref="D264">
    <cfRule type="expression" dxfId="141" priority="142">
      <formula>$H264&lt;&gt;"-"</formula>
    </cfRule>
  </conditionalFormatting>
  <conditionalFormatting sqref="E264">
    <cfRule type="expression" dxfId="140" priority="141">
      <formula>$I264&lt;&gt;"-"</formula>
    </cfRule>
  </conditionalFormatting>
  <conditionalFormatting sqref="B255">
    <cfRule type="expression" dxfId="139" priority="140">
      <formula>AD255&lt;&gt;""</formula>
    </cfRule>
  </conditionalFormatting>
  <conditionalFormatting sqref="Z255">
    <cfRule type="cellIs" dxfId="138" priority="138" operator="greaterThan">
      <formula>0</formula>
    </cfRule>
    <cfRule type="cellIs" dxfId="137" priority="139" operator="lessThan">
      <formula>0</formula>
    </cfRule>
  </conditionalFormatting>
  <conditionalFormatting sqref="S255">
    <cfRule type="cellIs" dxfId="136" priority="137" operator="lessThan">
      <formula>0</formula>
    </cfRule>
  </conditionalFormatting>
  <conditionalFormatting sqref="P255">
    <cfRule type="cellIs" dxfId="135" priority="135" operator="equal">
      <formula>AS_DURATION_EFFORT</formula>
    </cfRule>
    <cfRule type="cellIs" dxfId="134" priority="136" operator="equal">
      <formula>AS_DEV_EFFORT</formula>
    </cfRule>
  </conditionalFormatting>
  <conditionalFormatting sqref="F255">
    <cfRule type="expression" dxfId="133" priority="134">
      <formula>$K255&lt;&gt;""</formula>
    </cfRule>
  </conditionalFormatting>
  <conditionalFormatting sqref="C255">
    <cfRule type="expression" dxfId="132" priority="133">
      <formula>$G255&lt;&gt;"-"</formula>
    </cfRule>
  </conditionalFormatting>
  <conditionalFormatting sqref="D255">
    <cfRule type="expression" dxfId="131" priority="132">
      <formula>$H255&lt;&gt;"-"</formula>
    </cfRule>
  </conditionalFormatting>
  <conditionalFormatting sqref="E255">
    <cfRule type="expression" dxfId="130" priority="131">
      <formula>$I255&lt;&gt;"-"</formula>
    </cfRule>
  </conditionalFormatting>
  <conditionalFormatting sqref="B246">
    <cfRule type="expression" dxfId="129" priority="130">
      <formula>AD246&lt;&gt;""</formula>
    </cfRule>
  </conditionalFormatting>
  <conditionalFormatting sqref="Z246">
    <cfRule type="cellIs" dxfId="128" priority="128" operator="greaterThan">
      <formula>0</formula>
    </cfRule>
    <cfRule type="cellIs" dxfId="127" priority="129" operator="lessThan">
      <formula>0</formula>
    </cfRule>
  </conditionalFormatting>
  <conditionalFormatting sqref="S246">
    <cfRule type="cellIs" dxfId="126" priority="127" operator="lessThan">
      <formula>0</formula>
    </cfRule>
  </conditionalFormatting>
  <conditionalFormatting sqref="P246">
    <cfRule type="cellIs" dxfId="125" priority="125" operator="equal">
      <formula>AS_DURATION_EFFORT</formula>
    </cfRule>
    <cfRule type="cellIs" dxfId="124" priority="126" operator="equal">
      <formula>AS_DEV_EFFORT</formula>
    </cfRule>
  </conditionalFormatting>
  <conditionalFormatting sqref="F246">
    <cfRule type="expression" dxfId="123" priority="124">
      <formula>$K246&lt;&gt;""</formula>
    </cfRule>
  </conditionalFormatting>
  <conditionalFormatting sqref="C246">
    <cfRule type="expression" dxfId="122" priority="123">
      <formula>$G246&lt;&gt;"-"</formula>
    </cfRule>
  </conditionalFormatting>
  <conditionalFormatting sqref="D246">
    <cfRule type="expression" dxfId="121" priority="122">
      <formula>$H246&lt;&gt;"-"</formula>
    </cfRule>
  </conditionalFormatting>
  <conditionalFormatting sqref="E246">
    <cfRule type="expression" dxfId="120" priority="121">
      <formula>$I246&lt;&gt;"-"</formula>
    </cfRule>
  </conditionalFormatting>
  <conditionalFormatting sqref="B236">
    <cfRule type="expression" dxfId="119" priority="120">
      <formula>AD236&lt;&gt;""</formula>
    </cfRule>
  </conditionalFormatting>
  <conditionalFormatting sqref="Z236">
    <cfRule type="cellIs" dxfId="118" priority="118" operator="greaterThan">
      <formula>0</formula>
    </cfRule>
    <cfRule type="cellIs" dxfId="117" priority="119" operator="lessThan">
      <formula>0</formula>
    </cfRule>
  </conditionalFormatting>
  <conditionalFormatting sqref="S236">
    <cfRule type="cellIs" dxfId="116" priority="117" operator="lessThan">
      <formula>0</formula>
    </cfRule>
  </conditionalFormatting>
  <conditionalFormatting sqref="P236">
    <cfRule type="cellIs" dxfId="115" priority="115" operator="equal">
      <formula>AS_DURATION_EFFORT</formula>
    </cfRule>
    <cfRule type="cellIs" dxfId="114" priority="116" operator="equal">
      <formula>AS_DEV_EFFORT</formula>
    </cfRule>
  </conditionalFormatting>
  <conditionalFormatting sqref="F236">
    <cfRule type="expression" dxfId="113" priority="114">
      <formula>$K236&lt;&gt;""</formula>
    </cfRule>
  </conditionalFormatting>
  <conditionalFormatting sqref="C236">
    <cfRule type="expression" dxfId="112" priority="113">
      <formula>$G236&lt;&gt;"-"</formula>
    </cfRule>
  </conditionalFormatting>
  <conditionalFormatting sqref="D236">
    <cfRule type="expression" dxfId="111" priority="112">
      <formula>$H236&lt;&gt;"-"</formula>
    </cfRule>
  </conditionalFormatting>
  <conditionalFormatting sqref="E236">
    <cfRule type="expression" dxfId="110" priority="111">
      <formula>$I236&lt;&gt;"-"</formula>
    </cfRule>
  </conditionalFormatting>
  <conditionalFormatting sqref="B235">
    <cfRule type="expression" dxfId="109" priority="110">
      <formula>AD235&lt;&gt;""</formula>
    </cfRule>
  </conditionalFormatting>
  <conditionalFormatting sqref="Z235">
    <cfRule type="cellIs" dxfId="108" priority="108" operator="greaterThan">
      <formula>0</formula>
    </cfRule>
    <cfRule type="cellIs" dxfId="107" priority="109" operator="lessThan">
      <formula>0</formula>
    </cfRule>
  </conditionalFormatting>
  <conditionalFormatting sqref="S235">
    <cfRule type="cellIs" dxfId="106" priority="107" operator="lessThan">
      <formula>0</formula>
    </cfRule>
  </conditionalFormatting>
  <conditionalFormatting sqref="P235">
    <cfRule type="cellIs" dxfId="105" priority="105" operator="equal">
      <formula>AS_DURATION_EFFORT</formula>
    </cfRule>
    <cfRule type="cellIs" dxfId="104" priority="106" operator="equal">
      <formula>AS_DEV_EFFORT</formula>
    </cfRule>
  </conditionalFormatting>
  <conditionalFormatting sqref="F235">
    <cfRule type="expression" dxfId="103" priority="104">
      <formula>$K235&lt;&gt;""</formula>
    </cfRule>
  </conditionalFormatting>
  <conditionalFormatting sqref="C235">
    <cfRule type="expression" dxfId="102" priority="103">
      <formula>$G235&lt;&gt;"-"</formula>
    </cfRule>
  </conditionalFormatting>
  <conditionalFormatting sqref="D235">
    <cfRule type="expression" dxfId="101" priority="102">
      <formula>$H235&lt;&gt;"-"</formula>
    </cfRule>
  </conditionalFormatting>
  <conditionalFormatting sqref="E235">
    <cfRule type="expression" dxfId="100" priority="101">
      <formula>$I235&lt;&gt;"-"</formula>
    </cfRule>
  </conditionalFormatting>
  <conditionalFormatting sqref="B207">
    <cfRule type="expression" dxfId="99" priority="100">
      <formula>AD207&lt;&gt;""</formula>
    </cfRule>
  </conditionalFormatting>
  <conditionalFormatting sqref="Z207">
    <cfRule type="cellIs" dxfId="98" priority="98" operator="greaterThan">
      <formula>0</formula>
    </cfRule>
    <cfRule type="cellIs" dxfId="97" priority="99" operator="lessThan">
      <formula>0</formula>
    </cfRule>
  </conditionalFormatting>
  <conditionalFormatting sqref="S207">
    <cfRule type="cellIs" dxfId="96" priority="97" operator="lessThan">
      <formula>0</formula>
    </cfRule>
  </conditionalFormatting>
  <conditionalFormatting sqref="P207">
    <cfRule type="cellIs" dxfId="95" priority="95" operator="equal">
      <formula>AS_DURATION_EFFORT</formula>
    </cfRule>
    <cfRule type="cellIs" dxfId="94" priority="96" operator="equal">
      <formula>AS_DEV_EFFORT</formula>
    </cfRule>
  </conditionalFormatting>
  <conditionalFormatting sqref="F207">
    <cfRule type="expression" dxfId="93" priority="94">
      <formula>$K207&lt;&gt;""</formula>
    </cfRule>
  </conditionalFormatting>
  <conditionalFormatting sqref="C207">
    <cfRule type="expression" dxfId="92" priority="93">
      <formula>$G207&lt;&gt;"-"</formula>
    </cfRule>
  </conditionalFormatting>
  <conditionalFormatting sqref="D207">
    <cfRule type="expression" dxfId="91" priority="92">
      <formula>$H207&lt;&gt;"-"</formula>
    </cfRule>
  </conditionalFormatting>
  <conditionalFormatting sqref="E207">
    <cfRule type="expression" dxfId="90" priority="91">
      <formula>$I207&lt;&gt;"-"</formula>
    </cfRule>
  </conditionalFormatting>
  <conditionalFormatting sqref="B199">
    <cfRule type="expression" dxfId="89" priority="90">
      <formula>AD199&lt;&gt;""</formula>
    </cfRule>
  </conditionalFormatting>
  <conditionalFormatting sqref="Z199">
    <cfRule type="cellIs" dxfId="88" priority="88" operator="greaterThan">
      <formula>0</formula>
    </cfRule>
    <cfRule type="cellIs" dxfId="87" priority="89" operator="lessThan">
      <formula>0</formula>
    </cfRule>
  </conditionalFormatting>
  <conditionalFormatting sqref="S199">
    <cfRule type="cellIs" dxfId="86" priority="87" operator="lessThan">
      <formula>0</formula>
    </cfRule>
  </conditionalFormatting>
  <conditionalFormatting sqref="P199">
    <cfRule type="cellIs" dxfId="85" priority="85" operator="equal">
      <formula>AS_DURATION_EFFORT</formula>
    </cfRule>
    <cfRule type="cellIs" dxfId="84" priority="86" operator="equal">
      <formula>AS_DEV_EFFORT</formula>
    </cfRule>
  </conditionalFormatting>
  <conditionalFormatting sqref="F199">
    <cfRule type="expression" dxfId="83" priority="84">
      <formula>$K199&lt;&gt;""</formula>
    </cfRule>
  </conditionalFormatting>
  <conditionalFormatting sqref="C199">
    <cfRule type="expression" dxfId="82" priority="83">
      <formula>$G199&lt;&gt;"-"</formula>
    </cfRule>
  </conditionalFormatting>
  <conditionalFormatting sqref="D199">
    <cfRule type="expression" dxfId="81" priority="82">
      <formula>$H199&lt;&gt;"-"</formula>
    </cfRule>
  </conditionalFormatting>
  <conditionalFormatting sqref="E199">
    <cfRule type="expression" dxfId="80" priority="81">
      <formula>$I199&lt;&gt;"-"</formula>
    </cfRule>
  </conditionalFormatting>
  <conditionalFormatting sqref="B190">
    <cfRule type="expression" dxfId="79" priority="80">
      <formula>AD190&lt;&gt;""</formula>
    </cfRule>
  </conditionalFormatting>
  <conditionalFormatting sqref="Z190">
    <cfRule type="cellIs" dxfId="78" priority="78" operator="greaterThan">
      <formula>0</formula>
    </cfRule>
    <cfRule type="cellIs" dxfId="77" priority="79" operator="lessThan">
      <formula>0</formula>
    </cfRule>
  </conditionalFormatting>
  <conditionalFormatting sqref="S190">
    <cfRule type="cellIs" dxfId="76" priority="77" operator="lessThan">
      <formula>0</formula>
    </cfRule>
  </conditionalFormatting>
  <conditionalFormatting sqref="P190">
    <cfRule type="cellIs" dxfId="75" priority="75" operator="equal">
      <formula>AS_DURATION_EFFORT</formula>
    </cfRule>
    <cfRule type="cellIs" dxfId="74" priority="76" operator="equal">
      <formula>AS_DEV_EFFORT</formula>
    </cfRule>
  </conditionalFormatting>
  <conditionalFormatting sqref="F190">
    <cfRule type="expression" dxfId="73" priority="74">
      <formula>$K190&lt;&gt;""</formula>
    </cfRule>
  </conditionalFormatting>
  <conditionalFormatting sqref="C190">
    <cfRule type="expression" dxfId="72" priority="73">
      <formula>$G190&lt;&gt;"-"</formula>
    </cfRule>
  </conditionalFormatting>
  <conditionalFormatting sqref="D190">
    <cfRule type="expression" dxfId="71" priority="72">
      <formula>$H190&lt;&gt;"-"</formula>
    </cfRule>
  </conditionalFormatting>
  <conditionalFormatting sqref="E190">
    <cfRule type="expression" dxfId="70" priority="71">
      <formula>$I190&lt;&gt;"-"</formula>
    </cfRule>
  </conditionalFormatting>
  <conditionalFormatting sqref="B172">
    <cfRule type="expression" dxfId="69" priority="68">
      <formula>AD172&lt;&gt;""</formula>
    </cfRule>
  </conditionalFormatting>
  <conditionalFormatting sqref="Z172">
    <cfRule type="cellIs" dxfId="68" priority="66" operator="greaterThan">
      <formula>0</formula>
    </cfRule>
    <cfRule type="cellIs" dxfId="67" priority="67" operator="lessThan">
      <formula>0</formula>
    </cfRule>
  </conditionalFormatting>
  <conditionalFormatting sqref="S172">
    <cfRule type="cellIs" dxfId="66" priority="65" operator="lessThan">
      <formula>0</formula>
    </cfRule>
  </conditionalFormatting>
  <conditionalFormatting sqref="P172">
    <cfRule type="cellIs" dxfId="65" priority="63" operator="equal">
      <formula>AS_DURATION_EFFORT</formula>
    </cfRule>
    <cfRule type="cellIs" dxfId="64" priority="64" operator="equal">
      <formula>AS_DEV_EFFORT</formula>
    </cfRule>
  </conditionalFormatting>
  <conditionalFormatting sqref="L172:AC172">
    <cfRule type="expression" dxfId="63" priority="69">
      <formula>AND($G172="Yes", $S$6="Exclude")</formula>
    </cfRule>
    <cfRule type="expression" dxfId="62" priority="70">
      <formula>$J172="Yes"</formula>
    </cfRule>
  </conditionalFormatting>
  <conditionalFormatting sqref="F172">
    <cfRule type="expression" dxfId="61" priority="62">
      <formula>$K172&lt;&gt;""</formula>
    </cfRule>
  </conditionalFormatting>
  <conditionalFormatting sqref="C172">
    <cfRule type="expression" dxfId="60" priority="61">
      <formula>$G172&lt;&gt;"-"</formula>
    </cfRule>
  </conditionalFormatting>
  <conditionalFormatting sqref="D172">
    <cfRule type="expression" dxfId="59" priority="60">
      <formula>$H172&lt;&gt;"-"</formula>
    </cfRule>
  </conditionalFormatting>
  <conditionalFormatting sqref="E172">
    <cfRule type="expression" dxfId="58" priority="59">
      <formula>$I172&lt;&gt;"-"</formula>
    </cfRule>
  </conditionalFormatting>
  <conditionalFormatting sqref="B171">
    <cfRule type="expression" dxfId="57" priority="56">
      <formula>AD171&lt;&gt;""</formula>
    </cfRule>
  </conditionalFormatting>
  <conditionalFormatting sqref="Z171">
    <cfRule type="cellIs" dxfId="56" priority="54" operator="greaterThan">
      <formula>0</formula>
    </cfRule>
    <cfRule type="cellIs" dxfId="55" priority="55" operator="lessThan">
      <formula>0</formula>
    </cfRule>
  </conditionalFormatting>
  <conditionalFormatting sqref="S171">
    <cfRule type="cellIs" dxfId="54" priority="53" operator="lessThan">
      <formula>0</formula>
    </cfRule>
  </conditionalFormatting>
  <conditionalFormatting sqref="P171">
    <cfRule type="cellIs" dxfId="53" priority="51" operator="equal">
      <formula>AS_DURATION_EFFORT</formula>
    </cfRule>
    <cfRule type="cellIs" dxfId="52" priority="52" operator="equal">
      <formula>AS_DEV_EFFORT</formula>
    </cfRule>
  </conditionalFormatting>
  <conditionalFormatting sqref="L171:AC171">
    <cfRule type="expression" dxfId="51" priority="57">
      <formula>AND($G171="Yes", $S$6="Exclude")</formula>
    </cfRule>
    <cfRule type="expression" dxfId="50" priority="58">
      <formula>$J171="Yes"</formula>
    </cfRule>
  </conditionalFormatting>
  <conditionalFormatting sqref="F171">
    <cfRule type="expression" dxfId="49" priority="50">
      <formula>$K171&lt;&gt;""</formula>
    </cfRule>
  </conditionalFormatting>
  <conditionalFormatting sqref="C171">
    <cfRule type="expression" dxfId="48" priority="49">
      <formula>$G171&lt;&gt;"-"</formula>
    </cfRule>
  </conditionalFormatting>
  <conditionalFormatting sqref="D171">
    <cfRule type="expression" dxfId="47" priority="48">
      <formula>$H171&lt;&gt;"-"</formula>
    </cfRule>
  </conditionalFormatting>
  <conditionalFormatting sqref="E171">
    <cfRule type="expression" dxfId="46" priority="47">
      <formula>$I171&lt;&gt;"-"</formula>
    </cfRule>
  </conditionalFormatting>
  <conditionalFormatting sqref="B153">
    <cfRule type="expression" dxfId="45" priority="44">
      <formula>AD153&lt;&gt;""</formula>
    </cfRule>
  </conditionalFormatting>
  <conditionalFormatting sqref="Z153">
    <cfRule type="cellIs" dxfId="44" priority="42" operator="greaterThan">
      <formula>0</formula>
    </cfRule>
    <cfRule type="cellIs" dxfId="43" priority="43" operator="lessThan">
      <formula>0</formula>
    </cfRule>
  </conditionalFormatting>
  <conditionalFormatting sqref="S153">
    <cfRule type="cellIs" dxfId="42" priority="41" operator="lessThan">
      <formula>0</formula>
    </cfRule>
  </conditionalFormatting>
  <conditionalFormatting sqref="P153">
    <cfRule type="cellIs" dxfId="41" priority="39" operator="equal">
      <formula>AS_DURATION_EFFORT</formula>
    </cfRule>
    <cfRule type="cellIs" dxfId="40" priority="40" operator="equal">
      <formula>AS_DEV_EFFORT</formula>
    </cfRule>
  </conditionalFormatting>
  <conditionalFormatting sqref="L153:AC153">
    <cfRule type="expression" dxfId="39" priority="45">
      <formula>AND($G153="Yes", $S$6="Exclude")</formula>
    </cfRule>
    <cfRule type="expression" dxfId="38" priority="46">
      <formula>$J153="Yes"</formula>
    </cfRule>
  </conditionalFormatting>
  <conditionalFormatting sqref="F153">
    <cfRule type="expression" dxfId="37" priority="38">
      <formula>$K153&lt;&gt;""</formula>
    </cfRule>
  </conditionalFormatting>
  <conditionalFormatting sqref="C153">
    <cfRule type="expression" dxfId="36" priority="37">
      <formula>$G153&lt;&gt;"-"</formula>
    </cfRule>
  </conditionalFormatting>
  <conditionalFormatting sqref="D153">
    <cfRule type="expression" dxfId="35" priority="36">
      <formula>$H153&lt;&gt;"-"</formula>
    </cfRule>
  </conditionalFormatting>
  <conditionalFormatting sqref="E153">
    <cfRule type="expression" dxfId="34" priority="35">
      <formula>$I153&lt;&gt;"-"</formula>
    </cfRule>
  </conditionalFormatting>
  <conditionalFormatting sqref="B135">
    <cfRule type="expression" dxfId="33" priority="32">
      <formula>AD135&lt;&gt;""</formula>
    </cfRule>
  </conditionalFormatting>
  <conditionalFormatting sqref="Z135">
    <cfRule type="cellIs" dxfId="32" priority="30" operator="greaterThan">
      <formula>0</formula>
    </cfRule>
    <cfRule type="cellIs" dxfId="31" priority="31" operator="lessThan">
      <formula>0</formula>
    </cfRule>
  </conditionalFormatting>
  <conditionalFormatting sqref="S135">
    <cfRule type="cellIs" dxfId="30" priority="29" operator="lessThan">
      <formula>0</formula>
    </cfRule>
  </conditionalFormatting>
  <conditionalFormatting sqref="P135">
    <cfRule type="cellIs" dxfId="29" priority="27" operator="equal">
      <formula>AS_DURATION_EFFORT</formula>
    </cfRule>
    <cfRule type="cellIs" dxfId="28" priority="28" operator="equal">
      <formula>AS_DEV_EFFORT</formula>
    </cfRule>
  </conditionalFormatting>
  <conditionalFormatting sqref="L135:AC135">
    <cfRule type="expression" dxfId="27" priority="33">
      <formula>AND($G135="Yes", $S$6="Exclude")</formula>
    </cfRule>
    <cfRule type="expression" dxfId="26" priority="34">
      <formula>$J135="Yes"</formula>
    </cfRule>
  </conditionalFormatting>
  <conditionalFormatting sqref="F135">
    <cfRule type="expression" dxfId="25" priority="26">
      <formula>$K135&lt;&gt;""</formula>
    </cfRule>
  </conditionalFormatting>
  <conditionalFormatting sqref="C135">
    <cfRule type="expression" dxfId="24" priority="25">
      <formula>$G135&lt;&gt;"-"</formula>
    </cfRule>
  </conditionalFormatting>
  <conditionalFormatting sqref="D135">
    <cfRule type="expression" dxfId="23" priority="24">
      <formula>$H135&lt;&gt;"-"</formula>
    </cfRule>
  </conditionalFormatting>
  <conditionalFormatting sqref="E135">
    <cfRule type="expression" dxfId="22" priority="23">
      <formula>$I135&lt;&gt;"-"</formula>
    </cfRule>
  </conditionalFormatting>
  <conditionalFormatting sqref="B126">
    <cfRule type="expression" dxfId="21" priority="20">
      <formula>AD126&lt;&gt;""</formula>
    </cfRule>
  </conditionalFormatting>
  <conditionalFormatting sqref="Z126">
    <cfRule type="cellIs" dxfId="20" priority="18" operator="greaterThan">
      <formula>0</formula>
    </cfRule>
    <cfRule type="cellIs" dxfId="19" priority="19" operator="lessThan">
      <formula>0</formula>
    </cfRule>
  </conditionalFormatting>
  <conditionalFormatting sqref="S126">
    <cfRule type="cellIs" dxfId="18" priority="17" operator="lessThan">
      <formula>0</formula>
    </cfRule>
  </conditionalFormatting>
  <conditionalFormatting sqref="P126">
    <cfRule type="cellIs" dxfId="17" priority="15" operator="equal">
      <formula>AS_DURATION_EFFORT</formula>
    </cfRule>
    <cfRule type="cellIs" dxfId="16" priority="16" operator="equal">
      <formula>AS_DEV_EFFORT</formula>
    </cfRule>
  </conditionalFormatting>
  <conditionalFormatting sqref="L126:AC126">
    <cfRule type="expression" dxfId="15" priority="21">
      <formula>AND($G126="Yes", $S$6="Exclude")</formula>
    </cfRule>
    <cfRule type="expression" dxfId="14" priority="22">
      <formula>$J126="Yes"</formula>
    </cfRule>
  </conditionalFormatting>
  <conditionalFormatting sqref="F126">
    <cfRule type="expression" dxfId="13" priority="14">
      <formula>$K126&lt;&gt;""</formula>
    </cfRule>
  </conditionalFormatting>
  <conditionalFormatting sqref="C126">
    <cfRule type="expression" dxfId="12" priority="13">
      <formula>$G126&lt;&gt;"-"</formula>
    </cfRule>
  </conditionalFormatting>
  <conditionalFormatting sqref="D126">
    <cfRule type="expression" dxfId="11" priority="12">
      <formula>$H126&lt;&gt;"-"</formula>
    </cfRule>
  </conditionalFormatting>
  <conditionalFormatting sqref="E126">
    <cfRule type="expression" dxfId="10" priority="11">
      <formula>$I126&lt;&gt;"-"</formula>
    </cfRule>
  </conditionalFormatting>
  <conditionalFormatting sqref="B80">
    <cfRule type="expression" dxfId="9" priority="10">
      <formula>AD80&lt;&gt;""</formula>
    </cfRule>
  </conditionalFormatting>
  <conditionalFormatting sqref="Z80">
    <cfRule type="cellIs" dxfId="8" priority="8" operator="greaterThan">
      <formula>0</formula>
    </cfRule>
    <cfRule type="cellIs" dxfId="7" priority="9" operator="lessThan">
      <formula>0</formula>
    </cfRule>
  </conditionalFormatting>
  <conditionalFormatting sqref="S80">
    <cfRule type="cellIs" dxfId="6" priority="7" operator="lessThan">
      <formula>0</formula>
    </cfRule>
  </conditionalFormatting>
  <conditionalFormatting sqref="P80">
    <cfRule type="cellIs" dxfId="5" priority="5" operator="equal">
      <formula>AS_DURATION_EFFORT</formula>
    </cfRule>
    <cfRule type="cellIs" dxfId="4" priority="6" operator="equal">
      <formula>AS_DEV_EFFORT</formula>
    </cfRule>
  </conditionalFormatting>
  <conditionalFormatting sqref="F80">
    <cfRule type="expression" dxfId="3" priority="4">
      <formula>$K80&lt;&gt;""</formula>
    </cfRule>
  </conditionalFormatting>
  <conditionalFormatting sqref="C80">
    <cfRule type="expression" dxfId="2" priority="3">
      <formula>$G80&lt;&gt;"-"</formula>
    </cfRule>
  </conditionalFormatting>
  <conditionalFormatting sqref="D80">
    <cfRule type="expression" dxfId="1" priority="2">
      <formula>$H80&lt;&gt;"-"</formula>
    </cfRule>
  </conditionalFormatting>
  <conditionalFormatting sqref="E80">
    <cfRule type="expression" dxfId="0" priority="1">
      <formula>$I80&lt;&gt;"-"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633" xr:uid="{00000000-0002-0000-0100-000002000000}">
      <formula1>YES_NO_LIST</formula1>
    </dataValidation>
    <dataValidation type="list" allowBlank="1" showInputMessage="1" showErrorMessage="1" sqref="O630" xr:uid="{00000000-0002-0000-0100-000003000000}">
      <formula1>PLATFORMS_LIST</formula1>
    </dataValidation>
    <dataValidation type="list" allowBlank="1" showInputMessage="1" showErrorMessage="1" sqref="O631" xr:uid="{00000000-0002-0000-0100-000004000000}">
      <formula1>PROJECT_TYPES_LIST</formula1>
    </dataValidation>
    <dataValidation type="list" allowBlank="1" showInputMessage="1" showErrorMessage="1" sqref="O635" xr:uid="{00000000-0002-0000-0100-000005000000}">
      <formula1>CURRENCIES_LIST</formula1>
    </dataValidation>
    <dataValidation type="list" allowBlank="1" showInputMessage="1" showErrorMessage="1" sqref="O634" xr:uid="{00000000-0002-0000-0100-000006000000}">
      <formula1>REGIONS_LIST</formula1>
    </dataValidation>
    <dataValidation type="list" showInputMessage="1" showErrorMessage="1" sqref="G751 J751 G16:G18 J68:J69 G99:G101 J532 G73 J73 G68:G69 J116:J126 J85:J92 G85:G92 J99:J101 J479:J480 G479:G480 J484:J487 G484:G487 G466:G467 J504:J505 G504:G505 G509:G511 J491:J497 J509:J511 J522:J525 G522:G525 G532 J16:J18 J22:J24 G28:G31 J35:J39 J43:J45 G49:G54 G22:G24 J28:J31 G35:G39 G43:G45 J49:J54 G456:G458 G367:G368 G472:G475 J472:J475 J466:J467 J58:J61 G58:G61 J383:J389 J373:J379 G177:G181 G106:G112 J240:J246 J106:J112 J130:J135 J147:J153 G166:G172 J139:J143 J177:J181 G203:G207 G229:G236 G211:G215 G194:G199 J211:J215 G240:G246 G147:G153 G139:G143 J185:J190 J194:J199 J203:J207 G250:G255 J250:J255 J259:J264 J298:J309 J313:J321 G334:G337 G326:G330 J326:J330 G373:G379 G383:G389 J424:J433 G424:G433 G116:G126 G437:G441 J437:J441 G445:G451 J445:J451 G342:G346 J342:J346 J350:J352 G350:G352 J356:J358 J410:J420 J362:J363 G362:G363 J367:J368 J456:J458 J334:J337 G356:G358 G515:G518 J515:J518 G157:G162 J157:J162 G491:G497 G313:G321 G393:G406 J277:J284 G277:G284 G259:G264 J268:J272 G268:G272 J288:J294 J219:J224 G219:G224 G185:G190 G130:G135 G410:G420 J393:J406 G298:G309 G288:G294 J229:J236 J166:J172 G77:G81 J77:J81" xr:uid="{00000000-0002-0000-0100-000007000000}">
      <formula1>YES_NO_LIST</formula1>
    </dataValidation>
    <dataValidation type="list" showInputMessage="1" showErrorMessage="1" sqref="I751 I99:I101 I532 I73 I68:I69 I116:I126 I85:I92 I479:I480 I484:I487 I466:I467 I504:I505 I515:I518 I509:I511 I522:I525 I16:I18 I22:I24 I28:I31 I35:I39 I43:I45 I49:I54 I367:I368 I472:I475 I58:I61 I373:I379 I185:I190 I240:I246 I106:I112 I166:I172 I139:I143 I177:I181 I229:I236 I203:I207 I211:I215 I147:I153 I194:I199 I250:I255 I259:I264 I393:I406 I298:I309 I313:I321 I334:I337 I326:I330 I383:I389 I491:I497 I424:I433 I130:I135 I437:I441 I445:I451 I342:I346 I350:I352 I410:I420 I362:I363 I456:I458 I356:I358 I157:I162 I277:I284 I268:I272 I288:I294 I219:I224 I77:I81" xr:uid="{00000000-0002-0000-0100-000008000000}">
      <formula1>EXTRAS_LIST</formula1>
    </dataValidation>
    <dataValidation type="list" showInputMessage="1" showErrorMessage="1" sqref="H751 H99:H101 H532 H73 H68:H69 H116:H126 H85:H92 H479:H480 H484:H487 H466:H467 H504:H505 H515:H518 H509:H511 H522:H525 H16:H18 H22:H24 H28:H31 H35:H39 H43:H45 H49:H54 H367:H368 H472:H475 H58:H61 H373:H379 H185:H190 H240:H246 H106:H112 H166:H172 H139:H143 H177:H181 H229:H236 H203:H207 H211:H215 H147:H153 H194:H199 H250:H255 H259:H264 H393:H406 H298:H309 H313:H321 H334:H337 H326:H330 H383:H389 H491:H497 H424:H433 H130:H135 H437:H441 H445:H451 H342:H346 H350:H352 H410:H420 H362:H363 H456:H458 H356:H358 H157:H162 H277:H284 H268:H272 H288:H294 H219:H224 H77:H81" xr:uid="{00000000-0002-0000-0100-000009000000}">
      <formula1>BUFFER_TYPES_LIST</formula1>
    </dataValidation>
    <dataValidation type="list" showInputMessage="1" showErrorMessage="1" sqref="S542" xr:uid="{00000000-0002-0000-0100-00000A000000}">
      <formula1>"Default, Extended"</formula1>
    </dataValidation>
  </dataValidations>
  <hyperlinks>
    <hyperlink ref="T621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542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44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40"/>
  <sheetViews>
    <sheetView topLeftCell="B19" zoomScaleNormal="100" workbookViewId="0">
      <selection activeCell="B19" sqref="B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335">
        <f>START_DATE</f>
        <v>46328</v>
      </c>
      <c r="D1" s="335"/>
      <c r="E1" s="335"/>
      <c r="F1" s="335"/>
      <c r="I1" s="1" t="s">
        <v>95</v>
      </c>
      <c r="L1" s="336">
        <f>WORKDAY(START_DATE,174)</f>
        <v>46570</v>
      </c>
      <c r="M1" s="336"/>
      <c r="N1" s="336"/>
      <c r="O1" s="336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333">
        <v>1</v>
      </c>
      <c r="D3" s="334"/>
      <c r="E3" s="334"/>
      <c r="F3" s="337"/>
      <c r="G3" s="333">
        <f>C3+1</f>
        <v>2</v>
      </c>
      <c r="H3" s="334"/>
      <c r="I3" s="334"/>
      <c r="J3" s="334"/>
      <c r="K3" s="333">
        <f>G3+1</f>
        <v>3</v>
      </c>
      <c r="L3" s="334"/>
      <c r="M3" s="334"/>
      <c r="N3" s="334"/>
      <c r="O3" s="333">
        <f>K3+1</f>
        <v>4</v>
      </c>
      <c r="P3" s="334"/>
      <c r="Q3" s="334"/>
      <c r="R3" s="334"/>
      <c r="S3" s="333">
        <f>O3+1</f>
        <v>5</v>
      </c>
      <c r="T3" s="334"/>
      <c r="U3" s="334"/>
      <c r="V3" s="334"/>
      <c r="W3" s="333">
        <f>S3+1</f>
        <v>6</v>
      </c>
      <c r="X3" s="334"/>
      <c r="Y3" s="334"/>
      <c r="Z3" s="334"/>
      <c r="AA3" s="333">
        <f>W3+1</f>
        <v>7</v>
      </c>
      <c r="AB3" s="334"/>
      <c r="AC3" s="334"/>
      <c r="AD3" s="334"/>
      <c r="AE3" s="333">
        <f>AA3+1</f>
        <v>8</v>
      </c>
      <c r="AF3" s="334"/>
      <c r="AG3" s="334"/>
      <c r="AH3" s="334"/>
      <c r="AI3" s="333">
        <f>AE3+1</f>
        <v>9</v>
      </c>
      <c r="AJ3" s="334"/>
      <c r="AK3" s="334"/>
      <c r="AL3" s="334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1165</v>
      </c>
      <c r="D5" s="116"/>
      <c r="E5" s="116"/>
      <c r="F5" s="116"/>
      <c r="G5" s="116" t="s">
        <v>1165</v>
      </c>
      <c r="H5" s="116"/>
      <c r="I5" s="116" t="s">
        <v>1165</v>
      </c>
      <c r="J5" s="116"/>
      <c r="K5" s="116"/>
      <c r="L5" s="116"/>
      <c r="M5" s="116" t="s">
        <v>1165</v>
      </c>
      <c r="N5" s="116"/>
      <c r="O5" s="116"/>
      <c r="P5" s="116"/>
      <c r="Q5" s="116" t="s">
        <v>1165</v>
      </c>
      <c r="R5" s="116"/>
      <c r="S5" s="116"/>
      <c r="T5" s="116"/>
      <c r="U5" s="116" t="s">
        <v>1165</v>
      </c>
      <c r="V5" s="116"/>
      <c r="W5" s="116"/>
      <c r="X5" s="116"/>
      <c r="Y5" s="116" t="s">
        <v>1165</v>
      </c>
      <c r="Z5" s="116"/>
      <c r="AA5" s="116"/>
      <c r="AB5" s="116"/>
      <c r="AC5" s="116" t="s">
        <v>1165</v>
      </c>
      <c r="AD5" s="116"/>
      <c r="AE5" s="116"/>
      <c r="AF5" s="116"/>
      <c r="AG5" s="116" t="s">
        <v>1165</v>
      </c>
      <c r="AH5" s="116"/>
      <c r="AI5" s="116"/>
      <c r="AJ5" s="116" t="s">
        <v>1165</v>
      </c>
      <c r="AK5" s="116"/>
      <c r="AL5" s="116" t="s">
        <v>1165</v>
      </c>
    </row>
    <row r="6" spans="2:38" x14ac:dyDescent="0.35">
      <c r="B6" s="115" t="str">
        <f>Estimation!N612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Estimation!N613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Estimation!N614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Estimation!N615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Estimation!N616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Estimation!N617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0.6</v>
      </c>
      <c r="H13" s="118">
        <v>0.6</v>
      </c>
      <c r="I13" s="118">
        <v>0.6</v>
      </c>
      <c r="J13" s="118">
        <v>0.6</v>
      </c>
      <c r="K13" s="118">
        <v>0.7</v>
      </c>
      <c r="L13" s="118">
        <v>0.7</v>
      </c>
      <c r="M13" s="118">
        <v>0.7</v>
      </c>
      <c r="N13" s="118">
        <v>0.7</v>
      </c>
      <c r="O13" s="118">
        <v>0.4</v>
      </c>
      <c r="P13" s="118">
        <v>0.4</v>
      </c>
      <c r="Q13" s="118">
        <v>0.4</v>
      </c>
      <c r="R13" s="118">
        <v>0.4</v>
      </c>
      <c r="S13" s="118">
        <v>0.4</v>
      </c>
      <c r="T13" s="118">
        <v>0.4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0.75</v>
      </c>
      <c r="H14" s="118">
        <v>0.75</v>
      </c>
      <c r="I14" s="118">
        <v>0.75</v>
      </c>
      <c r="J14" s="118">
        <v>0.75</v>
      </c>
      <c r="K14" s="118">
        <v>0.85</v>
      </c>
      <c r="L14" s="118">
        <v>0.85</v>
      </c>
      <c r="M14" s="118">
        <v>0.85</v>
      </c>
      <c r="N14" s="118">
        <v>0.85</v>
      </c>
      <c r="O14" s="118">
        <v>0.85</v>
      </c>
      <c r="P14" s="118">
        <v>0.85</v>
      </c>
      <c r="Q14" s="118">
        <v>0.85</v>
      </c>
      <c r="R14" s="118">
        <v>0.85</v>
      </c>
      <c r="S14" s="118">
        <v>0.85</v>
      </c>
      <c r="T14" s="118">
        <v>0.85</v>
      </c>
      <c r="U14" s="118">
        <v>0.85</v>
      </c>
      <c r="V14" s="118">
        <v>0.85</v>
      </c>
      <c r="W14" s="118">
        <v>0.95</v>
      </c>
      <c r="X14" s="118">
        <v>0.95</v>
      </c>
      <c r="Y14" s="118">
        <v>1</v>
      </c>
      <c r="Z14" s="118">
        <v>1</v>
      </c>
      <c r="AA14" s="118">
        <v>0.5</v>
      </c>
      <c r="AB14" s="118">
        <v>0.4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0.7</v>
      </c>
      <c r="H15" s="118">
        <v>0.7</v>
      </c>
      <c r="I15" s="118">
        <v>0.7</v>
      </c>
      <c r="J15" s="118">
        <v>0.7</v>
      </c>
      <c r="K15" s="118">
        <v>0.8</v>
      </c>
      <c r="L15" s="118">
        <v>0.8</v>
      </c>
      <c r="M15" s="118">
        <v>0.8</v>
      </c>
      <c r="N15" s="118">
        <v>0.8</v>
      </c>
      <c r="O15" s="118">
        <v>0.8</v>
      </c>
      <c r="P15" s="118">
        <v>0.8</v>
      </c>
      <c r="Q15" s="118">
        <v>0.9</v>
      </c>
      <c r="R15" s="118">
        <v>0.9</v>
      </c>
      <c r="S15" s="118">
        <v>0.9</v>
      </c>
      <c r="T15" s="118">
        <v>0.9</v>
      </c>
      <c r="U15" s="118">
        <v>0.8</v>
      </c>
      <c r="V15" s="118">
        <v>0.8</v>
      </c>
      <c r="W15" s="118">
        <v>0.9</v>
      </c>
      <c r="X15" s="118">
        <v>0.9</v>
      </c>
      <c r="Y15" s="118">
        <v>1</v>
      </c>
      <c r="Z15" s="118">
        <v>1</v>
      </c>
      <c r="AA15" s="118">
        <v>0.8</v>
      </c>
      <c r="AB15" s="118">
        <v>0.8</v>
      </c>
      <c r="AC15" s="118">
        <v>0.7</v>
      </c>
      <c r="AD15" s="118">
        <v>0.7</v>
      </c>
      <c r="AE15" s="118">
        <v>0.7</v>
      </c>
      <c r="AF15" s="118">
        <v>0.7</v>
      </c>
      <c r="AG15" s="118">
        <v>0.7</v>
      </c>
      <c r="AH15" s="118">
        <v>0.7</v>
      </c>
      <c r="AI15" s="118">
        <v>0.7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4.5</v>
      </c>
      <c r="L16" s="118">
        <v>4.5</v>
      </c>
      <c r="M16" s="118">
        <v>4.5</v>
      </c>
      <c r="N16" s="118">
        <v>4.5</v>
      </c>
      <c r="O16" s="118">
        <v>5.75</v>
      </c>
      <c r="P16" s="118">
        <v>5.75</v>
      </c>
      <c r="Q16" s="118">
        <v>7</v>
      </c>
      <c r="R16" s="118">
        <v>7</v>
      </c>
      <c r="S16" s="118">
        <v>7</v>
      </c>
      <c r="T16" s="118">
        <v>7</v>
      </c>
      <c r="U16" s="118">
        <v>7</v>
      </c>
      <c r="V16" s="118">
        <v>7</v>
      </c>
      <c r="W16" s="118">
        <v>7</v>
      </c>
      <c r="X16" s="118">
        <v>7</v>
      </c>
      <c r="Y16" s="118">
        <v>7</v>
      </c>
      <c r="Z16" s="118">
        <v>7</v>
      </c>
      <c r="AA16" s="118">
        <v>3.2</v>
      </c>
      <c r="AB16" s="118">
        <v>3.2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1.4</v>
      </c>
      <c r="AI16" s="118">
        <v>1.4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0.45</v>
      </c>
      <c r="L17" s="118">
        <v>0.35</v>
      </c>
      <c r="M17" s="118">
        <v>0.35</v>
      </c>
      <c r="N17" s="118">
        <v>0.35</v>
      </c>
      <c r="O17" s="118">
        <v>0.75</v>
      </c>
      <c r="P17" s="118">
        <v>0.75</v>
      </c>
      <c r="Q17" s="118">
        <v>0.75</v>
      </c>
      <c r="R17" s="118">
        <v>0.75</v>
      </c>
      <c r="S17" s="118">
        <v>0.75</v>
      </c>
      <c r="T17" s="118">
        <v>0.75</v>
      </c>
      <c r="U17" s="118">
        <v>0.75</v>
      </c>
      <c r="V17" s="118">
        <v>0.75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0.8</v>
      </c>
      <c r="AD17" s="118">
        <v>0.8</v>
      </c>
      <c r="AE17" s="118">
        <v>0.8</v>
      </c>
      <c r="AF17" s="118">
        <v>0.8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1166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5.75</v>
      </c>
      <c r="H19" s="118">
        <f t="shared" si="1"/>
        <v>5.75</v>
      </c>
      <c r="I19" s="118">
        <f t="shared" si="1"/>
        <v>5.75</v>
      </c>
      <c r="J19" s="118">
        <f t="shared" si="1"/>
        <v>5.75</v>
      </c>
      <c r="K19" s="118">
        <f t="shared" si="1"/>
        <v>7.3</v>
      </c>
      <c r="L19" s="118">
        <f t="shared" si="1"/>
        <v>7.2</v>
      </c>
      <c r="M19" s="118">
        <f t="shared" si="1"/>
        <v>7.2</v>
      </c>
      <c r="N19" s="118">
        <f t="shared" si="1"/>
        <v>7.2</v>
      </c>
      <c r="O19" s="118">
        <f t="shared" si="1"/>
        <v>8.55</v>
      </c>
      <c r="P19" s="118">
        <f t="shared" si="1"/>
        <v>8.55</v>
      </c>
      <c r="Q19" s="118">
        <f t="shared" si="1"/>
        <v>9.9</v>
      </c>
      <c r="R19" s="118">
        <f t="shared" si="1"/>
        <v>9.9</v>
      </c>
      <c r="S19" s="118">
        <f t="shared" si="1"/>
        <v>9.9</v>
      </c>
      <c r="T19" s="118">
        <f t="shared" si="1"/>
        <v>9.9</v>
      </c>
      <c r="U19" s="118">
        <f t="shared" si="1"/>
        <v>9.6</v>
      </c>
      <c r="V19" s="118">
        <f t="shared" si="1"/>
        <v>9.6</v>
      </c>
      <c r="W19" s="118">
        <f t="shared" si="1"/>
        <v>10.15</v>
      </c>
      <c r="X19" s="118">
        <f t="shared" si="1"/>
        <v>10.15</v>
      </c>
      <c r="Y19" s="118">
        <f t="shared" si="1"/>
        <v>10.5</v>
      </c>
      <c r="Z19" s="118">
        <f t="shared" si="1"/>
        <v>10.5</v>
      </c>
      <c r="AA19" s="118">
        <f t="shared" si="1"/>
        <v>5.9</v>
      </c>
      <c r="AB19" s="118">
        <f t="shared" si="1"/>
        <v>5.8</v>
      </c>
      <c r="AC19" s="118">
        <f t="shared" si="1"/>
        <v>3.3</v>
      </c>
      <c r="AD19" s="118">
        <f t="shared" si="1"/>
        <v>3.3</v>
      </c>
      <c r="AE19" s="118">
        <f t="shared" si="1"/>
        <v>3.3</v>
      </c>
      <c r="AF19" s="118">
        <f t="shared" si="1"/>
        <v>3.3</v>
      </c>
      <c r="AG19" s="118">
        <f t="shared" si="1"/>
        <v>3.2</v>
      </c>
      <c r="AH19" s="118">
        <f t="shared" si="1"/>
        <v>3.4</v>
      </c>
      <c r="AI19" s="118">
        <f t="shared" si="1"/>
        <v>3.4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1167</v>
      </c>
      <c r="C20" s="338">
        <f>SUM(C13:AL18)*5</f>
        <v>1185</v>
      </c>
      <c r="D20" s="339"/>
      <c r="E20" s="339"/>
      <c r="F20" s="339"/>
      <c r="G20" s="338">
        <f>TOTAL_EFFORT</f>
        <v>1186</v>
      </c>
      <c r="H20" s="339"/>
      <c r="I20" s="339"/>
      <c r="J20" s="339"/>
    </row>
    <row r="21" spans="2:38" x14ac:dyDescent="0.35">
      <c r="B21" s="1" t="s">
        <v>1168</v>
      </c>
    </row>
    <row r="22" spans="2:38" x14ac:dyDescent="0.35">
      <c r="B22" s="117" t="s">
        <v>1169</v>
      </c>
      <c r="C22" s="340" t="s">
        <v>1170</v>
      </c>
      <c r="D22" s="339"/>
      <c r="E22" s="339"/>
      <c r="F22" s="339"/>
      <c r="G22" s="340" t="s">
        <v>25</v>
      </c>
      <c r="H22" s="339"/>
      <c r="I22" s="339"/>
      <c r="J22" s="339"/>
      <c r="K22" s="339"/>
      <c r="L22" s="339"/>
      <c r="M22" s="340" t="s">
        <v>1171</v>
      </c>
      <c r="N22" s="339"/>
      <c r="O22" s="339"/>
      <c r="P22" s="339"/>
      <c r="Q22" s="340" t="s">
        <v>1172</v>
      </c>
      <c r="R22" s="339"/>
      <c r="S22" s="339"/>
      <c r="T22" s="339"/>
      <c r="U22" s="339"/>
      <c r="V22" s="339"/>
      <c r="W22" s="339"/>
      <c r="X22" s="339"/>
      <c r="Y22" s="339"/>
      <c r="Z22" s="339"/>
      <c r="AA22" s="339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</row>
    <row r="23" spans="2:38" x14ac:dyDescent="0.35">
      <c r="B23" t="s">
        <v>1173</v>
      </c>
      <c r="C23" s="338">
        <f>REQ_EFFORT+DESIGN_EFFORT</f>
        <v>161</v>
      </c>
      <c r="D23" s="339"/>
      <c r="E23" s="339"/>
      <c r="F23" s="339"/>
      <c r="G23" s="341">
        <f>REQ_COST+DESIGN_COST</f>
        <v>36064</v>
      </c>
      <c r="H23" s="339"/>
      <c r="I23" s="339"/>
      <c r="J23" s="339"/>
      <c r="K23" s="339"/>
      <c r="L23" s="339"/>
      <c r="M23" s="342">
        <f t="shared" ref="M23:M28" si="2">C23/$C$29</f>
        <v>0.13575042158516</v>
      </c>
      <c r="N23" s="339"/>
      <c r="O23" s="339"/>
      <c r="P23" s="339"/>
      <c r="Q23" s="339" t="s">
        <v>1174</v>
      </c>
      <c r="R23" s="339"/>
      <c r="S23" s="339"/>
      <c r="T23" s="339"/>
      <c r="U23" s="339"/>
      <c r="V23" s="339"/>
      <c r="W23" s="339"/>
      <c r="X23" s="339"/>
      <c r="Y23" s="339"/>
      <c r="Z23" s="339"/>
      <c r="AA23" s="339"/>
      <c r="AB23" s="339"/>
      <c r="AC23" s="339"/>
      <c r="AD23" s="339"/>
      <c r="AE23" s="339"/>
      <c r="AF23" s="339"/>
      <c r="AG23" s="339"/>
      <c r="AH23" s="339"/>
      <c r="AI23" s="339"/>
      <c r="AJ23" s="339"/>
      <c r="AK23" s="339"/>
      <c r="AL23" s="339"/>
    </row>
    <row r="24" spans="2:38" x14ac:dyDescent="0.35">
      <c r="B24" t="s">
        <v>1175</v>
      </c>
      <c r="C24" s="338">
        <f>DEV_EFFORT</f>
        <v>695</v>
      </c>
      <c r="D24" s="339"/>
      <c r="E24" s="339"/>
      <c r="F24" s="339"/>
      <c r="G24" s="341">
        <f>DEV_COST</f>
        <v>155680</v>
      </c>
      <c r="H24" s="339"/>
      <c r="I24" s="339"/>
      <c r="J24" s="339"/>
      <c r="K24" s="339"/>
      <c r="L24" s="339"/>
      <c r="M24" s="342">
        <f t="shared" si="2"/>
        <v>0.586003372681282</v>
      </c>
      <c r="N24" s="339"/>
      <c r="O24" s="339"/>
      <c r="P24" s="339"/>
      <c r="Q24" s="339" t="inlineStr">
        <is>
          <t xml:space="preserve">W4–W24 · dev env W6; security baseline W6–W10; Auth + Claims MVP W10; Repair &amp; Booking services W12–W18; v2.0 additions W12–W23; portal betas W14/W18; us-east-2 standby W14–W21; integrated W22</t>
        </is>
      </c>
      <c r="R24" s="339"/>
      <c r="S24" s="339"/>
      <c r="T24" s="339"/>
      <c r="U24" s="339"/>
      <c r="V24" s="339"/>
      <c r="W24" s="339"/>
      <c r="X24" s="339"/>
      <c r="Y24" s="339"/>
      <c r="Z24" s="339"/>
      <c r="AA24" s="339"/>
      <c r="AB24" s="339"/>
      <c r="AC24" s="339"/>
      <c r="AD24" s="339"/>
      <c r="AE24" s="339"/>
      <c r="AF24" s="339"/>
      <c r="AG24" s="339"/>
      <c r="AH24" s="339"/>
      <c r="AI24" s="339"/>
      <c r="AJ24" s="339"/>
      <c r="AK24" s="339"/>
      <c r="AL24" s="339"/>
    </row>
    <row r="25" spans="2:38" x14ac:dyDescent="0.35">
      <c r="B25" t="s">
        <v>1176</v>
      </c>
      <c r="C25" s="338">
        <f>QA_EFFORT</f>
        <v>121</v>
      </c>
      <c r="D25" s="339"/>
      <c r="E25" s="339"/>
      <c r="F25" s="339"/>
      <c r="G25" s="341">
        <f>QA_COST</f>
        <v>27104</v>
      </c>
      <c r="H25" s="339"/>
      <c r="I25" s="339"/>
      <c r="J25" s="339"/>
      <c r="K25" s="339"/>
      <c r="L25" s="339"/>
      <c r="M25" s="342">
        <f t="shared" si="2"/>
        <v>0.102023608768971</v>
      </c>
      <c r="N25" s="339"/>
      <c r="O25" s="339"/>
      <c r="P25" s="339"/>
      <c r="Q25" s="339" t="inlineStr">
        <is>
          <t xml:space="preserve">W20–W26 · overlaps the last 2 sprints; Region failover game day and v1.9 / v2.0 end-to-end checks W24–W25; performance testing complete W26</t>
        </is>
      </c>
      <c r="R25" s="339"/>
      <c r="S25" s="339"/>
      <c r="T25" s="339"/>
      <c r="U25" s="339"/>
      <c r="V25" s="339"/>
      <c r="W25" s="339"/>
      <c r="X25" s="339"/>
      <c r="Y25" s="339"/>
      <c r="Z25" s="339"/>
      <c r="AA25" s="339"/>
      <c r="AB25" s="339"/>
      <c r="AC25" s="339"/>
      <c r="AD25" s="339"/>
      <c r="AE25" s="339"/>
      <c r="AF25" s="339"/>
      <c r="AG25" s="339"/>
      <c r="AH25" s="339"/>
      <c r="AI25" s="339"/>
      <c r="AJ25" s="339"/>
      <c r="AK25" s="339"/>
      <c r="AL25" s="339"/>
    </row>
    <row r="26" spans="2:38" x14ac:dyDescent="0.35">
      <c r="B26" t="s">
        <v>1177</v>
      </c>
      <c r="C26" s="338">
        <f>Estimation!T502+Estimation!T507</f>
        <v>70</v>
      </c>
      <c r="D26" s="339"/>
      <c r="E26" s="339"/>
      <c r="F26" s="339"/>
      <c r="G26" s="341">
        <f>UAT_COST*C26/UAT_EFFORT</f>
        <v>15680</v>
      </c>
      <c r="H26" s="339"/>
      <c r="I26" s="339"/>
      <c r="J26" s="339"/>
      <c r="K26" s="339"/>
      <c r="L26" s="339"/>
      <c r="M26" s="342">
        <f t="shared" si="2"/>
        <v>0.0590219224283305</v>
      </c>
      <c r="N26" s="339"/>
      <c r="O26" s="339"/>
      <c r="P26" s="339"/>
      <c r="Q26" s="339" t="s">
        <v>1178</v>
      </c>
      <c r="R26" s="339"/>
      <c r="S26" s="339"/>
      <c r="T26" s="339"/>
      <c r="U26" s="339"/>
      <c r="V26" s="339"/>
      <c r="W26" s="339"/>
      <c r="X26" s="339"/>
      <c r="Y26" s="339"/>
      <c r="Z26" s="339"/>
      <c r="AA26" s="339"/>
      <c r="AB26" s="339"/>
      <c r="AC26" s="339"/>
      <c r="AD26" s="339"/>
      <c r="AE26" s="339"/>
      <c r="AF26" s="339"/>
      <c r="AG26" s="339"/>
      <c r="AH26" s="339"/>
      <c r="AI26" s="339"/>
      <c r="AJ26" s="339"/>
      <c r="AK26" s="339"/>
      <c r="AL26" s="339"/>
    </row>
    <row r="27" spans="2:38" x14ac:dyDescent="0.35">
      <c r="B27" t="s">
        <v>1179</v>
      </c>
      <c r="C27" s="338">
        <f>Estimation!T513+Estimation!T520</f>
        <v>52</v>
      </c>
      <c r="D27" s="339"/>
      <c r="E27" s="339"/>
      <c r="F27" s="339"/>
      <c r="G27" s="341">
        <f>UAT_COST*C27/UAT_EFFORT</f>
        <v>11648</v>
      </c>
      <c r="H27" s="339"/>
      <c r="I27" s="339"/>
      <c r="J27" s="339"/>
      <c r="K27" s="339"/>
      <c r="L27" s="339"/>
      <c r="M27" s="342">
        <f t="shared" si="2"/>
        <v>0.0438448566610455</v>
      </c>
      <c r="N27" s="339"/>
      <c r="O27" s="339"/>
      <c r="P27" s="339"/>
      <c r="Q27" s="339" t="s">
        <v>1200</v>
      </c>
      <c r="R27" s="339"/>
      <c r="S27" s="339"/>
      <c r="T27" s="339"/>
      <c r="U27" s="339"/>
      <c r="V27" s="339"/>
      <c r="W27" s="339"/>
      <c r="X27" s="339"/>
      <c r="Y27" s="339"/>
      <c r="Z27" s="339"/>
      <c r="AA27" s="339"/>
      <c r="AB27" s="339"/>
      <c r="AC27" s="339"/>
      <c r="AD27" s="339"/>
      <c r="AE27" s="339"/>
      <c r="AF27" s="339"/>
      <c r="AG27" s="339"/>
      <c r="AH27" s="339"/>
      <c r="AI27" s="339"/>
      <c r="AJ27" s="339"/>
      <c r="AK27" s="339"/>
      <c r="AL27" s="339"/>
    </row>
    <row r="28" spans="2:38" x14ac:dyDescent="0.35">
      <c r="B28" t="s">
        <v>1180</v>
      </c>
      <c r="C28" s="338">
        <f>OTHER_EFFORT</f>
        <v>87</v>
      </c>
      <c r="D28" s="339"/>
      <c r="E28" s="339"/>
      <c r="F28" s="339"/>
      <c r="G28" s="341">
        <f>OTHER_COST</f>
        <v>19488</v>
      </c>
      <c r="H28" s="339"/>
      <c r="I28" s="339"/>
      <c r="J28" s="339"/>
      <c r="K28" s="339"/>
      <c r="L28" s="339"/>
      <c r="M28" s="342">
        <f t="shared" si="2"/>
        <v>0.0733558178752108</v>
      </c>
      <c r="N28" s="339"/>
      <c r="O28" s="339"/>
      <c r="P28" s="339"/>
      <c r="Q28" s="339" t="s">
        <v>1181</v>
      </c>
      <c r="R28" s="339"/>
      <c r="S28" s="339"/>
      <c r="T28" s="339"/>
      <c r="U28" s="339"/>
      <c r="V28" s="339"/>
      <c r="W28" s="339"/>
      <c r="X28" s="339"/>
      <c r="Y28" s="339"/>
      <c r="Z28" s="339"/>
      <c r="AA28" s="339"/>
      <c r="AB28" s="339"/>
      <c r="AC28" s="339"/>
      <c r="AD28" s="339"/>
      <c r="AE28" s="339"/>
      <c r="AF28" s="339"/>
      <c r="AG28" s="339"/>
      <c r="AH28" s="339"/>
      <c r="AI28" s="339"/>
      <c r="AJ28" s="339"/>
      <c r="AK28" s="339"/>
      <c r="AL28" s="339"/>
    </row>
    <row r="29" spans="2:38" x14ac:dyDescent="0.35">
      <c r="B29" s="1" t="s">
        <v>1182</v>
      </c>
      <c r="C29" s="343">
        <f>SUM(C23:C28)</f>
        <v>1186</v>
      </c>
      <c r="D29" s="339"/>
      <c r="E29" s="339"/>
      <c r="F29" s="339"/>
      <c r="G29" s="344">
        <f>SUM(G23:G28)</f>
        <v>265664</v>
      </c>
      <c r="H29" s="339"/>
      <c r="I29" s="339"/>
      <c r="J29" s="339"/>
      <c r="K29" s="339"/>
      <c r="L29" s="339"/>
      <c r="M29" s="345">
        <f>SUM(M23:M28)</f>
        <v>1</v>
      </c>
      <c r="N29" s="339"/>
      <c r="O29" s="339"/>
      <c r="P29" s="339"/>
      <c r="Q29" s="346" t="str">
        <f>IF(AND(C29=TOTAL_EFFORT,ROUND(G29,0)=ROUND(TOTAL_COST,0)),"Ties to Estimation totals (TOTAL_EFFORT / TOTAL_COST)","CHECK: does not tie to TOTAL_EFFORT / TOTAL_COST")</f>
        <v>Ties to Estimation totals (TOTAL_EFFORT / TOTAL_COST)</v>
      </c>
      <c r="R29" s="339"/>
      <c r="S29" s="339"/>
      <c r="T29" s="339"/>
      <c r="U29" s="339"/>
      <c r="V29" s="339"/>
      <c r="W29" s="339"/>
      <c r="X29" s="339"/>
      <c r="Y29" s="339"/>
      <c r="Z29" s="339"/>
      <c r="AA29" s="339"/>
      <c r="AB29" s="339"/>
      <c r="AC29" s="339"/>
      <c r="AD29" s="339"/>
      <c r="AE29" s="339"/>
      <c r="AF29" s="339"/>
      <c r="AG29" s="339"/>
      <c r="AH29" s="339"/>
      <c r="AI29" s="339"/>
      <c r="AJ29" s="339"/>
      <c r="AK29" s="339"/>
      <c r="AL29" s="339"/>
    </row>
    <row r="31" spans="2:38" x14ac:dyDescent="0.35">
      <c r="B31" s="1" t="s">
        <v>1183</v>
      </c>
    </row>
    <row r="32" spans="2:38" x14ac:dyDescent="0.35">
      <c r="B32" t="inlineStr">
        <is>
          <t xml:space="preserve">1. Role mapping (11 people): TA = Solution Architect · BA = Business Analyst · TL = Project Manager · DEV = 4 BE (the third W8–W25, the fourth W12–W23) + 2 FE + 1 DevOps · QA = QA Engineer · no GD (UX/visual design by FE devs).</t>
        </is>
      </c>
    </row>
    <row r="33" spans="2:2" x14ac:dyDescent="0.35">
      <c r="B33" t="s">
        <v>1184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(178 PD / USD 39,850). Buffer is '-' on every activity.</v>
      </c>
    </row>
    <row r="35" spans="2:2" x14ac:dyDescent="0.35">
      <c r="B35" t="s">
        <v>1285</v>
      </c>
    </row>
    <row r="36" spans="2:2" x14ac:dyDescent="0.35">
      <c r="B36" t="s">
        <v>1201</v>
      </c>
    </row>
    <row r="37" spans="2:2" x14ac:dyDescent="0.35">
      <c r="B37" t="s">
        <v>1185</v>
      </c>
    </row>
    <row r="38" spans="2:2" x14ac:dyDescent="0.35">
      <c r="B38" t="inlineStr">
        <is>
          <t xml:space="preserve">6. PM is funded at about 0.80 FTE on average (full-time W0–W3 and W22–W23); a full-time PM for all 35 weeks adds about 34 PD, which the reserve covers.</t>
        </is>
      </c>
    </row>
    <row r="39" spans="2:2" x14ac:dyDescent="0.35">
      <c r="B39" t="s">
        <v>1202</v>
      </c>
    </row>
    <row r="40" spans="2:2" x14ac:dyDescent="0.35">
      <c r="B40" t="s">
        <v>1287</v>
      </c>
    </row>
    <row r="41">
      <c r="B41" t="inlineStr">
        <is>
          <t xml:space="preserve">9. SAD v2.0 scope is in Phase 1: 82 PD, of which 55.5 are build (hybrid connectivity, claim types, information requests and disputes, click-to-sign, claim messages, rental extension and payouts, premium and ledger postings, ISO ClaimSearch, data protection), 2 compliance and interface-standards design, 2 the end-to-end checks (D5.7), 16 analysis, design and testing for seven new FRs (FR-55–FR-61) and 6.5 PM. A seventh developer (backend) W12–W23 keeps go-live at W33.</t>
        </is>
      </c>
    </row>
  </sheetData>
  <mergeCells count="45">
    <mergeCell ref="C28:F28"/>
    <mergeCell ref="G28:L28"/>
    <mergeCell ref="M28:P28"/>
    <mergeCell ref="Q28:AL28"/>
    <mergeCell ref="C29:F29"/>
    <mergeCell ref="G29:L29"/>
    <mergeCell ref="M29:P29"/>
    <mergeCell ref="Q29:AL29"/>
    <mergeCell ref="C26:F26"/>
    <mergeCell ref="G26:L26"/>
    <mergeCell ref="M26:P26"/>
    <mergeCell ref="Q26:AL26"/>
    <mergeCell ref="C27:F27"/>
    <mergeCell ref="G27:L27"/>
    <mergeCell ref="M27:P27"/>
    <mergeCell ref="Q27:AL27"/>
    <mergeCell ref="C24:F24"/>
    <mergeCell ref="G24:L24"/>
    <mergeCell ref="M24:P24"/>
    <mergeCell ref="Q24:AL24"/>
    <mergeCell ref="C25:F25"/>
    <mergeCell ref="G25:L25"/>
    <mergeCell ref="M25:P25"/>
    <mergeCell ref="Q25:AL25"/>
    <mergeCell ref="Q22:AL22"/>
    <mergeCell ref="C23:F23"/>
    <mergeCell ref="G23:L23"/>
    <mergeCell ref="M23:P23"/>
    <mergeCell ref="Q23:AL23"/>
    <mergeCell ref="C20:F20"/>
    <mergeCell ref="G20:J20"/>
    <mergeCell ref="C22:F22"/>
    <mergeCell ref="G22:L22"/>
    <mergeCell ref="M22:P22"/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108"/>
  <sheetViews>
    <sheetView tabSelected="1" topLeftCell="A44" workbookViewId="0">
      <selection activeCell="C62" sqref="C62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3" x14ac:dyDescent="0.35">
      <c r="A49" s="276" t="s">
        <v>599</v>
      </c>
      <c r="B49" s="277" t="s">
        <v>593</v>
      </c>
      <c r="C49" s="277" t="s">
        <v>600</v>
      </c>
    </row>
    <row r="50" spans="1:3" x14ac:dyDescent="0.35">
      <c r="A50" s="276" t="s">
        <v>1203</v>
      </c>
      <c r="B50" s="277" t="s">
        <v>499</v>
      </c>
      <c r="C50" s="277" t="s">
        <v>1204</v>
      </c>
    </row>
    <row r="51" spans="1:3" x14ac:dyDescent="0.35">
      <c r="A51" s="276" t="s">
        <v>1205</v>
      </c>
      <c r="B51" s="277" t="s">
        <v>535</v>
      </c>
      <c r="C51" s="277" t="s">
        <v>1206</v>
      </c>
    </row>
    <row r="52" spans="1:3" x14ac:dyDescent="0.35">
      <c r="A52" s="276" t="s">
        <v>1207</v>
      </c>
      <c r="B52" s="277" t="s">
        <v>535</v>
      </c>
      <c r="C52" s="277" t="s">
        <v>1208</v>
      </c>
    </row>
    <row r="53" spans="1:3" x14ac:dyDescent="0.35">
      <c r="A53" s="276" t="s">
        <v>1209</v>
      </c>
      <c r="B53" s="277" t="s">
        <v>593</v>
      </c>
      <c r="C53" s="277" t="s">
        <v>1210</v>
      </c>
    </row>
    <row r="54" spans="1:3" ht="29" x14ac:dyDescent="0.35">
      <c r="A54" s="276" t="s">
        <v>1211</v>
      </c>
      <c r="B54" s="277" t="s">
        <v>560</v>
      </c>
      <c r="C54" s="277" t="s">
        <v>1212</v>
      </c>
    </row>
    <row r="55" spans="1:3" ht="29" x14ac:dyDescent="0.35">
      <c r="A55" s="276" t="s">
        <v>1213</v>
      </c>
      <c r="B55" s="277" t="s">
        <v>1214</v>
      </c>
      <c r="C55" s="277" t="s">
        <v>1215</v>
      </c>
    </row>
    <row r="56" spans="1:3" x14ac:dyDescent="0.35">
      <c r="A56" s="276" t="inlineStr">
        <is>
          <t xml:space="preserve">FR-55</t>
        </is>
      </c>
      <c r="B56" s="277" t="inlineStr">
        <is>
          <t xml:space="preserve">Internal Claims</t>
        </is>
      </c>
      <c r="C56" s="277" t="inlineStr">
        <is>
          <t xml:space="preserve">Information requests to the customer, with the claim on hold until answered</t>
        </is>
      </c>
    </row>
    <row r="57" spans="1:3" x14ac:dyDescent="0.35">
      <c r="A57" s="276" t="inlineStr">
        <is>
          <t xml:space="preserve">FR-56</t>
        </is>
      </c>
      <c r="B57" s="277" t="inlineStr">
        <is>
          <t xml:space="preserve">Customer</t>
        </is>
      </c>
      <c r="C57" s="277" t="inlineStr">
        <is>
          <t xml:space="preserve">Disputes of an approval or a rejection within the dispute window</t>
        </is>
      </c>
    </row>
    <row r="58" spans="1:3" x14ac:dyDescent="0.35">
      <c r="A58" s="276" t="inlineStr">
        <is>
          <t xml:space="preserve">FR-57</t>
        </is>
      </c>
      <c r="B58" s="277" t="inlineStr">
        <is>
          <t xml:space="preserve">Customer</t>
        </is>
      </c>
      <c r="C58" s="277" t="inlineStr">
        <is>
          <t xml:space="preserve">Electronic signature of the claim declaration and settlement acceptance</t>
        </is>
      </c>
    </row>
    <row r="59" spans="1:3" x14ac:dyDescent="0.35">
      <c r="A59" s="276" t="inlineStr">
        <is>
          <t xml:space="preserve">FR-58</t>
        </is>
      </c>
      <c r="B59" s="277" t="inlineStr">
        <is>
          <t xml:space="preserve">Notifications</t>
        </is>
      </c>
      <c r="C59" s="277" t="inlineStr">
        <is>
          <t xml:space="preserve">Two-way claim messages, inbound email replies included, all archived</t>
        </is>
      </c>
    </row>
    <row r="60" spans="1:3" x14ac:dyDescent="0.35">
      <c r="A60" s="276" t="inlineStr">
        <is>
          <t xml:space="preserve">FR-59</t>
        </is>
      </c>
      <c r="B60" s="277" t="inlineStr">
        <is>
          <t xml:space="preserve">Internal Claims</t>
        </is>
      </c>
      <c r="C60" s="277" t="inlineStr">
        <is>
          <t xml:space="preserve">Total-loss and theft claims with cash settlement</t>
        </is>
      </c>
    </row>
    <row r="61" spans="1:3" x14ac:dyDescent="0.35">
      <c r="A61" s="276" t="inlineStr">
        <is>
          <t xml:space="preserve">FR-60</t>
        </is>
      </c>
      <c r="B61" s="277" t="inlineStr">
        <is>
          <t xml:space="preserve">Customer</t>
        </is>
      </c>
      <c r="C61" s="277" t="inlineStr">
        <is>
          <t xml:space="preserve">Rental extension with the delivery date, and rental-partner payment</t>
        </is>
      </c>
    </row>
    <row r="62" spans="1:3" x14ac:dyDescent="0.35">
      <c r="A62" s="276" t="inlineStr">
        <is>
          <t xml:space="preserve">FR-61</t>
        </is>
      </c>
      <c r="B62" s="277" t="inlineStr">
        <is>
          <t xml:space="preserve">Payments</t>
        </is>
      </c>
      <c r="C62" s="277" t="inlineStr">
        <is>
          <t xml:space="preserve">Premium payment posted to the Policy Administration System</t>
        </is>
      </c>
    </row>
    <row r="65" spans="1:8" x14ac:dyDescent="0.35">
      <c r="A65" s="274" t="s">
        <v>495</v>
      </c>
      <c r="B65" s="1" t="s">
        <v>761</v>
      </c>
      <c r="C65" s="275" t="s">
        <v>648</v>
      </c>
      <c r="D65" s="274" t="s">
        <v>601</v>
      </c>
      <c r="E65" s="275" t="s">
        <v>602</v>
      </c>
      <c r="F65" s="275" t="s">
        <v>603</v>
      </c>
      <c r="G65" s="275" t="s">
        <v>649</v>
      </c>
      <c r="H65" s="275" t="s">
        <v>650</v>
      </c>
    </row>
    <row r="66" spans="1:8" x14ac:dyDescent="0.35">
      <c r="A66" s="276" t="s">
        <v>498</v>
      </c>
      <c r="B66" s="278" t="s">
        <v>499</v>
      </c>
      <c r="C66" s="277" t="s">
        <v>651</v>
      </c>
      <c r="D66" s="276" t="s">
        <v>652</v>
      </c>
      <c r="E66" s="277" t="s">
        <v>653</v>
      </c>
      <c r="F66" s="277" t="s">
        <v>499</v>
      </c>
      <c r="G66" s="277" t="s">
        <v>654</v>
      </c>
      <c r="H66" s="277" t="s">
        <v>107</v>
      </c>
    </row>
    <row r="67" spans="1:8" x14ac:dyDescent="0.35">
      <c r="A67" s="276" t="s">
        <v>498</v>
      </c>
      <c r="B67" s="278" t="s">
        <v>499</v>
      </c>
      <c r="C67" s="277" t="s">
        <v>651</v>
      </c>
      <c r="D67" s="276" t="s">
        <v>655</v>
      </c>
      <c r="E67" s="277" t="s">
        <v>656</v>
      </c>
      <c r="F67" s="277" t="s">
        <v>499</v>
      </c>
      <c r="G67" s="277" t="s">
        <v>657</v>
      </c>
      <c r="H67" s="277" t="s">
        <v>658</v>
      </c>
    </row>
    <row r="68" spans="1:8" x14ac:dyDescent="0.35">
      <c r="A68" s="276" t="s">
        <v>498</v>
      </c>
      <c r="B68" s="278" t="s">
        <v>499</v>
      </c>
      <c r="C68" s="277" t="s">
        <v>651</v>
      </c>
      <c r="D68" s="276" t="s">
        <v>659</v>
      </c>
      <c r="E68" s="277" t="s">
        <v>660</v>
      </c>
      <c r="F68" s="277" t="s">
        <v>621</v>
      </c>
      <c r="G68" s="277" t="s">
        <v>657</v>
      </c>
      <c r="H68" s="277" t="s">
        <v>107</v>
      </c>
    </row>
    <row r="69" spans="1:8" x14ac:dyDescent="0.35">
      <c r="A69" s="276" t="s">
        <v>501</v>
      </c>
      <c r="B69" s="278" t="s">
        <v>499</v>
      </c>
      <c r="C69" s="277" t="s">
        <v>502</v>
      </c>
      <c r="D69" s="276" t="s">
        <v>661</v>
      </c>
      <c r="E69" s="277" t="s">
        <v>662</v>
      </c>
      <c r="F69" s="277" t="s">
        <v>499</v>
      </c>
      <c r="G69" s="277" t="s">
        <v>654</v>
      </c>
      <c r="H69" s="277" t="s">
        <v>47</v>
      </c>
    </row>
    <row r="70" spans="1:8" x14ac:dyDescent="0.35">
      <c r="A70" s="276" t="s">
        <v>501</v>
      </c>
      <c r="B70" s="278" t="s">
        <v>499</v>
      </c>
      <c r="C70" s="277" t="s">
        <v>502</v>
      </c>
      <c r="D70" s="276" t="s">
        <v>663</v>
      </c>
      <c r="E70" s="277" t="s">
        <v>664</v>
      </c>
      <c r="F70" s="277" t="s">
        <v>499</v>
      </c>
      <c r="G70" s="277" t="s">
        <v>665</v>
      </c>
      <c r="H70" s="277" t="s">
        <v>107</v>
      </c>
    </row>
    <row r="71" spans="1:8" x14ac:dyDescent="0.35">
      <c r="A71" s="276" t="s">
        <v>501</v>
      </c>
      <c r="B71" s="278" t="s">
        <v>499</v>
      </c>
      <c r="C71" s="277" t="s">
        <v>502</v>
      </c>
      <c r="D71" s="276" t="s">
        <v>666</v>
      </c>
      <c r="E71" s="277" t="s">
        <v>667</v>
      </c>
      <c r="F71" s="277" t="s">
        <v>621</v>
      </c>
      <c r="G71" s="277" t="s">
        <v>657</v>
      </c>
      <c r="H71" s="277" t="s">
        <v>107</v>
      </c>
    </row>
    <row r="72" spans="1:8" x14ac:dyDescent="0.35">
      <c r="A72" s="276" t="s">
        <v>503</v>
      </c>
      <c r="B72" s="278" t="s">
        <v>499</v>
      </c>
      <c r="C72" s="277" t="s">
        <v>504</v>
      </c>
      <c r="D72" s="276" t="s">
        <v>668</v>
      </c>
      <c r="E72" s="277" t="s">
        <v>669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503</v>
      </c>
      <c r="B73" s="278" t="s">
        <v>499</v>
      </c>
      <c r="C73" s="277" t="s">
        <v>504</v>
      </c>
      <c r="D73" s="276" t="s">
        <v>670</v>
      </c>
      <c r="E73" s="277" t="s">
        <v>671</v>
      </c>
      <c r="F73" s="277" t="s">
        <v>499</v>
      </c>
      <c r="G73" s="277" t="s">
        <v>665</v>
      </c>
      <c r="H73" s="277" t="s">
        <v>107</v>
      </c>
    </row>
    <row r="74" spans="1:8" x14ac:dyDescent="0.35">
      <c r="A74" s="276" t="s">
        <v>503</v>
      </c>
      <c r="B74" s="278" t="s">
        <v>499</v>
      </c>
      <c r="C74" s="277" t="s">
        <v>504</v>
      </c>
      <c r="D74" s="276" t="s">
        <v>672</v>
      </c>
      <c r="E74" s="277" t="s">
        <v>673</v>
      </c>
      <c r="F74" s="277" t="s">
        <v>621</v>
      </c>
      <c r="G74" s="277" t="s">
        <v>657</v>
      </c>
      <c r="H74" s="277" t="s">
        <v>658</v>
      </c>
    </row>
    <row r="75" spans="1:8" x14ac:dyDescent="0.35">
      <c r="A75" s="276" t="s">
        <v>505</v>
      </c>
      <c r="B75" s="278" t="s">
        <v>499</v>
      </c>
      <c r="C75" s="277" t="s">
        <v>674</v>
      </c>
      <c r="D75" s="276" t="s">
        <v>675</v>
      </c>
      <c r="E75" s="277" t="s">
        <v>676</v>
      </c>
      <c r="F75" s="277" t="s">
        <v>621</v>
      </c>
      <c r="G75" s="277" t="s">
        <v>654</v>
      </c>
      <c r="H75" s="277" t="s">
        <v>107</v>
      </c>
    </row>
    <row r="76" spans="1:8" x14ac:dyDescent="0.35">
      <c r="A76" s="276" t="s">
        <v>505</v>
      </c>
      <c r="B76" s="278" t="s">
        <v>499</v>
      </c>
      <c r="C76" s="277" t="s">
        <v>674</v>
      </c>
      <c r="D76" s="276" t="s">
        <v>677</v>
      </c>
      <c r="E76" s="277" t="s">
        <v>678</v>
      </c>
      <c r="F76" s="277" t="s">
        <v>621</v>
      </c>
      <c r="G76" s="277" t="s">
        <v>657</v>
      </c>
      <c r="H76" s="277" t="s">
        <v>658</v>
      </c>
    </row>
    <row r="77" spans="1:8" x14ac:dyDescent="0.35">
      <c r="A77" s="276" t="s">
        <v>507</v>
      </c>
      <c r="B77" s="278" t="s">
        <v>499</v>
      </c>
      <c r="C77" s="277" t="s">
        <v>679</v>
      </c>
      <c r="D77" s="276" t="s">
        <v>680</v>
      </c>
      <c r="E77" s="277" t="s">
        <v>681</v>
      </c>
      <c r="F77" s="277" t="s">
        <v>499</v>
      </c>
      <c r="G77" s="277" t="s">
        <v>654</v>
      </c>
      <c r="H77" s="277" t="s">
        <v>658</v>
      </c>
    </row>
    <row r="78" spans="1:8" x14ac:dyDescent="0.35">
      <c r="A78" s="276" t="s">
        <v>507</v>
      </c>
      <c r="B78" s="278" t="s">
        <v>499</v>
      </c>
      <c r="C78" s="277" t="s">
        <v>679</v>
      </c>
      <c r="D78" s="276" t="s">
        <v>682</v>
      </c>
      <c r="E78" s="277" t="s">
        <v>683</v>
      </c>
      <c r="F78" s="277" t="s">
        <v>499</v>
      </c>
      <c r="G78" s="277" t="s">
        <v>665</v>
      </c>
      <c r="H78" s="277" t="s">
        <v>658</v>
      </c>
    </row>
    <row r="79" spans="1:8" x14ac:dyDescent="0.35">
      <c r="A79" s="276" t="s">
        <v>509</v>
      </c>
      <c r="B79" s="278" t="s">
        <v>757</v>
      </c>
      <c r="C79" s="277" t="s">
        <v>684</v>
      </c>
      <c r="D79" s="276" t="s">
        <v>685</v>
      </c>
      <c r="E79" s="277" t="s">
        <v>686</v>
      </c>
      <c r="F79" s="277" t="s">
        <v>499</v>
      </c>
      <c r="G79" s="277" t="s">
        <v>654</v>
      </c>
      <c r="H79" s="277" t="s">
        <v>107</v>
      </c>
    </row>
    <row r="80" spans="1:8" x14ac:dyDescent="0.35">
      <c r="A80" s="276" t="s">
        <v>509</v>
      </c>
      <c r="B80" s="278" t="s">
        <v>757</v>
      </c>
      <c r="C80" s="277" t="s">
        <v>684</v>
      </c>
      <c r="D80" s="276" t="s">
        <v>687</v>
      </c>
      <c r="E80" s="277" t="s">
        <v>688</v>
      </c>
      <c r="F80" s="277" t="s">
        <v>499</v>
      </c>
      <c r="G80" s="277" t="s">
        <v>665</v>
      </c>
      <c r="H80" s="277" t="s">
        <v>658</v>
      </c>
    </row>
    <row r="81" spans="1:8" x14ac:dyDescent="0.35">
      <c r="A81" s="276" t="s">
        <v>511</v>
      </c>
      <c r="B81" s="278" t="s">
        <v>757</v>
      </c>
      <c r="C81" s="277" t="s">
        <v>689</v>
      </c>
      <c r="D81" s="276" t="s">
        <v>690</v>
      </c>
      <c r="E81" s="277" t="s">
        <v>691</v>
      </c>
      <c r="F81" s="277" t="s">
        <v>499</v>
      </c>
      <c r="G81" s="277" t="s">
        <v>654</v>
      </c>
      <c r="H81" s="277" t="s">
        <v>658</v>
      </c>
    </row>
    <row r="82" spans="1:8" x14ac:dyDescent="0.35">
      <c r="A82" s="276" t="s">
        <v>511</v>
      </c>
      <c r="B82" s="278" t="s">
        <v>757</v>
      </c>
      <c r="C82" s="277" t="s">
        <v>689</v>
      </c>
      <c r="D82" s="276" t="s">
        <v>692</v>
      </c>
      <c r="E82" s="277" t="s">
        <v>693</v>
      </c>
      <c r="F82" s="277" t="s">
        <v>499</v>
      </c>
      <c r="G82" s="277" t="s">
        <v>665</v>
      </c>
      <c r="H82" s="277" t="s">
        <v>107</v>
      </c>
    </row>
    <row r="83" spans="1:8" x14ac:dyDescent="0.35">
      <c r="A83" s="276" t="s">
        <v>513</v>
      </c>
      <c r="B83" s="278" t="s">
        <v>757</v>
      </c>
      <c r="C83" s="277" t="s">
        <v>694</v>
      </c>
      <c r="D83" s="276" t="s">
        <v>695</v>
      </c>
      <c r="E83" s="277" t="s">
        <v>696</v>
      </c>
      <c r="F83" s="277" t="s">
        <v>499</v>
      </c>
      <c r="G83" s="277" t="s">
        <v>654</v>
      </c>
      <c r="H83" s="277" t="s">
        <v>107</v>
      </c>
    </row>
    <row r="84" spans="1:8" x14ac:dyDescent="0.35">
      <c r="A84" s="276" t="s">
        <v>513</v>
      </c>
      <c r="B84" s="278" t="s">
        <v>757</v>
      </c>
      <c r="C84" s="277" t="s">
        <v>694</v>
      </c>
      <c r="D84" s="276" t="s">
        <v>697</v>
      </c>
      <c r="E84" s="277" t="s">
        <v>698</v>
      </c>
      <c r="F84" s="277" t="s">
        <v>499</v>
      </c>
      <c r="G84" s="277" t="s">
        <v>665</v>
      </c>
      <c r="H84" s="277" t="s">
        <v>107</v>
      </c>
    </row>
    <row r="85" spans="1:8" x14ac:dyDescent="0.35">
      <c r="A85" s="276" t="s">
        <v>515</v>
      </c>
      <c r="B85" s="278" t="s">
        <v>757</v>
      </c>
      <c r="C85" s="277" t="s">
        <v>699</v>
      </c>
      <c r="D85" s="276" t="s">
        <v>700</v>
      </c>
      <c r="E85" s="277" t="s">
        <v>701</v>
      </c>
      <c r="F85" s="277" t="s">
        <v>499</v>
      </c>
      <c r="G85" s="277" t="s">
        <v>654</v>
      </c>
      <c r="H85" s="277" t="s">
        <v>107</v>
      </c>
    </row>
    <row r="86" spans="1:8" x14ac:dyDescent="0.35">
      <c r="A86" s="276" t="s">
        <v>515</v>
      </c>
      <c r="B86" s="278" t="s">
        <v>757</v>
      </c>
      <c r="C86" s="277" t="s">
        <v>699</v>
      </c>
      <c r="D86" s="276" t="s">
        <v>702</v>
      </c>
      <c r="E86" s="277" t="s">
        <v>703</v>
      </c>
      <c r="F86" s="277" t="s">
        <v>621</v>
      </c>
      <c r="G86" s="277" t="s">
        <v>657</v>
      </c>
      <c r="H86" s="277" t="s">
        <v>658</v>
      </c>
    </row>
    <row r="87" spans="1:8" x14ac:dyDescent="0.35">
      <c r="A87" s="276" t="s">
        <v>534</v>
      </c>
      <c r="B87" s="278" t="s">
        <v>758</v>
      </c>
      <c r="C87" s="277" t="s">
        <v>704</v>
      </c>
      <c r="D87" s="276" t="s">
        <v>705</v>
      </c>
      <c r="E87" s="277" t="s">
        <v>706</v>
      </c>
      <c r="F87" s="277" t="s">
        <v>621</v>
      </c>
      <c r="G87" s="277" t="s">
        <v>654</v>
      </c>
      <c r="H87" s="277" t="s">
        <v>107</v>
      </c>
    </row>
    <row r="88" spans="1:8" x14ac:dyDescent="0.35">
      <c r="A88" s="276" t="s">
        <v>534</v>
      </c>
      <c r="B88" s="278" t="s">
        <v>758</v>
      </c>
      <c r="C88" s="277" t="s">
        <v>704</v>
      </c>
      <c r="D88" s="276" t="s">
        <v>707</v>
      </c>
      <c r="E88" s="277" t="s">
        <v>708</v>
      </c>
      <c r="F88" s="277" t="s">
        <v>617</v>
      </c>
      <c r="G88" s="277" t="s">
        <v>665</v>
      </c>
      <c r="H88" s="277" t="s">
        <v>658</v>
      </c>
    </row>
    <row r="89" spans="1:8" x14ac:dyDescent="0.35">
      <c r="A89" s="276" t="s">
        <v>539</v>
      </c>
      <c r="B89" s="278" t="s">
        <v>758</v>
      </c>
      <c r="C89" s="277" t="s">
        <v>709</v>
      </c>
      <c r="D89" s="276" t="s">
        <v>710</v>
      </c>
      <c r="E89" s="277" t="s">
        <v>711</v>
      </c>
      <c r="F89" s="277" t="s">
        <v>621</v>
      </c>
      <c r="G89" s="277" t="s">
        <v>654</v>
      </c>
      <c r="H89" s="277" t="s">
        <v>107</v>
      </c>
    </row>
    <row r="90" spans="1:8" x14ac:dyDescent="0.35">
      <c r="A90" s="276" t="s">
        <v>539</v>
      </c>
      <c r="B90" s="278" t="s">
        <v>758</v>
      </c>
      <c r="C90" s="277" t="s">
        <v>709</v>
      </c>
      <c r="D90" s="276" t="s">
        <v>712</v>
      </c>
      <c r="E90" s="277" t="s">
        <v>713</v>
      </c>
      <c r="F90" s="277" t="s">
        <v>617</v>
      </c>
      <c r="G90" s="277" t="s">
        <v>665</v>
      </c>
      <c r="H90" s="277" t="s">
        <v>658</v>
      </c>
    </row>
    <row r="91" spans="1:8" x14ac:dyDescent="0.35">
      <c r="A91" s="276" t="s">
        <v>541</v>
      </c>
      <c r="B91" s="278" t="s">
        <v>758</v>
      </c>
      <c r="C91" s="277" t="s">
        <v>714</v>
      </c>
      <c r="D91" s="276" t="s">
        <v>715</v>
      </c>
      <c r="E91" s="277" t="s">
        <v>716</v>
      </c>
      <c r="F91" s="277" t="s">
        <v>612</v>
      </c>
      <c r="G91" s="277" t="s">
        <v>654</v>
      </c>
      <c r="H91" s="277" t="s">
        <v>107</v>
      </c>
    </row>
    <row r="92" spans="1:8" x14ac:dyDescent="0.35">
      <c r="A92" s="276" t="s">
        <v>541</v>
      </c>
      <c r="B92" s="278" t="s">
        <v>758</v>
      </c>
      <c r="C92" s="277" t="s">
        <v>714</v>
      </c>
      <c r="D92" s="276" t="s">
        <v>717</v>
      </c>
      <c r="E92" s="277" t="s">
        <v>718</v>
      </c>
      <c r="F92" s="277" t="s">
        <v>612</v>
      </c>
      <c r="G92" s="277" t="s">
        <v>665</v>
      </c>
      <c r="H92" s="277" t="s">
        <v>107</v>
      </c>
    </row>
    <row r="93" spans="1:8" x14ac:dyDescent="0.35">
      <c r="A93" s="276" t="s">
        <v>547</v>
      </c>
      <c r="B93" s="278" t="s">
        <v>758</v>
      </c>
      <c r="C93" s="277" t="s">
        <v>719</v>
      </c>
      <c r="D93" s="276" t="s">
        <v>720</v>
      </c>
      <c r="E93" s="277" t="s">
        <v>721</v>
      </c>
      <c r="F93" s="277" t="s">
        <v>615</v>
      </c>
      <c r="G93" s="277" t="s">
        <v>654</v>
      </c>
      <c r="H93" s="277" t="s">
        <v>47</v>
      </c>
    </row>
    <row r="94" spans="1:8" x14ac:dyDescent="0.35">
      <c r="A94" s="276" t="s">
        <v>547</v>
      </c>
      <c r="B94" s="278" t="s">
        <v>758</v>
      </c>
      <c r="C94" s="277" t="s">
        <v>719</v>
      </c>
      <c r="D94" s="276" t="s">
        <v>722</v>
      </c>
      <c r="E94" s="277" t="s">
        <v>723</v>
      </c>
      <c r="F94" s="277" t="s">
        <v>615</v>
      </c>
      <c r="G94" s="277" t="s">
        <v>665</v>
      </c>
      <c r="H94" s="277" t="s">
        <v>107</v>
      </c>
    </row>
    <row r="95" spans="1:8" x14ac:dyDescent="0.35">
      <c r="A95" s="276" t="s">
        <v>549</v>
      </c>
      <c r="B95" s="278" t="s">
        <v>758</v>
      </c>
      <c r="C95" s="277" t="s">
        <v>724</v>
      </c>
      <c r="D95" s="276" t="s">
        <v>725</v>
      </c>
      <c r="E95" s="277" t="s">
        <v>726</v>
      </c>
      <c r="F95" s="277" t="s">
        <v>617</v>
      </c>
      <c r="G95" s="277" t="s">
        <v>654</v>
      </c>
      <c r="H95" s="277" t="s">
        <v>107</v>
      </c>
    </row>
    <row r="96" spans="1:8" x14ac:dyDescent="0.35">
      <c r="A96" s="276" t="s">
        <v>549</v>
      </c>
      <c r="B96" s="278" t="s">
        <v>758</v>
      </c>
      <c r="C96" s="277" t="s">
        <v>724</v>
      </c>
      <c r="D96" s="276" t="s">
        <v>727</v>
      </c>
      <c r="E96" s="277" t="s">
        <v>728</v>
      </c>
      <c r="F96" s="277" t="s">
        <v>617</v>
      </c>
      <c r="G96" s="277" t="s">
        <v>665</v>
      </c>
      <c r="H96" s="277" t="s">
        <v>107</v>
      </c>
    </row>
    <row r="97" spans="1:8" x14ac:dyDescent="0.35">
      <c r="A97" s="276" t="s">
        <v>559</v>
      </c>
      <c r="B97" s="278" t="s">
        <v>759</v>
      </c>
      <c r="C97" s="277" t="s">
        <v>729</v>
      </c>
      <c r="D97" s="276" t="s">
        <v>730</v>
      </c>
      <c r="E97" s="277" t="s">
        <v>731</v>
      </c>
      <c r="F97" s="277" t="s">
        <v>621</v>
      </c>
      <c r="G97" s="277" t="s">
        <v>654</v>
      </c>
      <c r="H97" s="277" t="s">
        <v>47</v>
      </c>
    </row>
    <row r="98" spans="1:8" x14ac:dyDescent="0.35">
      <c r="A98" s="276" t="s">
        <v>559</v>
      </c>
      <c r="B98" s="278" t="s">
        <v>759</v>
      </c>
      <c r="C98" s="277" t="s">
        <v>729</v>
      </c>
      <c r="D98" s="276" t="s">
        <v>732</v>
      </c>
      <c r="E98" s="277" t="s">
        <v>733</v>
      </c>
      <c r="F98" s="277" t="s">
        <v>621</v>
      </c>
      <c r="G98" s="277" t="s">
        <v>657</v>
      </c>
      <c r="H98" s="277" t="s">
        <v>107</v>
      </c>
    </row>
    <row r="99" spans="1:8" x14ac:dyDescent="0.35">
      <c r="A99" s="276" t="s">
        <v>562</v>
      </c>
      <c r="B99" s="278" t="s">
        <v>759</v>
      </c>
      <c r="C99" s="277" t="s">
        <v>734</v>
      </c>
      <c r="D99" s="276" t="s">
        <v>735</v>
      </c>
      <c r="E99" s="277" t="s">
        <v>736</v>
      </c>
      <c r="F99" s="277" t="s">
        <v>621</v>
      </c>
      <c r="G99" s="277" t="s">
        <v>654</v>
      </c>
      <c r="H99" s="277" t="s">
        <v>47</v>
      </c>
    </row>
    <row r="100" spans="1:8" x14ac:dyDescent="0.35">
      <c r="A100" s="276" t="s">
        <v>562</v>
      </c>
      <c r="B100" s="278" t="s">
        <v>759</v>
      </c>
      <c r="C100" s="277" t="s">
        <v>734</v>
      </c>
      <c r="D100" s="276" t="s">
        <v>737</v>
      </c>
      <c r="E100" s="277" t="s">
        <v>738</v>
      </c>
      <c r="F100" s="277" t="s">
        <v>621</v>
      </c>
      <c r="G100" s="277" t="s">
        <v>657</v>
      </c>
      <c r="H100" s="277" t="s">
        <v>107</v>
      </c>
    </row>
    <row r="101" spans="1:8" x14ac:dyDescent="0.35">
      <c r="A101" s="276" t="s">
        <v>564</v>
      </c>
      <c r="B101" s="278" t="s">
        <v>759</v>
      </c>
      <c r="C101" s="277" t="s">
        <v>565</v>
      </c>
      <c r="D101" s="276" t="s">
        <v>739</v>
      </c>
      <c r="E101" s="277" t="s">
        <v>740</v>
      </c>
      <c r="F101" s="277" t="s">
        <v>621</v>
      </c>
      <c r="G101" s="277" t="s">
        <v>654</v>
      </c>
      <c r="H101" s="277" t="s">
        <v>107</v>
      </c>
    </row>
    <row r="102" spans="1:8" x14ac:dyDescent="0.35">
      <c r="A102" s="276" t="s">
        <v>564</v>
      </c>
      <c r="B102" s="278" t="s">
        <v>759</v>
      </c>
      <c r="C102" s="277" t="s">
        <v>565</v>
      </c>
      <c r="D102" s="276" t="s">
        <v>741</v>
      </c>
      <c r="E102" s="277" t="s">
        <v>742</v>
      </c>
      <c r="F102" s="277" t="s">
        <v>621</v>
      </c>
      <c r="G102" s="277" t="s">
        <v>665</v>
      </c>
      <c r="H102" s="277" t="s">
        <v>107</v>
      </c>
    </row>
    <row r="103" spans="1:8" x14ac:dyDescent="0.35">
      <c r="A103" s="276" t="s">
        <v>568</v>
      </c>
      <c r="B103" s="278" t="s">
        <v>760</v>
      </c>
      <c r="C103" s="277" t="s">
        <v>570</v>
      </c>
      <c r="D103" s="276" t="s">
        <v>743</v>
      </c>
      <c r="E103" s="277" t="s">
        <v>744</v>
      </c>
      <c r="F103" s="277" t="s">
        <v>624</v>
      </c>
      <c r="G103" s="277" t="s">
        <v>654</v>
      </c>
      <c r="H103" s="277" t="s">
        <v>107</v>
      </c>
    </row>
    <row r="104" spans="1:8" x14ac:dyDescent="0.35">
      <c r="A104" s="276" t="s">
        <v>568</v>
      </c>
      <c r="B104" s="278" t="s">
        <v>760</v>
      </c>
      <c r="C104" s="277" t="s">
        <v>570</v>
      </c>
      <c r="D104" s="276" t="s">
        <v>745</v>
      </c>
      <c r="E104" s="277" t="s">
        <v>746</v>
      </c>
      <c r="F104" s="277" t="s">
        <v>624</v>
      </c>
      <c r="G104" s="277" t="s">
        <v>665</v>
      </c>
      <c r="H104" s="277" t="s">
        <v>107</v>
      </c>
    </row>
    <row r="105" spans="1:8" x14ac:dyDescent="0.35">
      <c r="A105" s="276" t="s">
        <v>583</v>
      </c>
      <c r="B105" s="278" t="s">
        <v>760</v>
      </c>
      <c r="C105" s="277" t="s">
        <v>747</v>
      </c>
      <c r="D105" s="276" t="s">
        <v>748</v>
      </c>
      <c r="E105" s="277" t="s">
        <v>749</v>
      </c>
      <c r="F105" s="277" t="s">
        <v>621</v>
      </c>
      <c r="G105" s="277" t="s">
        <v>654</v>
      </c>
      <c r="H105" s="277" t="s">
        <v>107</v>
      </c>
    </row>
    <row r="106" spans="1:8" x14ac:dyDescent="0.35">
      <c r="A106" s="276" t="s">
        <v>583</v>
      </c>
      <c r="B106" s="278" t="s">
        <v>760</v>
      </c>
      <c r="C106" s="277" t="s">
        <v>747</v>
      </c>
      <c r="D106" s="276" t="s">
        <v>750</v>
      </c>
      <c r="E106" s="277" t="s">
        <v>751</v>
      </c>
      <c r="F106" s="277" t="s">
        <v>752</v>
      </c>
      <c r="G106" s="277" t="s">
        <v>665</v>
      </c>
      <c r="H106" s="277" t="s">
        <v>658</v>
      </c>
    </row>
    <row r="107" spans="1:8" x14ac:dyDescent="0.35">
      <c r="A107" s="276" t="s">
        <v>592</v>
      </c>
      <c r="B107" s="278" t="s">
        <v>760</v>
      </c>
      <c r="C107" s="277" t="s">
        <v>593</v>
      </c>
      <c r="D107" s="276" t="s">
        <v>753</v>
      </c>
      <c r="E107" s="277" t="s">
        <v>754</v>
      </c>
      <c r="F107" s="277" t="s">
        <v>621</v>
      </c>
      <c r="G107" s="277" t="s">
        <v>654</v>
      </c>
      <c r="H107" s="277" t="s">
        <v>107</v>
      </c>
    </row>
    <row r="108" spans="1:8" x14ac:dyDescent="0.35">
      <c r="A108" s="276" t="s">
        <v>592</v>
      </c>
      <c r="B108" s="278" t="s">
        <v>760</v>
      </c>
      <c r="C108" s="277" t="s">
        <v>593</v>
      </c>
      <c r="D108" s="276" t="s">
        <v>755</v>
      </c>
      <c r="E108" s="277" t="s">
        <v>756</v>
      </c>
      <c r="F108" s="277" t="s">
        <v>621</v>
      </c>
      <c r="G108" s="277" t="s">
        <v>657</v>
      </c>
      <c r="H108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7" t="s">
        <v>259</v>
      </c>
      <c r="C13" s="347"/>
      <c r="D13" s="347"/>
      <c r="E13" s="347"/>
      <c r="F13" s="347"/>
      <c r="G13" s="347"/>
      <c r="H13" s="347"/>
      <c r="I13" s="347"/>
      <c r="J13" s="347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7"/>
      <c r="C14" s="347"/>
      <c r="D14" s="347"/>
      <c r="E14" s="347"/>
      <c r="F14" s="347"/>
      <c r="G14" s="347"/>
      <c r="H14" s="347"/>
      <c r="I14" s="347"/>
      <c r="J14" s="347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8" t="s">
        <v>191</v>
      </c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8"/>
      <c r="V16" s="348"/>
      <c r="AL16" s="348" t="s">
        <v>241</v>
      </c>
      <c r="AM16" s="348"/>
      <c r="AN16" s="348"/>
      <c r="AO16" s="348"/>
      <c r="AP16" s="348"/>
      <c r="AQ16" s="348"/>
      <c r="AR16" s="348"/>
      <c r="AS16" s="348"/>
      <c r="AT16" s="348"/>
      <c r="AU16" s="348"/>
      <c r="AV16" s="348"/>
      <c r="AW16" s="348"/>
      <c r="AX16" s="348"/>
      <c r="AY16" s="348"/>
      <c r="AZ16" s="348"/>
      <c r="BA16" s="348"/>
      <c r="BB16" s="348"/>
      <c r="BC16" s="348"/>
      <c r="BD16" s="348"/>
    </row>
    <row r="17" spans="2:56" ht="15" customHeight="1" x14ac:dyDescent="0.35">
      <c r="H17" s="348"/>
      <c r="I17" s="348"/>
      <c r="J17" s="348"/>
      <c r="K17" s="348"/>
      <c r="L17" s="348"/>
      <c r="M17" s="348"/>
      <c r="N17" s="348"/>
      <c r="O17" s="348"/>
      <c r="P17" s="348"/>
      <c r="Q17" s="348"/>
      <c r="R17" s="348"/>
      <c r="S17" s="348"/>
      <c r="T17" s="348"/>
      <c r="U17" s="348"/>
      <c r="V17" s="348"/>
      <c r="AL17" s="348"/>
      <c r="AM17" s="348"/>
      <c r="AN17" s="348"/>
      <c r="AO17" s="348"/>
      <c r="AP17" s="348"/>
      <c r="AQ17" s="348"/>
      <c r="AR17" s="348"/>
      <c r="AS17" s="348"/>
      <c r="AT17" s="348"/>
      <c r="AU17" s="348"/>
      <c r="AV17" s="348"/>
      <c r="AW17" s="348"/>
      <c r="AX17" s="348"/>
      <c r="AY17" s="348"/>
      <c r="AZ17" s="348"/>
      <c r="BA17" s="348"/>
      <c r="BB17" s="348"/>
      <c r="BC17" s="348"/>
      <c r="BD17" s="348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8" t="s">
        <v>203</v>
      </c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348"/>
      <c r="O29" s="348"/>
    </row>
    <row r="30" spans="2:56" x14ac:dyDescent="0.35">
      <c r="B30" s="348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348"/>
      <c r="O30" s="348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8" t="s">
        <v>204</v>
      </c>
      <c r="C41" s="348"/>
      <c r="D41" s="348"/>
      <c r="E41" s="348"/>
      <c r="F41" s="348"/>
      <c r="G41" s="348"/>
      <c r="H41" s="348"/>
      <c r="I41" s="348"/>
      <c r="J41" s="348"/>
      <c r="K41" s="348"/>
      <c r="L41" s="348"/>
      <c r="M41" s="348"/>
      <c r="N41" s="348"/>
      <c r="O41" s="348"/>
    </row>
    <row r="42" spans="2:31" x14ac:dyDescent="0.35">
      <c r="B42" s="348"/>
      <c r="C42" s="348"/>
      <c r="D42" s="348"/>
      <c r="E42" s="348"/>
      <c r="F42" s="348"/>
      <c r="G42" s="348"/>
      <c r="H42" s="348"/>
      <c r="I42" s="348"/>
      <c r="J42" s="348"/>
      <c r="K42" s="348"/>
      <c r="L42" s="348"/>
      <c r="M42" s="348"/>
      <c r="N42" s="348"/>
      <c r="O42" s="348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8" t="s">
        <v>220</v>
      </c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</row>
    <row r="50" spans="2:14" x14ac:dyDescent="0.35"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8" t="s">
        <v>221</v>
      </c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  <c r="P71" s="348"/>
    </row>
    <row r="72" spans="2:16" x14ac:dyDescent="0.35"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  <c r="P72" s="348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8" t="s">
        <v>230</v>
      </c>
      <c r="D84" s="348"/>
      <c r="E84" s="348"/>
      <c r="F84" s="348"/>
      <c r="G84" s="348"/>
      <c r="H84" s="348"/>
      <c r="I84" s="348"/>
      <c r="J84" s="348"/>
      <c r="K84" s="348"/>
      <c r="L84" s="348"/>
      <c r="M84" s="348"/>
      <c r="N84" s="348"/>
      <c r="O84" s="348"/>
      <c r="P84" s="348"/>
      <c r="Q84" s="348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8"/>
      <c r="D85" s="348"/>
      <c r="E85" s="348"/>
      <c r="F85" s="348"/>
      <c r="G85" s="348"/>
      <c r="H85" s="348"/>
      <c r="I85" s="348"/>
      <c r="J85" s="348"/>
      <c r="K85" s="348"/>
      <c r="L85" s="348"/>
      <c r="M85" s="348"/>
      <c r="N85" s="348"/>
      <c r="O85" s="348"/>
      <c r="P85" s="348"/>
      <c r="Q85" s="348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8" t="s">
        <v>233</v>
      </c>
      <c r="AF93" s="348"/>
      <c r="AG93" s="348"/>
      <c r="AH93" s="348"/>
      <c r="AI93" s="348"/>
      <c r="AJ93" s="348"/>
      <c r="AK93" s="348"/>
      <c r="AL93" s="348"/>
      <c r="AM93" s="348"/>
      <c r="AN93" s="348"/>
      <c r="AO93" s="348"/>
      <c r="AP93" s="348"/>
      <c r="AQ93" s="348"/>
      <c r="AR93" s="348"/>
      <c r="AS93" s="348"/>
      <c r="AT93" s="348"/>
      <c r="AU93" s="348"/>
      <c r="AV93" s="348"/>
      <c r="AW93" s="348"/>
      <c r="AX93" s="348"/>
      <c r="AY93" s="348"/>
    </row>
    <row r="94" spans="3:69" x14ac:dyDescent="0.35">
      <c r="AE94" s="348"/>
      <c r="AF94" s="348"/>
      <c r="AG94" s="348"/>
      <c r="AH94" s="348"/>
      <c r="AI94" s="348"/>
      <c r="AJ94" s="348"/>
      <c r="AK94" s="348"/>
      <c r="AL94" s="348"/>
      <c r="AM94" s="348"/>
      <c r="AN94" s="348"/>
      <c r="AO94" s="348"/>
      <c r="AP94" s="348"/>
      <c r="AQ94" s="348"/>
      <c r="AR94" s="348"/>
      <c r="AS94" s="348"/>
      <c r="AT94" s="348"/>
      <c r="AU94" s="348"/>
      <c r="AV94" s="348"/>
      <c r="AW94" s="348"/>
      <c r="AX94" s="348"/>
      <c r="AY94" s="348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8" t="s">
        <v>236</v>
      </c>
      <c r="D104" s="348"/>
      <c r="E104" s="348"/>
      <c r="F104" s="348"/>
      <c r="G104" s="348"/>
      <c r="H104" s="348"/>
      <c r="I104" s="348"/>
      <c r="J104" s="348"/>
      <c r="K104" s="348"/>
      <c r="L104" s="348"/>
      <c r="M104" s="348"/>
      <c r="N104" s="348"/>
      <c r="O104" s="348"/>
      <c r="P104" s="348"/>
      <c r="Q104" s="348"/>
      <c r="R104" s="348"/>
      <c r="S104" s="348"/>
      <c r="T104" s="348"/>
      <c r="U104" s="348"/>
      <c r="V104" s="348"/>
      <c r="W104" s="348"/>
    </row>
    <row r="105" spans="3:23" x14ac:dyDescent="0.35">
      <c r="C105" s="348"/>
      <c r="D105" s="348"/>
      <c r="E105" s="348"/>
      <c r="F105" s="348"/>
      <c r="G105" s="348"/>
      <c r="H105" s="348"/>
      <c r="I105" s="348"/>
      <c r="J105" s="348"/>
      <c r="K105" s="348"/>
      <c r="L105" s="348"/>
      <c r="M105" s="348"/>
      <c r="N105" s="348"/>
      <c r="O105" s="348"/>
      <c r="P105" s="348"/>
      <c r="Q105" s="348"/>
      <c r="R105" s="348"/>
      <c r="S105" s="348"/>
      <c r="T105" s="348"/>
      <c r="U105" s="348"/>
      <c r="V105" s="348"/>
      <c r="W105" s="348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8" t="s">
        <v>242</v>
      </c>
      <c r="AG114" s="348"/>
      <c r="AH114" s="348"/>
      <c r="AI114" s="348"/>
      <c r="AJ114" s="348"/>
      <c r="AK114" s="348"/>
      <c r="AL114" s="348"/>
      <c r="AM114" s="348"/>
      <c r="AN114" s="348"/>
      <c r="AO114" s="348"/>
      <c r="AP114" s="348"/>
      <c r="AQ114" s="348"/>
      <c r="AR114" s="348"/>
      <c r="AS114" s="348"/>
      <c r="AT114" s="348"/>
      <c r="AU114" s="348"/>
      <c r="AV114" s="348"/>
      <c r="AW114" s="348"/>
      <c r="AX114" s="348"/>
      <c r="AY114" s="348"/>
      <c r="AZ114" s="348"/>
    </row>
    <row r="115" spans="3:52" x14ac:dyDescent="0.35">
      <c r="C115" s="160" t="s">
        <v>240</v>
      </c>
      <c r="AF115" s="348"/>
      <c r="AG115" s="348"/>
      <c r="AH115" s="348"/>
      <c r="AI115" s="348"/>
      <c r="AJ115" s="348"/>
      <c r="AK115" s="348"/>
      <c r="AL115" s="348"/>
      <c r="AM115" s="348"/>
      <c r="AN115" s="348"/>
      <c r="AO115" s="348"/>
      <c r="AP115" s="348"/>
      <c r="AQ115" s="348"/>
      <c r="AR115" s="348"/>
      <c r="AS115" s="348"/>
      <c r="AT115" s="348"/>
      <c r="AU115" s="348"/>
      <c r="AV115" s="348"/>
      <c r="AW115" s="348"/>
      <c r="AX115" s="348"/>
      <c r="AY115" s="348"/>
      <c r="AZ115" s="348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8" t="s">
        <v>243</v>
      </c>
      <c r="W121" s="348"/>
      <c r="X121" s="348"/>
      <c r="Y121" s="348"/>
      <c r="Z121" s="348"/>
      <c r="AA121" s="348"/>
      <c r="AB121" s="348"/>
      <c r="AC121" s="348"/>
      <c r="AD121" s="348"/>
      <c r="AE121" s="348"/>
      <c r="AF121" s="348"/>
      <c r="AG121" s="348"/>
      <c r="AH121" s="348"/>
      <c r="AI121" s="348"/>
      <c r="AJ121" s="348"/>
      <c r="AK121" s="348"/>
      <c r="AL121" s="348"/>
      <c r="AM121" s="348"/>
      <c r="AN121" s="348"/>
      <c r="AO121" s="348"/>
      <c r="AP121" s="348"/>
    </row>
    <row r="122" spans="3:52" x14ac:dyDescent="0.35">
      <c r="V122" s="348"/>
      <c r="W122" s="348"/>
      <c r="X122" s="348"/>
      <c r="Y122" s="348"/>
      <c r="Z122" s="348"/>
      <c r="AA122" s="348"/>
      <c r="AB122" s="348"/>
      <c r="AC122" s="348"/>
      <c r="AD122" s="348"/>
      <c r="AE122" s="348"/>
      <c r="AF122" s="348"/>
      <c r="AG122" s="348"/>
      <c r="AH122" s="348"/>
      <c r="AI122" s="348"/>
      <c r="AJ122" s="348"/>
      <c r="AK122" s="348"/>
      <c r="AL122" s="348"/>
      <c r="AM122" s="348"/>
      <c r="AN122" s="348"/>
      <c r="AO122" s="348"/>
      <c r="AP122" s="348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8" t="s">
        <v>249</v>
      </c>
      <c r="G130" s="348"/>
      <c r="H130" s="348"/>
      <c r="I130" s="348"/>
      <c r="J130" s="348"/>
      <c r="K130" s="348"/>
      <c r="L130" s="348"/>
      <c r="M130" s="348"/>
      <c r="N130" s="348"/>
      <c r="O130" s="348"/>
      <c r="P130" s="348"/>
      <c r="Q130" s="348"/>
      <c r="R130" s="348"/>
      <c r="S130" s="348"/>
      <c r="T130" s="348"/>
      <c r="U130" s="348"/>
      <c r="V130" s="348"/>
      <c r="W130" s="348"/>
      <c r="X130" s="348"/>
      <c r="Y130" s="348"/>
      <c r="Z130" s="348"/>
    </row>
    <row r="131" spans="4:26" x14ac:dyDescent="0.35">
      <c r="F131" s="348"/>
      <c r="G131" s="348"/>
      <c r="H131" s="348"/>
      <c r="I131" s="348"/>
      <c r="J131" s="348"/>
      <c r="K131" s="348"/>
      <c r="L131" s="348"/>
      <c r="M131" s="348"/>
      <c r="N131" s="348"/>
      <c r="O131" s="348"/>
      <c r="P131" s="348"/>
      <c r="Q131" s="348"/>
      <c r="R131" s="348"/>
      <c r="S131" s="348"/>
      <c r="T131" s="348"/>
      <c r="U131" s="348"/>
      <c r="V131" s="348"/>
      <c r="W131" s="348"/>
      <c r="X131" s="348"/>
      <c r="Y131" s="348"/>
      <c r="Z131" s="348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8" t="s">
        <v>252</v>
      </c>
      <c r="E143" s="348"/>
      <c r="F143" s="348"/>
      <c r="G143" s="348"/>
      <c r="H143" s="348"/>
      <c r="I143" s="348"/>
      <c r="J143" s="348"/>
      <c r="K143" s="348"/>
      <c r="L143" s="348"/>
      <c r="M143" s="348"/>
      <c r="N143" s="348"/>
      <c r="O143" s="348"/>
      <c r="P143" s="348"/>
      <c r="Q143" s="348"/>
      <c r="R143" s="348"/>
      <c r="S143" s="348"/>
      <c r="T143" s="348"/>
      <c r="U143" s="348"/>
      <c r="V143" s="348"/>
      <c r="W143" s="348"/>
      <c r="X143" s="348"/>
    </row>
    <row r="144" spans="4:26" x14ac:dyDescent="0.35">
      <c r="D144" s="348"/>
      <c r="E144" s="348"/>
      <c r="F144" s="348"/>
      <c r="G144" s="348"/>
      <c r="H144" s="348"/>
      <c r="I144" s="348"/>
      <c r="J144" s="348"/>
      <c r="K144" s="348"/>
      <c r="L144" s="348"/>
      <c r="M144" s="348"/>
      <c r="N144" s="348"/>
      <c r="O144" s="348"/>
      <c r="P144" s="348"/>
      <c r="Q144" s="348"/>
      <c r="R144" s="348"/>
      <c r="S144" s="348"/>
      <c r="T144" s="348"/>
      <c r="U144" s="348"/>
      <c r="V144" s="348"/>
      <c r="W144" s="348"/>
      <c r="X144" s="348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8" t="s">
        <v>257</v>
      </c>
      <c r="E152" s="348"/>
      <c r="F152" s="348"/>
      <c r="G152" s="348"/>
      <c r="H152" s="348"/>
      <c r="I152" s="348"/>
      <c r="J152" s="348"/>
      <c r="K152" s="348"/>
      <c r="L152" s="348"/>
      <c r="M152" s="348"/>
      <c r="N152" s="348"/>
      <c r="O152" s="348"/>
      <c r="P152" s="348"/>
      <c r="Q152" s="348"/>
      <c r="R152" s="348"/>
      <c r="S152" s="348"/>
      <c r="T152" s="348"/>
      <c r="U152" s="348"/>
      <c r="V152" s="348"/>
      <c r="W152" s="348"/>
      <c r="X152" s="348"/>
    </row>
    <row r="153" spans="4:24" x14ac:dyDescent="0.35">
      <c r="D153" s="348"/>
      <c r="E153" s="348"/>
      <c r="F153" s="348"/>
      <c r="G153" s="348"/>
      <c r="H153" s="348"/>
      <c r="I153" s="348"/>
      <c r="J153" s="348"/>
      <c r="K153" s="348"/>
      <c r="L153" s="348"/>
      <c r="M153" s="348"/>
      <c r="N153" s="348"/>
      <c r="O153" s="348"/>
      <c r="P153" s="348"/>
      <c r="Q153" s="348"/>
      <c r="R153" s="348"/>
      <c r="S153" s="348"/>
      <c r="T153" s="348"/>
      <c r="U153" s="348"/>
      <c r="V153" s="348"/>
      <c r="W153" s="348"/>
      <c r="X153" s="348"/>
    </row>
    <row r="154" spans="4:24" x14ac:dyDescent="0.35">
      <c r="G154" s="160" t="s">
        <v>258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9" t="s">
        <v>441</v>
      </c>
      <c r="E50" s="349"/>
      <c r="F50" s="349"/>
      <c r="G50" s="349"/>
      <c r="H50" t="s">
        <v>442</v>
      </c>
    </row>
    <row r="51" spans="2:20" x14ac:dyDescent="0.35">
      <c r="D51" s="349"/>
      <c r="E51" s="349"/>
      <c r="F51" s="349"/>
      <c r="G51" s="349"/>
    </row>
    <row r="52" spans="2:20" x14ac:dyDescent="0.35">
      <c r="D52" s="349"/>
      <c r="E52" s="349"/>
      <c r="F52" s="349"/>
      <c r="G52" s="349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Props1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2026-10-30T13:25:20Z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